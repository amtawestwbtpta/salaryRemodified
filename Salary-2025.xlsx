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"/>
    </mc:Choice>
  </mc:AlternateContent>
  <xr:revisionPtr revIDLastSave="0" documentId="13_ncr:1_{5E2E8566-3B34-4FEE-9BF5-AB08BDE9DC78}" xr6:coauthVersionLast="47" xr6:coauthVersionMax="47" xr10:uidLastSave="{00000000-0000-0000-0000-000000000000}"/>
  <bookViews>
    <workbookView xWindow="14085" yWindow="0" windowWidth="14715" windowHeight="15645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B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K18" i="1" s="1"/>
  <c r="M18" i="1"/>
  <c r="N18" i="1"/>
  <c r="P18" i="1"/>
  <c r="Q18" i="1"/>
  <c r="T18" i="1"/>
  <c r="V18" i="1" s="1"/>
  <c r="W18" i="1"/>
  <c r="X18" i="1"/>
  <c r="Z18" i="1"/>
  <c r="AA18" i="1"/>
  <c r="AD18" i="1"/>
  <c r="AF18" i="1" s="1"/>
  <c r="AG18" i="1"/>
  <c r="AH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H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H263" i="1"/>
  <c r="AG263" i="1"/>
  <c r="AD263" i="1"/>
  <c r="AF263" i="1" s="1"/>
  <c r="AA263" i="1"/>
  <c r="Z263" i="1"/>
  <c r="X263" i="1"/>
  <c r="W263" i="1"/>
  <c r="T263" i="1"/>
  <c r="V263" i="1" s="1"/>
  <c r="Q263" i="1"/>
  <c r="P263" i="1"/>
  <c r="N263" i="1"/>
  <c r="M263" i="1"/>
  <c r="J263" i="1"/>
  <c r="K263" i="1" s="1"/>
  <c r="I263" i="1"/>
  <c r="H263" i="1"/>
  <c r="J134" i="1"/>
  <c r="K134" i="1" s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H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O61" i="1" s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O71" i="1" s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O79" i="1" s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O88" i="1" s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O101" i="1" s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4" i="1"/>
  <c r="AN125" i="1"/>
  <c r="AO125" i="1" s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O133" i="1" s="1"/>
  <c r="AN135" i="1"/>
  <c r="AO135" i="1" s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P152" i="1" s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P164" i="1" s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O174" i="1" s="1"/>
  <c r="AN175" i="1"/>
  <c r="AO175" i="1" s="1"/>
  <c r="AN176" i="1"/>
  <c r="AP176" i="1" s="1"/>
  <c r="AN177" i="1"/>
  <c r="AP177" i="1" s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P188" i="1" s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O198" i="1" s="1"/>
  <c r="AN199" i="1"/>
  <c r="AO199" i="1" s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P220" i="1" s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P228" i="1" s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P236" i="1" s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P257" i="1" s="1"/>
  <c r="AN258" i="1"/>
  <c r="AO258" i="1" s="1"/>
  <c r="AN259" i="1"/>
  <c r="AN260" i="1"/>
  <c r="AP260" i="1" s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P277" i="1" s="1"/>
  <c r="AN278" i="1"/>
  <c r="AN279" i="1"/>
  <c r="AO279" i="1" s="1"/>
  <c r="AN280" i="1"/>
  <c r="AO280" i="1" s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P293" i="1" s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2" i="1"/>
  <c r="AO2" i="1" s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4" i="1"/>
  <c r="AH125" i="1"/>
  <c r="AH126" i="1"/>
  <c r="AH127" i="1"/>
  <c r="AH128" i="1"/>
  <c r="AH129" i="1"/>
  <c r="AH130" i="1"/>
  <c r="AH131" i="1"/>
  <c r="AH132" i="1"/>
  <c r="AH133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E67" i="1" s="1"/>
  <c r="AD68" i="1"/>
  <c r="AE68" i="1" s="1"/>
  <c r="AD69" i="1"/>
  <c r="AE69" i="1" s="1"/>
  <c r="AD70" i="1"/>
  <c r="AD71" i="1"/>
  <c r="AF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E78" i="1" s="1"/>
  <c r="AD79" i="1"/>
  <c r="AD80" i="1"/>
  <c r="AE80" i="1" s="1"/>
  <c r="AD81" i="1"/>
  <c r="AE81" i="1" s="1"/>
  <c r="AD82" i="1"/>
  <c r="AE82" i="1" s="1"/>
  <c r="AD83" i="1"/>
  <c r="AE83" i="1" s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F90" i="1" s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F105" i="1" s="1"/>
  <c r="AD106" i="1"/>
  <c r="AF106" i="1" s="1"/>
  <c r="AD107" i="1"/>
  <c r="AF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F115" i="1" s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4" i="1"/>
  <c r="AF124" i="1" s="1"/>
  <c r="AD125" i="1"/>
  <c r="AE125" i="1" s="1"/>
  <c r="AD126" i="1"/>
  <c r="AE126" i="1" s="1"/>
  <c r="AD127" i="1"/>
  <c r="AE127" i="1" s="1"/>
  <c r="AD128" i="1"/>
  <c r="AF128" i="1" s="1"/>
  <c r="AD129" i="1"/>
  <c r="AE129" i="1" s="1"/>
  <c r="AD130" i="1"/>
  <c r="AE130" i="1" s="1"/>
  <c r="AD131" i="1"/>
  <c r="AF131" i="1" s="1"/>
  <c r="AD132" i="1"/>
  <c r="AF132" i="1" s="1"/>
  <c r="AD133" i="1"/>
  <c r="AF133" i="1" s="1"/>
  <c r="AD135" i="1"/>
  <c r="AE135" i="1" s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F150" i="1" s="1"/>
  <c r="AD151" i="1"/>
  <c r="AF151" i="1" s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E166" i="1" s="1"/>
  <c r="AD167" i="1"/>
  <c r="AF167" i="1" s="1"/>
  <c r="AD168" i="1"/>
  <c r="AE168" i="1" s="1"/>
  <c r="AD169" i="1"/>
  <c r="AF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E175" i="1" s="1"/>
  <c r="AD176" i="1"/>
  <c r="AE176" i="1" s="1"/>
  <c r="AD177" i="1"/>
  <c r="AF177" i="1" s="1"/>
  <c r="AD178" i="1"/>
  <c r="AE178" i="1" s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E186" i="1" s="1"/>
  <c r="AD187" i="1"/>
  <c r="AF187" i="1" s="1"/>
  <c r="AD188" i="1"/>
  <c r="AF188" i="1" s="1"/>
  <c r="AD189" i="1"/>
  <c r="AE189" i="1" s="1"/>
  <c r="AD190" i="1"/>
  <c r="AE190" i="1" s="1"/>
  <c r="AD191" i="1"/>
  <c r="AF191" i="1" s="1"/>
  <c r="AD192" i="1"/>
  <c r="AE192" i="1" s="1"/>
  <c r="AD193" i="1"/>
  <c r="AE193" i="1" s="1"/>
  <c r="AD194" i="1"/>
  <c r="AE194" i="1" s="1"/>
  <c r="AD195" i="1"/>
  <c r="AE195" i="1" s="1"/>
  <c r="AD196" i="1"/>
  <c r="AF196" i="1" s="1"/>
  <c r="AD197" i="1"/>
  <c r="AF197" i="1" s="1"/>
  <c r="AD198" i="1"/>
  <c r="AE198" i="1" s="1"/>
  <c r="AD199" i="1"/>
  <c r="AE199" i="1" s="1"/>
  <c r="AD200" i="1"/>
  <c r="AE200" i="1" s="1"/>
  <c r="AD201" i="1"/>
  <c r="AE201" i="1" s="1"/>
  <c r="AD202" i="1"/>
  <c r="AE202" i="1" s="1"/>
  <c r="AD203" i="1"/>
  <c r="AF203" i="1" s="1"/>
  <c r="AD204" i="1"/>
  <c r="AD205" i="1"/>
  <c r="AD206" i="1"/>
  <c r="AE206" i="1" s="1"/>
  <c r="AD207" i="1"/>
  <c r="AE207" i="1" s="1"/>
  <c r="AD208" i="1"/>
  <c r="AE208" i="1" s="1"/>
  <c r="AD209" i="1"/>
  <c r="AE209" i="1" s="1"/>
  <c r="AD210" i="1"/>
  <c r="AF210" i="1" s="1"/>
  <c r="AD211" i="1"/>
  <c r="AE211" i="1" s="1"/>
  <c r="AD212" i="1"/>
  <c r="AF212" i="1" s="1"/>
  <c r="AD213" i="1"/>
  <c r="AE213" i="1" s="1"/>
  <c r="AD214" i="1"/>
  <c r="AE214" i="1" s="1"/>
  <c r="AD215" i="1"/>
  <c r="AD216" i="1"/>
  <c r="AE216" i="1" s="1"/>
  <c r="AD217" i="1"/>
  <c r="AE217" i="1" s="1"/>
  <c r="AD218" i="1"/>
  <c r="AE218" i="1" s="1"/>
  <c r="AD219" i="1"/>
  <c r="AF219" i="1" s="1"/>
  <c r="AD220" i="1"/>
  <c r="AE220" i="1" s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E227" i="1" s="1"/>
  <c r="AD228" i="1"/>
  <c r="AE228" i="1" s="1"/>
  <c r="AD229" i="1"/>
  <c r="AE229" i="1" s="1"/>
  <c r="AD230" i="1"/>
  <c r="AE230" i="1" s="1"/>
  <c r="AD231" i="1"/>
  <c r="AF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E239" i="1" s="1"/>
  <c r="AD240" i="1"/>
  <c r="AE240" i="1" s="1"/>
  <c r="AD241" i="1"/>
  <c r="AF241" i="1" s="1"/>
  <c r="AD242" i="1"/>
  <c r="AE242" i="1" s="1"/>
  <c r="AD243" i="1"/>
  <c r="AE243" i="1" s="1"/>
  <c r="AD244" i="1"/>
  <c r="AE244" i="1" s="1"/>
  <c r="AD245" i="1"/>
  <c r="AE245" i="1" s="1"/>
  <c r="AD246" i="1"/>
  <c r="AF246" i="1" s="1"/>
  <c r="AD247" i="1"/>
  <c r="AE247" i="1" s="1"/>
  <c r="AD248" i="1"/>
  <c r="AE248" i="1" s="1"/>
  <c r="AD249" i="1"/>
  <c r="AE249" i="1" s="1"/>
  <c r="AD250" i="1"/>
  <c r="AF250" i="1" s="1"/>
  <c r="AD251" i="1"/>
  <c r="AE251" i="1" s="1"/>
  <c r="AD252" i="1"/>
  <c r="AE252" i="1" s="1"/>
  <c r="AD253" i="1"/>
  <c r="AE253" i="1" s="1"/>
  <c r="AD254" i="1"/>
  <c r="AE254" i="1" s="1"/>
  <c r="AD255" i="1"/>
  <c r="AF255" i="1" s="1"/>
  <c r="AD256" i="1"/>
  <c r="AE256" i="1" s="1"/>
  <c r="AD257" i="1"/>
  <c r="AE257" i="1" s="1"/>
  <c r="AD258" i="1"/>
  <c r="AE258" i="1" s="1"/>
  <c r="AD259" i="1"/>
  <c r="AE259" i="1" s="1"/>
  <c r="AD260" i="1"/>
  <c r="AF260" i="1" s="1"/>
  <c r="AD261" i="1"/>
  <c r="AF261" i="1" s="1"/>
  <c r="AD262" i="1"/>
  <c r="AE262" i="1" s="1"/>
  <c r="AD264" i="1"/>
  <c r="AE264" i="1" s="1"/>
  <c r="AD265" i="1"/>
  <c r="AE265" i="1" s="1"/>
  <c r="AD266" i="1"/>
  <c r="AE266" i="1" s="1"/>
  <c r="AD267" i="1"/>
  <c r="AE267" i="1" s="1"/>
  <c r="AD268" i="1"/>
  <c r="AE268" i="1" s="1"/>
  <c r="AD269" i="1"/>
  <c r="AF269" i="1" s="1"/>
  <c r="AD270" i="1"/>
  <c r="AF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E286" i="1" s="1"/>
  <c r="AD287" i="1"/>
  <c r="AE287" i="1" s="1"/>
  <c r="AD288" i="1"/>
  <c r="AF288" i="1" s="1"/>
  <c r="AD289" i="1"/>
  <c r="AF289" i="1" s="1"/>
  <c r="AD290" i="1"/>
  <c r="AE290" i="1" s="1"/>
  <c r="AD291" i="1"/>
  <c r="AE291" i="1" s="1"/>
  <c r="AD292" i="1"/>
  <c r="AD293" i="1"/>
  <c r="AE293" i="1" s="1"/>
  <c r="AD294" i="1"/>
  <c r="AE294" i="1" s="1"/>
  <c r="AD295" i="1"/>
  <c r="AE295" i="1" s="1"/>
  <c r="AD296" i="1"/>
  <c r="AE296" i="1" s="1"/>
  <c r="AD297" i="1"/>
  <c r="AF297" i="1" s="1"/>
  <c r="AD298" i="1"/>
  <c r="AE298" i="1" s="1"/>
  <c r="AD299" i="1"/>
  <c r="AE299" i="1" s="1"/>
  <c r="AD300" i="1"/>
  <c r="AE300" i="1" s="1"/>
  <c r="AD301" i="1"/>
  <c r="AE301" i="1" s="1"/>
  <c r="AD302" i="1"/>
  <c r="AE302" i="1" s="1"/>
  <c r="AD303" i="1"/>
  <c r="AF303" i="1" s="1"/>
  <c r="AD304" i="1"/>
  <c r="AF304" i="1" s="1"/>
  <c r="AD2" i="1"/>
  <c r="AE2" i="1" s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U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U40" i="1" s="1"/>
  <c r="T41" i="1"/>
  <c r="U41" i="1" s="1"/>
  <c r="T42" i="1"/>
  <c r="V42" i="1" s="1"/>
  <c r="T43" i="1"/>
  <c r="U43" i="1" s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V63" i="1" s="1"/>
  <c r="T64" i="1"/>
  <c r="U64" i="1" s="1"/>
  <c r="T65" i="1"/>
  <c r="U65" i="1" s="1"/>
  <c r="T66" i="1"/>
  <c r="T67" i="1"/>
  <c r="U67" i="1" s="1"/>
  <c r="T68" i="1"/>
  <c r="U68" i="1" s="1"/>
  <c r="T69" i="1"/>
  <c r="V69" i="1" s="1"/>
  <c r="T70" i="1"/>
  <c r="V70" i="1" s="1"/>
  <c r="T71" i="1"/>
  <c r="V71" i="1" s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U86" i="1" s="1"/>
  <c r="T87" i="1"/>
  <c r="U87" i="1" s="1"/>
  <c r="T88" i="1"/>
  <c r="U88" i="1" s="1"/>
  <c r="T89" i="1"/>
  <c r="V89" i="1" s="1"/>
  <c r="T90" i="1"/>
  <c r="V90" i="1" s="1"/>
  <c r="T91" i="1"/>
  <c r="V91" i="1" s="1"/>
  <c r="T92" i="1"/>
  <c r="V92" i="1" s="1"/>
  <c r="T93" i="1"/>
  <c r="U93" i="1" s="1"/>
  <c r="T94" i="1"/>
  <c r="V94" i="1" s="1"/>
  <c r="T95" i="1"/>
  <c r="V95" i="1" s="1"/>
  <c r="T96" i="1"/>
  <c r="U96" i="1" s="1"/>
  <c r="T97" i="1"/>
  <c r="V97" i="1" s="1"/>
  <c r="T98" i="1"/>
  <c r="V98" i="1" s="1"/>
  <c r="T99" i="1"/>
  <c r="U99" i="1" s="1"/>
  <c r="T100" i="1"/>
  <c r="V100" i="1" s="1"/>
  <c r="T101" i="1"/>
  <c r="V101" i="1" s="1"/>
  <c r="T102" i="1"/>
  <c r="V102" i="1" s="1"/>
  <c r="T103" i="1"/>
  <c r="V103" i="1" s="1"/>
  <c r="T104" i="1"/>
  <c r="U104" i="1" s="1"/>
  <c r="T105" i="1"/>
  <c r="U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U120" i="1" s="1"/>
  <c r="T121" i="1"/>
  <c r="U121" i="1" s="1"/>
  <c r="T122" i="1"/>
  <c r="V122" i="1" s="1"/>
  <c r="T124" i="1"/>
  <c r="V124" i="1" s="1"/>
  <c r="T125" i="1"/>
  <c r="U125" i="1" s="1"/>
  <c r="T126" i="1"/>
  <c r="V126" i="1" s="1"/>
  <c r="T127" i="1"/>
  <c r="V127" i="1" s="1"/>
  <c r="T128" i="1"/>
  <c r="V128" i="1" s="1"/>
  <c r="T129" i="1"/>
  <c r="U129" i="1" s="1"/>
  <c r="T130" i="1"/>
  <c r="U130" i="1" s="1"/>
  <c r="T131" i="1"/>
  <c r="V131" i="1" s="1"/>
  <c r="T132" i="1"/>
  <c r="V132" i="1" s="1"/>
  <c r="T133" i="1"/>
  <c r="V133" i="1" s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U146" i="1" s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U154" i="1" s="1"/>
  <c r="T155" i="1"/>
  <c r="U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U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U178" i="1" s="1"/>
  <c r="T179" i="1"/>
  <c r="U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U186" i="1" s="1"/>
  <c r="T187" i="1"/>
  <c r="U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V204" i="1" s="1"/>
  <c r="T205" i="1"/>
  <c r="V205" i="1" s="1"/>
  <c r="T206" i="1"/>
  <c r="T207" i="1"/>
  <c r="V207" i="1" s="1"/>
  <c r="T208" i="1"/>
  <c r="V208" i="1" s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U218" i="1" s="1"/>
  <c r="T219" i="1"/>
  <c r="U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V225" i="1" s="1"/>
  <c r="T226" i="1"/>
  <c r="U226" i="1" s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U242" i="1" s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U250" i="1" s="1"/>
  <c r="T251" i="1"/>
  <c r="U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4" i="1"/>
  <c r="V264" i="1" s="1"/>
  <c r="T265" i="1"/>
  <c r="V265" i="1" s="1"/>
  <c r="T266" i="1"/>
  <c r="V266" i="1" s="1"/>
  <c r="T267" i="1"/>
  <c r="U267" i="1" s="1"/>
  <c r="T268" i="1"/>
  <c r="U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U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K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L54" i="1" s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L65" i="1" s="1"/>
  <c r="J66" i="1"/>
  <c r="L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L83" i="1" s="1"/>
  <c r="J84" i="1"/>
  <c r="L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L96" i="1" s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5" i="1"/>
  <c r="L135" i="1" s="1"/>
  <c r="J136" i="1"/>
  <c r="K136" i="1" s="1"/>
  <c r="J137" i="1"/>
  <c r="K137" i="1" s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K146" i="1" s="1"/>
  <c r="J147" i="1"/>
  <c r="K147" i="1" s="1"/>
  <c r="J148" i="1"/>
  <c r="L148" i="1" s="1"/>
  <c r="J149" i="1"/>
  <c r="L149" i="1" s="1"/>
  <c r="J150" i="1"/>
  <c r="L150" i="1" s="1"/>
  <c r="J151" i="1"/>
  <c r="L151" i="1" s="1"/>
  <c r="J152" i="1"/>
  <c r="K152" i="1" s="1"/>
  <c r="J153" i="1"/>
  <c r="K153" i="1" s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K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K208" i="1" s="1"/>
  <c r="J209" i="1"/>
  <c r="K209" i="1" s="1"/>
  <c r="J210" i="1"/>
  <c r="K210" i="1" s="1"/>
  <c r="J211" i="1"/>
  <c r="K211" i="1" s="1"/>
  <c r="J212" i="1"/>
  <c r="L212" i="1" s="1"/>
  <c r="J213" i="1"/>
  <c r="L213" i="1" s="1"/>
  <c r="J214" i="1"/>
  <c r="L214" i="1" s="1"/>
  <c r="J215" i="1"/>
  <c r="L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L221" i="1" s="1"/>
  <c r="J222" i="1"/>
  <c r="L222" i="1" s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L229" i="1" s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K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L278" i="1" s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L294" i="1" s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L302" i="1" s="1"/>
  <c r="J303" i="1"/>
  <c r="K303" i="1" s="1"/>
  <c r="J304" i="1"/>
  <c r="K304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E123" i="1" l="1"/>
  <c r="DH123" i="1"/>
  <c r="BT123" i="1"/>
  <c r="BX123" i="1" s="1"/>
  <c r="AF123" i="1"/>
  <c r="AI123" i="1" s="1"/>
  <c r="AL123" i="1" s="1"/>
  <c r="AM123" i="1" s="1"/>
  <c r="AP123" i="1"/>
  <c r="AO123" i="1"/>
  <c r="AS123" i="1" s="1"/>
  <c r="DS123" i="1"/>
  <c r="DV123" i="1" s="1"/>
  <c r="EG123" i="1"/>
  <c r="CY123" i="1"/>
  <c r="DB123" i="1" s="1"/>
  <c r="DE123" i="1" s="1"/>
  <c r="DF123" i="1" s="1"/>
  <c r="EF123" i="1"/>
  <c r="BK123" i="1"/>
  <c r="BN123" i="1" s="1"/>
  <c r="BQ123" i="1" s="1"/>
  <c r="BR123" i="1" s="1"/>
  <c r="V123" i="1"/>
  <c r="Y123" i="1" s="1"/>
  <c r="CH123" i="1"/>
  <c r="CO123" i="1"/>
  <c r="CR123" i="1" s="1"/>
  <c r="BA123" i="1"/>
  <c r="BD123" i="1" s="1"/>
  <c r="L123" i="1"/>
  <c r="O123" i="1" s="1"/>
  <c r="DL123" i="1"/>
  <c r="CE18" i="1"/>
  <c r="CH18" i="1" s="1"/>
  <c r="CK18" i="1" s="1"/>
  <c r="CL18" i="1" s="1"/>
  <c r="EF18" i="1"/>
  <c r="BK18" i="1"/>
  <c r="BN18" i="1" s="1"/>
  <c r="BQ18" i="1" s="1"/>
  <c r="BR18" i="1" s="1"/>
  <c r="EG18" i="1"/>
  <c r="CY18" i="1"/>
  <c r="DB18" i="1" s="1"/>
  <c r="DE18" i="1" s="1"/>
  <c r="DF18" i="1" s="1"/>
  <c r="U18" i="1"/>
  <c r="Y18" i="1" s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S134" i="1"/>
  <c r="AV134" i="1" s="1"/>
  <c r="AW134" i="1" s="1"/>
  <c r="AP134" i="1"/>
  <c r="BD134" i="1"/>
  <c r="BD171" i="1"/>
  <c r="DL171" i="1"/>
  <c r="BN171" i="1"/>
  <c r="BN134" i="1"/>
  <c r="Y204" i="1"/>
  <c r="Y132" i="1"/>
  <c r="Y25" i="1"/>
  <c r="Y137" i="1"/>
  <c r="Y297" i="1"/>
  <c r="V134" i="1"/>
  <c r="EF134" i="1"/>
  <c r="Y270" i="1"/>
  <c r="O297" i="1"/>
  <c r="DR134" i="1"/>
  <c r="DV134" i="1" s="1"/>
  <c r="U134" i="1"/>
  <c r="O270" i="1"/>
  <c r="O204" i="1"/>
  <c r="O137" i="1"/>
  <c r="O134" i="1"/>
  <c r="EG134" i="1"/>
  <c r="O132" i="1"/>
  <c r="CD134" i="1"/>
  <c r="O25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L41" i="1"/>
  <c r="O41" i="1" s="1"/>
  <c r="K30" i="1"/>
  <c r="L99" i="1"/>
  <c r="O99" i="1" s="1"/>
  <c r="L25" i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DL18" i="1" l="1"/>
  <c r="BN48" i="1"/>
  <c r="BX18" i="1"/>
  <c r="CA18" i="1" s="1"/>
  <c r="CB18" i="1" s="1"/>
  <c r="ER123" i="1"/>
  <c r="ES123" i="1" s="1"/>
  <c r="AV123" i="1"/>
  <c r="AW123" i="1" s="1"/>
  <c r="DV18" i="1"/>
  <c r="DY18" i="1" s="1"/>
  <c r="AB123" i="1"/>
  <c r="AC123" i="1" s="1"/>
  <c r="ER18" i="1"/>
  <c r="ES18" i="1" s="1"/>
  <c r="R123" i="1"/>
  <c r="S123" i="1" s="1"/>
  <c r="CU123" i="1"/>
  <c r="CV123" i="1" s="1"/>
  <c r="CK123" i="1"/>
  <c r="CL123" i="1" s="1"/>
  <c r="DY123" i="1"/>
  <c r="DZ123" i="1" s="1"/>
  <c r="EA123" i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AS17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AS70" i="1"/>
  <c r="CH90" i="1"/>
  <c r="CK90" i="1" s="1"/>
  <c r="CL90" i="1" s="1"/>
  <c r="CH164" i="1"/>
  <c r="CK164" i="1" s="1"/>
  <c r="CL164" i="1" s="1"/>
  <c r="AS62" i="1"/>
  <c r="AV62" i="1" s="1"/>
  <c r="AW62" i="1" s="1"/>
  <c r="AS208" i="1"/>
  <c r="AV208" i="1" s="1"/>
  <c r="AW208" i="1" s="1"/>
  <c r="AS232" i="1"/>
  <c r="AV232" i="1" s="1"/>
  <c r="AW232" i="1" s="1"/>
  <c r="AS146" i="1"/>
  <c r="AV146" i="1" s="1"/>
  <c r="AW146" i="1" s="1"/>
  <c r="CU18" i="1"/>
  <c r="CV18" i="1" s="1"/>
  <c r="R18" i="1"/>
  <c r="S18" i="1" s="1"/>
  <c r="DO18" i="1"/>
  <c r="DP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ER246" i="1"/>
  <c r="ES246" i="1" s="1"/>
  <c r="DL134" i="1"/>
  <c r="CH195" i="1"/>
  <c r="CH300" i="1"/>
  <c r="R25" i="1"/>
  <c r="S25" i="1" s="1"/>
  <c r="S270" i="1"/>
  <c r="O305" i="1"/>
  <c r="R305" i="1" s="1"/>
  <c r="S305" i="1" s="1"/>
  <c r="AS240" i="1"/>
  <c r="AV240" i="1" s="1"/>
  <c r="AW240" i="1" s="1"/>
  <c r="AS283" i="1"/>
  <c r="AV283" i="1" s="1"/>
  <c r="AW283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Y66" i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ER263" i="1"/>
  <c r="ES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ER305" i="1"/>
  <c r="ES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S110" i="1"/>
  <c r="AV110" i="1" s="1"/>
  <c r="AW110" i="1" s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V115" i="1" s="1"/>
  <c r="AW115" i="1" s="1"/>
  <c r="AS181" i="1"/>
  <c r="AV181" i="1" s="1"/>
  <c r="AW181" i="1" s="1"/>
  <c r="AS245" i="1"/>
  <c r="AV245" i="1" s="1"/>
  <c r="AW245" i="1" s="1"/>
  <c r="AS68" i="1"/>
  <c r="AV68" i="1" s="1"/>
  <c r="AW68" i="1" s="1"/>
  <c r="BD129" i="1"/>
  <c r="BG129" i="1" s="1"/>
  <c r="BH129" i="1" s="1"/>
  <c r="BD194" i="1"/>
  <c r="BH194" i="1" s="1"/>
  <c r="BD258" i="1"/>
  <c r="BG258" i="1" s="1"/>
  <c r="BH258" i="1" s="1"/>
  <c r="AS57" i="1"/>
  <c r="AV57" i="1" s="1"/>
  <c r="AW57" i="1" s="1"/>
  <c r="AS121" i="1"/>
  <c r="AV121" i="1" s="1"/>
  <c r="AW121" i="1" s="1"/>
  <c r="AS187" i="1"/>
  <c r="AS251" i="1"/>
  <c r="AV251" i="1" s="1"/>
  <c r="AW251" i="1" s="1"/>
  <c r="AS144" i="1"/>
  <c r="AV144" i="1" s="1"/>
  <c r="AW144" i="1" s="1"/>
  <c r="AS297" i="1"/>
  <c r="AV297" i="1" s="1"/>
  <c r="AW297" i="1" s="1"/>
  <c r="AS275" i="1"/>
  <c r="AV275" i="1" s="1"/>
  <c r="AW275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EA96" i="1" s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L70" i="1" s="1"/>
  <c r="AM70" i="1" s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S130" i="1"/>
  <c r="AV130" i="1" s="1"/>
  <c r="AW130" i="1" s="1"/>
  <c r="AS195" i="1"/>
  <c r="AV195" i="1" s="1"/>
  <c r="AW195" i="1" s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V8" i="1" s="1"/>
  <c r="AW8" i="1" s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V81" i="1" s="1"/>
  <c r="AW81" i="1" s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V27" i="1" s="1"/>
  <c r="AW27" i="1" s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AV227" i="1" s="1"/>
  <c r="AW227" i="1" s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V235" i="1" s="1"/>
  <c r="AW235" i="1" s="1"/>
  <c r="AS300" i="1"/>
  <c r="AV300" i="1" s="1"/>
  <c r="AW300" i="1" s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A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N260" i="1"/>
  <c r="Y212" i="1"/>
  <c r="Y206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AC122" i="1" s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Y146" i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AB134" i="1"/>
  <c r="AC134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A134" i="1"/>
  <c r="DY134" i="1"/>
  <c r="ER287" i="1"/>
  <c r="ES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AV36" i="1"/>
  <c r="AW36" i="1" s="1"/>
  <c r="DY171" i="1"/>
  <c r="DZ171" i="1" s="1"/>
  <c r="DY10" i="1"/>
  <c r="DZ10" i="1" s="1"/>
  <c r="BQ112" i="1"/>
  <c r="BR112" i="1" s="1"/>
  <c r="CA259" i="1"/>
  <c r="CB259" i="1" s="1"/>
  <c r="CA34" i="1"/>
  <c r="CB34" i="1" s="1"/>
  <c r="CK284" i="1"/>
  <c r="CL284" i="1" s="1"/>
  <c r="EA290" i="1"/>
  <c r="CU280" i="1"/>
  <c r="CV280" i="1" s="1"/>
  <c r="ER279" i="1"/>
  <c r="ES279" i="1" s="1"/>
  <c r="AV70" i="1"/>
  <c r="AW70" i="1" s="1"/>
  <c r="AW96" i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BQ196" i="1"/>
  <c r="BR196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65" i="1"/>
  <c r="AW65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ER28" i="1"/>
  <c r="ES28" i="1" s="1"/>
  <c r="ER92" i="1"/>
  <c r="ES92" i="1" s="1"/>
  <c r="DO119" i="1"/>
  <c r="DP119" i="1" s="1"/>
  <c r="DY232" i="1"/>
  <c r="DZ232" i="1" s="1"/>
  <c r="DO137" i="1"/>
  <c r="DP137" i="1" s="1"/>
  <c r="ER184" i="1"/>
  <c r="ES184" i="1" s="1"/>
  <c r="ER248" i="1"/>
  <c r="ES248" i="1" s="1"/>
  <c r="DO67" i="1"/>
  <c r="DP67" i="1" s="1"/>
  <c r="ER60" i="1"/>
  <c r="ES60" i="1" s="1"/>
  <c r="ER125" i="1"/>
  <c r="ES125" i="1" s="1"/>
  <c r="ER150" i="1"/>
  <c r="ES150" i="1" s="1"/>
  <c r="ER216" i="1"/>
  <c r="ES216" i="1" s="1"/>
  <c r="ER281" i="1"/>
  <c r="ES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DY244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EA112" i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AC234" i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EA257" i="1" l="1"/>
  <c r="BG96" i="1"/>
  <c r="BH96" i="1" s="1"/>
  <c r="DZ18" i="1"/>
  <c r="EA227" i="1"/>
  <c r="FL227" i="1" s="1"/>
  <c r="FM227" i="1" s="1"/>
  <c r="FN227" i="1" s="1"/>
  <c r="EA18" i="1"/>
  <c r="EC18" i="1" s="1"/>
  <c r="EA170" i="1"/>
  <c r="FO170" i="1" s="1"/>
  <c r="EA125" i="1"/>
  <c r="FO125" i="1" s="1"/>
  <c r="EA108" i="1"/>
  <c r="FO108" i="1" s="1"/>
  <c r="EB123" i="1"/>
  <c r="EC123" i="1"/>
  <c r="FL123" i="1"/>
  <c r="FM123" i="1" s="1"/>
  <c r="FN123" i="1" s="1"/>
  <c r="FO123" i="1"/>
  <c r="EA234" i="1"/>
  <c r="EC234" i="1" s="1"/>
  <c r="CK234" i="1"/>
  <c r="CL234" i="1" s="1"/>
  <c r="EA53" i="1"/>
  <c r="EC53" i="1" s="1"/>
  <c r="EA184" i="1"/>
  <c r="FL184" i="1" s="1"/>
  <c r="FM184" i="1" s="1"/>
  <c r="FN184" i="1" s="1"/>
  <c r="EA301" i="1"/>
  <c r="FL301" i="1" s="1"/>
  <c r="FM301" i="1" s="1"/>
  <c r="FN301" i="1" s="1"/>
  <c r="EB18" i="1"/>
  <c r="CU184" i="1"/>
  <c r="CV184" i="1" s="1"/>
  <c r="EA305" i="1"/>
  <c r="EC305" i="1" s="1"/>
  <c r="EA231" i="1"/>
  <c r="EC231" i="1" s="1"/>
  <c r="EA185" i="1"/>
  <c r="FO185" i="1" s="1"/>
  <c r="EA209" i="1"/>
  <c r="EC209" i="1" s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C134" i="1"/>
  <c r="FL134" i="1"/>
  <c r="FM134" i="1" s="1"/>
  <c r="FN134" i="1" s="1"/>
  <c r="FO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EB285" i="1" s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71" i="1"/>
  <c r="EB129" i="1"/>
  <c r="AB212" i="1"/>
  <c r="AC212" i="1" s="1"/>
  <c r="FO112" i="1"/>
  <c r="FL112" i="1"/>
  <c r="FM112" i="1" s="1"/>
  <c r="FN112" i="1" s="1"/>
  <c r="FL257" i="1"/>
  <c r="FM257" i="1" s="1"/>
  <c r="FN257" i="1" s="1"/>
  <c r="FO257" i="1"/>
  <c r="DY101" i="1"/>
  <c r="DZ101" i="1" s="1"/>
  <c r="FL223" i="1"/>
  <c r="FM223" i="1" s="1"/>
  <c r="FN223" i="1" s="1"/>
  <c r="FO223" i="1"/>
  <c r="FO290" i="1"/>
  <c r="FL290" i="1"/>
  <c r="FM290" i="1" s="1"/>
  <c r="FN290" i="1" s="1"/>
  <c r="FL96" i="1"/>
  <c r="FM96" i="1" s="1"/>
  <c r="FN96" i="1" s="1"/>
  <c r="FO96" i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112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DZ214" i="1"/>
  <c r="DZ107" i="1"/>
  <c r="EB220" i="1"/>
  <c r="EB96" i="1"/>
  <c r="EB225" i="1"/>
  <c r="DF111" i="1"/>
  <c r="EB80" i="1"/>
  <c r="EB110" i="1"/>
  <c r="AM4" i="1"/>
  <c r="EA4" i="1"/>
  <c r="AC193" i="1"/>
  <c r="EB193" i="1"/>
  <c r="DO2" i="1"/>
  <c r="DP2" i="1" s="1"/>
  <c r="CU2" i="1"/>
  <c r="CV2" i="1" s="1"/>
  <c r="EB94" i="1"/>
  <c r="EB119" i="1"/>
  <c r="EB128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B240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C9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67" i="1"/>
  <c r="EB231" i="1"/>
  <c r="DZ271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EC112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DZ22" i="1"/>
  <c r="EB106" i="1"/>
  <c r="EB227" i="1"/>
  <c r="DZ81" i="1"/>
  <c r="EB276" i="1"/>
  <c r="EB34" i="1"/>
  <c r="EB195" i="1"/>
  <c r="EB175" i="1"/>
  <c r="EB148" i="1"/>
  <c r="EB167" i="1"/>
  <c r="EB266" i="1"/>
  <c r="EB100" i="1"/>
  <c r="DF38" i="1"/>
  <c r="EB76" i="1"/>
  <c r="BR161" i="1"/>
  <c r="DF202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B278" i="1"/>
  <c r="DZ297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FO227" i="1" l="1"/>
  <c r="EC227" i="1"/>
  <c r="FL170" i="1"/>
  <c r="FM170" i="1" s="1"/>
  <c r="FN170" i="1" s="1"/>
  <c r="EB181" i="1"/>
  <c r="EE181" i="1" s="1"/>
  <c r="ET181" i="1" s="1"/>
  <c r="FC181" i="1" s="1"/>
  <c r="FE181" i="1" s="1"/>
  <c r="EB199" i="1"/>
  <c r="FO18" i="1"/>
  <c r="FP18" i="1" s="1"/>
  <c r="FW18" i="1" s="1"/>
  <c r="FX18" i="1" s="1"/>
  <c r="FL18" i="1"/>
  <c r="FM18" i="1" s="1"/>
  <c r="FN18" i="1" s="1"/>
  <c r="EB184" i="1"/>
  <c r="EB125" i="1"/>
  <c r="EC170" i="1"/>
  <c r="EB214" i="1"/>
  <c r="EC125" i="1"/>
  <c r="FL125" i="1"/>
  <c r="FM125" i="1" s="1"/>
  <c r="FN125" i="1" s="1"/>
  <c r="FP125" i="1" s="1"/>
  <c r="FL108" i="1"/>
  <c r="FM108" i="1" s="1"/>
  <c r="FN108" i="1" s="1"/>
  <c r="FP108" i="1" s="1"/>
  <c r="GG108" i="1" s="1"/>
  <c r="GH108" i="1" s="1"/>
  <c r="GI108" i="1" s="1"/>
  <c r="EE123" i="1"/>
  <c r="ET123" i="1" s="1"/>
  <c r="FC123" i="1" s="1"/>
  <c r="FD123" i="1" s="1"/>
  <c r="EC184" i="1"/>
  <c r="FO184" i="1"/>
  <c r="FP184" i="1" s="1"/>
  <c r="EC185" i="1"/>
  <c r="EE185" i="1" s="1"/>
  <c r="ET185" i="1" s="1"/>
  <c r="FC185" i="1" s="1"/>
  <c r="FD185" i="1" s="1"/>
  <c r="EC108" i="1"/>
  <c r="EE108" i="1" s="1"/>
  <c r="ET108" i="1" s="1"/>
  <c r="FC108" i="1" s="1"/>
  <c r="FD108" i="1" s="1"/>
  <c r="FO234" i="1"/>
  <c r="FL234" i="1"/>
  <c r="FM234" i="1" s="1"/>
  <c r="FN234" i="1" s="1"/>
  <c r="EC301" i="1"/>
  <c r="FL185" i="1"/>
  <c r="FM185" i="1" s="1"/>
  <c r="FN185" i="1" s="1"/>
  <c r="FP185" i="1" s="1"/>
  <c r="FS185" i="1" s="1"/>
  <c r="FT185" i="1" s="1"/>
  <c r="FO301" i="1"/>
  <c r="FP301" i="1" s="1"/>
  <c r="GE301" i="1" s="1"/>
  <c r="FO209" i="1"/>
  <c r="DZ285" i="1"/>
  <c r="FO53" i="1"/>
  <c r="FL209" i="1"/>
  <c r="FM209" i="1" s="1"/>
  <c r="FN209" i="1" s="1"/>
  <c r="FL53" i="1"/>
  <c r="FM53" i="1" s="1"/>
  <c r="FN53" i="1" s="1"/>
  <c r="FP123" i="1"/>
  <c r="FY123" i="1" s="1"/>
  <c r="FZ123" i="1" s="1"/>
  <c r="EC183" i="1"/>
  <c r="FO178" i="1"/>
  <c r="FL178" i="1"/>
  <c r="FM178" i="1" s="1"/>
  <c r="FN178" i="1" s="1"/>
  <c r="EE18" i="1"/>
  <c r="ET18" i="1" s="1"/>
  <c r="FC18" i="1" s="1"/>
  <c r="FD18" i="1" s="1"/>
  <c r="FL231" i="1"/>
  <c r="FM231" i="1" s="1"/>
  <c r="FN231" i="1" s="1"/>
  <c r="FO231" i="1"/>
  <c r="FO305" i="1"/>
  <c r="EB251" i="1"/>
  <c r="FL305" i="1"/>
  <c r="FM305" i="1" s="1"/>
  <c r="FN305" i="1" s="1"/>
  <c r="DZ115" i="1"/>
  <c r="EB259" i="1"/>
  <c r="EE259" i="1" s="1"/>
  <c r="ET259" i="1" s="1"/>
  <c r="FC259" i="1" s="1"/>
  <c r="FE259" i="1" s="1"/>
  <c r="FL15" i="1"/>
  <c r="FM15" i="1" s="1"/>
  <c r="FN15" i="1" s="1"/>
  <c r="FP15" i="1" s="1"/>
  <c r="EB273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E216" i="1" s="1"/>
  <c r="ET216" i="1" s="1"/>
  <c r="FC216" i="1" s="1"/>
  <c r="FD216" i="1" s="1"/>
  <c r="EC93" i="1"/>
  <c r="EE93" i="1" s="1"/>
  <c r="ET93" i="1" s="1"/>
  <c r="FC93" i="1" s="1"/>
  <c r="FE93" i="1" s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E107" i="1" s="1"/>
  <c r="ET107" i="1" s="1"/>
  <c r="FC107" i="1" s="1"/>
  <c r="FE107" i="1" s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FP254" i="1" s="1"/>
  <c r="EC214" i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E273" i="1" s="1"/>
  <c r="ET273" i="1" s="1"/>
  <c r="FC273" i="1" s="1"/>
  <c r="FD273" i="1" s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E195" i="1" s="1"/>
  <c r="ET195" i="1" s="1"/>
  <c r="FC195" i="1" s="1"/>
  <c r="FE195" i="1" s="1"/>
  <c r="EB16" i="1"/>
  <c r="EE16" i="1" s="1"/>
  <c r="ET16" i="1" s="1"/>
  <c r="FC16" i="1" s="1"/>
  <c r="FD16" i="1" s="1"/>
  <c r="EC217" i="1"/>
  <c r="EC302" i="1"/>
  <c r="EB170" i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P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FP170" i="1"/>
  <c r="GE170" i="1" s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EC235" i="1"/>
  <c r="EE235" i="1" s="1"/>
  <c r="ET235" i="1" s="1"/>
  <c r="FC235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180" i="1"/>
  <c r="ET180" i="1" s="1"/>
  <c r="FC180" i="1" s="1"/>
  <c r="FE180" i="1" s="1"/>
  <c r="EE209" i="1"/>
  <c r="ET209" i="1" s="1"/>
  <c r="FC209" i="1" s="1"/>
  <c r="FE209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EE199" i="1"/>
  <c r="ET199" i="1" s="1"/>
  <c r="FC199" i="1" s="1"/>
  <c r="FE199" i="1" s="1"/>
  <c r="EE112" i="1"/>
  <c r="ET112" i="1" s="1"/>
  <c r="FC112" i="1" s="1"/>
  <c r="FD112" i="1" s="1"/>
  <c r="EE52" i="1"/>
  <c r="ET52" i="1" s="1"/>
  <c r="FC52" i="1" s="1"/>
  <c r="FE52" i="1" s="1"/>
  <c r="EE178" i="1"/>
  <c r="ET178" i="1" s="1"/>
  <c r="FC178" i="1" s="1"/>
  <c r="FP223" i="1"/>
  <c r="FY223" i="1" s="1"/>
  <c r="FZ223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36" i="1"/>
  <c r="ET136" i="1" s="1"/>
  <c r="FC136" i="1" s="1"/>
  <c r="FD136" i="1" s="1"/>
  <c r="FP96" i="1"/>
  <c r="GA96" i="1" s="1"/>
  <c r="GB9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112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EE184" i="1" l="1"/>
  <c r="ET184" i="1" s="1"/>
  <c r="FC184" i="1" s="1"/>
  <c r="FE184" i="1" s="1"/>
  <c r="EE170" i="1"/>
  <c r="ET170" i="1" s="1"/>
  <c r="FC170" i="1" s="1"/>
  <c r="FD170" i="1" s="1"/>
  <c r="EE301" i="1"/>
  <c r="ET301" i="1" s="1"/>
  <c r="FC301" i="1" s="1"/>
  <c r="FD301" i="1" s="1"/>
  <c r="EE214" i="1"/>
  <c r="ET214" i="1" s="1"/>
  <c r="FC214" i="1" s="1"/>
  <c r="FE214" i="1" s="1"/>
  <c r="EE125" i="1"/>
  <c r="ET125" i="1" s="1"/>
  <c r="FC125" i="1" s="1"/>
  <c r="FD125" i="1" s="1"/>
  <c r="EE15" i="1"/>
  <c r="ET15" i="1" s="1"/>
  <c r="FC15" i="1" s="1"/>
  <c r="FE15" i="1" s="1"/>
  <c r="FE123" i="1"/>
  <c r="FF123" i="1" s="1"/>
  <c r="FG123" i="1" s="1"/>
  <c r="FH123" i="1" s="1"/>
  <c r="FI123" i="1" s="1"/>
  <c r="FK123" i="1" s="1"/>
  <c r="FP234" i="1"/>
  <c r="FS234" i="1" s="1"/>
  <c r="FT234" i="1" s="1"/>
  <c r="FP209" i="1"/>
  <c r="GG209" i="1" s="1"/>
  <c r="GH209" i="1" s="1"/>
  <c r="GI209" i="1" s="1"/>
  <c r="FP53" i="1"/>
  <c r="FS53" i="1" s="1"/>
  <c r="FT53" i="1" s="1"/>
  <c r="EE183" i="1"/>
  <c r="ET183" i="1" s="1"/>
  <c r="FC183" i="1" s="1"/>
  <c r="FE183" i="1" s="1"/>
  <c r="FP231" i="1"/>
  <c r="GG231" i="1" s="1"/>
  <c r="GH231" i="1" s="1"/>
  <c r="GI231" i="1" s="1"/>
  <c r="FW123" i="1"/>
  <c r="FX123" i="1" s="1"/>
  <c r="FQ123" i="1"/>
  <c r="FR123" i="1" s="1"/>
  <c r="FU123" i="1"/>
  <c r="FV123" i="1" s="1"/>
  <c r="FS123" i="1"/>
  <c r="FT123" i="1" s="1"/>
  <c r="FP178" i="1"/>
  <c r="GD178" i="1" s="1"/>
  <c r="GE123" i="1"/>
  <c r="GG123" i="1"/>
  <c r="GH123" i="1" s="1"/>
  <c r="GI123" i="1" s="1"/>
  <c r="FE18" i="1"/>
  <c r="FF18" i="1" s="1"/>
  <c r="FG18" i="1" s="1"/>
  <c r="FH18" i="1" s="1"/>
  <c r="FI18" i="1" s="1"/>
  <c r="FK18" i="1" s="1"/>
  <c r="GD123" i="1"/>
  <c r="FU18" i="1"/>
  <c r="FV18" i="1" s="1"/>
  <c r="GD18" i="1"/>
  <c r="FS18" i="1"/>
  <c r="FT18" i="1" s="1"/>
  <c r="FQ18" i="1"/>
  <c r="FR18" i="1" s="1"/>
  <c r="FP305" i="1"/>
  <c r="FS305" i="1" s="1"/>
  <c r="FT305" i="1" s="1"/>
  <c r="FY18" i="1"/>
  <c r="FZ18" i="1" s="1"/>
  <c r="GG18" i="1"/>
  <c r="GH18" i="1" s="1"/>
  <c r="GI18" i="1" s="1"/>
  <c r="GE18" i="1"/>
  <c r="EE251" i="1"/>
  <c r="ET251" i="1" s="1"/>
  <c r="FC251" i="1" s="1"/>
  <c r="FE251" i="1" s="1"/>
  <c r="EE201" i="1"/>
  <c r="ET201" i="1" s="1"/>
  <c r="FC201" i="1" s="1"/>
  <c r="FE201" i="1" s="1"/>
  <c r="EE302" i="1"/>
  <c r="ET302" i="1" s="1"/>
  <c r="FC302" i="1" s="1"/>
  <c r="FE302" i="1" s="1"/>
  <c r="EE111" i="1"/>
  <c r="ET111" i="1" s="1"/>
  <c r="FC111" i="1" s="1"/>
  <c r="FE111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FE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FY48" i="1" s="1"/>
  <c r="FZ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D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A108" i="1"/>
  <c r="GB108" i="1" s="1"/>
  <c r="GG294" i="1"/>
  <c r="GH294" i="1" s="1"/>
  <c r="GI294" i="1" s="1"/>
  <c r="FY294" i="1"/>
  <c r="FZ294" i="1" s="1"/>
  <c r="FS108" i="1"/>
  <c r="FT108" i="1" s="1"/>
  <c r="FE170" i="1"/>
  <c r="FF170" i="1" s="1"/>
  <c r="FG170" i="1" s="1"/>
  <c r="FH170" i="1" s="1"/>
  <c r="FI170" i="1" s="1"/>
  <c r="FK170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FE273" i="1"/>
  <c r="FF273" i="1" s="1"/>
  <c r="FG273" i="1" s="1"/>
  <c r="FH273" i="1" s="1"/>
  <c r="FI273" i="1" s="1"/>
  <c r="FK273" i="1" s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F195" i="1" s="1"/>
  <c r="FG195" i="1" s="1"/>
  <c r="FH195" i="1" s="1"/>
  <c r="FI195" i="1" s="1"/>
  <c r="FK195" i="1" s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A236" i="1"/>
  <c r="GB236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GA36" i="1"/>
  <c r="GB36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GA152" i="1"/>
  <c r="GB152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GA11" i="1"/>
  <c r="GB11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GA193" i="1"/>
  <c r="GB193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GA68" i="1"/>
  <c r="GB68" i="1" s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GD19" i="1"/>
  <c r="FU19" i="1"/>
  <c r="FV19" i="1" s="1"/>
  <c r="GD35" i="1"/>
  <c r="GE277" i="1"/>
  <c r="FU68" i="1"/>
  <c r="FV68" i="1" s="1"/>
  <c r="FW223" i="1"/>
  <c r="FX223" i="1" s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G96" i="1"/>
  <c r="GH96" i="1" s="1"/>
  <c r="GI96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Y115" i="1"/>
  <c r="FZ11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GD96" i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GE96" i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GA183" i="1"/>
  <c r="GB183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FS96" i="1"/>
  <c r="FT96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A76" i="1"/>
  <c r="GB76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FW96" i="1"/>
  <c r="FX96" i="1" s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Y96" i="1"/>
  <c r="FZ96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D266" i="1"/>
  <c r="FF266" i="1" s="1"/>
  <c r="FG266" i="1" s="1"/>
  <c r="FH266" i="1" s="1"/>
  <c r="FI266" i="1" s="1"/>
  <c r="FK266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FQ96" i="1"/>
  <c r="FR96" i="1" s="1"/>
  <c r="FU96" i="1"/>
  <c r="FV96" i="1" s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GA93" i="1"/>
  <c r="GB93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A145" i="1"/>
  <c r="GB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A201" i="1"/>
  <c r="GB201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GA225" i="1"/>
  <c r="GB225" i="1" s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A254" i="1"/>
  <c r="GB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GA99" i="1"/>
  <c r="GB99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A39" i="1"/>
  <c r="GB39" i="1" s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A245" i="1"/>
  <c r="GB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GA24" i="1"/>
  <c r="GB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D61" i="1"/>
  <c r="FE61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A21" i="1"/>
  <c r="GB21" i="1" s="1"/>
  <c r="GD21" i="1"/>
  <c r="FY21" i="1"/>
  <c r="FZ21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GA129" i="1"/>
  <c r="GB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GA142" i="1"/>
  <c r="GB142" i="1" s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GA190" i="1"/>
  <c r="GB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GA250" i="1"/>
  <c r="GB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GA136" i="1"/>
  <c r="GB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D183" i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GA160" i="1" l="1"/>
  <c r="GB160" i="1" s="1"/>
  <c r="FD214" i="1"/>
  <c r="GA286" i="1"/>
  <c r="GB286" i="1" s="1"/>
  <c r="GA32" i="1"/>
  <c r="GB32" i="1" s="1"/>
  <c r="GC32" i="1" s="1"/>
  <c r="GF32" i="1" s="1"/>
  <c r="GJ32" i="1" s="1"/>
  <c r="GK32" i="1" s="1"/>
  <c r="GL32" i="1" s="1"/>
  <c r="GM32" i="1" s="1"/>
  <c r="FE301" i="1"/>
  <c r="FF301" i="1" s="1"/>
  <c r="FG301" i="1" s="1"/>
  <c r="FH301" i="1" s="1"/>
  <c r="FI301" i="1" s="1"/>
  <c r="FK301" i="1" s="1"/>
  <c r="FY234" i="1"/>
  <c r="FZ234" i="1" s="1"/>
  <c r="FD302" i="1"/>
  <c r="FF302" i="1" s="1"/>
  <c r="FG302" i="1" s="1"/>
  <c r="FH302" i="1" s="1"/>
  <c r="FI302" i="1" s="1"/>
  <c r="FK302" i="1" s="1"/>
  <c r="FD15" i="1"/>
  <c r="FF15" i="1" s="1"/>
  <c r="FG15" i="1" s="1"/>
  <c r="FH15" i="1" s="1"/>
  <c r="FI15" i="1" s="1"/>
  <c r="FK15" i="1" s="1"/>
  <c r="FD251" i="1"/>
  <c r="FF251" i="1" s="1"/>
  <c r="FG251" i="1" s="1"/>
  <c r="FH251" i="1" s="1"/>
  <c r="FI251" i="1" s="1"/>
  <c r="FK251" i="1" s="1"/>
  <c r="GA266" i="1"/>
  <c r="GB266" i="1" s="1"/>
  <c r="GE209" i="1"/>
  <c r="FU209" i="1"/>
  <c r="FV209" i="1" s="1"/>
  <c r="GG234" i="1"/>
  <c r="GH234" i="1" s="1"/>
  <c r="GI234" i="1" s="1"/>
  <c r="GD209" i="1"/>
  <c r="FQ209" i="1"/>
  <c r="FR209" i="1" s="1"/>
  <c r="FS209" i="1"/>
  <c r="FT209" i="1" s="1"/>
  <c r="FU234" i="1"/>
  <c r="FV234" i="1" s="1"/>
  <c r="FW209" i="1"/>
  <c r="FX209" i="1" s="1"/>
  <c r="GD234" i="1"/>
  <c r="FW234" i="1"/>
  <c r="FX234" i="1" s="1"/>
  <c r="FQ234" i="1"/>
  <c r="FR234" i="1" s="1"/>
  <c r="FY209" i="1"/>
  <c r="FZ209" i="1" s="1"/>
  <c r="GE234" i="1"/>
  <c r="GG53" i="1"/>
  <c r="GH53" i="1" s="1"/>
  <c r="GI53" i="1" s="1"/>
  <c r="FY53" i="1"/>
  <c r="FZ53" i="1" s="1"/>
  <c r="GD53" i="1"/>
  <c r="GE53" i="1"/>
  <c r="FU178" i="1"/>
  <c r="FV178" i="1" s="1"/>
  <c r="GG178" i="1"/>
  <c r="GH178" i="1" s="1"/>
  <c r="GI178" i="1" s="1"/>
  <c r="FW178" i="1"/>
  <c r="FX178" i="1" s="1"/>
  <c r="FQ178" i="1"/>
  <c r="FR178" i="1" s="1"/>
  <c r="FQ53" i="1"/>
  <c r="FR53" i="1" s="1"/>
  <c r="FW53" i="1"/>
  <c r="FX53" i="1" s="1"/>
  <c r="FU53" i="1"/>
  <c r="FV53" i="1" s="1"/>
  <c r="FS231" i="1"/>
  <c r="FT231" i="1" s="1"/>
  <c r="GD231" i="1"/>
  <c r="FW231" i="1"/>
  <c r="FX231" i="1" s="1"/>
  <c r="FY231" i="1"/>
  <c r="FZ231" i="1" s="1"/>
  <c r="FU231" i="1"/>
  <c r="FV231" i="1" s="1"/>
  <c r="FQ231" i="1"/>
  <c r="FR231" i="1" s="1"/>
  <c r="GE231" i="1"/>
  <c r="FD6" i="1"/>
  <c r="FF6" i="1" s="1"/>
  <c r="FG6" i="1" s="1"/>
  <c r="FH6" i="1" s="1"/>
  <c r="FI6" i="1" s="1"/>
  <c r="FK6" i="1" s="1"/>
  <c r="FS178" i="1"/>
  <c r="FT178" i="1" s="1"/>
  <c r="FY178" i="1"/>
  <c r="FZ178" i="1" s="1"/>
  <c r="GE178" i="1"/>
  <c r="FD201" i="1"/>
  <c r="FF201" i="1" s="1"/>
  <c r="FG201" i="1" s="1"/>
  <c r="FH201" i="1" s="1"/>
  <c r="FI201" i="1" s="1"/>
  <c r="FK201" i="1" s="1"/>
  <c r="FE262" i="1"/>
  <c r="FF262" i="1" s="1"/>
  <c r="FG262" i="1" s="1"/>
  <c r="FH262" i="1" s="1"/>
  <c r="FI262" i="1" s="1"/>
  <c r="FK262" i="1" s="1"/>
  <c r="GA123" i="1"/>
  <c r="GB123" i="1" s="1"/>
  <c r="GC123" i="1" s="1"/>
  <c r="GF123" i="1" s="1"/>
  <c r="GJ123" i="1" s="1"/>
  <c r="GK123" i="1" s="1"/>
  <c r="FD111" i="1"/>
  <c r="FF111" i="1" s="1"/>
  <c r="FG111" i="1" s="1"/>
  <c r="FH111" i="1" s="1"/>
  <c r="FI111" i="1" s="1"/>
  <c r="FK111" i="1" s="1"/>
  <c r="GG305" i="1"/>
  <c r="GH305" i="1" s="1"/>
  <c r="GI305" i="1" s="1"/>
  <c r="FQ305" i="1"/>
  <c r="FR305" i="1" s="1"/>
  <c r="FU305" i="1"/>
  <c r="FV305" i="1" s="1"/>
  <c r="FY305" i="1"/>
  <c r="FZ305" i="1" s="1"/>
  <c r="GD305" i="1"/>
  <c r="GA18" i="1"/>
  <c r="GB18" i="1" s="1"/>
  <c r="GC18" i="1" s="1"/>
  <c r="GF18" i="1" s="1"/>
  <c r="GJ18" i="1" s="1"/>
  <c r="GK18" i="1" s="1"/>
  <c r="FW305" i="1"/>
  <c r="FX305" i="1" s="1"/>
  <c r="GE305" i="1"/>
  <c r="FW14" i="1"/>
  <c r="FX14" i="1" s="1"/>
  <c r="FS48" i="1"/>
  <c r="FT48" i="1" s="1"/>
  <c r="GG48" i="1"/>
  <c r="GH48" i="1" s="1"/>
  <c r="GI48" i="1" s="1"/>
  <c r="FQ48" i="1"/>
  <c r="FR48" i="1" s="1"/>
  <c r="FW48" i="1"/>
  <c r="FX48" i="1" s="1"/>
  <c r="GE48" i="1"/>
  <c r="GD48" i="1"/>
  <c r="FU48" i="1"/>
  <c r="FV48" i="1" s="1"/>
  <c r="FE44" i="1"/>
  <c r="FF44" i="1" s="1"/>
  <c r="FG44" i="1" s="1"/>
  <c r="FH44" i="1" s="1"/>
  <c r="FI44" i="1" s="1"/>
  <c r="FK44" i="1" s="1"/>
  <c r="FE177" i="1"/>
  <c r="FF177" i="1" s="1"/>
  <c r="FG177" i="1" s="1"/>
  <c r="FH177" i="1" s="1"/>
  <c r="FI177" i="1" s="1"/>
  <c r="FK177" i="1" s="1"/>
  <c r="FE84" i="1"/>
  <c r="FF84" i="1" s="1"/>
  <c r="FG84" i="1" s="1"/>
  <c r="FH84" i="1" s="1"/>
  <c r="FI84" i="1" s="1"/>
  <c r="FK84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F36" i="1" s="1"/>
  <c r="FG36" i="1" s="1"/>
  <c r="FH36" i="1" s="1"/>
  <c r="FI36" i="1" s="1"/>
  <c r="FK36" i="1" s="1"/>
  <c r="FD272" i="1"/>
  <c r="FF272" i="1" s="1"/>
  <c r="FG272" i="1" s="1"/>
  <c r="FH272" i="1" s="1"/>
  <c r="FI272" i="1" s="1"/>
  <c r="FK272" i="1" s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F62" i="1" s="1"/>
  <c r="FG62" i="1" s="1"/>
  <c r="FH62" i="1" s="1"/>
  <c r="FI62" i="1" s="1"/>
  <c r="FK62" i="1" s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GA259" i="1"/>
  <c r="GB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GA141" i="1"/>
  <c r="GB141" i="1" s="1"/>
  <c r="FW141" i="1"/>
  <c r="FX141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GA17" i="1"/>
  <c r="GB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A81" i="1"/>
  <c r="GB81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GA244" i="1"/>
  <c r="GB244" i="1" s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GC108" i="1"/>
  <c r="GF108" i="1" s="1"/>
  <c r="GJ108" i="1" s="1"/>
  <c r="GK108" i="1" s="1"/>
  <c r="GL108" i="1" s="1"/>
  <c r="GM108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C152" i="1"/>
  <c r="GF152" i="1" s="1"/>
  <c r="GJ152" i="1" s="1"/>
  <c r="GK152" i="1" s="1"/>
  <c r="GL152" i="1" s="1"/>
  <c r="GM15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C11" i="1"/>
  <c r="GF11" i="1" s="1"/>
  <c r="GJ11" i="1" s="1"/>
  <c r="GK11" i="1" s="1"/>
  <c r="GL11" i="1" s="1"/>
  <c r="GM11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115" i="1"/>
  <c r="GB115" i="1" s="1"/>
  <c r="GC115" i="1" s="1"/>
  <c r="GF115" i="1" s="1"/>
  <c r="GJ115" i="1" s="1"/>
  <c r="GK115" i="1" s="1"/>
  <c r="GL115" i="1" s="1"/>
  <c r="GM115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GC183" i="1"/>
  <c r="GF183" i="1" s="1"/>
  <c r="GJ183" i="1" s="1"/>
  <c r="GK183" i="1" s="1"/>
  <c r="GL183" i="1" s="1"/>
  <c r="GM183" i="1" s="1"/>
  <c r="GC96" i="1"/>
  <c r="GF96" i="1" s="1"/>
  <c r="GJ96" i="1" s="1"/>
  <c r="GK96" i="1" s="1"/>
  <c r="GL96" i="1" s="1"/>
  <c r="GM96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C193" i="1"/>
  <c r="GF193" i="1" s="1"/>
  <c r="GJ193" i="1" s="1"/>
  <c r="GK193" i="1" s="1"/>
  <c r="GL193" i="1" s="1"/>
  <c r="GM193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C236" i="1"/>
  <c r="GF236" i="1" s="1"/>
  <c r="GJ236" i="1" s="1"/>
  <c r="GK236" i="1" s="1"/>
  <c r="GL236" i="1" s="1"/>
  <c r="GM236" i="1" s="1"/>
  <c r="GA101" i="1"/>
  <c r="GB101" i="1" s="1"/>
  <c r="GC101" i="1" s="1"/>
  <c r="GF101" i="1" s="1"/>
  <c r="GJ101" i="1" s="1"/>
  <c r="GK101" i="1" s="1"/>
  <c r="GL101" i="1" s="1"/>
  <c r="GM101" i="1" s="1"/>
  <c r="GC68" i="1"/>
  <c r="GF68" i="1" s="1"/>
  <c r="GJ68" i="1" s="1"/>
  <c r="GK68" i="1" s="1"/>
  <c r="GL68" i="1" s="1"/>
  <c r="GM68" i="1" s="1"/>
  <c r="GC5" i="1"/>
  <c r="GF5" i="1" s="1"/>
  <c r="GJ5" i="1" s="1"/>
  <c r="GK5" i="1" s="1"/>
  <c r="GL5" i="1" s="1"/>
  <c r="GM5" i="1" s="1"/>
  <c r="GC36" i="1"/>
  <c r="GF36" i="1" s="1"/>
  <c r="GJ36" i="1" s="1"/>
  <c r="GK36" i="1" s="1"/>
  <c r="GL36" i="1" s="1"/>
  <c r="GM36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C93" i="1"/>
  <c r="GF93" i="1" s="1"/>
  <c r="GJ93" i="1" s="1"/>
  <c r="GK93" i="1" s="1"/>
  <c r="GL93" i="1" s="1"/>
  <c r="GM93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C76" i="1"/>
  <c r="GF76" i="1" s="1"/>
  <c r="GJ76" i="1" s="1"/>
  <c r="GK76" i="1" s="1"/>
  <c r="GL76" i="1" s="1"/>
  <c r="GM76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C145" i="1"/>
  <c r="GF145" i="1" s="1"/>
  <c r="GJ145" i="1" s="1"/>
  <c r="GK145" i="1" s="1"/>
  <c r="GL145" i="1" s="1"/>
  <c r="GM145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C250" i="1"/>
  <c r="GF250" i="1" s="1"/>
  <c r="GJ250" i="1" s="1"/>
  <c r="GK250" i="1" s="1"/>
  <c r="GL250" i="1" s="1"/>
  <c r="GM250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266" i="1"/>
  <c r="GF266" i="1" s="1"/>
  <c r="GJ266" i="1" s="1"/>
  <c r="GK266" i="1" s="1"/>
  <c r="GL266" i="1" s="1"/>
  <c r="GM266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C136" i="1"/>
  <c r="GF136" i="1" s="1"/>
  <c r="GJ136" i="1" s="1"/>
  <c r="GK136" i="1" s="1"/>
  <c r="GL136" i="1" s="1"/>
  <c r="GM136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C190" i="1"/>
  <c r="GF190" i="1" s="1"/>
  <c r="GJ190" i="1" s="1"/>
  <c r="GK190" i="1" s="1"/>
  <c r="GL190" i="1" s="1"/>
  <c r="GM190" i="1" s="1"/>
  <c r="GC142" i="1"/>
  <c r="GF142" i="1" s="1"/>
  <c r="GJ142" i="1" s="1"/>
  <c r="GK142" i="1" s="1"/>
  <c r="GL142" i="1" s="1"/>
  <c r="GM142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C24" i="1"/>
  <c r="GF24" i="1" s="1"/>
  <c r="GJ24" i="1" s="1"/>
  <c r="GK24" i="1" s="1"/>
  <c r="GL24" i="1" s="1"/>
  <c r="GM24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C245" i="1"/>
  <c r="GF245" i="1" s="1"/>
  <c r="GJ245" i="1" s="1"/>
  <c r="GK245" i="1" s="1"/>
  <c r="GL245" i="1" s="1"/>
  <c r="GM245" i="1" s="1"/>
  <c r="GC39" i="1"/>
  <c r="GF39" i="1" s="1"/>
  <c r="GJ39" i="1" s="1"/>
  <c r="GK39" i="1" s="1"/>
  <c r="GL39" i="1" s="1"/>
  <c r="GM39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C21" i="1"/>
  <c r="GF21" i="1" s="1"/>
  <c r="GJ21" i="1" s="1"/>
  <c r="GK21" i="1" s="1"/>
  <c r="GL21" i="1" s="1"/>
  <c r="GM21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220" i="1"/>
  <c r="FG220" i="1" s="1"/>
  <c r="FH220" i="1" s="1"/>
  <c r="FI220" i="1" s="1"/>
  <c r="FK220" i="1" s="1"/>
  <c r="GC99" i="1"/>
  <c r="GF99" i="1" s="1"/>
  <c r="GJ99" i="1" s="1"/>
  <c r="GK99" i="1" s="1"/>
  <c r="GL99" i="1" s="1"/>
  <c r="GM99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C225" i="1"/>
  <c r="GF225" i="1" s="1"/>
  <c r="GJ225" i="1" s="1"/>
  <c r="GK225" i="1" s="1"/>
  <c r="GL225" i="1" s="1"/>
  <c r="GM225" i="1" s="1"/>
  <c r="GC201" i="1"/>
  <c r="GF201" i="1" s="1"/>
  <c r="GJ201" i="1" s="1"/>
  <c r="GK201" i="1" s="1"/>
  <c r="GL201" i="1" s="1"/>
  <c r="GM201" i="1" s="1"/>
  <c r="GA62" i="1"/>
  <c r="GB62" i="1" s="1"/>
  <c r="GC62" i="1" s="1"/>
  <c r="GF62" i="1" s="1"/>
  <c r="GJ62" i="1" s="1"/>
  <c r="GK62" i="1" s="1"/>
  <c r="GL62" i="1" s="1"/>
  <c r="GM62" i="1" s="1"/>
  <c r="GC286" i="1"/>
  <c r="GF286" i="1" s="1"/>
  <c r="GJ286" i="1" s="1"/>
  <c r="GK286" i="1" s="1"/>
  <c r="GL286" i="1" s="1"/>
  <c r="GM286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FF183" i="1"/>
  <c r="FG183" i="1" s="1"/>
  <c r="FH183" i="1" s="1"/>
  <c r="FI183" i="1" s="1"/>
  <c r="FK183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C160" i="1"/>
  <c r="GF160" i="1" s="1"/>
  <c r="GJ160" i="1" s="1"/>
  <c r="GK160" i="1" s="1"/>
  <c r="GL160" i="1" s="1"/>
  <c r="GM160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C129" i="1"/>
  <c r="GF129" i="1" s="1"/>
  <c r="GJ129" i="1" s="1"/>
  <c r="GK129" i="1" s="1"/>
  <c r="GL129" i="1" s="1"/>
  <c r="GM12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C254" i="1"/>
  <c r="GF254" i="1" s="1"/>
  <c r="GJ254" i="1" s="1"/>
  <c r="GK254" i="1" s="1"/>
  <c r="GL254" i="1" s="1"/>
  <c r="GM25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161" i="1" l="1"/>
  <c r="GB161" i="1" s="1"/>
  <c r="GA14" i="1"/>
  <c r="GB14" i="1" s="1"/>
  <c r="GA269" i="1"/>
  <c r="GB269" i="1" s="1"/>
  <c r="GA233" i="1"/>
  <c r="GB233" i="1" s="1"/>
  <c r="GA189" i="1"/>
  <c r="GB189" i="1" s="1"/>
  <c r="GA41" i="1"/>
  <c r="GB41" i="1" s="1"/>
  <c r="GC41" i="1" s="1"/>
  <c r="GF41" i="1" s="1"/>
  <c r="GJ41" i="1" s="1"/>
  <c r="GK41" i="1" s="1"/>
  <c r="GL41" i="1" s="1"/>
  <c r="GM41" i="1" s="1"/>
  <c r="GA209" i="1"/>
  <c r="GB209" i="1" s="1"/>
  <c r="GC209" i="1" s="1"/>
  <c r="GF209" i="1" s="1"/>
  <c r="GJ209" i="1" s="1"/>
  <c r="GK209" i="1" s="1"/>
  <c r="GL209" i="1" s="1"/>
  <c r="GM209" i="1" s="1"/>
  <c r="GA234" i="1"/>
  <c r="GB234" i="1" s="1"/>
  <c r="GC234" i="1" s="1"/>
  <c r="GF234" i="1" s="1"/>
  <c r="GJ234" i="1" s="1"/>
  <c r="GK234" i="1" s="1"/>
  <c r="GL234" i="1" s="1"/>
  <c r="GM234" i="1" s="1"/>
  <c r="GA178" i="1"/>
  <c r="GB178" i="1" s="1"/>
  <c r="GC178" i="1" s="1"/>
  <c r="GF178" i="1" s="1"/>
  <c r="GJ178" i="1" s="1"/>
  <c r="GK178" i="1" s="1"/>
  <c r="GL178" i="1" s="1"/>
  <c r="GM178" i="1" s="1"/>
  <c r="GA53" i="1"/>
  <c r="GB53" i="1" s="1"/>
  <c r="GC53" i="1" s="1"/>
  <c r="GF53" i="1" s="1"/>
  <c r="GJ53" i="1" s="1"/>
  <c r="GK53" i="1" s="1"/>
  <c r="GL53" i="1" s="1"/>
  <c r="GM53" i="1" s="1"/>
  <c r="GA231" i="1"/>
  <c r="GB231" i="1" s="1"/>
  <c r="GC231" i="1" s="1"/>
  <c r="GF231" i="1" s="1"/>
  <c r="GJ231" i="1" s="1"/>
  <c r="GK231" i="1" s="1"/>
  <c r="GL231" i="1" s="1"/>
  <c r="GM231" i="1" s="1"/>
  <c r="GA305" i="1"/>
  <c r="GB305" i="1" s="1"/>
  <c r="GC305" i="1" s="1"/>
  <c r="GF305" i="1" s="1"/>
  <c r="GJ305" i="1" s="1"/>
  <c r="GK305" i="1" s="1"/>
  <c r="GL305" i="1" s="1"/>
  <c r="GM305" i="1" s="1"/>
  <c r="GL123" i="1"/>
  <c r="GM123" i="1" s="1"/>
  <c r="GA48" i="1"/>
  <c r="GB48" i="1" s="1"/>
  <c r="GC48" i="1" s="1"/>
  <c r="GF48" i="1" s="1"/>
  <c r="GJ48" i="1" s="1"/>
  <c r="GK48" i="1" s="1"/>
  <c r="GL48" i="1" s="1"/>
  <c r="GM48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C14" i="1"/>
  <c r="GF14" i="1" s="1"/>
  <c r="GJ14" i="1" s="1"/>
  <c r="GK14" i="1" s="1"/>
  <c r="GL14" i="1" s="1"/>
  <c r="GM14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C259" i="1"/>
  <c r="GF259" i="1" s="1"/>
  <c r="GJ259" i="1" s="1"/>
  <c r="GK259" i="1" s="1"/>
  <c r="GL259" i="1" s="1"/>
  <c r="GM259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69" i="1"/>
  <c r="GF269" i="1" s="1"/>
  <c r="GJ269" i="1" s="1"/>
  <c r="GK269" i="1" s="1"/>
  <c r="GL269" i="1" s="1"/>
  <c r="GM269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C141" i="1"/>
  <c r="GF141" i="1" s="1"/>
  <c r="GJ141" i="1" s="1"/>
  <c r="GK141" i="1" s="1"/>
  <c r="GL141" i="1" s="1"/>
  <c r="GM141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C17" i="1"/>
  <c r="GF17" i="1" s="1"/>
  <c r="GJ17" i="1" s="1"/>
  <c r="GK17" i="1" s="1"/>
  <c r="GL17" i="1" s="1"/>
  <c r="GM1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C81" i="1"/>
  <c r="GF81" i="1" s="1"/>
  <c r="GJ81" i="1" s="1"/>
  <c r="GK81" i="1" s="1"/>
  <c r="GL81" i="1" s="1"/>
  <c r="GM81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C161" i="1"/>
  <c r="GF161" i="1" s="1"/>
  <c r="GJ161" i="1" s="1"/>
  <c r="GK161" i="1" s="1"/>
  <c r="GL161" i="1" s="1"/>
  <c r="GM161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33" i="1"/>
  <c r="GF233" i="1" s="1"/>
  <c r="GJ233" i="1" s="1"/>
  <c r="GK233" i="1" s="1"/>
  <c r="GL233" i="1" s="1"/>
  <c r="GM233" i="1" s="1"/>
  <c r="GC244" i="1"/>
  <c r="GF244" i="1" s="1"/>
  <c r="GJ244" i="1" s="1"/>
  <c r="GK244" i="1" s="1"/>
  <c r="GL244" i="1" s="1"/>
  <c r="GM244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C189" i="1"/>
  <c r="GF189" i="1" s="1"/>
  <c r="GJ189" i="1" s="1"/>
  <c r="GK189" i="1" s="1"/>
  <c r="GL189" i="1" s="1"/>
  <c r="GM189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<sst xmlns="http://schemas.openxmlformats.org/spreadsheetml/2006/main" count="2015" uniqueCount="977">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</sst>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topLeftCell="G1" workbookViewId="0">
      <pane ySplit="1" topLeftCell="A2" activePane="bottomLeft" state="frozen"/>
      <selection pane="bottomLeft" activeCell="K30" sqref="K30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711</v>
      </c>
      <c r="EC1" t="s">
        <v>712</v>
      </c>
      <c r="ED1" t="s">
        <v>714</v>
      </c>
      <c r="EE1" t="s">
        <v>732</v>
      </c>
      <c r="EF1" t="s">
        <v>709</v>
      </c>
      <c r="EG1" t="s">
        <v>710</v>
      </c>
      <c r="EH1" t="s">
        <v>713</v>
      </c>
      <c r="EI1" t="s">
        <v>715</v>
      </c>
      <c r="EJ1" t="s">
        <v>730</v>
      </c>
      <c r="EK1" t="s">
        <v>716</v>
      </c>
      <c r="EL1" t="s">
        <v>717</v>
      </c>
      <c r="EM1" t="s">
        <v>718</v>
      </c>
      <c r="EN1" t="s">
        <v>719</v>
      </c>
      <c r="EO1" t="s">
        <v>720</v>
      </c>
      <c r="EP1" t="s">
        <v>721</v>
      </c>
      <c r="EQ1" t="s">
        <v>722</v>
      </c>
      <c r="ER1" t="s">
        <v>733</v>
      </c>
      <c r="ES1" t="s">
        <v>735</v>
      </c>
      <c r="ET1" t="s">
        <v>734</v>
      </c>
      <c r="EU1" t="s">
        <v>723</v>
      </c>
      <c r="EV1" t="s">
        <v>724</v>
      </c>
      <c r="EW1" t="s">
        <v>725</v>
      </c>
      <c r="EX1" t="s">
        <v>726</v>
      </c>
      <c r="EY1" t="s">
        <v>727</v>
      </c>
      <c r="EZ1" t="s">
        <v>728</v>
      </c>
      <c r="FA1" t="s">
        <v>729</v>
      </c>
      <c r="FB1" t="s">
        <v>736</v>
      </c>
      <c r="FC1" t="s">
        <v>737</v>
      </c>
      <c r="FD1" t="s">
        <v>738</v>
      </c>
      <c r="FE1" t="s">
        <v>739</v>
      </c>
      <c r="FF1" t="s">
        <v>740</v>
      </c>
      <c r="FG1" t="s">
        <v>741</v>
      </c>
      <c r="FH1" t="s">
        <v>743</v>
      </c>
      <c r="FI1" t="s">
        <v>742</v>
      </c>
      <c r="FJ1" t="s">
        <v>731</v>
      </c>
      <c r="FK1" t="s">
        <v>744</v>
      </c>
      <c r="FL1" t="s">
        <v>745</v>
      </c>
      <c r="FM1" t="s">
        <v>859</v>
      </c>
      <c r="FN1" t="s">
        <v>858</v>
      </c>
      <c r="FO1" t="s">
        <v>835</v>
      </c>
      <c r="FP1" t="s">
        <v>836</v>
      </c>
      <c r="FQ1" t="s">
        <v>837</v>
      </c>
      <c r="FR1" t="s">
        <v>838</v>
      </c>
      <c r="FS1" t="s">
        <v>962</v>
      </c>
      <c r="FT1" t="s">
        <v>963</v>
      </c>
      <c r="FU1" t="s">
        <v>839</v>
      </c>
      <c r="FV1" t="s">
        <v>840</v>
      </c>
      <c r="FW1" t="s">
        <v>841</v>
      </c>
      <c r="FX1" t="s">
        <v>842</v>
      </c>
      <c r="FY1" t="s">
        <v>843</v>
      </c>
      <c r="FZ1" t="s">
        <v>844</v>
      </c>
      <c r="GA1" t="s">
        <v>845</v>
      </c>
      <c r="GB1" t="s">
        <v>846</v>
      </c>
      <c r="GC1" t="s">
        <v>850</v>
      </c>
      <c r="GD1" t="s">
        <v>847</v>
      </c>
      <c r="GE1" t="s">
        <v>848</v>
      </c>
      <c r="GF1" t="s">
        <v>849</v>
      </c>
      <c r="GG1" t="s">
        <v>851</v>
      </c>
      <c r="GH1" t="s">
        <v>852</v>
      </c>
      <c r="GI1" t="s">
        <v>853</v>
      </c>
      <c r="GJ1" t="s">
        <v>854</v>
      </c>
      <c r="GK1" t="s">
        <v>855</v>
      </c>
      <c r="GL1" t="s">
        <v>856</v>
      </c>
      <c r="GM1" t="s">
        <v>857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6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38116</v>
      </c>
      <c r="T2">
        <f>_xlfn.XLOOKUP(B2,'[2]april-2025'!$A:$A,'[2]april-2025'!$C:$C,0,0)</f>
        <v>31600</v>
      </c>
      <c r="U2">
        <f t="shared" ref="U2:U66" si="5">T2*0.18</f>
        <v>5688</v>
      </c>
      <c r="V2">
        <f t="shared" ref="V2:V66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6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39380</v>
      </c>
      <c r="AD2">
        <f>_xlfn.XLOOKUP(B2,'[3]may-2025'!$A:$A,'[3]may-2025'!$C:$C,0,0)</f>
        <v>31600</v>
      </c>
      <c r="AE2">
        <f t="shared" ref="AE2:AE66" si="10">AD2*0.18</f>
        <v>5688</v>
      </c>
      <c r="AF2">
        <f t="shared" ref="AF2:AF66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6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39380</v>
      </c>
      <c r="AN2">
        <f>_xlfn.XLOOKUP(B2,'[4]june-2025'!$A:$A,'[4]june-2025'!$C:$C,0,0)</f>
        <v>31600</v>
      </c>
      <c r="AO2">
        <f t="shared" ref="AO2:AO66" si="15">AN2*0.18</f>
        <v>5688</v>
      </c>
      <c r="AP2">
        <f t="shared" ref="AP2:AP66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6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39380</v>
      </c>
      <c r="AX2">
        <f>_xlfn.XLOOKUP(B2,'[5]july-2025'!$A:$A,'[5]july-2025'!$C:$C,0,0)</f>
        <v>32500</v>
      </c>
      <c r="AY2">
        <f t="shared" ref="AY2:AY66" si="20">AX2*0.18</f>
        <v>5850</v>
      </c>
      <c r="AZ2">
        <v>0</v>
      </c>
      <c r="BA2">
        <f t="shared" ref="BA2:BA66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6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40550</v>
      </c>
      <c r="BI2">
        <f>_xlfn.XLOOKUP(B2,'[6]august-2025'!$A:$A,'[6]august-2025'!$C:$C,0,0)</f>
        <v>32500</v>
      </c>
      <c r="BJ2">
        <f t="shared" ref="BJ2:BJ66" si="25">BI2*0.18</f>
        <v>5850</v>
      </c>
      <c r="BK2">
        <f t="shared" ref="BK2:BK66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40550</v>
      </c>
      <c r="BS2">
        <f>_xlfn.XLOOKUP(B2,'[7]september-2025'!$A:$A,'[7]september-2025'!$C:$C,0,0)</f>
        <v>32500</v>
      </c>
      <c r="BT2">
        <f t="shared" ref="BT2:BT66" si="30">BS2*0.18</f>
        <v>5850</v>
      </c>
      <c r="BU2">
        <f t="shared" ref="BU2:BU66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6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40550</v>
      </c>
      <c r="CC2">
        <f>_xlfn.XLOOKUP(B2,'[8]october-2025'!$A:$A,'[8]october-2025'!$C:$C,0,0)</f>
        <v>32500</v>
      </c>
      <c r="CD2">
        <f t="shared" ref="CD2:CD66" si="35">CC2*0.18</f>
        <v>5850</v>
      </c>
      <c r="CE2">
        <f t="shared" ref="CE2:CE66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6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40550</v>
      </c>
      <c r="CM2">
        <f>_xlfn.XLOOKUP(B2,'[9]november-2025'!$A:$A,'[9]november-2025'!$C:$C,0,0)</f>
        <v>32500</v>
      </c>
      <c r="CN2">
        <f t="shared" ref="CN2:CN66" si="40">CM2*0.18</f>
        <v>5850</v>
      </c>
      <c r="CO2">
        <f t="shared" ref="CO2:CO66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6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40550</v>
      </c>
      <c r="CW2">
        <f>_xlfn.XLOOKUP(B2,'[10]december-2025'!$A:$A,'[10]december-2025'!$C:$C,0,0)</f>
        <v>32500</v>
      </c>
      <c r="CX2">
        <f t="shared" ref="CX2:CX66" si="45">ROUND(CW2*0.18,0)</f>
        <v>5850</v>
      </c>
      <c r="CY2">
        <f t="shared" ref="CY2:CY66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6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40550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513856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461456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437456</v>
      </c>
      <c r="FD2">
        <f t="shared" ref="FD2:FD66" si="71">ROUND(IF(FC2&gt;0,IF(FC2&gt;500000,12500,(FC2-250000)*0.05),0),0)</f>
        <v>9373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9373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580</v>
      </c>
      <c r="FN2">
        <f t="shared" ref="FN2:FN66" ca="1" si="80">EA2+FM2</f>
        <v>514436</v>
      </c>
      <c r="FO2">
        <f t="shared" ref="FO2:FO66" si="81">IF(EA2&gt;0,75000,0)</f>
        <v>75000</v>
      </c>
      <c r="FP2">
        <f t="shared" ref="FP2:FP66" ca="1" si="82">FN2-FO2</f>
        <v>439436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39436</v>
      </c>
      <c r="GB2">
        <f t="shared" ref="GB2:GB66" ca="1" si="94">GA2*0.05</f>
        <v>1971.8000000000002</v>
      </c>
      <c r="GC2">
        <f t="shared" ref="GC2:GC66" ca="1" si="95">ROUND(FR2+FT2+FV2+FX2+FZ2+GB2,0)</f>
        <v>1972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1972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1972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2714</v>
      </c>
      <c r="FN3">
        <f t="shared" ca="1" si="80"/>
        <v>496566</v>
      </c>
      <c r="FO3">
        <f t="shared" si="81"/>
        <v>75000</v>
      </c>
      <c r="FP3">
        <f t="shared" ca="1" si="82"/>
        <v>421566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21566</v>
      </c>
      <c r="GB3">
        <f t="shared" ca="1" si="94"/>
        <v>1078.3</v>
      </c>
      <c r="GC3">
        <f t="shared" ca="1" si="95"/>
        <v>1078</v>
      </c>
      <c r="GD3">
        <f t="shared" ca="1" si="96"/>
        <v>0</v>
      </c>
      <c r="GE3">
        <f t="shared" ca="1" si="97"/>
        <v>0</v>
      </c>
      <c r="GF3">
        <f t="shared" ca="1" si="98"/>
        <v>1078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1078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951</v>
      </c>
      <c r="FN4">
        <f t="shared" ca="1" si="80"/>
        <v>764299</v>
      </c>
      <c r="FO4">
        <f t="shared" si="81"/>
        <v>75000</v>
      </c>
      <c r="FP4">
        <f t="shared" ca="1" si="82"/>
        <v>689299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289299</v>
      </c>
      <c r="GB4">
        <f t="shared" ca="1" si="94"/>
        <v>14464.95</v>
      </c>
      <c r="GC4">
        <f t="shared" ca="1" si="95"/>
        <v>14465</v>
      </c>
      <c r="GD4">
        <f t="shared" ca="1" si="96"/>
        <v>0</v>
      </c>
      <c r="GE4">
        <f t="shared" ca="1" si="97"/>
        <v>0</v>
      </c>
      <c r="GF4">
        <f t="shared" ca="1" si="98"/>
        <v>14465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14465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2741</v>
      </c>
      <c r="FN5">
        <f t="shared" ca="1" si="80"/>
        <v>419085</v>
      </c>
      <c r="FO5">
        <f t="shared" si="81"/>
        <v>75000</v>
      </c>
      <c r="FP5">
        <f t="shared" ca="1" si="82"/>
        <v>344085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981</v>
      </c>
      <c r="FN6">
        <f t="shared" ca="1" si="80"/>
        <v>565801</v>
      </c>
      <c r="FO6">
        <f t="shared" si="81"/>
        <v>75000</v>
      </c>
      <c r="FP6">
        <f t="shared" ca="1" si="82"/>
        <v>490801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90801</v>
      </c>
      <c r="GB6">
        <f t="shared" ca="1" si="94"/>
        <v>4540.05</v>
      </c>
      <c r="GC6">
        <f t="shared" ca="1" si="95"/>
        <v>4540</v>
      </c>
      <c r="GD6">
        <f t="shared" ca="1" si="96"/>
        <v>0</v>
      </c>
      <c r="GE6">
        <f t="shared" ca="1" si="97"/>
        <v>0</v>
      </c>
      <c r="GF6">
        <f t="shared" ca="1" si="98"/>
        <v>4540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4540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697</v>
      </c>
      <c r="FN7">
        <f t="shared" ca="1" si="80"/>
        <v>514553</v>
      </c>
      <c r="FO7">
        <f t="shared" si="81"/>
        <v>75000</v>
      </c>
      <c r="FP7">
        <f t="shared" ca="1" si="82"/>
        <v>439553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39553</v>
      </c>
      <c r="GB7">
        <f t="shared" ca="1" si="94"/>
        <v>1977.65</v>
      </c>
      <c r="GC7">
        <f t="shared" ca="1" si="95"/>
        <v>1978</v>
      </c>
      <c r="GD7">
        <f t="shared" ca="1" si="96"/>
        <v>0</v>
      </c>
      <c r="GE7">
        <f t="shared" ca="1" si="97"/>
        <v>0</v>
      </c>
      <c r="GF7">
        <f t="shared" ca="1" si="98"/>
        <v>1978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1978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923</v>
      </c>
      <c r="FN8">
        <f t="shared" ca="1" si="80"/>
        <v>769071</v>
      </c>
      <c r="FO8">
        <f t="shared" si="81"/>
        <v>75000</v>
      </c>
      <c r="FP8">
        <f t="shared" ca="1" si="82"/>
        <v>694071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294071</v>
      </c>
      <c r="GB8">
        <f t="shared" ca="1" si="94"/>
        <v>14703.550000000001</v>
      </c>
      <c r="GC8">
        <f t="shared" ca="1" si="95"/>
        <v>14704</v>
      </c>
      <c r="GD8">
        <f t="shared" ca="1" si="96"/>
        <v>0</v>
      </c>
      <c r="GE8">
        <f t="shared" ca="1" si="97"/>
        <v>0</v>
      </c>
      <c r="GF8">
        <f t="shared" ca="1" si="98"/>
        <v>14704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14704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616</v>
      </c>
      <c r="FN9">
        <f t="shared" ca="1" si="80"/>
        <v>560636</v>
      </c>
      <c r="FO9">
        <f t="shared" si="81"/>
        <v>75000</v>
      </c>
      <c r="FP9">
        <f t="shared" ca="1" si="82"/>
        <v>485636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85636</v>
      </c>
      <c r="GB9">
        <f t="shared" ca="1" si="94"/>
        <v>4281.8</v>
      </c>
      <c r="GC9">
        <f t="shared" ca="1" si="95"/>
        <v>4282</v>
      </c>
      <c r="GD9">
        <f t="shared" ca="1" si="96"/>
        <v>0</v>
      </c>
      <c r="GE9">
        <f t="shared" ca="1" si="97"/>
        <v>0</v>
      </c>
      <c r="GF9">
        <f t="shared" ca="1" si="98"/>
        <v>4282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4282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922</v>
      </c>
      <c r="FN10">
        <f t="shared" ca="1" si="80"/>
        <v>514778</v>
      </c>
      <c r="FO10">
        <f t="shared" si="81"/>
        <v>75000</v>
      </c>
      <c r="FP10">
        <f t="shared" ca="1" si="82"/>
        <v>439778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39778</v>
      </c>
      <c r="GB10">
        <f t="shared" ca="1" si="94"/>
        <v>1988.9</v>
      </c>
      <c r="GC10">
        <f t="shared" ca="1" si="95"/>
        <v>1989</v>
      </c>
      <c r="GD10">
        <f t="shared" ca="1" si="96"/>
        <v>0</v>
      </c>
      <c r="GE10">
        <f t="shared" ca="1" si="97"/>
        <v>0</v>
      </c>
      <c r="GF10">
        <f t="shared" ca="1" si="98"/>
        <v>1989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1989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2871</v>
      </c>
      <c r="FN11">
        <f t="shared" ca="1" si="80"/>
        <v>474715</v>
      </c>
      <c r="FO11">
        <f t="shared" si="81"/>
        <v>75000</v>
      </c>
      <c r="FP11">
        <f t="shared" ca="1" si="82"/>
        <v>399715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745</v>
      </c>
      <c r="FN12">
        <f t="shared" ca="1" si="80"/>
        <v>762893</v>
      </c>
      <c r="FO12">
        <f t="shared" si="81"/>
        <v>75000</v>
      </c>
      <c r="FP12">
        <f t="shared" ca="1" si="82"/>
        <v>687893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287893</v>
      </c>
      <c r="GB12">
        <f t="shared" ca="1" si="94"/>
        <v>14394.650000000001</v>
      </c>
      <c r="GC12">
        <f t="shared" ca="1" si="95"/>
        <v>14395</v>
      </c>
      <c r="GD12">
        <f t="shared" ca="1" si="96"/>
        <v>0</v>
      </c>
      <c r="GE12">
        <f t="shared" ca="1" si="97"/>
        <v>0</v>
      </c>
      <c r="GF12">
        <f t="shared" ca="1" si="98"/>
        <v>14395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14395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621</v>
      </c>
      <c r="FN13">
        <f t="shared" ca="1" si="80"/>
        <v>502701</v>
      </c>
      <c r="FO13">
        <f t="shared" si="81"/>
        <v>75000</v>
      </c>
      <c r="FP13">
        <f t="shared" ca="1" si="82"/>
        <v>427701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27701</v>
      </c>
      <c r="GB13">
        <f t="shared" ca="1" si="94"/>
        <v>1385.0500000000002</v>
      </c>
      <c r="GC13">
        <f t="shared" ca="1" si="95"/>
        <v>1385</v>
      </c>
      <c r="GD13">
        <f t="shared" ca="1" si="96"/>
        <v>0</v>
      </c>
      <c r="GE13">
        <f t="shared" ca="1" si="97"/>
        <v>0</v>
      </c>
      <c r="GF13">
        <f t="shared" ca="1" si="98"/>
        <v>1385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1385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71100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542944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491144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479144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479144</v>
      </c>
      <c r="FD14">
        <f t="shared" si="71"/>
        <v>11457</v>
      </c>
      <c r="FE14">
        <f t="shared" si="72"/>
        <v>0</v>
      </c>
      <c r="FF14">
        <f t="shared" si="73"/>
        <v>11457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1</v>
      </c>
      <c r="FM14">
        <f t="shared" ca="1" si="79"/>
        <v>966</v>
      </c>
      <c r="FN14">
        <f t="shared" ca="1" si="80"/>
        <v>543910</v>
      </c>
      <c r="FO14">
        <f t="shared" si="81"/>
        <v>75000</v>
      </c>
      <c r="FP14">
        <f t="shared" ca="1" si="82"/>
        <v>468910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68910</v>
      </c>
      <c r="GB14">
        <f t="shared" ca="1" si="94"/>
        <v>3445.5</v>
      </c>
      <c r="GC14">
        <f t="shared" ca="1" si="95"/>
        <v>3446</v>
      </c>
      <c r="GD14">
        <f t="shared" ca="1" si="96"/>
        <v>0</v>
      </c>
      <c r="GE14">
        <f t="shared" ca="1" si="97"/>
        <v>0</v>
      </c>
      <c r="GF14">
        <f t="shared" ca="1" si="98"/>
        <v>3446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3446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0</v>
      </c>
      <c r="CN15">
        <f t="shared" si="40"/>
        <v>0</v>
      </c>
      <c r="CO15">
        <f t="shared" si="4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42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43"/>
        <v>0</v>
      </c>
      <c r="CV15">
        <f t="shared" si="44"/>
        <v>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471106</v>
      </c>
      <c r="EB15">
        <f t="shared" si="61"/>
        <v>2200</v>
      </c>
      <c r="EC15">
        <f t="shared" si="62"/>
        <v>50000</v>
      </c>
      <c r="ED15">
        <v>0</v>
      </c>
      <c r="EE15">
        <f t="shared" si="63"/>
        <v>418906</v>
      </c>
      <c r="EF15">
        <f t="shared" si="64"/>
        <v>22000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22000</v>
      </c>
      <c r="ES15">
        <f t="shared" si="67"/>
        <v>22000</v>
      </c>
      <c r="ET15">
        <f t="shared" si="68"/>
        <v>396906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396906</v>
      </c>
      <c r="FD15">
        <f t="shared" si="71"/>
        <v>7345</v>
      </c>
      <c r="FE15">
        <f t="shared" si="72"/>
        <v>0</v>
      </c>
      <c r="FF15">
        <f t="shared" si="73"/>
        <v>7345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0</v>
      </c>
      <c r="FM15">
        <f t="shared" ca="1" si="79"/>
        <v>1425</v>
      </c>
      <c r="FN15">
        <f t="shared" ca="1" si="80"/>
        <v>472531</v>
      </c>
      <c r="FO15">
        <f t="shared" si="81"/>
        <v>75000</v>
      </c>
      <c r="FP15">
        <f t="shared" ca="1" si="82"/>
        <v>397531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0</v>
      </c>
      <c r="GB15">
        <f t="shared" ca="1" si="94"/>
        <v>0</v>
      </c>
      <c r="GC15">
        <f t="shared" ca="1" si="95"/>
        <v>0</v>
      </c>
      <c r="GD15">
        <f t="shared" ca="1" si="96"/>
        <v>0</v>
      </c>
      <c r="GE15">
        <f t="shared" ca="1" si="97"/>
        <v>0</v>
      </c>
      <c r="GF15">
        <f t="shared" ca="1" si="98"/>
        <v>0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0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940</v>
      </c>
      <c r="FN16">
        <f t="shared" ca="1" si="80"/>
        <v>514796</v>
      </c>
      <c r="FO16">
        <f t="shared" si="81"/>
        <v>75000</v>
      </c>
      <c r="FP16">
        <f t="shared" ca="1" si="82"/>
        <v>439796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39796</v>
      </c>
      <c r="GB16">
        <f t="shared" ca="1" si="94"/>
        <v>1989.8000000000002</v>
      </c>
      <c r="GC16">
        <f t="shared" ca="1" si="95"/>
        <v>1990</v>
      </c>
      <c r="GD16">
        <f t="shared" ca="1" si="96"/>
        <v>0</v>
      </c>
      <c r="GE16">
        <f t="shared" ca="1" si="97"/>
        <v>0</v>
      </c>
      <c r="GF16">
        <f t="shared" ca="1" si="98"/>
        <v>1990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1990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1640</v>
      </c>
      <c r="FN17">
        <f t="shared" ca="1" si="80"/>
        <v>473484</v>
      </c>
      <c r="FO17">
        <f t="shared" si="81"/>
        <v>75000</v>
      </c>
      <c r="FP17">
        <f t="shared" ca="1" si="82"/>
        <v>398484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7">J18*0.14</f>
        <v>7098.0000000000009</v>
      </c>
      <c r="L18">
        <f t="shared" ref="L18" si="108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ref="O18" si="109"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60682</v>
      </c>
      <c r="T18">
        <f>_xlfn.XLOOKUP(B18,'[2]april-2025'!$A:$A,'[2]april-2025'!$C:$C,0,0)</f>
        <v>50700</v>
      </c>
      <c r="U18">
        <f t="shared" ref="U18" si="112">T18*0.18</f>
        <v>9126</v>
      </c>
      <c r="V18">
        <f t="shared" ref="V18" si="113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ref="Y18" si="114">IF(T18&gt;0,SUM(T18:X18),0)</f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62710</v>
      </c>
      <c r="AD18">
        <f>_xlfn.XLOOKUP(B18,'[3]may-2025'!$A:$A,'[3]may-2025'!$C:$C,0,0)</f>
        <v>50700</v>
      </c>
      <c r="AE18">
        <f t="shared" ref="AE18" si="117">AD18*0.18</f>
        <v>9126</v>
      </c>
      <c r="AF18">
        <f t="shared" ref="AF18" si="118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ref="AI18" si="119">IF(AD18&gt;0,SUM(AD18:AH18),0)</f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62710</v>
      </c>
      <c r="AN18">
        <f>_xlfn.XLOOKUP(B18,'[4]june-2025'!$A:$A,'[4]june-2025'!$C:$C,0,0)</f>
        <v>50700</v>
      </c>
      <c r="AO18">
        <f t="shared" ref="AO18" si="122">AN18*0.18</f>
        <v>9126</v>
      </c>
      <c r="AP18">
        <f t="shared" ref="AP18" si="123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ref="AS18" si="124">IF(AN18&gt;0,SUM(AN18:AR18),0)</f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62710</v>
      </c>
      <c r="AX18">
        <f>_xlfn.XLOOKUP(B18,'[5]july-2025'!$A:$A,'[5]july-2025'!$C:$C,0,0)</f>
        <v>51700</v>
      </c>
      <c r="AY18">
        <f t="shared" ref="AY18" si="127">AX18*0.18</f>
        <v>9306</v>
      </c>
      <c r="AZ18">
        <v>1</v>
      </c>
      <c r="BA18">
        <f t="shared" ref="BA18" si="12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ref="BD18" si="129"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64011</v>
      </c>
      <c r="BI18">
        <f>_xlfn.XLOOKUP(B18,'[6]august-2025'!$A:$A,'[6]august-2025'!$C:$C,0,0)</f>
        <v>51700</v>
      </c>
      <c r="BJ18">
        <f t="shared" ref="BJ18" si="132">BI18*0.18</f>
        <v>9306</v>
      </c>
      <c r="BK18">
        <f t="shared" ref="BK18" si="133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34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64010</v>
      </c>
      <c r="BS18">
        <f>_xlfn.XLOOKUP(B18,'[7]september-2025'!$A:$A,'[7]september-2025'!$C:$C,0,0)</f>
        <v>51700</v>
      </c>
      <c r="BT18">
        <f t="shared" ref="BT18" si="137">BS18*0.18</f>
        <v>9306</v>
      </c>
      <c r="BU18">
        <f t="shared" ref="BU18" si="138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ref="BX18" si="139"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64010</v>
      </c>
      <c r="CC18">
        <f>_xlfn.XLOOKUP(B18,'[8]october-2025'!$A:$A,'[8]october-2025'!$C:$C,0,0)</f>
        <v>51700</v>
      </c>
      <c r="CD18">
        <f t="shared" ref="CD18" si="142">CC18*0.18</f>
        <v>9306</v>
      </c>
      <c r="CE18">
        <f t="shared" ref="CE18" si="143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ref="CH18" si="144"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64010</v>
      </c>
      <c r="CM18">
        <f>_xlfn.XLOOKUP(B18,'[9]november-2025'!$A:$A,'[9]november-2025'!$C:$C,0,0)</f>
        <v>51700</v>
      </c>
      <c r="CN18">
        <f t="shared" ref="CN18" si="147">CM18*0.18</f>
        <v>9306</v>
      </c>
      <c r="CO18">
        <f t="shared" ref="CO18" si="148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ref="CR18" si="149"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64010</v>
      </c>
      <c r="CW18">
        <f>_xlfn.XLOOKUP(B18,'[10]december-2025'!$A:$A,'[10]december-2025'!$C:$C,0,0)</f>
        <v>51700</v>
      </c>
      <c r="CX18">
        <f t="shared" ref="CX18" si="152">ROUND(CW18*0.18,0)</f>
        <v>9306</v>
      </c>
      <c r="CY18">
        <f t="shared" ref="CY18" si="15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ref="DB18" si="154"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64010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805293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752893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710893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710893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42179</v>
      </c>
      <c r="FF18">
        <f t="shared" ref="FF18" si="180">FD18+FE18</f>
        <v>54679</v>
      </c>
      <c r="FG18">
        <f t="shared" ref="FG18" si="181">IF(FF18&lt;12500,0,FF18)</f>
        <v>54679</v>
      </c>
      <c r="FH18">
        <f t="shared" ref="FH18" si="182">FG18*0.04</f>
        <v>2187.16</v>
      </c>
      <c r="FI18">
        <f t="shared" ref="FI18" si="183">ROUND(FH18+FG18,0)</f>
        <v>56866</v>
      </c>
      <c r="FJ18">
        <v>1</v>
      </c>
      <c r="FK18">
        <f t="shared" ref="FK18" si="184">FI18-FJ18</f>
        <v>56865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615</v>
      </c>
      <c r="FN18">
        <f t="shared" ref="FN18" ca="1" si="187">EA18+FM18</f>
        <v>805908</v>
      </c>
      <c r="FO18">
        <f t="shared" ref="FO18" si="188">IF(EA18&gt;0,75000,0)</f>
        <v>75000</v>
      </c>
      <c r="FP18">
        <f t="shared" ref="FP18" ca="1" si="189">FN18-FO18</f>
        <v>730908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330908</v>
      </c>
      <c r="GB18">
        <f t="shared" ref="GB18" ca="1" si="201">GA18*0.05</f>
        <v>16545.400000000001</v>
      </c>
      <c r="GC18">
        <f t="shared" ref="GC18" ca="1" si="202">ROUND(FR18+FT18+FV18+FX18+FZ18+GB18,0)</f>
        <v>16545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16545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16545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6"/>
        <v>200</v>
      </c>
      <c r="S19">
        <f t="shared" si="4"/>
        <v>60782</v>
      </c>
      <c r="T19">
        <f>_xlfn.XLOOKUP(B19,'[2]april-2025'!$A:$A,'[2]april-2025'!$C:$C,0,0)</f>
        <v>51700</v>
      </c>
      <c r="U19">
        <f t="shared" si="5"/>
        <v>9306</v>
      </c>
      <c r="V19">
        <f t="shared" si="6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8"/>
        <v>200</v>
      </c>
      <c r="AC19">
        <f t="shared" si="9"/>
        <v>62850</v>
      </c>
      <c r="AD19">
        <f>_xlfn.XLOOKUP(B19,'[3]may-2025'!$A:$A,'[3]may-2025'!$C:$C,0,0)</f>
        <v>51700</v>
      </c>
      <c r="AE19">
        <f t="shared" si="10"/>
        <v>9306</v>
      </c>
      <c r="AF19">
        <f t="shared" si="11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2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3"/>
        <v>200</v>
      </c>
      <c r="AM19">
        <f t="shared" si="14"/>
        <v>62850</v>
      </c>
      <c r="AN19">
        <f>_xlfn.XLOOKUP(B19,'[4]june-2025'!$A:$A,'[4]june-2025'!$C:$C,0,0)</f>
        <v>51700</v>
      </c>
      <c r="AO19">
        <f t="shared" si="15"/>
        <v>9306</v>
      </c>
      <c r="AP19">
        <f t="shared" si="16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7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8"/>
        <v>200</v>
      </c>
      <c r="AW19">
        <f t="shared" si="19"/>
        <v>62850</v>
      </c>
      <c r="AX19">
        <f>_xlfn.XLOOKUP(B19,'[5]july-2025'!$A:$A,'[5]july-2025'!$C:$C,0,0)</f>
        <v>53300</v>
      </c>
      <c r="AY19">
        <f t="shared" si="20"/>
        <v>9594</v>
      </c>
      <c r="AZ19">
        <v>0</v>
      </c>
      <c r="BA19">
        <f t="shared" si="21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22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23"/>
        <v>200</v>
      </c>
      <c r="BH19">
        <f t="shared" si="24"/>
        <v>64930</v>
      </c>
      <c r="BI19">
        <f>_xlfn.XLOOKUP(B19,'[6]august-2025'!$A:$A,'[6]august-2025'!$C:$C,0,0)</f>
        <v>53300</v>
      </c>
      <c r="BJ19">
        <f t="shared" si="25"/>
        <v>9594</v>
      </c>
      <c r="BK19">
        <f t="shared" si="26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7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8"/>
        <v>200</v>
      </c>
      <c r="BR19">
        <f t="shared" si="29"/>
        <v>64930</v>
      </c>
      <c r="BS19">
        <f>_xlfn.XLOOKUP(B19,'[7]september-2025'!$A:$A,'[7]september-2025'!$C:$C,0,0)</f>
        <v>53300</v>
      </c>
      <c r="BT19">
        <f t="shared" si="30"/>
        <v>9594</v>
      </c>
      <c r="BU19">
        <f t="shared" si="31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32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33"/>
        <v>200</v>
      </c>
      <c r="CB19">
        <f t="shared" si="34"/>
        <v>64930</v>
      </c>
      <c r="CC19">
        <f>_xlfn.XLOOKUP(B19,'[8]october-2025'!$A:$A,'[8]october-2025'!$C:$C,0,0)</f>
        <v>53300</v>
      </c>
      <c r="CD19">
        <f t="shared" si="35"/>
        <v>9594</v>
      </c>
      <c r="CE19">
        <f t="shared" si="36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7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8"/>
        <v>200</v>
      </c>
      <c r="CL19">
        <f t="shared" si="39"/>
        <v>64930</v>
      </c>
      <c r="CM19">
        <f>_xlfn.XLOOKUP(B19,'[9]november-2025'!$A:$A,'[9]november-2025'!$C:$C,0,0)</f>
        <v>53300</v>
      </c>
      <c r="CN19">
        <f t="shared" si="40"/>
        <v>9594</v>
      </c>
      <c r="CO19">
        <f t="shared" si="4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42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43"/>
        <v>200</v>
      </c>
      <c r="CV19">
        <f t="shared" si="44"/>
        <v>64930</v>
      </c>
      <c r="CW19">
        <f>_xlfn.XLOOKUP(B19,'[10]december-2025'!$A:$A,'[10]december-2025'!$C:$C,0,0)</f>
        <v>53300</v>
      </c>
      <c r="CX19">
        <f t="shared" si="45"/>
        <v>9594</v>
      </c>
      <c r="CY19">
        <f t="shared" si="46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7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8"/>
        <v>200</v>
      </c>
      <c r="DF19">
        <f t="shared" si="49"/>
        <v>64930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838692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786292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725572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725572</v>
      </c>
      <c r="FD19">
        <f t="shared" si="71"/>
        <v>12500</v>
      </c>
      <c r="FE19">
        <f t="shared" si="72"/>
        <v>45114</v>
      </c>
      <c r="FF19">
        <f t="shared" si="73"/>
        <v>57614</v>
      </c>
      <c r="FG19">
        <f t="shared" si="74"/>
        <v>57614</v>
      </c>
      <c r="FH19">
        <f t="shared" si="75"/>
        <v>2304.56</v>
      </c>
      <c r="FI19">
        <f t="shared" si="76"/>
        <v>59919</v>
      </c>
      <c r="FJ19">
        <v>0</v>
      </c>
      <c r="FK19">
        <f t="shared" si="77"/>
        <v>59919</v>
      </c>
      <c r="FL19" t="b">
        <f t="shared" si="78"/>
        <v>1</v>
      </c>
      <c r="FM19">
        <f t="shared" ca="1" si="79"/>
        <v>771</v>
      </c>
      <c r="FN19">
        <f t="shared" ca="1" si="80"/>
        <v>839463</v>
      </c>
      <c r="FO19">
        <f t="shared" si="81"/>
        <v>75000</v>
      </c>
      <c r="FP19">
        <f t="shared" ca="1" si="82"/>
        <v>764463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364463</v>
      </c>
      <c r="GB19">
        <f t="shared" ca="1" si="94"/>
        <v>18223.150000000001</v>
      </c>
      <c r="GC19">
        <f t="shared" ca="1" si="95"/>
        <v>18223</v>
      </c>
      <c r="GD19">
        <f t="shared" ca="1" si="96"/>
        <v>0</v>
      </c>
      <c r="GE19">
        <f t="shared" ca="1" si="97"/>
        <v>0</v>
      </c>
      <c r="GF19">
        <f t="shared" ca="1" si="98"/>
        <v>18223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18223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6"/>
        <v>200</v>
      </c>
      <c r="S20">
        <f t="shared" si="4"/>
        <v>37510</v>
      </c>
      <c r="T20">
        <f>_xlfn.XLOOKUP(B20,'[2]april-2025'!$A:$A,'[2]april-2025'!$C:$C,0,0)</f>
        <v>33500</v>
      </c>
      <c r="U20">
        <f t="shared" si="5"/>
        <v>6030</v>
      </c>
      <c r="V20">
        <f t="shared" si="6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8"/>
        <v>200</v>
      </c>
      <c r="AC20">
        <f t="shared" si="9"/>
        <v>38850</v>
      </c>
      <c r="AD20">
        <f>_xlfn.XLOOKUP(B20,'[3]may-2025'!$A:$A,'[3]may-2025'!$C:$C,0,0)</f>
        <v>33500</v>
      </c>
      <c r="AE20">
        <f t="shared" si="10"/>
        <v>6030</v>
      </c>
      <c r="AF20">
        <f t="shared" si="11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3"/>
        <v>200</v>
      </c>
      <c r="AM20">
        <f t="shared" si="14"/>
        <v>38850</v>
      </c>
      <c r="AN20">
        <f>_xlfn.XLOOKUP(B20,'[4]june-2025'!$A:$A,'[4]june-2025'!$C:$C,0,0)</f>
        <v>33500</v>
      </c>
      <c r="AO20">
        <f t="shared" si="15"/>
        <v>6030</v>
      </c>
      <c r="AP20">
        <f t="shared" si="16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8"/>
        <v>200</v>
      </c>
      <c r="AW20">
        <f t="shared" si="19"/>
        <v>38850</v>
      </c>
      <c r="AX20">
        <f>_xlfn.XLOOKUP(B20,'[5]july-2025'!$A:$A,'[5]july-2025'!$C:$C,0,0)</f>
        <v>34500</v>
      </c>
      <c r="AY20">
        <f t="shared" si="20"/>
        <v>6210</v>
      </c>
      <c r="AZ20">
        <v>0</v>
      </c>
      <c r="BA20">
        <f t="shared" si="21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23"/>
        <v>200</v>
      </c>
      <c r="BH20">
        <f t="shared" si="24"/>
        <v>40150</v>
      </c>
      <c r="BI20">
        <f>_xlfn.XLOOKUP(B20,'[6]august-2025'!$A:$A,'[6]august-2025'!$C:$C,0,0)</f>
        <v>34500</v>
      </c>
      <c r="BJ20">
        <f t="shared" si="25"/>
        <v>6210</v>
      </c>
      <c r="BK20">
        <f t="shared" si="26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8"/>
        <v>200</v>
      </c>
      <c r="BR20">
        <f t="shared" si="29"/>
        <v>40150</v>
      </c>
      <c r="BS20">
        <f>_xlfn.XLOOKUP(B20,'[7]september-2025'!$A:$A,'[7]september-2025'!$C:$C,0,0)</f>
        <v>34500</v>
      </c>
      <c r="BT20">
        <f t="shared" si="30"/>
        <v>6210</v>
      </c>
      <c r="BU20">
        <f t="shared" si="31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33"/>
        <v>200</v>
      </c>
      <c r="CB20">
        <f t="shared" si="34"/>
        <v>40150</v>
      </c>
      <c r="CC20">
        <f>_xlfn.XLOOKUP(B20,'[8]october-2025'!$A:$A,'[8]october-2025'!$C:$C,0,0)</f>
        <v>34500</v>
      </c>
      <c r="CD20">
        <f t="shared" si="35"/>
        <v>6210</v>
      </c>
      <c r="CE20">
        <f t="shared" si="36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8"/>
        <v>200</v>
      </c>
      <c r="CL20">
        <f t="shared" si="39"/>
        <v>40150</v>
      </c>
      <c r="CM20">
        <f>_xlfn.XLOOKUP(B20,'[9]november-2025'!$A:$A,'[9]november-2025'!$C:$C,0,0)</f>
        <v>34500</v>
      </c>
      <c r="CN20">
        <f t="shared" si="40"/>
        <v>6210</v>
      </c>
      <c r="CO20">
        <f t="shared" si="4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43"/>
        <v>200</v>
      </c>
      <c r="CV20">
        <f t="shared" si="44"/>
        <v>40150</v>
      </c>
      <c r="CW20">
        <f>_xlfn.XLOOKUP(B20,'[10]december-2025'!$A:$A,'[10]december-2025'!$C:$C,0,0)</f>
        <v>34500</v>
      </c>
      <c r="CX20">
        <f t="shared" si="45"/>
        <v>6210</v>
      </c>
      <c r="CY20">
        <f t="shared" si="46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8"/>
        <v>200</v>
      </c>
      <c r="DF20">
        <f t="shared" si="49"/>
        <v>40150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544460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492060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432060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432060</v>
      </c>
      <c r="FD20">
        <f t="shared" si="71"/>
        <v>9103</v>
      </c>
      <c r="FE20">
        <f t="shared" si="72"/>
        <v>0</v>
      </c>
      <c r="FF20">
        <f t="shared" si="73"/>
        <v>9103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978</v>
      </c>
      <c r="FN20">
        <f t="shared" ca="1" si="80"/>
        <v>545438</v>
      </c>
      <c r="FO20">
        <f t="shared" si="81"/>
        <v>75000</v>
      </c>
      <c r="FP20">
        <f t="shared" ca="1" si="82"/>
        <v>470438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70438</v>
      </c>
      <c r="GB20">
        <f t="shared" ca="1" si="94"/>
        <v>3521.9</v>
      </c>
      <c r="GC20">
        <f t="shared" ca="1" si="95"/>
        <v>3522</v>
      </c>
      <c r="GD20">
        <f t="shared" ca="1" si="96"/>
        <v>0</v>
      </c>
      <c r="GE20">
        <f t="shared" ca="1" si="97"/>
        <v>0</v>
      </c>
      <c r="GF20">
        <f t="shared" ca="1" si="98"/>
        <v>3522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3522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6"/>
        <v>150</v>
      </c>
      <c r="S21">
        <f t="shared" si="4"/>
        <v>34764</v>
      </c>
      <c r="T21">
        <f>_xlfn.XLOOKUP(B21,'[2]april-2025'!$A:$A,'[2]april-2025'!$C:$C,0,0)</f>
        <v>28900</v>
      </c>
      <c r="U21">
        <f t="shared" si="5"/>
        <v>5202</v>
      </c>
      <c r="V21">
        <f t="shared" si="6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8"/>
        <v>150</v>
      </c>
      <c r="AC21">
        <f t="shared" si="9"/>
        <v>35920</v>
      </c>
      <c r="AD21">
        <f>_xlfn.XLOOKUP(B21,'[3]may-2025'!$A:$A,'[3]may-2025'!$C:$C,0,0)</f>
        <v>28900</v>
      </c>
      <c r="AE21">
        <f t="shared" si="10"/>
        <v>5202</v>
      </c>
      <c r="AF21">
        <f t="shared" si="11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2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3"/>
        <v>150</v>
      </c>
      <c r="AM21">
        <f t="shared" si="14"/>
        <v>35920</v>
      </c>
      <c r="AN21">
        <f>_xlfn.XLOOKUP(B21,'[4]june-2025'!$A:$A,'[4]june-2025'!$C:$C,0,0)</f>
        <v>28900</v>
      </c>
      <c r="AO21">
        <f t="shared" si="15"/>
        <v>5202</v>
      </c>
      <c r="AP21">
        <f t="shared" si="16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7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8"/>
        <v>150</v>
      </c>
      <c r="AW21">
        <f t="shared" si="19"/>
        <v>35920</v>
      </c>
      <c r="AX21">
        <f>_xlfn.XLOOKUP(B21,'[5]july-2025'!$A:$A,'[5]july-2025'!$C:$C,0,0)</f>
        <v>29800</v>
      </c>
      <c r="AY21">
        <f t="shared" si="20"/>
        <v>5364</v>
      </c>
      <c r="AZ21">
        <v>0</v>
      </c>
      <c r="BA21">
        <f t="shared" si="21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22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23"/>
        <v>150</v>
      </c>
      <c r="BH21">
        <f t="shared" si="24"/>
        <v>37090</v>
      </c>
      <c r="BI21">
        <f>_xlfn.XLOOKUP(B21,'[6]august-2025'!$A:$A,'[6]august-2025'!$C:$C,0,0)</f>
        <v>29800</v>
      </c>
      <c r="BJ21">
        <f t="shared" si="25"/>
        <v>5364</v>
      </c>
      <c r="BK21">
        <f t="shared" si="26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7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8"/>
        <v>150</v>
      </c>
      <c r="BR21">
        <f t="shared" si="29"/>
        <v>37090</v>
      </c>
      <c r="BS21">
        <f>_xlfn.XLOOKUP(B21,'[7]september-2025'!$A:$A,'[7]september-2025'!$C:$C,0,0)</f>
        <v>29800</v>
      </c>
      <c r="BT21">
        <f t="shared" si="30"/>
        <v>5364</v>
      </c>
      <c r="BU21">
        <f t="shared" si="31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32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33"/>
        <v>150</v>
      </c>
      <c r="CB21">
        <f t="shared" si="34"/>
        <v>37090</v>
      </c>
      <c r="CC21">
        <f>_xlfn.XLOOKUP(B21,'[8]october-2025'!$A:$A,'[8]october-2025'!$C:$C,0,0)</f>
        <v>29800</v>
      </c>
      <c r="CD21">
        <f t="shared" si="35"/>
        <v>5364</v>
      </c>
      <c r="CE21">
        <f t="shared" si="36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7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8"/>
        <v>150</v>
      </c>
      <c r="CL21">
        <f t="shared" si="39"/>
        <v>37090</v>
      </c>
      <c r="CM21">
        <f>_xlfn.XLOOKUP(B21,'[9]november-2025'!$A:$A,'[9]november-2025'!$C:$C,0,0)</f>
        <v>29800</v>
      </c>
      <c r="CN21">
        <f t="shared" si="40"/>
        <v>5364</v>
      </c>
      <c r="CO21">
        <f t="shared" si="4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43"/>
        <v>150</v>
      </c>
      <c r="CV21">
        <f t="shared" si="44"/>
        <v>37090</v>
      </c>
      <c r="CW21">
        <f>_xlfn.XLOOKUP(B21,'[10]december-2025'!$A:$A,'[10]december-2025'!$C:$C,0,0)</f>
        <v>29800</v>
      </c>
      <c r="CX21">
        <f t="shared" si="45"/>
        <v>5364</v>
      </c>
      <c r="CY21">
        <f t="shared" si="46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8"/>
        <v>150</v>
      </c>
      <c r="DF21">
        <f t="shared" si="49"/>
        <v>37090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471844</v>
      </c>
      <c r="EB21">
        <f t="shared" si="61"/>
        <v>1800</v>
      </c>
      <c r="EC21">
        <f t="shared" si="62"/>
        <v>50000</v>
      </c>
      <c r="ED21">
        <v>0</v>
      </c>
      <c r="EE21">
        <f t="shared" si="63"/>
        <v>420044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396044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396044</v>
      </c>
      <c r="FD21">
        <f t="shared" si="71"/>
        <v>7302</v>
      </c>
      <c r="FE21">
        <f t="shared" si="72"/>
        <v>0</v>
      </c>
      <c r="FF21">
        <f t="shared" si="73"/>
        <v>7302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1381</v>
      </c>
      <c r="FN21">
        <f t="shared" ca="1" si="80"/>
        <v>473225</v>
      </c>
      <c r="FO21">
        <f t="shared" si="81"/>
        <v>75000</v>
      </c>
      <c r="FP21">
        <f t="shared" ca="1" si="82"/>
        <v>398225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0</v>
      </c>
      <c r="GB21">
        <f t="shared" ca="1" si="94"/>
        <v>0</v>
      </c>
      <c r="GC21">
        <f t="shared" ca="1" si="95"/>
        <v>0</v>
      </c>
      <c r="GD21">
        <f t="shared" ca="1" si="96"/>
        <v>0</v>
      </c>
      <c r="GE21">
        <f t="shared" ca="1" si="97"/>
        <v>0</v>
      </c>
      <c r="GF21">
        <f t="shared" ca="1" si="98"/>
        <v>0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0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57288</v>
      </c>
      <c r="T22">
        <f>_xlfn.XLOOKUP(B22,'[2]april-2025'!$A:$A,'[2]april-2025'!$C:$C,0,0)</f>
        <v>48800</v>
      </c>
      <c r="U22">
        <f t="shared" si="5"/>
        <v>8784</v>
      </c>
      <c r="V22">
        <f t="shared" si="6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59240</v>
      </c>
      <c r="AD22">
        <f>_xlfn.XLOOKUP(B22,'[3]may-2025'!$A:$A,'[3]may-2025'!$C:$C,0,0)</f>
        <v>48800</v>
      </c>
      <c r="AE22">
        <f t="shared" si="10"/>
        <v>8784</v>
      </c>
      <c r="AF22">
        <f t="shared" si="11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2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59240</v>
      </c>
      <c r="AN22">
        <f>_xlfn.XLOOKUP(B22,'[4]june-2025'!$A:$A,'[4]june-2025'!$C:$C,0,0)</f>
        <v>48800</v>
      </c>
      <c r="AO22">
        <f t="shared" si="15"/>
        <v>8784</v>
      </c>
      <c r="AP22">
        <f t="shared" si="16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7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59240</v>
      </c>
      <c r="AX22">
        <f>_xlfn.XLOOKUP(B22,'[5]july-2025'!$A:$A,'[5]july-2025'!$C:$C,0,0)</f>
        <v>50300</v>
      </c>
      <c r="AY22">
        <f t="shared" si="20"/>
        <v>9054</v>
      </c>
      <c r="AZ22">
        <v>0</v>
      </c>
      <c r="BA22">
        <f t="shared" si="21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22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61190</v>
      </c>
      <c r="BI22">
        <f>_xlfn.XLOOKUP(B22,'[6]august-2025'!$A:$A,'[6]august-2025'!$C:$C,0,0)</f>
        <v>50300</v>
      </c>
      <c r="BJ22">
        <f t="shared" si="25"/>
        <v>9054</v>
      </c>
      <c r="BK22">
        <f t="shared" si="26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7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61190</v>
      </c>
      <c r="BS22">
        <f>_xlfn.XLOOKUP(B22,'[7]september-2025'!$A:$A,'[7]september-2025'!$C:$C,0,0)</f>
        <v>50300</v>
      </c>
      <c r="BT22">
        <f t="shared" si="30"/>
        <v>9054</v>
      </c>
      <c r="BU22">
        <f t="shared" si="31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32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61190</v>
      </c>
      <c r="CC22">
        <f>_xlfn.XLOOKUP(B22,'[8]october-2025'!$A:$A,'[8]october-2025'!$C:$C,0,0)</f>
        <v>50300</v>
      </c>
      <c r="CD22">
        <f t="shared" si="35"/>
        <v>9054</v>
      </c>
      <c r="CE22">
        <f t="shared" si="36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7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61190</v>
      </c>
      <c r="CM22">
        <f>_xlfn.XLOOKUP(B22,'[9]november-2025'!$A:$A,'[9]november-2025'!$C:$C,0,0)</f>
        <v>50300</v>
      </c>
      <c r="CN22">
        <f t="shared" si="40"/>
        <v>9054</v>
      </c>
      <c r="CO22">
        <f t="shared" si="4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61690</v>
      </c>
      <c r="CW22">
        <f>_xlfn.XLOOKUP(B22,'[10]december-2025'!$A:$A,'[10]december-2025'!$C:$C,0,0)</f>
        <v>50300</v>
      </c>
      <c r="CX22">
        <f t="shared" si="45"/>
        <v>9054</v>
      </c>
      <c r="CY22">
        <f t="shared" si="46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61690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783728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731328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683328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683328</v>
      </c>
      <c r="FD22">
        <f t="shared" si="71"/>
        <v>12500</v>
      </c>
      <c r="FE22">
        <f t="shared" si="72"/>
        <v>36666</v>
      </c>
      <c r="FF22">
        <f t="shared" si="73"/>
        <v>49166</v>
      </c>
      <c r="FG22">
        <f t="shared" si="74"/>
        <v>49166</v>
      </c>
      <c r="FH22">
        <f t="shared" si="75"/>
        <v>1966.64</v>
      </c>
      <c r="FI22">
        <f t="shared" si="76"/>
        <v>51133</v>
      </c>
      <c r="FJ22">
        <v>0</v>
      </c>
      <c r="FK22">
        <f t="shared" si="77"/>
        <v>51133</v>
      </c>
      <c r="FL22" t="b">
        <f t="shared" si="78"/>
        <v>1</v>
      </c>
      <c r="FM22">
        <f t="shared" ca="1" si="79"/>
        <v>804</v>
      </c>
      <c r="FN22">
        <f t="shared" ca="1" si="80"/>
        <v>784532</v>
      </c>
      <c r="FO22">
        <f t="shared" si="81"/>
        <v>75000</v>
      </c>
      <c r="FP22">
        <f t="shared" ca="1" si="82"/>
        <v>709532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309532</v>
      </c>
      <c r="GB22">
        <f t="shared" ca="1" si="94"/>
        <v>15476.6</v>
      </c>
      <c r="GC22">
        <f t="shared" ca="1" si="95"/>
        <v>15477</v>
      </c>
      <c r="GD22">
        <f t="shared" ca="1" si="96"/>
        <v>0</v>
      </c>
      <c r="GE22">
        <f t="shared" ca="1" si="97"/>
        <v>0</v>
      </c>
      <c r="GF22">
        <f t="shared" ca="1" si="98"/>
        <v>15477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15477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6"/>
        <v>200</v>
      </c>
      <c r="S23">
        <f t="shared" si="4"/>
        <v>45302</v>
      </c>
      <c r="T23">
        <f>_xlfn.XLOOKUP(B23,'[2]april-2025'!$A:$A,'[2]april-2025'!$C:$C,0,0)</f>
        <v>37700</v>
      </c>
      <c r="U23">
        <f t="shared" si="5"/>
        <v>6786</v>
      </c>
      <c r="V23">
        <f t="shared" si="6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8"/>
        <v>200</v>
      </c>
      <c r="AC23">
        <f t="shared" si="9"/>
        <v>46810</v>
      </c>
      <c r="AD23">
        <f>_xlfn.XLOOKUP(B23,'[3]may-2025'!$A:$A,'[3]may-2025'!$C:$C,0,0)</f>
        <v>37700</v>
      </c>
      <c r="AE23">
        <f t="shared" si="10"/>
        <v>6786</v>
      </c>
      <c r="AF23">
        <f t="shared" si="11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3"/>
        <v>200</v>
      </c>
      <c r="AM23">
        <f t="shared" si="14"/>
        <v>46810</v>
      </c>
      <c r="AN23">
        <f>_xlfn.XLOOKUP(B23,'[4]june-2025'!$A:$A,'[4]june-2025'!$C:$C,0,0)</f>
        <v>37700</v>
      </c>
      <c r="AO23">
        <f t="shared" si="15"/>
        <v>6786</v>
      </c>
      <c r="AP23">
        <f t="shared" si="16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8"/>
        <v>200</v>
      </c>
      <c r="AW23">
        <f t="shared" si="19"/>
        <v>46810</v>
      </c>
      <c r="AX23">
        <f>_xlfn.XLOOKUP(B23,'[5]july-2025'!$A:$A,'[5]july-2025'!$C:$C,0,0)</f>
        <v>38800</v>
      </c>
      <c r="AY23">
        <f t="shared" si="20"/>
        <v>6984</v>
      </c>
      <c r="AZ23">
        <v>0</v>
      </c>
      <c r="BA23">
        <f t="shared" si="21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23"/>
        <v>200</v>
      </c>
      <c r="BH23">
        <f t="shared" si="24"/>
        <v>48240</v>
      </c>
      <c r="BI23">
        <f>_xlfn.XLOOKUP(B23,'[6]august-2025'!$A:$A,'[6]august-2025'!$C:$C,0,0)</f>
        <v>38800</v>
      </c>
      <c r="BJ23">
        <f t="shared" si="25"/>
        <v>6984</v>
      </c>
      <c r="BK23">
        <f t="shared" si="26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8"/>
        <v>200</v>
      </c>
      <c r="BR23">
        <f t="shared" si="29"/>
        <v>48240</v>
      </c>
      <c r="BS23">
        <f>_xlfn.XLOOKUP(B23,'[7]september-2025'!$A:$A,'[7]september-2025'!$C:$C,0,0)</f>
        <v>38800</v>
      </c>
      <c r="BT23">
        <f t="shared" si="30"/>
        <v>6984</v>
      </c>
      <c r="BU23">
        <f t="shared" si="31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33"/>
        <v>200</v>
      </c>
      <c r="CB23">
        <f t="shared" si="34"/>
        <v>48240</v>
      </c>
      <c r="CC23">
        <f>_xlfn.XLOOKUP(B23,'[8]october-2025'!$A:$A,'[8]october-2025'!$C:$C,0,0)</f>
        <v>38800</v>
      </c>
      <c r="CD23">
        <f t="shared" si="35"/>
        <v>6984</v>
      </c>
      <c r="CE23">
        <f t="shared" si="36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8"/>
        <v>200</v>
      </c>
      <c r="CL23">
        <f t="shared" si="39"/>
        <v>48240</v>
      </c>
      <c r="CM23">
        <f>_xlfn.XLOOKUP(B23,'[9]november-2025'!$A:$A,'[9]november-2025'!$C:$C,0,0)</f>
        <v>38800</v>
      </c>
      <c r="CN23">
        <f t="shared" si="40"/>
        <v>6984</v>
      </c>
      <c r="CO23">
        <f t="shared" si="4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43"/>
        <v>200</v>
      </c>
      <c r="CV23">
        <f t="shared" si="44"/>
        <v>48240</v>
      </c>
      <c r="CW23">
        <f>_xlfn.XLOOKUP(B23,'[10]december-2025'!$A:$A,'[10]december-2025'!$C:$C,0,0)</f>
        <v>38800</v>
      </c>
      <c r="CX23">
        <f t="shared" si="45"/>
        <v>6984</v>
      </c>
      <c r="CY23">
        <f t="shared" si="46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8"/>
        <v>200</v>
      </c>
      <c r="DF23">
        <f t="shared" si="49"/>
        <v>48240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610852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558452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528452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528452</v>
      </c>
      <c r="FD23">
        <f t="shared" si="71"/>
        <v>12500</v>
      </c>
      <c r="FE23">
        <f t="shared" si="72"/>
        <v>5690</v>
      </c>
      <c r="FF23">
        <f t="shared" si="73"/>
        <v>18190</v>
      </c>
      <c r="FG23">
        <f t="shared" si="74"/>
        <v>18190</v>
      </c>
      <c r="FH23">
        <f t="shared" si="75"/>
        <v>727.6</v>
      </c>
      <c r="FI23">
        <f t="shared" si="76"/>
        <v>18918</v>
      </c>
      <c r="FJ23">
        <v>0</v>
      </c>
      <c r="FK23">
        <f t="shared" si="77"/>
        <v>18918</v>
      </c>
      <c r="FL23" t="b">
        <f t="shared" si="78"/>
        <v>1</v>
      </c>
      <c r="FM23">
        <f t="shared" ca="1" si="79"/>
        <v>955</v>
      </c>
      <c r="FN23">
        <f t="shared" ca="1" si="80"/>
        <v>611807</v>
      </c>
      <c r="FO23">
        <f t="shared" si="81"/>
        <v>75000</v>
      </c>
      <c r="FP23">
        <f t="shared" ca="1" si="82"/>
        <v>536807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136807</v>
      </c>
      <c r="GB23">
        <f t="shared" ca="1" si="94"/>
        <v>6840.35</v>
      </c>
      <c r="GC23">
        <f t="shared" ca="1" si="95"/>
        <v>6840</v>
      </c>
      <c r="GD23">
        <f t="shared" ca="1" si="96"/>
        <v>0</v>
      </c>
      <c r="GE23">
        <f t="shared" ca="1" si="97"/>
        <v>0</v>
      </c>
      <c r="GF23">
        <f t="shared" ca="1" si="98"/>
        <v>6840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6840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6"/>
        <v>150</v>
      </c>
      <c r="S24">
        <f t="shared" si="4"/>
        <v>34764</v>
      </c>
      <c r="T24">
        <f>_xlfn.XLOOKUP(B24,'[2]april-2025'!$A:$A,'[2]april-2025'!$C:$C,0,0)</f>
        <v>28900</v>
      </c>
      <c r="U24">
        <f t="shared" si="5"/>
        <v>5202</v>
      </c>
      <c r="V24">
        <f t="shared" si="6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8"/>
        <v>150</v>
      </c>
      <c r="AC24">
        <f t="shared" si="9"/>
        <v>35920</v>
      </c>
      <c r="AD24">
        <f>_xlfn.XLOOKUP(B24,'[3]may-2025'!$A:$A,'[3]may-2025'!$C:$C,0,0)</f>
        <v>28900</v>
      </c>
      <c r="AE24">
        <f t="shared" si="10"/>
        <v>5202</v>
      </c>
      <c r="AF24">
        <f t="shared" si="11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35920</v>
      </c>
      <c r="AN24">
        <f>_xlfn.XLOOKUP(B24,'[4]june-2025'!$A:$A,'[4]june-2025'!$C:$C,0,0)</f>
        <v>28900</v>
      </c>
      <c r="AO24">
        <f t="shared" si="15"/>
        <v>5202</v>
      </c>
      <c r="AP24">
        <f t="shared" si="16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35920</v>
      </c>
      <c r="AX24">
        <f>_xlfn.XLOOKUP(B24,'[5]july-2025'!$A:$A,'[5]july-2025'!$C:$C,0,0)</f>
        <v>29800</v>
      </c>
      <c r="AY24">
        <f t="shared" si="20"/>
        <v>5364</v>
      </c>
      <c r="AZ24">
        <v>0</v>
      </c>
      <c r="BA24">
        <f t="shared" si="21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37090</v>
      </c>
      <c r="BI24">
        <f>_xlfn.XLOOKUP(B24,'[6]august-2025'!$A:$A,'[6]august-2025'!$C:$C,0,0)</f>
        <v>29800</v>
      </c>
      <c r="BJ24">
        <f t="shared" si="25"/>
        <v>5364</v>
      </c>
      <c r="BK24">
        <f t="shared" si="26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37090</v>
      </c>
      <c r="BS24">
        <f>_xlfn.XLOOKUP(B24,'[7]september-2025'!$A:$A,'[7]september-2025'!$C:$C,0,0)</f>
        <v>29800</v>
      </c>
      <c r="BT24">
        <f t="shared" si="30"/>
        <v>5364</v>
      </c>
      <c r="BU24">
        <f t="shared" si="31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37090</v>
      </c>
      <c r="CC24">
        <f>_xlfn.XLOOKUP(B24,'[8]october-2025'!$A:$A,'[8]october-2025'!$C:$C,0,0)</f>
        <v>29800</v>
      </c>
      <c r="CD24">
        <f t="shared" si="35"/>
        <v>5364</v>
      </c>
      <c r="CE24">
        <f t="shared" si="36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37090</v>
      </c>
      <c r="CM24">
        <f>_xlfn.XLOOKUP(B24,'[9]november-2025'!$A:$A,'[9]november-2025'!$C:$C,0,0)</f>
        <v>29800</v>
      </c>
      <c r="CN24">
        <f t="shared" si="40"/>
        <v>5364</v>
      </c>
      <c r="CO24">
        <f t="shared" si="4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37090</v>
      </c>
      <c r="CW24">
        <f>_xlfn.XLOOKUP(B24,'[10]december-2025'!$A:$A,'[10]december-2025'!$C:$C,0,0)</f>
        <v>29800</v>
      </c>
      <c r="CX24">
        <f t="shared" si="45"/>
        <v>5364</v>
      </c>
      <c r="CY24">
        <f t="shared" si="46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37090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471844</v>
      </c>
      <c r="EB24">
        <f t="shared" si="61"/>
        <v>1800</v>
      </c>
      <c r="EC24">
        <f t="shared" si="62"/>
        <v>50000</v>
      </c>
      <c r="ED24">
        <v>0</v>
      </c>
      <c r="EE24">
        <f t="shared" si="63"/>
        <v>420044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396044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396044</v>
      </c>
      <c r="FD24">
        <f t="shared" si="71"/>
        <v>7302</v>
      </c>
      <c r="FE24">
        <f t="shared" si="72"/>
        <v>0</v>
      </c>
      <c r="FF24">
        <f t="shared" si="73"/>
        <v>7302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1520</v>
      </c>
      <c r="FN24">
        <f t="shared" ca="1" si="80"/>
        <v>473364</v>
      </c>
      <c r="FO24">
        <f t="shared" si="81"/>
        <v>75000</v>
      </c>
      <c r="FP24">
        <f t="shared" ca="1" si="82"/>
        <v>398364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6"/>
        <v>0</v>
      </c>
      <c r="S25">
        <f t="shared" si="4"/>
        <v>0</v>
      </c>
      <c r="T25">
        <f>_xlfn.XLOOKUP(B25,'[2]april-2025'!$A:$A,'[2]april-2025'!$C:$C,0,0)</f>
        <v>0</v>
      </c>
      <c r="U25">
        <f t="shared" si="5"/>
        <v>0</v>
      </c>
      <c r="V25">
        <f t="shared" si="6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8"/>
        <v>0</v>
      </c>
      <c r="AC25">
        <f t="shared" si="9"/>
        <v>0</v>
      </c>
      <c r="AD25">
        <f>_xlfn.XLOOKUP(B25,'[3]may-2025'!$A:$A,'[3]may-2025'!$C:$C,0,0)</f>
        <v>24700</v>
      </c>
      <c r="AE25">
        <f t="shared" si="10"/>
        <v>4446</v>
      </c>
      <c r="AF25">
        <f t="shared" si="11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2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3"/>
        <v>150</v>
      </c>
      <c r="AM25">
        <f t="shared" si="14"/>
        <v>32460</v>
      </c>
      <c r="AN25">
        <f>_xlfn.XLOOKUP(B25,'[4]june-2025'!$A:$A,'[4]june-2025'!$C:$C,0,0)</f>
        <v>24700</v>
      </c>
      <c r="AO25">
        <f t="shared" si="15"/>
        <v>4446</v>
      </c>
      <c r="AP25">
        <f t="shared" si="16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7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8"/>
        <v>150</v>
      </c>
      <c r="AW25">
        <f t="shared" si="19"/>
        <v>32460</v>
      </c>
      <c r="AX25">
        <f>_xlfn.XLOOKUP(B25,'[5]july-2025'!$A:$A,'[5]july-2025'!$C:$C,0,0)</f>
        <v>24700</v>
      </c>
      <c r="AY25">
        <f t="shared" si="20"/>
        <v>4446</v>
      </c>
      <c r="AZ25">
        <v>0</v>
      </c>
      <c r="BA25">
        <f t="shared" si="21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22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23"/>
        <v>150</v>
      </c>
      <c r="BH25">
        <f t="shared" si="24"/>
        <v>32460</v>
      </c>
      <c r="BI25">
        <f>_xlfn.XLOOKUP(B25,'[6]august-2025'!$A:$A,'[6]august-2025'!$C:$C,0,0)</f>
        <v>24700</v>
      </c>
      <c r="BJ25">
        <f t="shared" si="25"/>
        <v>4446</v>
      </c>
      <c r="BK25">
        <f t="shared" si="26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7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8"/>
        <v>150</v>
      </c>
      <c r="BR25">
        <f t="shared" si="29"/>
        <v>32460</v>
      </c>
      <c r="BS25">
        <f>_xlfn.XLOOKUP(B25,'[7]september-2025'!$A:$A,'[7]september-2025'!$C:$C,0,0)</f>
        <v>24700</v>
      </c>
      <c r="BT25">
        <f t="shared" si="30"/>
        <v>4446</v>
      </c>
      <c r="BU25">
        <f t="shared" si="31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32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33"/>
        <v>150</v>
      </c>
      <c r="CB25">
        <f t="shared" si="34"/>
        <v>32460</v>
      </c>
      <c r="CC25">
        <f>_xlfn.XLOOKUP(B25,'[8]october-2025'!$A:$A,'[8]october-2025'!$C:$C,0,0)</f>
        <v>24700</v>
      </c>
      <c r="CD25">
        <f t="shared" si="35"/>
        <v>4446</v>
      </c>
      <c r="CE25">
        <f t="shared" si="36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7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8"/>
        <v>150</v>
      </c>
      <c r="CL25">
        <f t="shared" si="39"/>
        <v>32460</v>
      </c>
      <c r="CM25">
        <f>_xlfn.XLOOKUP(B25,'[9]november-2025'!$A:$A,'[9]november-2025'!$C:$C,0,0)</f>
        <v>24700</v>
      </c>
      <c r="CN25">
        <f t="shared" si="40"/>
        <v>4446</v>
      </c>
      <c r="CO25">
        <f t="shared" si="4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42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43"/>
        <v>150</v>
      </c>
      <c r="CV25">
        <f t="shared" si="44"/>
        <v>32460</v>
      </c>
      <c r="CW25">
        <f>_xlfn.XLOOKUP(B25,'[10]december-2025'!$A:$A,'[10]december-2025'!$C:$C,0,0)</f>
        <v>24700</v>
      </c>
      <c r="CX25">
        <f t="shared" si="45"/>
        <v>4446</v>
      </c>
      <c r="CY25">
        <f t="shared" si="46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7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8"/>
        <v>150</v>
      </c>
      <c r="DF25">
        <f t="shared" si="49"/>
        <v>32460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326100</v>
      </c>
      <c r="EB25">
        <f t="shared" si="61"/>
        <v>1500</v>
      </c>
      <c r="EC25">
        <f t="shared" si="62"/>
        <v>50000</v>
      </c>
      <c r="ED25">
        <v>0</v>
      </c>
      <c r="EE25">
        <f t="shared" si="63"/>
        <v>274600</v>
      </c>
      <c r="EF25">
        <f t="shared" si="64"/>
        <v>4000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4000</v>
      </c>
      <c r="ES25">
        <f t="shared" si="67"/>
        <v>4000</v>
      </c>
      <c r="ET25">
        <f t="shared" si="68"/>
        <v>270600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270600</v>
      </c>
      <c r="FD25">
        <f t="shared" si="71"/>
        <v>1030</v>
      </c>
      <c r="FE25">
        <f t="shared" si="72"/>
        <v>0</v>
      </c>
      <c r="FF25">
        <f t="shared" si="73"/>
        <v>1030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1975</v>
      </c>
      <c r="FN25">
        <f t="shared" ca="1" si="80"/>
        <v>328075</v>
      </c>
      <c r="FO25">
        <f t="shared" si="81"/>
        <v>75000</v>
      </c>
      <c r="FP25">
        <f t="shared" ca="1" si="82"/>
        <v>253075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60842</v>
      </c>
      <c r="T26">
        <f>_xlfn.XLOOKUP(B26,'[2]april-2025'!$A:$A,'[2]april-2025'!$C:$C,0,0)</f>
        <v>51700</v>
      </c>
      <c r="U26">
        <f t="shared" si="5"/>
        <v>9306</v>
      </c>
      <c r="V26">
        <f t="shared" si="6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8"/>
        <v>200</v>
      </c>
      <c r="AC26">
        <f t="shared" si="9"/>
        <v>62850</v>
      </c>
      <c r="AD26">
        <f>_xlfn.XLOOKUP(B26,'[3]may-2025'!$A:$A,'[3]may-2025'!$C:$C,0,0)</f>
        <v>51700</v>
      </c>
      <c r="AE26">
        <f t="shared" si="10"/>
        <v>9306</v>
      </c>
      <c r="AF26">
        <f t="shared" si="11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2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3"/>
        <v>200</v>
      </c>
      <c r="AM26">
        <f t="shared" si="14"/>
        <v>62850</v>
      </c>
      <c r="AN26">
        <f>_xlfn.XLOOKUP(B26,'[4]june-2025'!$A:$A,'[4]june-2025'!$C:$C,0,0)</f>
        <v>51700</v>
      </c>
      <c r="AO26">
        <f t="shared" si="15"/>
        <v>9306</v>
      </c>
      <c r="AP26">
        <f t="shared" si="16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7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8"/>
        <v>200</v>
      </c>
      <c r="AW26">
        <f t="shared" si="19"/>
        <v>62850</v>
      </c>
      <c r="AX26">
        <f>_xlfn.XLOOKUP(B26,'[5]july-2025'!$A:$A,'[5]july-2025'!$C:$C,0,0)</f>
        <v>53300</v>
      </c>
      <c r="AY26">
        <f t="shared" si="20"/>
        <v>9594</v>
      </c>
      <c r="AZ26">
        <v>0</v>
      </c>
      <c r="BA26">
        <f t="shared" si="21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22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23"/>
        <v>200</v>
      </c>
      <c r="BH26">
        <f t="shared" si="24"/>
        <v>64930</v>
      </c>
      <c r="BI26">
        <f>_xlfn.XLOOKUP(B26,'[6]august-2025'!$A:$A,'[6]august-2025'!$C:$C,0,0)</f>
        <v>53300</v>
      </c>
      <c r="BJ26">
        <f t="shared" si="25"/>
        <v>9594</v>
      </c>
      <c r="BK26">
        <f t="shared" si="26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7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8"/>
        <v>200</v>
      </c>
      <c r="BR26">
        <f t="shared" si="29"/>
        <v>64930</v>
      </c>
      <c r="BS26">
        <f>_xlfn.XLOOKUP(B26,'[7]september-2025'!$A:$A,'[7]september-2025'!$C:$C,0,0)</f>
        <v>53300</v>
      </c>
      <c r="BT26">
        <f t="shared" si="30"/>
        <v>9594</v>
      </c>
      <c r="BU26">
        <f t="shared" si="31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32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33"/>
        <v>200</v>
      </c>
      <c r="CB26">
        <f t="shared" si="34"/>
        <v>64930</v>
      </c>
      <c r="CC26">
        <f>_xlfn.XLOOKUP(B26,'[8]october-2025'!$A:$A,'[8]october-2025'!$C:$C,0,0)</f>
        <v>53300</v>
      </c>
      <c r="CD26">
        <f t="shared" si="35"/>
        <v>9594</v>
      </c>
      <c r="CE26">
        <f t="shared" si="36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7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8"/>
        <v>200</v>
      </c>
      <c r="CL26">
        <f t="shared" si="39"/>
        <v>64930</v>
      </c>
      <c r="CM26">
        <f>_xlfn.XLOOKUP(B26,'[9]november-2025'!$A:$A,'[9]november-2025'!$C:$C,0,0)</f>
        <v>53300</v>
      </c>
      <c r="CN26">
        <f t="shared" si="40"/>
        <v>9594</v>
      </c>
      <c r="CO26">
        <f t="shared" si="4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42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43"/>
        <v>200</v>
      </c>
      <c r="CV26">
        <f t="shared" si="44"/>
        <v>64930</v>
      </c>
      <c r="CW26">
        <f>_xlfn.XLOOKUP(B26,'[10]december-2025'!$A:$A,'[10]december-2025'!$C:$C,0,0)</f>
        <v>53300</v>
      </c>
      <c r="CX26">
        <f t="shared" si="45"/>
        <v>9594</v>
      </c>
      <c r="CY26">
        <f t="shared" si="46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7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8"/>
        <v>200</v>
      </c>
      <c r="DF26">
        <f t="shared" si="49"/>
        <v>64930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838692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786292</v>
      </c>
      <c r="EF26">
        <f t="shared" si="64"/>
        <v>50000</v>
      </c>
      <c r="EG26">
        <f t="shared" si="65"/>
        <v>660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50660</v>
      </c>
      <c r="ES26">
        <f t="shared" si="67"/>
        <v>50660</v>
      </c>
      <c r="ET26">
        <f t="shared" si="68"/>
        <v>735632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735632</v>
      </c>
      <c r="FD26">
        <f t="shared" si="71"/>
        <v>12500</v>
      </c>
      <c r="FE26">
        <f t="shared" si="72"/>
        <v>47126</v>
      </c>
      <c r="FF26">
        <f t="shared" si="73"/>
        <v>59626</v>
      </c>
      <c r="FG26">
        <f t="shared" si="74"/>
        <v>59626</v>
      </c>
      <c r="FH26">
        <f t="shared" si="75"/>
        <v>2385.04</v>
      </c>
      <c r="FI26">
        <f t="shared" si="76"/>
        <v>62011</v>
      </c>
      <c r="FJ26">
        <v>0</v>
      </c>
      <c r="FK26">
        <f t="shared" si="77"/>
        <v>62011</v>
      </c>
      <c r="FL26" t="b">
        <f t="shared" si="78"/>
        <v>1</v>
      </c>
      <c r="FM26">
        <f t="shared" ca="1" si="79"/>
        <v>504</v>
      </c>
      <c r="FN26">
        <f t="shared" ca="1" si="80"/>
        <v>839196</v>
      </c>
      <c r="FO26">
        <f t="shared" si="81"/>
        <v>75000</v>
      </c>
      <c r="FP26">
        <f t="shared" ca="1" si="82"/>
        <v>764196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364196</v>
      </c>
      <c r="GB26">
        <f t="shared" ca="1" si="94"/>
        <v>18209.8</v>
      </c>
      <c r="GC26">
        <f t="shared" ca="1" si="95"/>
        <v>18210</v>
      </c>
      <c r="GD26">
        <f t="shared" ca="1" si="96"/>
        <v>0</v>
      </c>
      <c r="GE26">
        <f t="shared" ca="1" si="97"/>
        <v>0</v>
      </c>
      <c r="GF26">
        <f t="shared" ca="1" si="98"/>
        <v>18210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18210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40770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42150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42150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42150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43450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43450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43450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43450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43450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43450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471620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471620</v>
      </c>
      <c r="FD27">
        <f t="shared" si="71"/>
        <v>11081</v>
      </c>
      <c r="FE27">
        <f t="shared" si="72"/>
        <v>0</v>
      </c>
      <c r="FF27">
        <f t="shared" si="73"/>
        <v>11081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969</v>
      </c>
      <c r="FN27">
        <f t="shared" ca="1" si="80"/>
        <v>560989</v>
      </c>
      <c r="FO27">
        <f t="shared" si="81"/>
        <v>75000</v>
      </c>
      <c r="FP27">
        <f t="shared" ca="1" si="82"/>
        <v>485989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85989</v>
      </c>
      <c r="GB27">
        <f t="shared" ca="1" si="94"/>
        <v>4299.45</v>
      </c>
      <c r="GC27">
        <f t="shared" ca="1" si="95"/>
        <v>4299</v>
      </c>
      <c r="GD27">
        <f t="shared" ca="1" si="96"/>
        <v>0</v>
      </c>
      <c r="GE27">
        <f t="shared" ca="1" si="97"/>
        <v>0</v>
      </c>
      <c r="GF27">
        <f t="shared" ca="1" si="98"/>
        <v>4299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4299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41270</v>
      </c>
      <c r="T28">
        <f>_xlfn.XLOOKUP(B28,'[2]april-2025'!$A:$A,'[2]april-2025'!$C:$C,0,0)</f>
        <v>34500</v>
      </c>
      <c r="U28">
        <f t="shared" si="5"/>
        <v>6210</v>
      </c>
      <c r="V28">
        <f t="shared" si="6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42650</v>
      </c>
      <c r="AD28">
        <f>_xlfn.XLOOKUP(B28,'[3]may-2025'!$A:$A,'[3]may-2025'!$C:$C,0,0)</f>
        <v>34500</v>
      </c>
      <c r="AE28">
        <f t="shared" si="10"/>
        <v>6210</v>
      </c>
      <c r="AF28">
        <f t="shared" si="11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2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42650</v>
      </c>
      <c r="AN28">
        <f>_xlfn.XLOOKUP(B28,'[4]june-2025'!$A:$A,'[4]june-2025'!$C:$C,0,0)</f>
        <v>34500</v>
      </c>
      <c r="AO28">
        <f t="shared" si="15"/>
        <v>6210</v>
      </c>
      <c r="AP28">
        <f t="shared" si="16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7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42650</v>
      </c>
      <c r="AX28">
        <f>_xlfn.XLOOKUP(B28,'[5]july-2025'!$A:$A,'[5]july-2025'!$C:$C,0,0)</f>
        <v>35500</v>
      </c>
      <c r="AY28">
        <f t="shared" si="20"/>
        <v>6390</v>
      </c>
      <c r="AZ28">
        <v>0</v>
      </c>
      <c r="BA28">
        <f t="shared" si="21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22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43950</v>
      </c>
      <c r="BI28">
        <f>_xlfn.XLOOKUP(B28,'[6]august-2025'!$A:$A,'[6]august-2025'!$C:$C,0,0)</f>
        <v>35500</v>
      </c>
      <c r="BJ28">
        <f t="shared" si="25"/>
        <v>6390</v>
      </c>
      <c r="BK28">
        <f t="shared" si="26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7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43950</v>
      </c>
      <c r="BS28">
        <f>_xlfn.XLOOKUP(B28,'[7]september-2025'!$A:$A,'[7]september-2025'!$C:$C,0,0)</f>
        <v>35500</v>
      </c>
      <c r="BT28">
        <f t="shared" si="30"/>
        <v>6390</v>
      </c>
      <c r="BU28">
        <f t="shared" si="31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32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43950</v>
      </c>
      <c r="CC28">
        <f>_xlfn.XLOOKUP(B28,'[8]october-2025'!$A:$A,'[8]october-2025'!$C:$C,0,0)</f>
        <v>35500</v>
      </c>
      <c r="CD28">
        <f t="shared" si="35"/>
        <v>6390</v>
      </c>
      <c r="CE28">
        <f t="shared" si="36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7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43950</v>
      </c>
      <c r="CM28">
        <f>_xlfn.XLOOKUP(B28,'[9]november-2025'!$A:$A,'[9]november-2025'!$C:$C,0,0)</f>
        <v>35500</v>
      </c>
      <c r="CN28">
        <f t="shared" si="40"/>
        <v>6390</v>
      </c>
      <c r="CO28">
        <f t="shared" si="4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42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43950</v>
      </c>
      <c r="CW28">
        <f>_xlfn.XLOOKUP(B28,'[10]december-2025'!$A:$A,'[10]december-2025'!$C:$C,0,0)</f>
        <v>35500</v>
      </c>
      <c r="CX28">
        <f t="shared" si="45"/>
        <v>6390</v>
      </c>
      <c r="CY28">
        <f t="shared" si="46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7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43950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560020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507620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477620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477620</v>
      </c>
      <c r="FD28">
        <f t="shared" si="71"/>
        <v>11381</v>
      </c>
      <c r="FE28">
        <f t="shared" si="72"/>
        <v>0</v>
      </c>
      <c r="FF28">
        <f t="shared" si="73"/>
        <v>11381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844</v>
      </c>
      <c r="FN28">
        <f t="shared" ca="1" si="80"/>
        <v>560864</v>
      </c>
      <c r="FO28">
        <f t="shared" si="81"/>
        <v>75000</v>
      </c>
      <c r="FP28">
        <f t="shared" ca="1" si="82"/>
        <v>485864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85864</v>
      </c>
      <c r="GB28">
        <f t="shared" ca="1" si="94"/>
        <v>4293.2</v>
      </c>
      <c r="GC28">
        <f t="shared" ca="1" si="95"/>
        <v>4293</v>
      </c>
      <c r="GD28">
        <f t="shared" ca="1" si="96"/>
        <v>0</v>
      </c>
      <c r="GE28">
        <f t="shared" ca="1" si="97"/>
        <v>0</v>
      </c>
      <c r="GF28">
        <f t="shared" ca="1" si="98"/>
        <v>4293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4293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6"/>
        <v>200</v>
      </c>
      <c r="S29">
        <f t="shared" si="4"/>
        <v>50842</v>
      </c>
      <c r="T29">
        <f>_xlfn.XLOOKUP(B29,'[2]april-2025'!$A:$A,'[2]april-2025'!$C:$C,0,0)</f>
        <v>51700</v>
      </c>
      <c r="U29">
        <f t="shared" si="5"/>
        <v>9306</v>
      </c>
      <c r="V29">
        <f t="shared" si="6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8"/>
        <v>200</v>
      </c>
      <c r="AC29">
        <f t="shared" si="9"/>
        <v>52910</v>
      </c>
      <c r="AD29">
        <f>_xlfn.XLOOKUP(B29,'[3]may-2025'!$A:$A,'[3]may-2025'!$C:$C,0,0)</f>
        <v>51700</v>
      </c>
      <c r="AE29">
        <f t="shared" si="10"/>
        <v>9306</v>
      </c>
      <c r="AF29">
        <f t="shared" si="11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2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52910</v>
      </c>
      <c r="AN29">
        <f>_xlfn.XLOOKUP(B29,'[4]june-2025'!$A:$A,'[4]june-2025'!$C:$C,0,0)</f>
        <v>51700</v>
      </c>
      <c r="AO29">
        <f t="shared" si="15"/>
        <v>9306</v>
      </c>
      <c r="AP29">
        <f t="shared" si="16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7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52910</v>
      </c>
      <c r="AX29">
        <f>_xlfn.XLOOKUP(B29,'[5]july-2025'!$A:$A,'[5]july-2025'!$C:$C,0,0)</f>
        <v>53300</v>
      </c>
      <c r="AY29">
        <f t="shared" si="20"/>
        <v>9594</v>
      </c>
      <c r="AZ29">
        <v>0</v>
      </c>
      <c r="BA29">
        <f t="shared" si="21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22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54990</v>
      </c>
      <c r="BI29">
        <f>_xlfn.XLOOKUP(B29,'[6]august-2025'!$A:$A,'[6]august-2025'!$C:$C,0,0)</f>
        <v>53300</v>
      </c>
      <c r="BJ29">
        <f t="shared" si="25"/>
        <v>9594</v>
      </c>
      <c r="BK29">
        <f t="shared" si="26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7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54990</v>
      </c>
      <c r="BS29">
        <f>_xlfn.XLOOKUP(B29,'[7]september-2025'!$A:$A,'[7]september-2025'!$C:$C,0,0)</f>
        <v>53300</v>
      </c>
      <c r="BT29">
        <f t="shared" si="30"/>
        <v>9594</v>
      </c>
      <c r="BU29">
        <f t="shared" si="31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32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54990</v>
      </c>
      <c r="CC29">
        <f>_xlfn.XLOOKUP(B29,'[8]october-2025'!$A:$A,'[8]october-2025'!$C:$C,0,0)</f>
        <v>53300</v>
      </c>
      <c r="CD29">
        <f t="shared" si="35"/>
        <v>9594</v>
      </c>
      <c r="CE29">
        <f t="shared" si="36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7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54990</v>
      </c>
      <c r="CM29">
        <f>_xlfn.XLOOKUP(B29,'[9]november-2025'!$A:$A,'[9]november-2025'!$C:$C,0,0)</f>
        <v>53300</v>
      </c>
      <c r="CN29">
        <f t="shared" si="40"/>
        <v>9594</v>
      </c>
      <c r="CO29">
        <f t="shared" si="4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42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54990</v>
      </c>
      <c r="CW29">
        <f>_xlfn.XLOOKUP(B29,'[10]december-2025'!$A:$A,'[10]december-2025'!$C:$C,0,0)</f>
        <v>53300</v>
      </c>
      <c r="CX29">
        <f t="shared" si="45"/>
        <v>9594</v>
      </c>
      <c r="CY29">
        <f t="shared" si="46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7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54990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838692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786292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636292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636292</v>
      </c>
      <c r="FD29">
        <f t="shared" si="71"/>
        <v>12500</v>
      </c>
      <c r="FE29">
        <f t="shared" si="72"/>
        <v>27258</v>
      </c>
      <c r="FF29">
        <f t="shared" si="73"/>
        <v>39758</v>
      </c>
      <c r="FG29">
        <f t="shared" si="74"/>
        <v>39758</v>
      </c>
      <c r="FH29">
        <f t="shared" si="75"/>
        <v>1590.32</v>
      </c>
      <c r="FI29">
        <f t="shared" si="76"/>
        <v>41348</v>
      </c>
      <c r="FJ29">
        <v>0</v>
      </c>
      <c r="FK29">
        <f t="shared" si="77"/>
        <v>41348</v>
      </c>
      <c r="FL29" t="b">
        <f t="shared" si="78"/>
        <v>1</v>
      </c>
      <c r="FM29">
        <f t="shared" ca="1" si="79"/>
        <v>704</v>
      </c>
      <c r="FN29">
        <f t="shared" ca="1" si="80"/>
        <v>839396</v>
      </c>
      <c r="FO29">
        <f t="shared" si="81"/>
        <v>75000</v>
      </c>
      <c r="FP29">
        <f t="shared" ca="1" si="82"/>
        <v>764396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364396</v>
      </c>
      <c r="GB29">
        <f t="shared" ca="1" si="94"/>
        <v>18219.8</v>
      </c>
      <c r="GC29">
        <f t="shared" ca="1" si="95"/>
        <v>18220</v>
      </c>
      <c r="GD29">
        <f t="shared" ca="1" si="96"/>
        <v>0</v>
      </c>
      <c r="GE29">
        <f t="shared" ca="1" si="97"/>
        <v>0</v>
      </c>
      <c r="GF29">
        <f t="shared" ca="1" si="98"/>
        <v>18220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18220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6"/>
        <v>150</v>
      </c>
      <c r="S30">
        <f t="shared" si="4"/>
        <v>30370</v>
      </c>
      <c r="T30">
        <f>_xlfn.XLOOKUP(B30,'[2]april-2025'!$A:$A,'[2]april-2025'!$C:$C,0,0)</f>
        <v>27000</v>
      </c>
      <c r="U30">
        <f t="shared" si="5"/>
        <v>4860</v>
      </c>
      <c r="V30">
        <f t="shared" si="6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8"/>
        <v>150</v>
      </c>
      <c r="AC30">
        <f t="shared" si="9"/>
        <v>31450</v>
      </c>
      <c r="AD30">
        <f>_xlfn.XLOOKUP(B30,'[3]may-2025'!$A:$A,'[3]may-2025'!$C:$C,0,0)</f>
        <v>31600</v>
      </c>
      <c r="AE30">
        <f t="shared" si="10"/>
        <v>5688</v>
      </c>
      <c r="AF30">
        <f t="shared" si="11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2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3"/>
        <v>200</v>
      </c>
      <c r="AM30">
        <f t="shared" si="14"/>
        <v>37380</v>
      </c>
      <c r="AN30">
        <f>_xlfn.XLOOKUP(B30,'[4]june-2025'!$A:$A,'[4]june-2025'!$C:$C,0,0)</f>
        <v>31600</v>
      </c>
      <c r="AO30">
        <f t="shared" si="15"/>
        <v>5688</v>
      </c>
      <c r="AP30">
        <f t="shared" si="16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7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8"/>
        <v>200</v>
      </c>
      <c r="AW30">
        <f t="shared" si="19"/>
        <v>37380</v>
      </c>
      <c r="AX30">
        <f>_xlfn.XLOOKUP(B30,'[5]july-2025'!$A:$A,'[5]july-2025'!$C:$C,0,0)</f>
        <v>32500</v>
      </c>
      <c r="AY30">
        <f t="shared" si="20"/>
        <v>5850</v>
      </c>
      <c r="AZ30">
        <v>0</v>
      </c>
      <c r="BA30">
        <f t="shared" si="21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22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23"/>
        <v>200</v>
      </c>
      <c r="BH30">
        <f t="shared" si="24"/>
        <v>38550</v>
      </c>
      <c r="BI30">
        <f>_xlfn.XLOOKUP(B30,'[6]august-2025'!$A:$A,'[6]august-2025'!$C:$C,0,0)</f>
        <v>32500</v>
      </c>
      <c r="BJ30">
        <f t="shared" si="25"/>
        <v>5850</v>
      </c>
      <c r="BK30">
        <f t="shared" si="26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7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8"/>
        <v>200</v>
      </c>
      <c r="BR30">
        <f t="shared" si="29"/>
        <v>38550</v>
      </c>
      <c r="BS30">
        <f>_xlfn.XLOOKUP(B30,'[7]september-2025'!$A:$A,'[7]september-2025'!$C:$C,0,0)</f>
        <v>32500</v>
      </c>
      <c r="BT30">
        <f t="shared" si="30"/>
        <v>5850</v>
      </c>
      <c r="BU30">
        <f t="shared" si="31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32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33"/>
        <v>200</v>
      </c>
      <c r="CB30">
        <f t="shared" si="34"/>
        <v>38550</v>
      </c>
      <c r="CC30">
        <f>_xlfn.XLOOKUP(B30,'[8]october-2025'!$A:$A,'[8]october-2025'!$C:$C,0,0)</f>
        <v>32500</v>
      </c>
      <c r="CD30">
        <f t="shared" si="35"/>
        <v>5850</v>
      </c>
      <c r="CE30">
        <f t="shared" si="36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7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8"/>
        <v>200</v>
      </c>
      <c r="CL30">
        <f t="shared" si="39"/>
        <v>38550</v>
      </c>
      <c r="CM30">
        <f>_xlfn.XLOOKUP(B30,'[9]november-2025'!$A:$A,'[9]november-2025'!$C:$C,0,0)</f>
        <v>32500</v>
      </c>
      <c r="CN30">
        <f t="shared" si="40"/>
        <v>5850</v>
      </c>
      <c r="CO30">
        <f t="shared" si="4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42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43"/>
        <v>200</v>
      </c>
      <c r="CV30">
        <f t="shared" si="44"/>
        <v>38550</v>
      </c>
      <c r="CW30">
        <f>_xlfn.XLOOKUP(B30,'[10]december-2025'!$A:$A,'[10]december-2025'!$C:$C,0,0)</f>
        <v>32500</v>
      </c>
      <c r="CX30">
        <f t="shared" si="45"/>
        <v>5850</v>
      </c>
      <c r="CY30">
        <f t="shared" si="46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7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8"/>
        <v>200</v>
      </c>
      <c r="DF30">
        <f t="shared" si="49"/>
        <v>38550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502080</v>
      </c>
      <c r="EB30">
        <f t="shared" si="61"/>
        <v>2300</v>
      </c>
      <c r="EC30">
        <f t="shared" si="62"/>
        <v>50000</v>
      </c>
      <c r="ED30">
        <v>0</v>
      </c>
      <c r="EE30">
        <f t="shared" si="63"/>
        <v>449780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401780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401780</v>
      </c>
      <c r="FD30">
        <f t="shared" si="71"/>
        <v>7589</v>
      </c>
      <c r="FE30">
        <f t="shared" si="72"/>
        <v>0</v>
      </c>
      <c r="FF30">
        <f t="shared" si="73"/>
        <v>7589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964</v>
      </c>
      <c r="FN30">
        <f t="shared" ca="1" si="80"/>
        <v>503044</v>
      </c>
      <c r="FO30">
        <f t="shared" si="81"/>
        <v>75000</v>
      </c>
      <c r="FP30">
        <f t="shared" ca="1" si="82"/>
        <v>428044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28044</v>
      </c>
      <c r="GB30">
        <f t="shared" ca="1" si="94"/>
        <v>1402.2</v>
      </c>
      <c r="GC30">
        <f t="shared" ca="1" si="95"/>
        <v>1402</v>
      </c>
      <c r="GD30">
        <f t="shared" ca="1" si="96"/>
        <v>0</v>
      </c>
      <c r="GE30">
        <f t="shared" ca="1" si="97"/>
        <v>0</v>
      </c>
      <c r="GF30">
        <f t="shared" ca="1" si="98"/>
        <v>1402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1402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6"/>
        <v>200</v>
      </c>
      <c r="S31">
        <f t="shared" si="4"/>
        <v>61782</v>
      </c>
      <c r="T31">
        <f>_xlfn.XLOOKUP(B31,'[2]april-2025'!$A:$A,'[2]april-2025'!$C:$C,0,0)</f>
        <v>51700</v>
      </c>
      <c r="U31">
        <f t="shared" si="5"/>
        <v>9306</v>
      </c>
      <c r="V31">
        <f t="shared" si="6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8"/>
        <v>200</v>
      </c>
      <c r="AC31">
        <f t="shared" si="9"/>
        <v>63850</v>
      </c>
      <c r="AD31">
        <f>_xlfn.XLOOKUP(B31,'[3]may-2025'!$A:$A,'[3]may-2025'!$C:$C,0,0)</f>
        <v>51700</v>
      </c>
      <c r="AE31">
        <f t="shared" si="10"/>
        <v>9306</v>
      </c>
      <c r="AF31">
        <f t="shared" si="11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2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3"/>
        <v>200</v>
      </c>
      <c r="AM31">
        <f t="shared" si="14"/>
        <v>63850</v>
      </c>
      <c r="AN31">
        <f>_xlfn.XLOOKUP(B31,'[4]june-2025'!$A:$A,'[4]june-2025'!$C:$C,0,0)</f>
        <v>51700</v>
      </c>
      <c r="AO31">
        <f t="shared" si="15"/>
        <v>9306</v>
      </c>
      <c r="AP31">
        <f t="shared" si="16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7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8"/>
        <v>200</v>
      </c>
      <c r="AW31">
        <f t="shared" si="19"/>
        <v>63850</v>
      </c>
      <c r="AX31">
        <f>_xlfn.XLOOKUP(B31,'[5]july-2025'!$A:$A,'[5]july-2025'!$C:$C,0,0)</f>
        <v>53300</v>
      </c>
      <c r="AY31">
        <f t="shared" si="20"/>
        <v>9594</v>
      </c>
      <c r="AZ31">
        <v>0</v>
      </c>
      <c r="BA31">
        <f t="shared" si="21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22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23"/>
        <v>200</v>
      </c>
      <c r="BH31">
        <f t="shared" si="24"/>
        <v>65930</v>
      </c>
      <c r="BI31">
        <f>_xlfn.XLOOKUP(B31,'[6]august-2025'!$A:$A,'[6]august-2025'!$C:$C,0,0)</f>
        <v>53300</v>
      </c>
      <c r="BJ31">
        <f t="shared" si="25"/>
        <v>9594</v>
      </c>
      <c r="BK31">
        <f t="shared" si="26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7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8"/>
        <v>200</v>
      </c>
      <c r="BR31">
        <f t="shared" si="29"/>
        <v>65930</v>
      </c>
      <c r="BS31">
        <f>_xlfn.XLOOKUP(B31,'[7]september-2025'!$A:$A,'[7]september-2025'!$C:$C,0,0)</f>
        <v>53300</v>
      </c>
      <c r="BT31">
        <f t="shared" si="30"/>
        <v>9594</v>
      </c>
      <c r="BU31">
        <f t="shared" si="31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32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33"/>
        <v>200</v>
      </c>
      <c r="CB31">
        <f t="shared" si="34"/>
        <v>65930</v>
      </c>
      <c r="CC31">
        <f>_xlfn.XLOOKUP(B31,'[8]october-2025'!$A:$A,'[8]october-2025'!$C:$C,0,0)</f>
        <v>53300</v>
      </c>
      <c r="CD31">
        <f t="shared" si="35"/>
        <v>9594</v>
      </c>
      <c r="CE31">
        <f t="shared" si="36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7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8"/>
        <v>200</v>
      </c>
      <c r="CL31">
        <f t="shared" si="39"/>
        <v>65930</v>
      </c>
      <c r="CM31">
        <f>_xlfn.XLOOKUP(B31,'[9]november-2025'!$A:$A,'[9]november-2025'!$C:$C,0,0)</f>
        <v>53300</v>
      </c>
      <c r="CN31">
        <f t="shared" si="40"/>
        <v>9594</v>
      </c>
      <c r="CO31">
        <f t="shared" si="4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42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43"/>
        <v>200</v>
      </c>
      <c r="CV31">
        <f t="shared" si="44"/>
        <v>65930</v>
      </c>
      <c r="CW31">
        <f>_xlfn.XLOOKUP(B31,'[10]december-2025'!$A:$A,'[10]december-2025'!$C:$C,0,0)</f>
        <v>53300</v>
      </c>
      <c r="CX31">
        <f t="shared" si="45"/>
        <v>9594</v>
      </c>
      <c r="CY31">
        <f t="shared" si="46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7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8"/>
        <v>200</v>
      </c>
      <c r="DF31">
        <f t="shared" si="49"/>
        <v>65930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838692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786292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737572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737572</v>
      </c>
      <c r="FD31">
        <f t="shared" si="71"/>
        <v>12500</v>
      </c>
      <c r="FE31">
        <f t="shared" si="72"/>
        <v>47514</v>
      </c>
      <c r="FF31">
        <f t="shared" si="73"/>
        <v>60014</v>
      </c>
      <c r="FG31">
        <f t="shared" si="74"/>
        <v>60014</v>
      </c>
      <c r="FH31">
        <f t="shared" si="75"/>
        <v>2400.56</v>
      </c>
      <c r="FI31">
        <f t="shared" si="76"/>
        <v>62415</v>
      </c>
      <c r="FJ31">
        <v>0</v>
      </c>
      <c r="FK31">
        <f t="shared" si="77"/>
        <v>62415</v>
      </c>
      <c r="FL31" t="b">
        <f t="shared" si="78"/>
        <v>1</v>
      </c>
      <c r="FM31">
        <f t="shared" ca="1" si="79"/>
        <v>634</v>
      </c>
      <c r="FN31">
        <f t="shared" ca="1" si="80"/>
        <v>839326</v>
      </c>
      <c r="FO31">
        <f t="shared" si="81"/>
        <v>75000</v>
      </c>
      <c r="FP31">
        <f t="shared" ca="1" si="82"/>
        <v>764326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364326</v>
      </c>
      <c r="GB31">
        <f t="shared" ca="1" si="94"/>
        <v>18216.3</v>
      </c>
      <c r="GC31">
        <f t="shared" ca="1" si="95"/>
        <v>18216</v>
      </c>
      <c r="GD31">
        <f t="shared" ca="1" si="96"/>
        <v>0</v>
      </c>
      <c r="GE31">
        <f t="shared" ca="1" si="97"/>
        <v>0</v>
      </c>
      <c r="GF31">
        <f t="shared" ca="1" si="98"/>
        <v>18216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18216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61490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6"/>
        <v>150</v>
      </c>
      <c r="S32">
        <f t="shared" si="4"/>
        <v>34764</v>
      </c>
      <c r="T32">
        <f>_xlfn.XLOOKUP(B32,'[2]april-2025'!$A:$A,'[2]april-2025'!$C:$C,0,0)</f>
        <v>28900</v>
      </c>
      <c r="U32">
        <f t="shared" si="5"/>
        <v>5202</v>
      </c>
      <c r="V32">
        <f t="shared" si="6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8"/>
        <v>150</v>
      </c>
      <c r="AC32">
        <f t="shared" si="9"/>
        <v>35920</v>
      </c>
      <c r="AD32">
        <f>_xlfn.XLOOKUP(B32,'[3]may-2025'!$A:$A,'[3]may-2025'!$C:$C,0,0)</f>
        <v>28900</v>
      </c>
      <c r="AE32">
        <f t="shared" si="10"/>
        <v>5202</v>
      </c>
      <c r="AF32">
        <f t="shared" si="11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2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3"/>
        <v>150</v>
      </c>
      <c r="AM32">
        <f t="shared" si="14"/>
        <v>35920</v>
      </c>
      <c r="AN32">
        <f>_xlfn.XLOOKUP(B32,'[4]june-2025'!$A:$A,'[4]june-2025'!$C:$C,0,0)</f>
        <v>28900</v>
      </c>
      <c r="AO32">
        <f t="shared" si="15"/>
        <v>5202</v>
      </c>
      <c r="AP32">
        <f t="shared" si="16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7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8"/>
        <v>150</v>
      </c>
      <c r="AW32">
        <f t="shared" si="19"/>
        <v>35920</v>
      </c>
      <c r="AX32">
        <f>_xlfn.XLOOKUP(B32,'[5]july-2025'!$A:$A,'[5]july-2025'!$C:$C,0,0)</f>
        <v>29800</v>
      </c>
      <c r="AY32">
        <f t="shared" si="20"/>
        <v>5364</v>
      </c>
      <c r="AZ32">
        <v>0</v>
      </c>
      <c r="BA32">
        <f t="shared" si="21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22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23"/>
        <v>150</v>
      </c>
      <c r="BH32">
        <f t="shared" si="24"/>
        <v>37090</v>
      </c>
      <c r="BI32">
        <f>_xlfn.XLOOKUP(B32,'[6]august-2025'!$A:$A,'[6]august-2025'!$C:$C,0,0)</f>
        <v>29800</v>
      </c>
      <c r="BJ32">
        <f t="shared" si="25"/>
        <v>5364</v>
      </c>
      <c r="BK32">
        <f t="shared" si="26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7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8"/>
        <v>150</v>
      </c>
      <c r="BR32">
        <f t="shared" si="29"/>
        <v>37090</v>
      </c>
      <c r="BS32">
        <f>_xlfn.XLOOKUP(B32,'[7]september-2025'!$A:$A,'[7]september-2025'!$C:$C,0,0)</f>
        <v>29800</v>
      </c>
      <c r="BT32">
        <f t="shared" si="30"/>
        <v>5364</v>
      </c>
      <c r="BU32">
        <f t="shared" si="31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32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33"/>
        <v>150</v>
      </c>
      <c r="CB32">
        <f t="shared" si="34"/>
        <v>37090</v>
      </c>
      <c r="CC32">
        <f>_xlfn.XLOOKUP(B32,'[8]october-2025'!$A:$A,'[8]october-2025'!$C:$C,0,0)</f>
        <v>29800</v>
      </c>
      <c r="CD32">
        <f t="shared" si="35"/>
        <v>5364</v>
      </c>
      <c r="CE32">
        <f t="shared" si="36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7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8"/>
        <v>150</v>
      </c>
      <c r="CL32">
        <f t="shared" si="39"/>
        <v>37090</v>
      </c>
      <c r="CM32">
        <f>_xlfn.XLOOKUP(B32,'[9]november-2025'!$A:$A,'[9]november-2025'!$C:$C,0,0)</f>
        <v>29800</v>
      </c>
      <c r="CN32">
        <f t="shared" si="40"/>
        <v>5364</v>
      </c>
      <c r="CO32">
        <f t="shared" si="4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42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43"/>
        <v>150</v>
      </c>
      <c r="CV32">
        <f t="shared" si="44"/>
        <v>37090</v>
      </c>
      <c r="CW32">
        <f>_xlfn.XLOOKUP(B32,'[10]december-2025'!$A:$A,'[10]december-2025'!$C:$C,0,0)</f>
        <v>29800</v>
      </c>
      <c r="CX32">
        <f t="shared" si="45"/>
        <v>5364</v>
      </c>
      <c r="CY32">
        <f t="shared" si="46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7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8"/>
        <v>150</v>
      </c>
      <c r="DF32">
        <f t="shared" si="49"/>
        <v>37090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533334</v>
      </c>
      <c r="EB32">
        <f t="shared" si="61"/>
        <v>1800</v>
      </c>
      <c r="EC32">
        <f t="shared" si="62"/>
        <v>50000</v>
      </c>
      <c r="ED32">
        <v>0</v>
      </c>
      <c r="EE32">
        <f t="shared" si="63"/>
        <v>481534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457534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457534</v>
      </c>
      <c r="FD32">
        <f t="shared" si="71"/>
        <v>10377</v>
      </c>
      <c r="FE32">
        <f t="shared" si="72"/>
        <v>0</v>
      </c>
      <c r="FF32">
        <f t="shared" si="73"/>
        <v>10377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1</v>
      </c>
      <c r="FM32">
        <f t="shared" ca="1" si="79"/>
        <v>853</v>
      </c>
      <c r="FN32">
        <f t="shared" ca="1" si="80"/>
        <v>534187</v>
      </c>
      <c r="FO32">
        <f t="shared" si="81"/>
        <v>75000</v>
      </c>
      <c r="FP32">
        <f t="shared" ca="1" si="82"/>
        <v>459187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59187</v>
      </c>
      <c r="GB32">
        <f t="shared" ca="1" si="94"/>
        <v>2959.3500000000004</v>
      </c>
      <c r="GC32">
        <f t="shared" ca="1" si="95"/>
        <v>2959</v>
      </c>
      <c r="GD32">
        <f t="shared" ca="1" si="96"/>
        <v>0</v>
      </c>
      <c r="GE32">
        <f t="shared" ca="1" si="97"/>
        <v>0</v>
      </c>
      <c r="GF32">
        <f t="shared" ca="1" si="98"/>
        <v>2959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2959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6"/>
        <v>200</v>
      </c>
      <c r="S33">
        <f t="shared" si="4"/>
        <v>61282</v>
      </c>
      <c r="T33">
        <f>_xlfn.XLOOKUP(B33,'[2]april-2025'!$A:$A,'[2]april-2025'!$C:$C,0,0)</f>
        <v>51700</v>
      </c>
      <c r="U33">
        <f t="shared" si="5"/>
        <v>9306</v>
      </c>
      <c r="V33">
        <f t="shared" si="6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8"/>
        <v>200</v>
      </c>
      <c r="AC33">
        <f t="shared" si="9"/>
        <v>63350</v>
      </c>
      <c r="AD33">
        <f>_xlfn.XLOOKUP(B33,'[3]may-2025'!$A:$A,'[3]may-2025'!$C:$C,0,0)</f>
        <v>51700</v>
      </c>
      <c r="AE33">
        <f t="shared" si="10"/>
        <v>9306</v>
      </c>
      <c r="AF33">
        <f t="shared" si="11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2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3"/>
        <v>200</v>
      </c>
      <c r="AM33">
        <f t="shared" si="14"/>
        <v>63350</v>
      </c>
      <c r="AN33">
        <f>_xlfn.XLOOKUP(B33,'[4]june-2025'!$A:$A,'[4]june-2025'!$C:$C,0,0)</f>
        <v>51700</v>
      </c>
      <c r="AO33">
        <f t="shared" si="15"/>
        <v>9306</v>
      </c>
      <c r="AP33">
        <f t="shared" si="16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7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8"/>
        <v>200</v>
      </c>
      <c r="AW33">
        <f t="shared" si="19"/>
        <v>63350</v>
      </c>
      <c r="AX33">
        <f>_xlfn.XLOOKUP(B33,'[5]july-2025'!$A:$A,'[5]july-2025'!$C:$C,0,0)</f>
        <v>53300</v>
      </c>
      <c r="AY33">
        <f t="shared" si="20"/>
        <v>9594</v>
      </c>
      <c r="AZ33">
        <v>0</v>
      </c>
      <c r="BA33">
        <f t="shared" si="21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22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23"/>
        <v>200</v>
      </c>
      <c r="BH33">
        <f t="shared" si="24"/>
        <v>65430</v>
      </c>
      <c r="BI33">
        <f>_xlfn.XLOOKUP(B33,'[6]august-2025'!$A:$A,'[6]august-2025'!$C:$C,0,0)</f>
        <v>53300</v>
      </c>
      <c r="BJ33">
        <f t="shared" si="25"/>
        <v>9594</v>
      </c>
      <c r="BK33">
        <f t="shared" si="26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7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8"/>
        <v>200</v>
      </c>
      <c r="BR33">
        <f t="shared" si="29"/>
        <v>65430</v>
      </c>
      <c r="BS33">
        <f>_xlfn.XLOOKUP(B33,'[7]september-2025'!$A:$A,'[7]september-2025'!$C:$C,0,0)</f>
        <v>53300</v>
      </c>
      <c r="BT33">
        <f t="shared" si="30"/>
        <v>9594</v>
      </c>
      <c r="BU33">
        <f t="shared" si="31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32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33"/>
        <v>200</v>
      </c>
      <c r="CB33">
        <f t="shared" si="34"/>
        <v>65430</v>
      </c>
      <c r="CC33">
        <f>_xlfn.XLOOKUP(B33,'[8]october-2025'!$A:$A,'[8]october-2025'!$C:$C,0,0)</f>
        <v>53300</v>
      </c>
      <c r="CD33">
        <f t="shared" si="35"/>
        <v>9594</v>
      </c>
      <c r="CE33">
        <f t="shared" si="36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7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8"/>
        <v>200</v>
      </c>
      <c r="CL33">
        <f t="shared" si="39"/>
        <v>65430</v>
      </c>
      <c r="CM33">
        <f>_xlfn.XLOOKUP(B33,'[9]november-2025'!$A:$A,'[9]november-2025'!$C:$C,0,0)</f>
        <v>53300</v>
      </c>
      <c r="CN33">
        <f t="shared" si="40"/>
        <v>9594</v>
      </c>
      <c r="CO33">
        <f t="shared" si="4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42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43"/>
        <v>200</v>
      </c>
      <c r="CV33">
        <f t="shared" si="44"/>
        <v>65430</v>
      </c>
      <c r="CW33">
        <f>_xlfn.XLOOKUP(B33,'[10]december-2025'!$A:$A,'[10]december-2025'!$C:$C,0,0)</f>
        <v>53300</v>
      </c>
      <c r="CX33">
        <f t="shared" si="45"/>
        <v>9594</v>
      </c>
      <c r="CY33">
        <f t="shared" si="46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7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8"/>
        <v>200</v>
      </c>
      <c r="DF33">
        <f t="shared" si="49"/>
        <v>65430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832692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780292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731572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731572</v>
      </c>
      <c r="FD33">
        <f t="shared" si="71"/>
        <v>12500</v>
      </c>
      <c r="FE33">
        <f t="shared" si="72"/>
        <v>46314</v>
      </c>
      <c r="FF33">
        <f t="shared" si="73"/>
        <v>58814</v>
      </c>
      <c r="FG33">
        <f t="shared" si="74"/>
        <v>58814</v>
      </c>
      <c r="FH33">
        <f t="shared" si="75"/>
        <v>2352.56</v>
      </c>
      <c r="FI33">
        <f t="shared" si="76"/>
        <v>61167</v>
      </c>
      <c r="FJ33">
        <v>0</v>
      </c>
      <c r="FK33">
        <f t="shared" si="77"/>
        <v>61167</v>
      </c>
      <c r="FL33" t="b">
        <f t="shared" si="78"/>
        <v>1</v>
      </c>
      <c r="FM33">
        <f t="shared" ca="1" si="79"/>
        <v>567</v>
      </c>
      <c r="FN33">
        <f t="shared" ca="1" si="80"/>
        <v>833259</v>
      </c>
      <c r="FO33">
        <f t="shared" si="81"/>
        <v>75000</v>
      </c>
      <c r="FP33">
        <f t="shared" ca="1" si="82"/>
        <v>758259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358259</v>
      </c>
      <c r="GB33">
        <f t="shared" ca="1" si="94"/>
        <v>17912.95</v>
      </c>
      <c r="GC33">
        <f t="shared" ca="1" si="95"/>
        <v>17913</v>
      </c>
      <c r="GD33">
        <f t="shared" ca="1" si="96"/>
        <v>0</v>
      </c>
      <c r="GE33">
        <f t="shared" ca="1" si="97"/>
        <v>0</v>
      </c>
      <c r="GF33">
        <f t="shared" ca="1" si="98"/>
        <v>17913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17913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6"/>
        <v>200</v>
      </c>
      <c r="S34">
        <f t="shared" si="4"/>
        <v>39510</v>
      </c>
      <c r="T34">
        <f>_xlfn.XLOOKUP(B34,'[2]april-2025'!$A:$A,'[2]april-2025'!$C:$C,0,0)</f>
        <v>33500</v>
      </c>
      <c r="U34">
        <f t="shared" si="5"/>
        <v>6030</v>
      </c>
      <c r="V34">
        <f t="shared" si="6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40850</v>
      </c>
      <c r="AD34">
        <f>_xlfn.XLOOKUP(B34,'[3]may-2025'!$A:$A,'[3]may-2025'!$C:$C,0,0)</f>
        <v>33500</v>
      </c>
      <c r="AE34">
        <f t="shared" si="10"/>
        <v>6030</v>
      </c>
      <c r="AF34">
        <f t="shared" si="11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2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40850</v>
      </c>
      <c r="AN34">
        <f>_xlfn.XLOOKUP(B34,'[4]june-2025'!$A:$A,'[4]june-2025'!$C:$C,0,0)</f>
        <v>33500</v>
      </c>
      <c r="AO34">
        <f t="shared" si="15"/>
        <v>6030</v>
      </c>
      <c r="AP34">
        <f t="shared" si="16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7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40850</v>
      </c>
      <c r="AX34">
        <f>_xlfn.XLOOKUP(B34,'[5]july-2025'!$A:$A,'[5]july-2025'!$C:$C,0,0)</f>
        <v>35500</v>
      </c>
      <c r="AY34">
        <f t="shared" si="20"/>
        <v>6390</v>
      </c>
      <c r="AZ34">
        <v>0</v>
      </c>
      <c r="BA34">
        <f t="shared" si="21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22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43450</v>
      </c>
      <c r="BI34">
        <f>_xlfn.XLOOKUP(B34,'[6]august-2025'!$A:$A,'[6]august-2025'!$C:$C,0,0)</f>
        <v>35500</v>
      </c>
      <c r="BJ34">
        <f t="shared" si="25"/>
        <v>6390</v>
      </c>
      <c r="BK34">
        <f t="shared" si="26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7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43450</v>
      </c>
      <c r="BS34">
        <f>_xlfn.XLOOKUP(B34,'[7]september-2025'!$A:$A,'[7]september-2025'!$C:$C,0,0)</f>
        <v>35500</v>
      </c>
      <c r="BT34">
        <f t="shared" si="30"/>
        <v>6390</v>
      </c>
      <c r="BU34">
        <f t="shared" si="31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32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43450</v>
      </c>
      <c r="CC34">
        <f>_xlfn.XLOOKUP(B34,'[8]october-2025'!$A:$A,'[8]october-2025'!$C:$C,0,0)</f>
        <v>35500</v>
      </c>
      <c r="CD34">
        <f t="shared" si="35"/>
        <v>6390</v>
      </c>
      <c r="CE34">
        <f t="shared" si="36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7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43450</v>
      </c>
      <c r="CM34">
        <f>_xlfn.XLOOKUP(B34,'[9]november-2025'!$A:$A,'[9]november-2025'!$C:$C,0,0)</f>
        <v>35500</v>
      </c>
      <c r="CN34">
        <f t="shared" si="40"/>
        <v>6390</v>
      </c>
      <c r="CO34">
        <f t="shared" si="4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42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43450</v>
      </c>
      <c r="CW34">
        <f>_xlfn.XLOOKUP(B34,'[10]december-2025'!$A:$A,'[10]december-2025'!$C:$C,0,0)</f>
        <v>35500</v>
      </c>
      <c r="CX34">
        <f t="shared" si="45"/>
        <v>6390</v>
      </c>
      <c r="CY34">
        <f t="shared" si="46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7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43450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554860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502460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466460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466460</v>
      </c>
      <c r="FD34">
        <f t="shared" si="71"/>
        <v>10823</v>
      </c>
      <c r="FE34">
        <f t="shared" si="72"/>
        <v>0</v>
      </c>
      <c r="FF34">
        <f t="shared" si="73"/>
        <v>10823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933</v>
      </c>
      <c r="FN34">
        <f t="shared" ca="1" si="80"/>
        <v>555793</v>
      </c>
      <c r="FO34">
        <f t="shared" si="81"/>
        <v>75000</v>
      </c>
      <c r="FP34">
        <f t="shared" ca="1" si="82"/>
        <v>480793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80793</v>
      </c>
      <c r="GB34">
        <f t="shared" ca="1" si="94"/>
        <v>4039.65</v>
      </c>
      <c r="GC34">
        <f t="shared" ca="1" si="95"/>
        <v>4040</v>
      </c>
      <c r="GD34">
        <f t="shared" ca="1" si="96"/>
        <v>0</v>
      </c>
      <c r="GE34">
        <f t="shared" ca="1" si="97"/>
        <v>0</v>
      </c>
      <c r="GF34">
        <f t="shared" ca="1" si="98"/>
        <v>4040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4040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21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37666</v>
      </c>
      <c r="T35">
        <f>_xlfn.XLOOKUP(B35,'[2]april-2025'!$A:$A,'[2]april-2025'!$C:$C,0,0)</f>
        <v>31600</v>
      </c>
      <c r="U35">
        <f t="shared" si="5"/>
        <v>5688</v>
      </c>
      <c r="V35">
        <f t="shared" si="6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8"/>
        <v>200</v>
      </c>
      <c r="AC35">
        <f t="shared" si="9"/>
        <v>38880</v>
      </c>
      <c r="AD35">
        <f>_xlfn.XLOOKUP(B35,'[3]may-2025'!$A:$A,'[3]may-2025'!$C:$C,0,0)</f>
        <v>31600</v>
      </c>
      <c r="AE35">
        <f t="shared" si="10"/>
        <v>5688</v>
      </c>
      <c r="AF35">
        <f t="shared" si="11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2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3"/>
        <v>200</v>
      </c>
      <c r="AM35">
        <f t="shared" si="14"/>
        <v>38880</v>
      </c>
      <c r="AN35">
        <f>_xlfn.XLOOKUP(B35,'[4]june-2025'!$A:$A,'[4]june-2025'!$C:$C,0,0)</f>
        <v>31600</v>
      </c>
      <c r="AO35">
        <f t="shared" si="15"/>
        <v>5688</v>
      </c>
      <c r="AP35">
        <f t="shared" si="16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7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8"/>
        <v>200</v>
      </c>
      <c r="AW35">
        <f t="shared" si="19"/>
        <v>38880</v>
      </c>
      <c r="AX35">
        <f>_xlfn.XLOOKUP(B35,'[5]july-2025'!$A:$A,'[5]july-2025'!$C:$C,0,0)</f>
        <v>32500</v>
      </c>
      <c r="AY35">
        <f t="shared" si="20"/>
        <v>5850</v>
      </c>
      <c r="AZ35">
        <v>0</v>
      </c>
      <c r="BA35">
        <f t="shared" si="21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22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23"/>
        <v>200</v>
      </c>
      <c r="BH35">
        <f t="shared" si="24"/>
        <v>40050</v>
      </c>
      <c r="BI35">
        <f>_xlfn.XLOOKUP(B35,'[6]august-2025'!$A:$A,'[6]august-2025'!$C:$C,0,0)</f>
        <v>32500</v>
      </c>
      <c r="BJ35">
        <f t="shared" si="25"/>
        <v>5850</v>
      </c>
      <c r="BK35">
        <f t="shared" si="26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7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8"/>
        <v>200</v>
      </c>
      <c r="BR35">
        <f t="shared" si="29"/>
        <v>40050</v>
      </c>
      <c r="BS35">
        <f>_xlfn.XLOOKUP(B35,'[7]september-2025'!$A:$A,'[7]september-2025'!$C:$C,0,0)</f>
        <v>32500</v>
      </c>
      <c r="BT35">
        <f t="shared" si="30"/>
        <v>5850</v>
      </c>
      <c r="BU35">
        <f t="shared" si="31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32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33"/>
        <v>200</v>
      </c>
      <c r="CB35">
        <f t="shared" si="34"/>
        <v>40050</v>
      </c>
      <c r="CC35">
        <f>_xlfn.XLOOKUP(B35,'[8]october-2025'!$A:$A,'[8]october-2025'!$C:$C,0,0)</f>
        <v>32500</v>
      </c>
      <c r="CD35">
        <f t="shared" si="35"/>
        <v>5850</v>
      </c>
      <c r="CE35">
        <f t="shared" si="36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7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8"/>
        <v>200</v>
      </c>
      <c r="CL35">
        <f t="shared" si="39"/>
        <v>40050</v>
      </c>
      <c r="CM35">
        <f>_xlfn.XLOOKUP(B35,'[9]november-2025'!$A:$A,'[9]november-2025'!$C:$C,0,0)</f>
        <v>32500</v>
      </c>
      <c r="CN35">
        <f t="shared" si="40"/>
        <v>5850</v>
      </c>
      <c r="CO35">
        <f t="shared" si="4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42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43"/>
        <v>200</v>
      </c>
      <c r="CV35">
        <f t="shared" si="44"/>
        <v>40050</v>
      </c>
      <c r="CW35">
        <f>_xlfn.XLOOKUP(B35,'[10]december-2025'!$A:$A,'[10]december-2025'!$C:$C,0,0)</f>
        <v>32500</v>
      </c>
      <c r="CX35">
        <f t="shared" si="45"/>
        <v>5850</v>
      </c>
      <c r="CY35">
        <f t="shared" si="46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7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8"/>
        <v>200</v>
      </c>
      <c r="DF35">
        <f t="shared" si="49"/>
        <v>40050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507856</v>
      </c>
      <c r="EB35">
        <f t="shared" si="61"/>
        <v>2350</v>
      </c>
      <c r="EC35">
        <f t="shared" si="62"/>
        <v>50000</v>
      </c>
      <c r="ED35">
        <v>0</v>
      </c>
      <c r="EE35">
        <f t="shared" si="63"/>
        <v>455506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431506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431506</v>
      </c>
      <c r="FD35">
        <f t="shared" si="71"/>
        <v>9075</v>
      </c>
      <c r="FE35">
        <f t="shared" si="72"/>
        <v>0</v>
      </c>
      <c r="FF35">
        <f t="shared" si="73"/>
        <v>9075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665</v>
      </c>
      <c r="FN35">
        <f t="shared" ca="1" si="80"/>
        <v>508521</v>
      </c>
      <c r="FO35">
        <f t="shared" si="81"/>
        <v>75000</v>
      </c>
      <c r="FP35">
        <f t="shared" ca="1" si="82"/>
        <v>433521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33521</v>
      </c>
      <c r="GB35">
        <f t="shared" ca="1" si="94"/>
        <v>1676.0500000000002</v>
      </c>
      <c r="GC35">
        <f t="shared" ca="1" si="95"/>
        <v>1676</v>
      </c>
      <c r="GD35">
        <f t="shared" ca="1" si="96"/>
        <v>0</v>
      </c>
      <c r="GE35">
        <f t="shared" ca="1" si="97"/>
        <v>0</v>
      </c>
      <c r="GF35">
        <f t="shared" ca="1" si="98"/>
        <v>1676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1676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21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6"/>
        <v>150</v>
      </c>
      <c r="S36">
        <f t="shared" si="4"/>
        <v>31764</v>
      </c>
      <c r="T36">
        <f>_xlfn.XLOOKUP(B36,'[2]april-2025'!$A:$A,'[2]april-2025'!$C:$C,0,0)</f>
        <v>28900</v>
      </c>
      <c r="U36">
        <f t="shared" si="5"/>
        <v>5202</v>
      </c>
      <c r="V36">
        <f t="shared" si="6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8"/>
        <v>150</v>
      </c>
      <c r="AC36">
        <f t="shared" si="9"/>
        <v>32920</v>
      </c>
      <c r="AD36">
        <f>_xlfn.XLOOKUP(B36,'[3]may-2025'!$A:$A,'[3]may-2025'!$C:$C,0,0)</f>
        <v>28900</v>
      </c>
      <c r="AE36">
        <f t="shared" si="10"/>
        <v>5202</v>
      </c>
      <c r="AF36">
        <f t="shared" si="11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2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3"/>
        <v>150</v>
      </c>
      <c r="AM36">
        <f t="shared" si="14"/>
        <v>32920</v>
      </c>
      <c r="AN36">
        <f>_xlfn.XLOOKUP(B36,'[4]june-2025'!$A:$A,'[4]june-2025'!$C:$C,0,0)</f>
        <v>28900</v>
      </c>
      <c r="AO36">
        <f t="shared" si="15"/>
        <v>5202</v>
      </c>
      <c r="AP36">
        <f t="shared" si="16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7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8"/>
        <v>150</v>
      </c>
      <c r="AW36">
        <f t="shared" si="19"/>
        <v>32920</v>
      </c>
      <c r="AX36">
        <f>_xlfn.XLOOKUP(B36,'[5]july-2025'!$A:$A,'[5]july-2025'!$C:$C,0,0)</f>
        <v>29800</v>
      </c>
      <c r="AY36">
        <f t="shared" si="20"/>
        <v>5364</v>
      </c>
      <c r="AZ36">
        <v>0</v>
      </c>
      <c r="BA36">
        <f t="shared" si="21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22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23"/>
        <v>150</v>
      </c>
      <c r="BH36">
        <f t="shared" si="24"/>
        <v>34090</v>
      </c>
      <c r="BI36">
        <f>_xlfn.XLOOKUP(B36,'[6]august-2025'!$A:$A,'[6]august-2025'!$C:$C,0,0)</f>
        <v>29800</v>
      </c>
      <c r="BJ36">
        <f t="shared" si="25"/>
        <v>5364</v>
      </c>
      <c r="BK36">
        <f t="shared" si="26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7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8"/>
        <v>150</v>
      </c>
      <c r="BR36">
        <f t="shared" si="29"/>
        <v>34090</v>
      </c>
      <c r="BS36">
        <f>_xlfn.XLOOKUP(B36,'[7]september-2025'!$A:$A,'[7]september-2025'!$C:$C,0,0)</f>
        <v>29800</v>
      </c>
      <c r="BT36">
        <f t="shared" si="30"/>
        <v>5364</v>
      </c>
      <c r="BU36">
        <f t="shared" si="31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32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33"/>
        <v>150</v>
      </c>
      <c r="CB36">
        <f t="shared" si="34"/>
        <v>34090</v>
      </c>
      <c r="CC36">
        <f>_xlfn.XLOOKUP(B36,'[8]october-2025'!$A:$A,'[8]october-2025'!$C:$C,0,0)</f>
        <v>29800</v>
      </c>
      <c r="CD36">
        <f t="shared" si="35"/>
        <v>5364</v>
      </c>
      <c r="CE36">
        <f t="shared" si="36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7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8"/>
        <v>150</v>
      </c>
      <c r="CL36">
        <f t="shared" si="39"/>
        <v>34090</v>
      </c>
      <c r="CM36">
        <f>_xlfn.XLOOKUP(B36,'[9]november-2025'!$A:$A,'[9]november-2025'!$C:$C,0,0)</f>
        <v>29800</v>
      </c>
      <c r="CN36">
        <f t="shared" si="40"/>
        <v>5364</v>
      </c>
      <c r="CO36">
        <f t="shared" si="4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42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43"/>
        <v>150</v>
      </c>
      <c r="CV36">
        <f t="shared" si="44"/>
        <v>34090</v>
      </c>
      <c r="CW36">
        <f>_xlfn.XLOOKUP(B36,'[10]december-2025'!$A:$A,'[10]december-2025'!$C:$C,0,0)</f>
        <v>29800</v>
      </c>
      <c r="CX36">
        <f t="shared" si="45"/>
        <v>5364</v>
      </c>
      <c r="CY36">
        <f t="shared" si="46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7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8"/>
        <v>150</v>
      </c>
      <c r="DF36">
        <f t="shared" si="49"/>
        <v>34090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471844</v>
      </c>
      <c r="EB36">
        <f t="shared" si="61"/>
        <v>1800</v>
      </c>
      <c r="EC36">
        <f t="shared" si="62"/>
        <v>50000</v>
      </c>
      <c r="ED36">
        <v>0</v>
      </c>
      <c r="EE36">
        <f t="shared" si="63"/>
        <v>420044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360044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360044</v>
      </c>
      <c r="FD36">
        <f t="shared" si="71"/>
        <v>5502</v>
      </c>
      <c r="FE36">
        <f t="shared" si="72"/>
        <v>0</v>
      </c>
      <c r="FF36">
        <f t="shared" si="73"/>
        <v>5502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2883</v>
      </c>
      <c r="FN36">
        <f t="shared" ca="1" si="80"/>
        <v>474727</v>
      </c>
      <c r="FO36">
        <f t="shared" si="81"/>
        <v>75000</v>
      </c>
      <c r="FP36">
        <f t="shared" ca="1" si="82"/>
        <v>399727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0</v>
      </c>
      <c r="GB36">
        <f t="shared" ca="1" si="94"/>
        <v>0</v>
      </c>
      <c r="GC36">
        <f t="shared" ca="1" si="95"/>
        <v>0</v>
      </c>
      <c r="GD36">
        <f t="shared" ca="1" si="96"/>
        <v>0</v>
      </c>
      <c r="GE36">
        <f t="shared" ca="1" si="97"/>
        <v>0</v>
      </c>
      <c r="GF36">
        <f t="shared" ca="1" si="98"/>
        <v>0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0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21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6"/>
        <v>200</v>
      </c>
      <c r="S37">
        <f t="shared" si="4"/>
        <v>55782</v>
      </c>
      <c r="T37">
        <f>_xlfn.XLOOKUP(B37,'[2]april-2025'!$A:$A,'[2]april-2025'!$C:$C,0,0)</f>
        <v>51700</v>
      </c>
      <c r="U37">
        <f t="shared" si="5"/>
        <v>9306</v>
      </c>
      <c r="V37">
        <f t="shared" si="6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8"/>
        <v>200</v>
      </c>
      <c r="AC37">
        <f t="shared" si="9"/>
        <v>57850</v>
      </c>
      <c r="AD37">
        <f>_xlfn.XLOOKUP(B37,'[3]may-2025'!$A:$A,'[3]may-2025'!$C:$C,0,0)</f>
        <v>51700</v>
      </c>
      <c r="AE37">
        <f t="shared" si="10"/>
        <v>9306</v>
      </c>
      <c r="AF37">
        <f t="shared" si="11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2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3"/>
        <v>200</v>
      </c>
      <c r="AM37">
        <f t="shared" si="14"/>
        <v>57850</v>
      </c>
      <c r="AN37">
        <f>_xlfn.XLOOKUP(B37,'[4]june-2025'!$A:$A,'[4]june-2025'!$C:$C,0,0)</f>
        <v>51700</v>
      </c>
      <c r="AO37">
        <f t="shared" si="15"/>
        <v>9306</v>
      </c>
      <c r="AP37">
        <f t="shared" si="16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7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8"/>
        <v>200</v>
      </c>
      <c r="AW37">
        <f t="shared" si="19"/>
        <v>57850</v>
      </c>
      <c r="AX37">
        <f>_xlfn.XLOOKUP(B37,'[5]july-2025'!$A:$A,'[5]july-2025'!$C:$C,0,0)</f>
        <v>53300</v>
      </c>
      <c r="AY37">
        <f t="shared" si="20"/>
        <v>9594</v>
      </c>
      <c r="AZ37">
        <v>0</v>
      </c>
      <c r="BA37">
        <f t="shared" si="21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22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23"/>
        <v>200</v>
      </c>
      <c r="BH37">
        <f t="shared" si="24"/>
        <v>59930</v>
      </c>
      <c r="BI37">
        <f>_xlfn.XLOOKUP(B37,'[6]august-2025'!$A:$A,'[6]august-2025'!$C:$C,0,0)</f>
        <v>53300</v>
      </c>
      <c r="BJ37">
        <f t="shared" si="25"/>
        <v>9594</v>
      </c>
      <c r="BK37">
        <f t="shared" si="26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7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8"/>
        <v>200</v>
      </c>
      <c r="BR37">
        <f t="shared" si="29"/>
        <v>59930</v>
      </c>
      <c r="BS37">
        <f>_xlfn.XLOOKUP(B37,'[7]september-2025'!$A:$A,'[7]september-2025'!$C:$C,0,0)</f>
        <v>53300</v>
      </c>
      <c r="BT37">
        <f t="shared" si="30"/>
        <v>9594</v>
      </c>
      <c r="BU37">
        <f t="shared" si="31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32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33"/>
        <v>200</v>
      </c>
      <c r="CB37">
        <f t="shared" si="34"/>
        <v>59930</v>
      </c>
      <c r="CC37">
        <f>_xlfn.XLOOKUP(B37,'[8]october-2025'!$A:$A,'[8]october-2025'!$C:$C,0,0)</f>
        <v>53300</v>
      </c>
      <c r="CD37">
        <f t="shared" si="35"/>
        <v>9594</v>
      </c>
      <c r="CE37">
        <f t="shared" si="36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7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8"/>
        <v>200</v>
      </c>
      <c r="CL37">
        <f t="shared" si="39"/>
        <v>59930</v>
      </c>
      <c r="CM37">
        <f>_xlfn.XLOOKUP(B37,'[9]november-2025'!$A:$A,'[9]november-2025'!$C:$C,0,0)</f>
        <v>53300</v>
      </c>
      <c r="CN37">
        <f t="shared" si="40"/>
        <v>9594</v>
      </c>
      <c r="CO37">
        <f t="shared" si="4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42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43"/>
        <v>200</v>
      </c>
      <c r="CV37">
        <f t="shared" si="44"/>
        <v>59930</v>
      </c>
      <c r="CW37">
        <f>_xlfn.XLOOKUP(B37,'[10]december-2025'!$A:$A,'[10]december-2025'!$C:$C,0,0)</f>
        <v>53300</v>
      </c>
      <c r="CX37">
        <f t="shared" si="45"/>
        <v>9594</v>
      </c>
      <c r="CY37">
        <f t="shared" si="46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7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8"/>
        <v>200</v>
      </c>
      <c r="DF37">
        <f t="shared" si="49"/>
        <v>59930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838692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786292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665572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665572</v>
      </c>
      <c r="FD37">
        <f t="shared" si="71"/>
        <v>12500</v>
      </c>
      <c r="FE37">
        <f t="shared" si="72"/>
        <v>33114</v>
      </c>
      <c r="FF37">
        <f t="shared" si="73"/>
        <v>45614</v>
      </c>
      <c r="FG37">
        <f t="shared" si="74"/>
        <v>45614</v>
      </c>
      <c r="FH37">
        <f t="shared" si="75"/>
        <v>1824.56</v>
      </c>
      <c r="FI37">
        <f t="shared" si="76"/>
        <v>47439</v>
      </c>
      <c r="FJ37">
        <v>0</v>
      </c>
      <c r="FK37">
        <f t="shared" si="77"/>
        <v>47439</v>
      </c>
      <c r="FL37" t="b">
        <f t="shared" si="78"/>
        <v>1</v>
      </c>
      <c r="FM37">
        <f t="shared" ca="1" si="79"/>
        <v>714</v>
      </c>
      <c r="FN37">
        <f t="shared" ca="1" si="80"/>
        <v>839406</v>
      </c>
      <c r="FO37">
        <f t="shared" si="81"/>
        <v>75000</v>
      </c>
      <c r="FP37">
        <f t="shared" ca="1" si="82"/>
        <v>764406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364406</v>
      </c>
      <c r="GB37">
        <f t="shared" ca="1" si="94"/>
        <v>18220.3</v>
      </c>
      <c r="GC37">
        <f t="shared" ca="1" si="95"/>
        <v>18220</v>
      </c>
      <c r="GD37">
        <f t="shared" ca="1" si="96"/>
        <v>0</v>
      </c>
      <c r="GE37">
        <f t="shared" ca="1" si="97"/>
        <v>0</v>
      </c>
      <c r="GF37">
        <f t="shared" ca="1" si="98"/>
        <v>18220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18220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21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29854</v>
      </c>
      <c r="T38">
        <f>_xlfn.XLOOKUP(B38,'[2]april-2025'!$A:$A,'[2]april-2025'!$C:$C,0,0)</f>
        <v>25400</v>
      </c>
      <c r="U38">
        <f t="shared" si="5"/>
        <v>4572</v>
      </c>
      <c r="V38">
        <f t="shared" si="6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30870</v>
      </c>
      <c r="AD38">
        <f>_xlfn.XLOOKUP(B38,'[3]may-2025'!$A:$A,'[3]may-2025'!$C:$C,0,0)</f>
        <v>25400</v>
      </c>
      <c r="AE38">
        <f t="shared" si="10"/>
        <v>4572</v>
      </c>
      <c r="AF38">
        <f t="shared" si="11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2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30870</v>
      </c>
      <c r="AN38">
        <f>_xlfn.XLOOKUP(B38,'[4]june-2025'!$A:$A,'[4]june-2025'!$C:$C,0,0)</f>
        <v>25400</v>
      </c>
      <c r="AO38">
        <f t="shared" si="15"/>
        <v>4572</v>
      </c>
      <c r="AP38">
        <f t="shared" si="16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7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30870</v>
      </c>
      <c r="AX38">
        <f>_xlfn.XLOOKUP(B38,'[5]july-2025'!$A:$A,'[5]july-2025'!$C:$C,0,0)</f>
        <v>26200</v>
      </c>
      <c r="AY38">
        <f t="shared" si="20"/>
        <v>4716</v>
      </c>
      <c r="AZ38">
        <v>0</v>
      </c>
      <c r="BA38">
        <f t="shared" si="21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22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31910</v>
      </c>
      <c r="BI38">
        <f>_xlfn.XLOOKUP(B38,'[6]august-2025'!$A:$A,'[6]august-2025'!$C:$C,0,0)</f>
        <v>26200</v>
      </c>
      <c r="BJ38">
        <f t="shared" si="25"/>
        <v>4716</v>
      </c>
      <c r="BK38">
        <f t="shared" si="26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7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31910</v>
      </c>
      <c r="BS38">
        <f>_xlfn.XLOOKUP(B38,'[7]september-2025'!$A:$A,'[7]september-2025'!$C:$C,0,0)</f>
        <v>26200</v>
      </c>
      <c r="BT38">
        <f t="shared" si="30"/>
        <v>4716</v>
      </c>
      <c r="BU38">
        <f t="shared" si="31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32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31910</v>
      </c>
      <c r="CC38">
        <f>_xlfn.XLOOKUP(B38,'[8]october-2025'!$A:$A,'[8]october-2025'!$C:$C,0,0)</f>
        <v>26200</v>
      </c>
      <c r="CD38">
        <f t="shared" si="35"/>
        <v>4716</v>
      </c>
      <c r="CE38">
        <f t="shared" si="36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7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31910</v>
      </c>
      <c r="CM38">
        <f>_xlfn.XLOOKUP(B38,'[9]november-2025'!$A:$A,'[9]november-2025'!$C:$C,0,0)</f>
        <v>26200</v>
      </c>
      <c r="CN38">
        <f t="shared" si="40"/>
        <v>4716</v>
      </c>
      <c r="CO38">
        <f t="shared" si="4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42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31910</v>
      </c>
      <c r="CW38">
        <f>_xlfn.XLOOKUP(B38,'[10]december-2025'!$A:$A,'[10]december-2025'!$C:$C,0,0)</f>
        <v>26200</v>
      </c>
      <c r="CX38">
        <f t="shared" si="45"/>
        <v>4716</v>
      </c>
      <c r="CY38">
        <f t="shared" si="46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7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31910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410344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358544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334544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334544</v>
      </c>
      <c r="FD38">
        <f t="shared" si="71"/>
        <v>4227</v>
      </c>
      <c r="FE38">
        <f t="shared" si="72"/>
        <v>0</v>
      </c>
      <c r="FF38">
        <f t="shared" si="73"/>
        <v>4227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2162</v>
      </c>
      <c r="FN38">
        <f t="shared" ca="1" si="80"/>
        <v>412506</v>
      </c>
      <c r="FO38">
        <f t="shared" si="81"/>
        <v>75000</v>
      </c>
      <c r="FP38">
        <f t="shared" ca="1" si="82"/>
        <v>337506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21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6"/>
        <v>150</v>
      </c>
      <c r="S39">
        <f t="shared" si="4"/>
        <v>36764</v>
      </c>
      <c r="T39">
        <f>_xlfn.XLOOKUP(B39,'[2]april-2025'!$A:$A,'[2]april-2025'!$C:$C,0,0)</f>
        <v>28900</v>
      </c>
      <c r="U39">
        <f t="shared" si="5"/>
        <v>5202</v>
      </c>
      <c r="V39">
        <f t="shared" si="6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8"/>
        <v>150</v>
      </c>
      <c r="AC39">
        <f t="shared" si="9"/>
        <v>37920</v>
      </c>
      <c r="AD39">
        <f>_xlfn.XLOOKUP(B39,'[3]may-2025'!$A:$A,'[3]may-2025'!$C:$C,0,0)</f>
        <v>28900</v>
      </c>
      <c r="AE39">
        <f t="shared" si="10"/>
        <v>5202</v>
      </c>
      <c r="AF39">
        <f t="shared" si="11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2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3"/>
        <v>150</v>
      </c>
      <c r="AM39">
        <f t="shared" si="14"/>
        <v>37920</v>
      </c>
      <c r="AN39">
        <f>_xlfn.XLOOKUP(B39,'[4]june-2025'!$A:$A,'[4]june-2025'!$C:$C,0,0)</f>
        <v>28900</v>
      </c>
      <c r="AO39">
        <f t="shared" si="15"/>
        <v>5202</v>
      </c>
      <c r="AP39">
        <f t="shared" si="16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7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8"/>
        <v>150</v>
      </c>
      <c r="AW39">
        <f t="shared" si="19"/>
        <v>37920</v>
      </c>
      <c r="AX39">
        <f>_xlfn.XLOOKUP(B39,'[5]july-2025'!$A:$A,'[5]july-2025'!$C:$C,0,0)</f>
        <v>29800</v>
      </c>
      <c r="AY39">
        <f t="shared" si="20"/>
        <v>5364</v>
      </c>
      <c r="AZ39">
        <v>0</v>
      </c>
      <c r="BA39">
        <f t="shared" si="21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22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23"/>
        <v>150</v>
      </c>
      <c r="BH39">
        <f t="shared" si="24"/>
        <v>39090</v>
      </c>
      <c r="BI39">
        <f>_xlfn.XLOOKUP(B39,'[6]august-2025'!$A:$A,'[6]august-2025'!$C:$C,0,0)</f>
        <v>29800</v>
      </c>
      <c r="BJ39">
        <f t="shared" si="25"/>
        <v>5364</v>
      </c>
      <c r="BK39">
        <f t="shared" si="26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7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8"/>
        <v>150</v>
      </c>
      <c r="BR39">
        <f t="shared" si="29"/>
        <v>39090</v>
      </c>
      <c r="BS39">
        <f>_xlfn.XLOOKUP(B39,'[7]september-2025'!$A:$A,'[7]september-2025'!$C:$C,0,0)</f>
        <v>29800</v>
      </c>
      <c r="BT39">
        <f t="shared" si="30"/>
        <v>5364</v>
      </c>
      <c r="BU39">
        <f t="shared" si="31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32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33"/>
        <v>150</v>
      </c>
      <c r="CB39">
        <f t="shared" si="34"/>
        <v>37090</v>
      </c>
      <c r="CC39">
        <f>_xlfn.XLOOKUP(B39,'[8]october-2025'!$A:$A,'[8]october-2025'!$C:$C,0,0)</f>
        <v>29800</v>
      </c>
      <c r="CD39">
        <f t="shared" si="35"/>
        <v>5364</v>
      </c>
      <c r="CE39">
        <f t="shared" si="36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7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8"/>
        <v>150</v>
      </c>
      <c r="CL39">
        <f t="shared" si="39"/>
        <v>37090</v>
      </c>
      <c r="CM39">
        <f>_xlfn.XLOOKUP(B39,'[9]november-2025'!$A:$A,'[9]november-2025'!$C:$C,0,0)</f>
        <v>29800</v>
      </c>
      <c r="CN39">
        <f t="shared" si="40"/>
        <v>5364</v>
      </c>
      <c r="CO39">
        <f t="shared" si="4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42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43"/>
        <v>150</v>
      </c>
      <c r="CV39">
        <f t="shared" si="44"/>
        <v>37090</v>
      </c>
      <c r="CW39">
        <f>_xlfn.XLOOKUP(B39,'[10]december-2025'!$A:$A,'[10]december-2025'!$C:$C,0,0)</f>
        <v>29800</v>
      </c>
      <c r="CX39">
        <f t="shared" si="45"/>
        <v>5364</v>
      </c>
      <c r="CY39">
        <f t="shared" si="46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7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8"/>
        <v>150</v>
      </c>
      <c r="DF39">
        <f t="shared" si="49"/>
        <v>37090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471844</v>
      </c>
      <c r="EB39">
        <f t="shared" si="61"/>
        <v>1800</v>
      </c>
      <c r="EC39">
        <f t="shared" si="62"/>
        <v>50000</v>
      </c>
      <c r="ED39">
        <v>0</v>
      </c>
      <c r="EE39">
        <f t="shared" si="63"/>
        <v>420044</v>
      </c>
      <c r="EF39">
        <f t="shared" si="64"/>
        <v>12000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12000</v>
      </c>
      <c r="ES39">
        <f t="shared" si="67"/>
        <v>12000</v>
      </c>
      <c r="ET39">
        <f t="shared" si="68"/>
        <v>408044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408044</v>
      </c>
      <c r="FD39">
        <f t="shared" si="71"/>
        <v>7902</v>
      </c>
      <c r="FE39">
        <f t="shared" si="72"/>
        <v>0</v>
      </c>
      <c r="FF39">
        <f t="shared" si="73"/>
        <v>7902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2406</v>
      </c>
      <c r="FN39">
        <f t="shared" ca="1" si="80"/>
        <v>474250</v>
      </c>
      <c r="FO39">
        <f t="shared" si="81"/>
        <v>75000</v>
      </c>
      <c r="FP39">
        <f t="shared" ca="1" si="82"/>
        <v>399250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0</v>
      </c>
      <c r="GB39">
        <f t="shared" ca="1" si="94"/>
        <v>0</v>
      </c>
      <c r="GC39">
        <f t="shared" ca="1" si="95"/>
        <v>0</v>
      </c>
      <c r="GD39">
        <f t="shared" ca="1" si="96"/>
        <v>0</v>
      </c>
      <c r="GE39">
        <f t="shared" ca="1" si="97"/>
        <v>0</v>
      </c>
      <c r="GF39">
        <f t="shared" ca="1" si="98"/>
        <v>0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0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21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6"/>
        <v>200</v>
      </c>
      <c r="S40">
        <f t="shared" si="4"/>
        <v>65504</v>
      </c>
      <c r="T40">
        <f>_xlfn.XLOOKUP(B40,'[2]april-2025'!$A:$A,'[2]april-2025'!$C:$C,0,0)</f>
        <v>55400</v>
      </c>
      <c r="U40">
        <f t="shared" si="5"/>
        <v>9972</v>
      </c>
      <c r="V40">
        <f t="shared" si="6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8"/>
        <v>200</v>
      </c>
      <c r="AC40">
        <f t="shared" si="9"/>
        <v>67720</v>
      </c>
      <c r="AD40">
        <f>_xlfn.XLOOKUP(B40,'[3]may-2025'!$A:$A,'[3]may-2025'!$C:$C,0,0)</f>
        <v>55400</v>
      </c>
      <c r="AE40">
        <f t="shared" si="10"/>
        <v>9972</v>
      </c>
      <c r="AF40">
        <f t="shared" si="11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2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3"/>
        <v>200</v>
      </c>
      <c r="AM40">
        <f t="shared" si="14"/>
        <v>67720</v>
      </c>
      <c r="AN40">
        <f>_xlfn.XLOOKUP(B40,'[4]june-2025'!$A:$A,'[4]june-2025'!$C:$C,0,0)</f>
        <v>55400</v>
      </c>
      <c r="AO40">
        <f t="shared" si="15"/>
        <v>9972</v>
      </c>
      <c r="AP40">
        <f t="shared" si="16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7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8"/>
        <v>200</v>
      </c>
      <c r="AW40">
        <f t="shared" si="19"/>
        <v>67720</v>
      </c>
      <c r="AX40">
        <f>_xlfn.XLOOKUP(B40,'[5]july-2025'!$A:$A,'[5]july-2025'!$C:$C,0,0)</f>
        <v>57100</v>
      </c>
      <c r="AY40">
        <f t="shared" si="20"/>
        <v>10278</v>
      </c>
      <c r="AZ40">
        <v>0</v>
      </c>
      <c r="BA40">
        <f t="shared" si="21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22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23"/>
        <v>200</v>
      </c>
      <c r="BH40">
        <f t="shared" si="24"/>
        <v>69930</v>
      </c>
      <c r="BI40">
        <f>_xlfn.XLOOKUP(B40,'[6]august-2025'!$A:$A,'[6]august-2025'!$C:$C,0,0)</f>
        <v>57100</v>
      </c>
      <c r="BJ40">
        <f t="shared" si="25"/>
        <v>10278</v>
      </c>
      <c r="BK40">
        <f t="shared" si="26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7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8"/>
        <v>200</v>
      </c>
      <c r="BR40">
        <f t="shared" si="29"/>
        <v>69930</v>
      </c>
      <c r="BS40">
        <f>_xlfn.XLOOKUP(B40,'[7]september-2025'!$A:$A,'[7]september-2025'!$C:$C,0,0)</f>
        <v>57100</v>
      </c>
      <c r="BT40">
        <f t="shared" si="30"/>
        <v>10278</v>
      </c>
      <c r="BU40">
        <f t="shared" si="31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32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33"/>
        <v>200</v>
      </c>
      <c r="CB40">
        <f t="shared" si="34"/>
        <v>69930</v>
      </c>
      <c r="CC40">
        <f>_xlfn.XLOOKUP(B40,'[8]october-2025'!$A:$A,'[8]october-2025'!$C:$C,0,0)</f>
        <v>57100</v>
      </c>
      <c r="CD40">
        <f t="shared" si="35"/>
        <v>10278</v>
      </c>
      <c r="CE40">
        <f t="shared" si="36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7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8"/>
        <v>200</v>
      </c>
      <c r="CL40">
        <f t="shared" si="39"/>
        <v>69930</v>
      </c>
      <c r="CM40">
        <f>_xlfn.XLOOKUP(B40,'[9]november-2025'!$A:$A,'[9]november-2025'!$C:$C,0,0)</f>
        <v>57100</v>
      </c>
      <c r="CN40">
        <f t="shared" si="40"/>
        <v>10278</v>
      </c>
      <c r="CO40">
        <f t="shared" si="4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42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43"/>
        <v>200</v>
      </c>
      <c r="CV40">
        <f t="shared" si="44"/>
        <v>69930</v>
      </c>
      <c r="CW40">
        <f>_xlfn.XLOOKUP(B40,'[10]december-2025'!$A:$A,'[10]december-2025'!$C:$C,0,0)</f>
        <v>57100</v>
      </c>
      <c r="CX40">
        <f t="shared" si="45"/>
        <v>10278</v>
      </c>
      <c r="CY40">
        <f t="shared" si="46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7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8"/>
        <v>200</v>
      </c>
      <c r="DF40">
        <f t="shared" si="49"/>
        <v>69930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897304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844904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784904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784904</v>
      </c>
      <c r="FD40">
        <f t="shared" si="71"/>
        <v>12500</v>
      </c>
      <c r="FE40">
        <f t="shared" si="72"/>
        <v>56981</v>
      </c>
      <c r="FF40">
        <f t="shared" si="73"/>
        <v>69481</v>
      </c>
      <c r="FG40">
        <f t="shared" si="74"/>
        <v>69481</v>
      </c>
      <c r="FH40">
        <f t="shared" si="75"/>
        <v>2779.2400000000002</v>
      </c>
      <c r="FI40">
        <f t="shared" si="76"/>
        <v>72260</v>
      </c>
      <c r="FJ40">
        <v>0</v>
      </c>
      <c r="FK40">
        <f t="shared" si="77"/>
        <v>72260</v>
      </c>
      <c r="FL40" t="b">
        <f t="shared" si="78"/>
        <v>1</v>
      </c>
      <c r="FM40">
        <f t="shared" ca="1" si="79"/>
        <v>701</v>
      </c>
      <c r="FN40">
        <f t="shared" ca="1" si="80"/>
        <v>898005</v>
      </c>
      <c r="FO40">
        <f t="shared" si="81"/>
        <v>75000</v>
      </c>
      <c r="FP40">
        <f t="shared" ca="1" si="82"/>
        <v>823005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23005</v>
      </c>
      <c r="FZ40">
        <f t="shared" ca="1" si="92"/>
        <v>2300.5</v>
      </c>
      <c r="GA40">
        <f t="shared" ca="1" si="93"/>
        <v>400000</v>
      </c>
      <c r="GB40">
        <f t="shared" ca="1" si="94"/>
        <v>20000</v>
      </c>
      <c r="GC40">
        <f t="shared" ca="1" si="95"/>
        <v>22301</v>
      </c>
      <c r="GD40">
        <f t="shared" ca="1" si="96"/>
        <v>0</v>
      </c>
      <c r="GE40">
        <f t="shared" ca="1" si="97"/>
        <v>0</v>
      </c>
      <c r="GF40">
        <f t="shared" ca="1" si="98"/>
        <v>22301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22301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213"/>
        <v>6800</v>
      </c>
      <c r="I41">
        <f>_xlfn.XLOOKUP(B41,'[1]march-2025'!$A:$A,'[1]march-2025'!$J:$J,0,0)</f>
        <v>61490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34764</v>
      </c>
      <c r="T41">
        <f>_xlfn.XLOOKUP(B41,'[2]april-2025'!$A:$A,'[2]april-2025'!$C:$C,0,0)</f>
        <v>28900</v>
      </c>
      <c r="U41">
        <f t="shared" si="5"/>
        <v>5202</v>
      </c>
      <c r="V41">
        <f t="shared" si="6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35920</v>
      </c>
      <c r="AD41">
        <f>_xlfn.XLOOKUP(B41,'[3]may-2025'!$A:$A,'[3]may-2025'!$C:$C,0,0)</f>
        <v>28900</v>
      </c>
      <c r="AE41">
        <f t="shared" si="10"/>
        <v>5202</v>
      </c>
      <c r="AF41">
        <f t="shared" si="11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2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35920</v>
      </c>
      <c r="AN41">
        <f>_xlfn.XLOOKUP(B41,'[4]june-2025'!$A:$A,'[4]june-2025'!$C:$C,0,0)</f>
        <v>28900</v>
      </c>
      <c r="AO41">
        <f t="shared" si="15"/>
        <v>5202</v>
      </c>
      <c r="AP41">
        <f t="shared" si="16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7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35920</v>
      </c>
      <c r="AX41">
        <f>_xlfn.XLOOKUP(B41,'[5]july-2025'!$A:$A,'[5]july-2025'!$C:$C,0,0)</f>
        <v>29800</v>
      </c>
      <c r="AY41">
        <f t="shared" si="20"/>
        <v>5364</v>
      </c>
      <c r="AZ41">
        <v>0</v>
      </c>
      <c r="BA41">
        <f t="shared" si="21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22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37090</v>
      </c>
      <c r="BI41">
        <f>_xlfn.XLOOKUP(B41,'[6]august-2025'!$A:$A,'[6]august-2025'!$C:$C,0,0)</f>
        <v>29800</v>
      </c>
      <c r="BJ41">
        <f t="shared" si="25"/>
        <v>5364</v>
      </c>
      <c r="BK41">
        <f t="shared" si="26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7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37090</v>
      </c>
      <c r="BS41">
        <f>_xlfn.XLOOKUP(B41,'[7]september-2025'!$A:$A,'[7]september-2025'!$C:$C,0,0)</f>
        <v>29800</v>
      </c>
      <c r="BT41">
        <f t="shared" si="30"/>
        <v>5364</v>
      </c>
      <c r="BU41">
        <f t="shared" si="31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32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37090</v>
      </c>
      <c r="CC41">
        <f>_xlfn.XLOOKUP(B41,'[8]october-2025'!$A:$A,'[8]october-2025'!$C:$C,0,0)</f>
        <v>29800</v>
      </c>
      <c r="CD41">
        <f t="shared" si="35"/>
        <v>5364</v>
      </c>
      <c r="CE41">
        <f t="shared" si="36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7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37090</v>
      </c>
      <c r="CM41">
        <f>_xlfn.XLOOKUP(B41,'[9]november-2025'!$A:$A,'[9]november-2025'!$C:$C,0,0)</f>
        <v>29800</v>
      </c>
      <c r="CN41">
        <f t="shared" si="40"/>
        <v>5364</v>
      </c>
      <c r="CO41">
        <f t="shared" si="4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42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37090</v>
      </c>
      <c r="CW41">
        <f>_xlfn.XLOOKUP(B41,'[10]december-2025'!$A:$A,'[10]december-2025'!$C:$C,0,0)</f>
        <v>29800</v>
      </c>
      <c r="CX41">
        <f t="shared" si="45"/>
        <v>5364</v>
      </c>
      <c r="CY41">
        <f t="shared" si="46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7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37090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533334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481534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457534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457534</v>
      </c>
      <c r="FD41">
        <f t="shared" si="71"/>
        <v>10377</v>
      </c>
      <c r="FE41">
        <f t="shared" si="72"/>
        <v>0</v>
      </c>
      <c r="FF41">
        <f t="shared" si="73"/>
        <v>10377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1</v>
      </c>
      <c r="FM41">
        <f t="shared" ca="1" si="79"/>
        <v>586</v>
      </c>
      <c r="FN41">
        <f t="shared" ca="1" si="80"/>
        <v>533920</v>
      </c>
      <c r="FO41">
        <f t="shared" si="81"/>
        <v>75000</v>
      </c>
      <c r="FP41">
        <f t="shared" ca="1" si="82"/>
        <v>458920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58920</v>
      </c>
      <c r="GB41">
        <f t="shared" ca="1" si="94"/>
        <v>2946</v>
      </c>
      <c r="GC41">
        <f t="shared" ca="1" si="95"/>
        <v>2946</v>
      </c>
      <c r="GD41">
        <f t="shared" ca="1" si="96"/>
        <v>0</v>
      </c>
      <c r="GE41">
        <f t="shared" ca="1" si="97"/>
        <v>0</v>
      </c>
      <c r="GF41">
        <f t="shared" ca="1" si="98"/>
        <v>2946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2946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21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6"/>
        <v>150</v>
      </c>
      <c r="S42">
        <f t="shared" si="4"/>
        <v>30972</v>
      </c>
      <c r="T42">
        <f>_xlfn.XLOOKUP(B42,'[2]april-2025'!$A:$A,'[2]april-2025'!$C:$C,0,0)</f>
        <v>24700</v>
      </c>
      <c r="U42">
        <f t="shared" si="5"/>
        <v>4446</v>
      </c>
      <c r="V42">
        <f t="shared" si="6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8"/>
        <v>150</v>
      </c>
      <c r="AC42">
        <f t="shared" si="9"/>
        <v>31960</v>
      </c>
      <c r="AD42">
        <f>_xlfn.XLOOKUP(B42,'[3]may-2025'!$A:$A,'[3]may-2025'!$C:$C,0,0)</f>
        <v>24700</v>
      </c>
      <c r="AE42">
        <f t="shared" si="10"/>
        <v>4446</v>
      </c>
      <c r="AF42">
        <f t="shared" si="11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2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3"/>
        <v>150</v>
      </c>
      <c r="AM42">
        <f t="shared" si="14"/>
        <v>31960</v>
      </c>
      <c r="AN42">
        <f>_xlfn.XLOOKUP(B42,'[4]june-2025'!$A:$A,'[4]june-2025'!$C:$C,0,0)</f>
        <v>24700</v>
      </c>
      <c r="AO42">
        <f t="shared" si="15"/>
        <v>4446</v>
      </c>
      <c r="AP42">
        <f t="shared" si="16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7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8"/>
        <v>150</v>
      </c>
      <c r="AW42">
        <f t="shared" si="19"/>
        <v>31960</v>
      </c>
      <c r="AX42">
        <f>_xlfn.XLOOKUP(B42,'[5]july-2025'!$A:$A,'[5]july-2025'!$C:$C,0,0)</f>
        <v>25400</v>
      </c>
      <c r="AY42">
        <f t="shared" si="20"/>
        <v>4572</v>
      </c>
      <c r="AZ42">
        <v>0</v>
      </c>
      <c r="BA42">
        <f t="shared" si="21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22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23"/>
        <v>150</v>
      </c>
      <c r="BH42">
        <f t="shared" si="24"/>
        <v>32870</v>
      </c>
      <c r="BI42">
        <f>_xlfn.XLOOKUP(B42,'[6]august-2025'!$A:$A,'[6]august-2025'!$C:$C,0,0)</f>
        <v>25400</v>
      </c>
      <c r="BJ42">
        <f t="shared" si="25"/>
        <v>4572</v>
      </c>
      <c r="BK42">
        <f t="shared" si="26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7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8"/>
        <v>150</v>
      </c>
      <c r="BR42">
        <f t="shared" si="29"/>
        <v>32870</v>
      </c>
      <c r="BS42">
        <f>_xlfn.XLOOKUP(B42,'[7]september-2025'!$A:$A,'[7]september-2025'!$C:$C,0,0)</f>
        <v>25400</v>
      </c>
      <c r="BT42">
        <f t="shared" si="30"/>
        <v>4572</v>
      </c>
      <c r="BU42">
        <f t="shared" si="31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32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33"/>
        <v>150</v>
      </c>
      <c r="CB42">
        <f t="shared" si="34"/>
        <v>32870</v>
      </c>
      <c r="CC42">
        <f>_xlfn.XLOOKUP(B42,'[8]october-2025'!$A:$A,'[8]october-2025'!$C:$C,0,0)</f>
        <v>25400</v>
      </c>
      <c r="CD42">
        <f t="shared" si="35"/>
        <v>4572</v>
      </c>
      <c r="CE42">
        <f t="shared" si="36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7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8"/>
        <v>150</v>
      </c>
      <c r="CL42">
        <f t="shared" si="39"/>
        <v>32870</v>
      </c>
      <c r="CM42">
        <f>_xlfn.XLOOKUP(B42,'[9]november-2025'!$A:$A,'[9]november-2025'!$C:$C,0,0)</f>
        <v>25400</v>
      </c>
      <c r="CN42">
        <f t="shared" si="40"/>
        <v>4572</v>
      </c>
      <c r="CO42">
        <f t="shared" si="4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42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43"/>
        <v>150</v>
      </c>
      <c r="CV42">
        <f t="shared" si="44"/>
        <v>32870</v>
      </c>
      <c r="CW42">
        <f>_xlfn.XLOOKUP(B42,'[10]december-2025'!$A:$A,'[10]december-2025'!$C:$C,0,0)</f>
        <v>25400</v>
      </c>
      <c r="CX42">
        <f t="shared" si="45"/>
        <v>4572</v>
      </c>
      <c r="CY42">
        <f t="shared" si="46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7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8"/>
        <v>150</v>
      </c>
      <c r="DF42">
        <f t="shared" si="49"/>
        <v>32870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398412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346612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346612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346612</v>
      </c>
      <c r="FD42">
        <f t="shared" si="71"/>
        <v>4831</v>
      </c>
      <c r="FE42">
        <f t="shared" si="72"/>
        <v>0</v>
      </c>
      <c r="FF42">
        <f t="shared" si="73"/>
        <v>4831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1613</v>
      </c>
      <c r="FN42">
        <f t="shared" ca="1" si="80"/>
        <v>400025</v>
      </c>
      <c r="FO42">
        <f t="shared" si="81"/>
        <v>75000</v>
      </c>
      <c r="FP42">
        <f t="shared" ca="1" si="82"/>
        <v>325025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21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6"/>
        <v>200</v>
      </c>
      <c r="S43">
        <f t="shared" si="4"/>
        <v>57238</v>
      </c>
      <c r="T43">
        <f>_xlfn.XLOOKUP(B43,'[2]april-2025'!$A:$A,'[2]april-2025'!$C:$C,0,0)</f>
        <v>47300</v>
      </c>
      <c r="U43">
        <f t="shared" si="5"/>
        <v>8514</v>
      </c>
      <c r="V43">
        <f t="shared" si="6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8"/>
        <v>200</v>
      </c>
      <c r="AC43">
        <f t="shared" si="9"/>
        <v>59130</v>
      </c>
      <c r="AD43">
        <f>_xlfn.XLOOKUP(B43,'[3]may-2025'!$A:$A,'[3]may-2025'!$C:$C,0,0)</f>
        <v>47300</v>
      </c>
      <c r="AE43">
        <f t="shared" si="10"/>
        <v>8514</v>
      </c>
      <c r="AF43">
        <f t="shared" si="11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2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3"/>
        <v>200</v>
      </c>
      <c r="AM43">
        <f t="shared" si="14"/>
        <v>59130</v>
      </c>
      <c r="AN43">
        <f>_xlfn.XLOOKUP(B43,'[4]june-2025'!$A:$A,'[4]june-2025'!$C:$C,0,0)</f>
        <v>47300</v>
      </c>
      <c r="AO43">
        <f t="shared" si="15"/>
        <v>8514</v>
      </c>
      <c r="AP43">
        <f t="shared" si="16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7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8"/>
        <v>200</v>
      </c>
      <c r="AW43">
        <f t="shared" si="19"/>
        <v>59130</v>
      </c>
      <c r="AX43">
        <f>_xlfn.XLOOKUP(B43,'[5]july-2025'!$A:$A,'[5]july-2025'!$C:$C,0,0)</f>
        <v>48700</v>
      </c>
      <c r="AY43">
        <f t="shared" si="20"/>
        <v>8766</v>
      </c>
      <c r="AZ43">
        <v>0</v>
      </c>
      <c r="BA43">
        <f t="shared" si="21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22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23"/>
        <v>200</v>
      </c>
      <c r="BH43">
        <f t="shared" si="24"/>
        <v>60950</v>
      </c>
      <c r="BI43">
        <f>_xlfn.XLOOKUP(B43,'[6]august-2025'!$A:$A,'[6]august-2025'!$C:$C,0,0)</f>
        <v>48700</v>
      </c>
      <c r="BJ43">
        <f t="shared" si="25"/>
        <v>8766</v>
      </c>
      <c r="BK43">
        <f t="shared" si="26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7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8"/>
        <v>200</v>
      </c>
      <c r="BR43">
        <f t="shared" si="29"/>
        <v>60950</v>
      </c>
      <c r="BS43">
        <f>_xlfn.XLOOKUP(B43,'[7]september-2025'!$A:$A,'[7]september-2025'!$C:$C,0,0)</f>
        <v>48700</v>
      </c>
      <c r="BT43">
        <f t="shared" si="30"/>
        <v>8766</v>
      </c>
      <c r="BU43">
        <f t="shared" si="31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32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33"/>
        <v>200</v>
      </c>
      <c r="CB43">
        <f t="shared" si="34"/>
        <v>60950</v>
      </c>
      <c r="CC43">
        <f>_xlfn.XLOOKUP(B43,'[8]october-2025'!$A:$A,'[8]october-2025'!$C:$C,0,0)</f>
        <v>48700</v>
      </c>
      <c r="CD43">
        <f t="shared" si="35"/>
        <v>8766</v>
      </c>
      <c r="CE43">
        <f t="shared" si="36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7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8"/>
        <v>200</v>
      </c>
      <c r="CL43">
        <f t="shared" si="39"/>
        <v>60950</v>
      </c>
      <c r="CM43">
        <f>_xlfn.XLOOKUP(B43,'[9]november-2025'!$A:$A,'[9]november-2025'!$C:$C,0,0)</f>
        <v>48700</v>
      </c>
      <c r="CN43">
        <f t="shared" si="40"/>
        <v>8766</v>
      </c>
      <c r="CO43">
        <f t="shared" si="4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42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43"/>
        <v>200</v>
      </c>
      <c r="CV43">
        <f t="shared" si="44"/>
        <v>60950</v>
      </c>
      <c r="CW43">
        <f>_xlfn.XLOOKUP(B43,'[10]december-2025'!$A:$A,'[10]december-2025'!$C:$C,0,0)</f>
        <v>48700</v>
      </c>
      <c r="CX43">
        <f t="shared" si="45"/>
        <v>8766</v>
      </c>
      <c r="CY43">
        <f t="shared" si="46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7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8"/>
        <v>200</v>
      </c>
      <c r="DF43">
        <f t="shared" si="49"/>
        <v>60950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768148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715748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679028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679028</v>
      </c>
      <c r="FD43">
        <f t="shared" si="71"/>
        <v>12500</v>
      </c>
      <c r="FE43">
        <f t="shared" si="72"/>
        <v>35806</v>
      </c>
      <c r="FF43">
        <f t="shared" si="73"/>
        <v>48306</v>
      </c>
      <c r="FG43">
        <f t="shared" si="74"/>
        <v>48306</v>
      </c>
      <c r="FH43">
        <f t="shared" si="75"/>
        <v>1932.24</v>
      </c>
      <c r="FI43">
        <f t="shared" si="76"/>
        <v>50238</v>
      </c>
      <c r="FJ43">
        <v>0</v>
      </c>
      <c r="FK43">
        <f t="shared" si="77"/>
        <v>50238</v>
      </c>
      <c r="FL43" t="b">
        <f t="shared" si="78"/>
        <v>1</v>
      </c>
      <c r="FM43">
        <f t="shared" ca="1" si="79"/>
        <v>879</v>
      </c>
      <c r="FN43">
        <f t="shared" ca="1" si="80"/>
        <v>769027</v>
      </c>
      <c r="FO43">
        <f t="shared" si="81"/>
        <v>75000</v>
      </c>
      <c r="FP43">
        <f t="shared" ca="1" si="82"/>
        <v>694027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294027</v>
      </c>
      <c r="GB43">
        <f t="shared" ca="1" si="94"/>
        <v>14701.35</v>
      </c>
      <c r="GC43">
        <f t="shared" ca="1" si="95"/>
        <v>14701</v>
      </c>
      <c r="GD43">
        <f t="shared" ca="1" si="96"/>
        <v>0</v>
      </c>
      <c r="GE43">
        <f t="shared" ca="1" si="97"/>
        <v>0</v>
      </c>
      <c r="GF43">
        <f t="shared" ca="1" si="98"/>
        <v>14701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14701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21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6"/>
        <v>200</v>
      </c>
      <c r="S44">
        <f t="shared" si="4"/>
        <v>39510</v>
      </c>
      <c r="T44">
        <f>_xlfn.XLOOKUP(B44,'[2]april-2025'!$A:$A,'[2]april-2025'!$C:$C,0,0)</f>
        <v>33500</v>
      </c>
      <c r="U44">
        <f t="shared" si="5"/>
        <v>6030</v>
      </c>
      <c r="V44">
        <f t="shared" si="6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40850</v>
      </c>
      <c r="AD44">
        <f>_xlfn.XLOOKUP(B44,'[3]may-2025'!$A:$A,'[3]may-2025'!$C:$C,0,0)</f>
        <v>33500</v>
      </c>
      <c r="AE44">
        <f t="shared" si="10"/>
        <v>6030</v>
      </c>
      <c r="AF44">
        <f t="shared" si="11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2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40850</v>
      </c>
      <c r="AN44">
        <f>_xlfn.XLOOKUP(B44,'[4]june-2025'!$A:$A,'[4]june-2025'!$C:$C,0,0)</f>
        <v>33500</v>
      </c>
      <c r="AO44">
        <f t="shared" si="15"/>
        <v>6030</v>
      </c>
      <c r="AP44">
        <f t="shared" si="16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7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40850</v>
      </c>
      <c r="AX44">
        <f>_xlfn.XLOOKUP(B44,'[5]july-2025'!$A:$A,'[5]july-2025'!$C:$C,0,0)</f>
        <v>34500</v>
      </c>
      <c r="AY44">
        <f t="shared" si="20"/>
        <v>6210</v>
      </c>
      <c r="AZ44">
        <v>0</v>
      </c>
      <c r="BA44">
        <f t="shared" si="21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22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42150</v>
      </c>
      <c r="BI44">
        <f>_xlfn.XLOOKUP(B44,'[6]august-2025'!$A:$A,'[6]august-2025'!$C:$C,0,0)</f>
        <v>34500</v>
      </c>
      <c r="BJ44">
        <f t="shared" si="25"/>
        <v>6210</v>
      </c>
      <c r="BK44">
        <f t="shared" si="26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7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42150</v>
      </c>
      <c r="BS44">
        <f>_xlfn.XLOOKUP(B44,'[7]september-2025'!$A:$A,'[7]september-2025'!$C:$C,0,0)</f>
        <v>34500</v>
      </c>
      <c r="BT44">
        <f t="shared" si="30"/>
        <v>6210</v>
      </c>
      <c r="BU44">
        <f t="shared" si="31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32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42150</v>
      </c>
      <c r="CC44">
        <f>_xlfn.XLOOKUP(B44,'[8]october-2025'!$A:$A,'[8]october-2025'!$C:$C,0,0)</f>
        <v>34500</v>
      </c>
      <c r="CD44">
        <f t="shared" si="35"/>
        <v>6210</v>
      </c>
      <c r="CE44">
        <f t="shared" si="36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7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42150</v>
      </c>
      <c r="CM44">
        <f>_xlfn.XLOOKUP(B44,'[9]november-2025'!$A:$A,'[9]november-2025'!$C:$C,0,0)</f>
        <v>34500</v>
      </c>
      <c r="CN44">
        <f t="shared" si="40"/>
        <v>6210</v>
      </c>
      <c r="CO44">
        <f t="shared" si="4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42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42150</v>
      </c>
      <c r="CW44">
        <f>_xlfn.XLOOKUP(B44,'[10]december-2025'!$A:$A,'[10]december-2025'!$C:$C,0,0)</f>
        <v>34500</v>
      </c>
      <c r="CX44">
        <f t="shared" si="45"/>
        <v>6210</v>
      </c>
      <c r="CY44">
        <f t="shared" si="46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7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42150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538460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486060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456060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456060</v>
      </c>
      <c r="FD44">
        <f t="shared" si="71"/>
        <v>10303</v>
      </c>
      <c r="FE44">
        <f t="shared" si="72"/>
        <v>0</v>
      </c>
      <c r="FF44">
        <f t="shared" si="73"/>
        <v>10303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692</v>
      </c>
      <c r="FN44">
        <f t="shared" ca="1" si="80"/>
        <v>539152</v>
      </c>
      <c r="FO44">
        <f t="shared" si="81"/>
        <v>75000</v>
      </c>
      <c r="FP44">
        <f t="shared" ca="1" si="82"/>
        <v>464152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64152</v>
      </c>
      <c r="GB44">
        <f t="shared" ca="1" si="94"/>
        <v>3207.6000000000004</v>
      </c>
      <c r="GC44">
        <f t="shared" ca="1" si="95"/>
        <v>3208</v>
      </c>
      <c r="GD44">
        <f t="shared" ca="1" si="96"/>
        <v>0</v>
      </c>
      <c r="GE44">
        <f t="shared" ca="1" si="97"/>
        <v>0</v>
      </c>
      <c r="GF44">
        <f t="shared" ca="1" si="98"/>
        <v>3208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3208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21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6"/>
        <v>150</v>
      </c>
      <c r="S45">
        <f t="shared" si="4"/>
        <v>37032</v>
      </c>
      <c r="T45">
        <f>_xlfn.XLOOKUP(B45,'[2]april-2025'!$A:$A,'[2]april-2025'!$C:$C,0,0)</f>
        <v>30700</v>
      </c>
      <c r="U45">
        <f t="shared" si="5"/>
        <v>5526</v>
      </c>
      <c r="V45">
        <f t="shared" si="6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38210</v>
      </c>
      <c r="AD45">
        <f>_xlfn.XLOOKUP(B45,'[3]may-2025'!$A:$A,'[3]may-2025'!$C:$C,0,0)</f>
        <v>30700</v>
      </c>
      <c r="AE45">
        <f t="shared" si="10"/>
        <v>5526</v>
      </c>
      <c r="AF45">
        <f t="shared" si="11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2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38210</v>
      </c>
      <c r="AN45">
        <f>_xlfn.XLOOKUP(B45,'[4]june-2025'!$A:$A,'[4]june-2025'!$C:$C,0,0)</f>
        <v>30700</v>
      </c>
      <c r="AO45">
        <f t="shared" si="15"/>
        <v>5526</v>
      </c>
      <c r="AP45">
        <f t="shared" si="16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7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38210</v>
      </c>
      <c r="AX45">
        <f>_xlfn.XLOOKUP(B45,'[5]july-2025'!$A:$A,'[5]july-2025'!$C:$C,0,0)</f>
        <v>31600</v>
      </c>
      <c r="AY45">
        <f t="shared" si="20"/>
        <v>5688</v>
      </c>
      <c r="AZ45">
        <v>0</v>
      </c>
      <c r="BA45">
        <f t="shared" si="21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22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39380</v>
      </c>
      <c r="BI45">
        <f>_xlfn.XLOOKUP(B45,'[6]august-2025'!$A:$A,'[6]august-2025'!$C:$C,0,0)</f>
        <v>31600</v>
      </c>
      <c r="BJ45">
        <f t="shared" si="25"/>
        <v>5688</v>
      </c>
      <c r="BK45">
        <f t="shared" si="26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7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39380</v>
      </c>
      <c r="BS45">
        <f>_xlfn.XLOOKUP(B45,'[7]september-2025'!$A:$A,'[7]september-2025'!$C:$C,0,0)</f>
        <v>31600</v>
      </c>
      <c r="BT45">
        <f t="shared" si="30"/>
        <v>5688</v>
      </c>
      <c r="BU45">
        <f t="shared" si="31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32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39380</v>
      </c>
      <c r="CC45">
        <f>_xlfn.XLOOKUP(B45,'[8]october-2025'!$A:$A,'[8]october-2025'!$C:$C,0,0)</f>
        <v>31600</v>
      </c>
      <c r="CD45">
        <f t="shared" si="35"/>
        <v>5688</v>
      </c>
      <c r="CE45">
        <f t="shared" si="36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7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39380</v>
      </c>
      <c r="CM45">
        <f>_xlfn.XLOOKUP(B45,'[9]november-2025'!$A:$A,'[9]november-2025'!$C:$C,0,0)</f>
        <v>31600</v>
      </c>
      <c r="CN45">
        <f t="shared" si="40"/>
        <v>5688</v>
      </c>
      <c r="CO45">
        <f t="shared" si="4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42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39380</v>
      </c>
      <c r="CW45">
        <f>_xlfn.XLOOKUP(B45,'[10]december-2025'!$A:$A,'[10]december-2025'!$C:$C,0,0)</f>
        <v>31600</v>
      </c>
      <c r="CX45">
        <f t="shared" si="45"/>
        <v>5688</v>
      </c>
      <c r="CY45">
        <f t="shared" si="46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7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39380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499852</v>
      </c>
      <c r="EB45">
        <f t="shared" si="61"/>
        <v>2350</v>
      </c>
      <c r="EC45">
        <f t="shared" si="62"/>
        <v>50000</v>
      </c>
      <c r="ED45">
        <v>0</v>
      </c>
      <c r="EE45">
        <f t="shared" si="63"/>
        <v>447502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423502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423502</v>
      </c>
      <c r="FD45">
        <f t="shared" si="71"/>
        <v>8675</v>
      </c>
      <c r="FE45">
        <f t="shared" si="72"/>
        <v>0</v>
      </c>
      <c r="FF45">
        <f t="shared" si="73"/>
        <v>8675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0</v>
      </c>
      <c r="FM45">
        <f t="shared" ca="1" si="79"/>
        <v>1814</v>
      </c>
      <c r="FN45">
        <f t="shared" ca="1" si="80"/>
        <v>501666</v>
      </c>
      <c r="FO45">
        <f t="shared" si="81"/>
        <v>75000</v>
      </c>
      <c r="FP45">
        <f t="shared" ca="1" si="82"/>
        <v>426666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26666</v>
      </c>
      <c r="GB45">
        <f t="shared" ca="1" si="94"/>
        <v>1333.3000000000002</v>
      </c>
      <c r="GC45">
        <f t="shared" ca="1" si="95"/>
        <v>1333</v>
      </c>
      <c r="GD45">
        <f t="shared" ca="1" si="96"/>
        <v>0</v>
      </c>
      <c r="GE45">
        <f t="shared" ca="1" si="97"/>
        <v>0</v>
      </c>
      <c r="GF45">
        <f t="shared" ca="1" si="98"/>
        <v>1333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1333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21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54562</v>
      </c>
      <c r="T46">
        <f>_xlfn.XLOOKUP(B46,'[2]april-2025'!$A:$A,'[2]april-2025'!$C:$C,0,0)</f>
        <v>48700</v>
      </c>
      <c r="U46">
        <f t="shared" si="5"/>
        <v>8766</v>
      </c>
      <c r="V46">
        <f t="shared" si="6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56510</v>
      </c>
      <c r="AD46">
        <f>_xlfn.XLOOKUP(B46,'[3]may-2025'!$A:$A,'[3]may-2025'!$C:$C,0,0)</f>
        <v>48700</v>
      </c>
      <c r="AE46">
        <f t="shared" si="10"/>
        <v>8766</v>
      </c>
      <c r="AF46">
        <f t="shared" si="11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2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56510</v>
      </c>
      <c r="AN46">
        <f>_xlfn.XLOOKUP(B46,'[4]june-2025'!$A:$A,'[4]june-2025'!$C:$C,0,0)</f>
        <v>48700</v>
      </c>
      <c r="AO46">
        <f t="shared" si="15"/>
        <v>8766</v>
      </c>
      <c r="AP46">
        <f t="shared" si="16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7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56510</v>
      </c>
      <c r="AX46">
        <f>_xlfn.XLOOKUP(B46,'[5]july-2025'!$A:$A,'[5]july-2025'!$C:$C,0,0)</f>
        <v>51700</v>
      </c>
      <c r="AY46">
        <f t="shared" si="20"/>
        <v>9306</v>
      </c>
      <c r="AZ46">
        <v>0</v>
      </c>
      <c r="BA46">
        <f t="shared" si="21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22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60410</v>
      </c>
      <c r="BI46">
        <f>_xlfn.XLOOKUP(B46,'[6]august-2025'!$A:$A,'[6]august-2025'!$C:$C,0,0)</f>
        <v>51700</v>
      </c>
      <c r="BJ46">
        <f t="shared" si="25"/>
        <v>9306</v>
      </c>
      <c r="BK46">
        <f t="shared" si="26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7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60410</v>
      </c>
      <c r="BS46">
        <f>_xlfn.XLOOKUP(B46,'[7]september-2025'!$A:$A,'[7]september-2025'!$C:$C,0,0)</f>
        <v>51700</v>
      </c>
      <c r="BT46">
        <f t="shared" si="30"/>
        <v>9306</v>
      </c>
      <c r="BU46">
        <f t="shared" si="31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32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60410</v>
      </c>
      <c r="CC46">
        <f>_xlfn.XLOOKUP(B46,'[8]october-2025'!$A:$A,'[8]october-2025'!$C:$C,0,0)</f>
        <v>51700</v>
      </c>
      <c r="CD46">
        <f t="shared" si="35"/>
        <v>9306</v>
      </c>
      <c r="CE46">
        <f t="shared" si="36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7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60410</v>
      </c>
      <c r="CM46">
        <f>_xlfn.XLOOKUP(B46,'[9]november-2025'!$A:$A,'[9]november-2025'!$C:$C,0,0)</f>
        <v>51700</v>
      </c>
      <c r="CN46">
        <f t="shared" si="40"/>
        <v>9306</v>
      </c>
      <c r="CO46">
        <f t="shared" si="4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42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60410</v>
      </c>
      <c r="CW46">
        <f>_xlfn.XLOOKUP(B46,'[10]december-2025'!$A:$A,'[10]december-2025'!$C:$C,0,0)</f>
        <v>51700</v>
      </c>
      <c r="CX46">
        <f t="shared" si="45"/>
        <v>9306</v>
      </c>
      <c r="CY46">
        <f t="shared" si="46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7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60410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800572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748172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664172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664172</v>
      </c>
      <c r="FD46">
        <f t="shared" si="71"/>
        <v>12500</v>
      </c>
      <c r="FE46">
        <f t="shared" si="72"/>
        <v>32834</v>
      </c>
      <c r="FF46">
        <f t="shared" si="73"/>
        <v>45334</v>
      </c>
      <c r="FG46">
        <f t="shared" si="74"/>
        <v>45334</v>
      </c>
      <c r="FH46">
        <f t="shared" si="75"/>
        <v>1813.3600000000001</v>
      </c>
      <c r="FI46">
        <f t="shared" si="76"/>
        <v>47147</v>
      </c>
      <c r="FJ46">
        <v>0</v>
      </c>
      <c r="FK46">
        <f t="shared" si="77"/>
        <v>47147</v>
      </c>
      <c r="FL46" t="b">
        <f t="shared" si="78"/>
        <v>1</v>
      </c>
      <c r="FM46">
        <f t="shared" ca="1" si="79"/>
        <v>903</v>
      </c>
      <c r="FN46">
        <f t="shared" ca="1" si="80"/>
        <v>801475</v>
      </c>
      <c r="FO46">
        <f t="shared" si="81"/>
        <v>75000</v>
      </c>
      <c r="FP46">
        <f t="shared" ca="1" si="82"/>
        <v>726475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326475</v>
      </c>
      <c r="GB46">
        <f t="shared" ca="1" si="94"/>
        <v>16323.75</v>
      </c>
      <c r="GC46">
        <f t="shared" ca="1" si="95"/>
        <v>16324</v>
      </c>
      <c r="GD46">
        <f t="shared" ca="1" si="96"/>
        <v>0</v>
      </c>
      <c r="GE46">
        <f t="shared" ca="1" si="97"/>
        <v>0</v>
      </c>
      <c r="GF46">
        <f t="shared" ca="1" si="98"/>
        <v>16324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16324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21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38770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40150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40150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40150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41450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41450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41450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41450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41450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41450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447620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447620</v>
      </c>
      <c r="FD47">
        <f t="shared" si="71"/>
        <v>9881</v>
      </c>
      <c r="FE47">
        <f t="shared" si="72"/>
        <v>0</v>
      </c>
      <c r="FF47">
        <f t="shared" si="73"/>
        <v>9881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644</v>
      </c>
      <c r="FN47">
        <f t="shared" ca="1" si="80"/>
        <v>560664</v>
      </c>
      <c r="FO47">
        <f t="shared" si="81"/>
        <v>75000</v>
      </c>
      <c r="FP47">
        <f t="shared" ca="1" si="82"/>
        <v>485664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85664</v>
      </c>
      <c r="GB47">
        <f t="shared" ca="1" si="94"/>
        <v>4283.2</v>
      </c>
      <c r="GC47">
        <f t="shared" ca="1" si="95"/>
        <v>4283</v>
      </c>
      <c r="GD47">
        <f t="shared" ca="1" si="96"/>
        <v>0</v>
      </c>
      <c r="GE47">
        <f t="shared" ca="1" si="97"/>
        <v>0</v>
      </c>
      <c r="GF47">
        <f t="shared" ca="1" si="98"/>
        <v>4283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4283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21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35770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37150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37150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37150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38450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38450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38450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38450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38450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38450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411620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411620</v>
      </c>
      <c r="FD48">
        <f t="shared" si="71"/>
        <v>8081</v>
      </c>
      <c r="FE48">
        <f t="shared" si="72"/>
        <v>0</v>
      </c>
      <c r="FF48">
        <f t="shared" si="73"/>
        <v>8081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733</v>
      </c>
      <c r="FN48">
        <f t="shared" ca="1" si="80"/>
        <v>560753</v>
      </c>
      <c r="FO48">
        <f t="shared" si="81"/>
        <v>75000</v>
      </c>
      <c r="FP48">
        <f t="shared" ca="1" si="82"/>
        <v>485753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85753</v>
      </c>
      <c r="GB48">
        <f t="shared" ca="1" si="94"/>
        <v>4287.6500000000005</v>
      </c>
      <c r="GC48">
        <f t="shared" ca="1" si="95"/>
        <v>4288</v>
      </c>
      <c r="GD48">
        <f t="shared" ca="1" si="96"/>
        <v>0</v>
      </c>
      <c r="GE48">
        <f t="shared" ca="1" si="97"/>
        <v>0</v>
      </c>
      <c r="GF48">
        <f t="shared" ca="1" si="98"/>
        <v>4288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4288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21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38770</v>
      </c>
      <c r="T49">
        <f>_xlfn.XLOOKUP(B49,'[2]april-2025'!$A:$A,'[2]april-2025'!$C:$C,0,0)</f>
        <v>34500</v>
      </c>
      <c r="U49">
        <f t="shared" si="5"/>
        <v>6210</v>
      </c>
      <c r="V49">
        <f t="shared" si="6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40150</v>
      </c>
      <c r="AD49">
        <f>_xlfn.XLOOKUP(B49,'[3]may-2025'!$A:$A,'[3]may-2025'!$C:$C,0,0)</f>
        <v>34500</v>
      </c>
      <c r="AE49">
        <f t="shared" si="10"/>
        <v>6210</v>
      </c>
      <c r="AF49">
        <f t="shared" si="11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2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40150</v>
      </c>
      <c r="AN49">
        <f>_xlfn.XLOOKUP(B49,'[4]june-2025'!$A:$A,'[4]june-2025'!$C:$C,0,0)</f>
        <v>34500</v>
      </c>
      <c r="AO49">
        <f t="shared" si="15"/>
        <v>6210</v>
      </c>
      <c r="AP49">
        <f t="shared" si="16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7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40150</v>
      </c>
      <c r="AX49">
        <f>_xlfn.XLOOKUP(B49,'[5]july-2025'!$A:$A,'[5]july-2025'!$C:$C,0,0)</f>
        <v>35500</v>
      </c>
      <c r="AY49">
        <f t="shared" si="20"/>
        <v>6390</v>
      </c>
      <c r="AZ49">
        <v>0</v>
      </c>
      <c r="BA49">
        <f t="shared" si="21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22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41450</v>
      </c>
      <c r="BI49">
        <f>_xlfn.XLOOKUP(B49,'[6]august-2025'!$A:$A,'[6]august-2025'!$C:$C,0,0)</f>
        <v>35500</v>
      </c>
      <c r="BJ49">
        <f t="shared" si="25"/>
        <v>6390</v>
      </c>
      <c r="BK49">
        <f t="shared" si="26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7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41450</v>
      </c>
      <c r="BS49">
        <f>_xlfn.XLOOKUP(B49,'[7]september-2025'!$A:$A,'[7]september-2025'!$C:$C,0,0)</f>
        <v>35500</v>
      </c>
      <c r="BT49">
        <f t="shared" si="30"/>
        <v>6390</v>
      </c>
      <c r="BU49">
        <f t="shared" si="31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32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41450</v>
      </c>
      <c r="CC49">
        <f>_xlfn.XLOOKUP(B49,'[8]october-2025'!$A:$A,'[8]october-2025'!$C:$C,0,0)</f>
        <v>35500</v>
      </c>
      <c r="CD49">
        <f t="shared" si="35"/>
        <v>6390</v>
      </c>
      <c r="CE49">
        <f t="shared" si="36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7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41450</v>
      </c>
      <c r="CM49">
        <f>_xlfn.XLOOKUP(B49,'[9]november-2025'!$A:$A,'[9]november-2025'!$C:$C,0,0)</f>
        <v>35500</v>
      </c>
      <c r="CN49">
        <f t="shared" si="40"/>
        <v>6390</v>
      </c>
      <c r="CO49">
        <f t="shared" si="4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42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41450</v>
      </c>
      <c r="CW49">
        <f>_xlfn.XLOOKUP(B49,'[10]december-2025'!$A:$A,'[10]december-2025'!$C:$C,0,0)</f>
        <v>35500</v>
      </c>
      <c r="CX49">
        <f t="shared" si="45"/>
        <v>6390</v>
      </c>
      <c r="CY49">
        <f t="shared" si="46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7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41450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560020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507620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447620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447620</v>
      </c>
      <c r="FD49">
        <f t="shared" si="71"/>
        <v>9881</v>
      </c>
      <c r="FE49">
        <f t="shared" si="72"/>
        <v>0</v>
      </c>
      <c r="FF49">
        <f t="shared" si="73"/>
        <v>9881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504</v>
      </c>
      <c r="FN49">
        <f t="shared" ca="1" si="80"/>
        <v>560524</v>
      </c>
      <c r="FO49">
        <f t="shared" si="81"/>
        <v>75000</v>
      </c>
      <c r="FP49">
        <f t="shared" ca="1" si="82"/>
        <v>485524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85524</v>
      </c>
      <c r="GB49">
        <f t="shared" ca="1" si="94"/>
        <v>4276.2</v>
      </c>
      <c r="GC49">
        <f t="shared" ca="1" si="95"/>
        <v>4276</v>
      </c>
      <c r="GD49">
        <f t="shared" ca="1" si="96"/>
        <v>0</v>
      </c>
      <c r="GE49">
        <f t="shared" ca="1" si="97"/>
        <v>0</v>
      </c>
      <c r="GF49">
        <f t="shared" ca="1" si="98"/>
        <v>4276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4276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213"/>
        <v>6800</v>
      </c>
      <c r="I50">
        <f>_xlfn.XLOOKUP(B50,'[1]march-2025'!$A:$A,'[1]march-2025'!$J:$J,0,0)</f>
        <v>0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56062</v>
      </c>
      <c r="T50">
        <f>_xlfn.XLOOKUP(B50,'[2]april-2025'!$A:$A,'[2]april-2025'!$C:$C,0,0)</f>
        <v>48700</v>
      </c>
      <c r="U50">
        <f t="shared" si="5"/>
        <v>8766</v>
      </c>
      <c r="V50">
        <f t="shared" si="6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58010</v>
      </c>
      <c r="AD50">
        <f>_xlfn.XLOOKUP(B50,'[3]may-2025'!$A:$A,'[3]may-2025'!$C:$C,0,0)</f>
        <v>48700</v>
      </c>
      <c r="AE50">
        <f t="shared" si="10"/>
        <v>8766</v>
      </c>
      <c r="AF50">
        <f t="shared" si="11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2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58010</v>
      </c>
      <c r="AN50">
        <f>_xlfn.XLOOKUP(B50,'[4]june-2025'!$A:$A,'[4]june-2025'!$C:$C,0,0)</f>
        <v>48700</v>
      </c>
      <c r="AO50">
        <f t="shared" si="15"/>
        <v>8766</v>
      </c>
      <c r="AP50">
        <f t="shared" si="16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7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58010</v>
      </c>
      <c r="AX50">
        <f>_xlfn.XLOOKUP(B50,'[5]july-2025'!$A:$A,'[5]july-2025'!$C:$C,0,0)</f>
        <v>50200</v>
      </c>
      <c r="AY50">
        <f t="shared" si="20"/>
        <v>9036</v>
      </c>
      <c r="AZ50">
        <v>0</v>
      </c>
      <c r="BA50">
        <f t="shared" si="21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22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59960</v>
      </c>
      <c r="BI50">
        <f>_xlfn.XLOOKUP(B50,'[6]august-2025'!$A:$A,'[6]august-2025'!$C:$C,0,0)</f>
        <v>50200</v>
      </c>
      <c r="BJ50">
        <f t="shared" si="25"/>
        <v>9036</v>
      </c>
      <c r="BK50">
        <f t="shared" si="26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7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59960</v>
      </c>
      <c r="BS50">
        <f>_xlfn.XLOOKUP(B50,'[7]september-2025'!$A:$A,'[7]september-2025'!$C:$C,0,0)</f>
        <v>50200</v>
      </c>
      <c r="BT50">
        <f t="shared" si="30"/>
        <v>9036</v>
      </c>
      <c r="BU50">
        <f t="shared" si="31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32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59960</v>
      </c>
      <c r="CC50">
        <f>_xlfn.XLOOKUP(B50,'[8]october-2025'!$A:$A,'[8]october-2025'!$C:$C,0,0)</f>
        <v>50200</v>
      </c>
      <c r="CD50">
        <f t="shared" si="35"/>
        <v>9036</v>
      </c>
      <c r="CE50">
        <f t="shared" si="36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7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59960</v>
      </c>
      <c r="CM50">
        <f>_xlfn.XLOOKUP(B50,'[9]november-2025'!$A:$A,'[9]november-2025'!$C:$C,0,0)</f>
        <v>50200</v>
      </c>
      <c r="CN50">
        <f t="shared" si="40"/>
        <v>9036</v>
      </c>
      <c r="CO50">
        <f t="shared" si="4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42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59960</v>
      </c>
      <c r="CW50">
        <f>_xlfn.XLOOKUP(B50,'[10]december-2025'!$A:$A,'[10]december-2025'!$C:$C,0,0)</f>
        <v>50200</v>
      </c>
      <c r="CX50">
        <f t="shared" si="45"/>
        <v>9036</v>
      </c>
      <c r="CY50">
        <f t="shared" si="46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7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59960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790972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738572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666572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666572</v>
      </c>
      <c r="FD50">
        <f t="shared" si="71"/>
        <v>12500</v>
      </c>
      <c r="FE50">
        <f t="shared" si="72"/>
        <v>33314</v>
      </c>
      <c r="FF50">
        <f t="shared" si="73"/>
        <v>45814</v>
      </c>
      <c r="FG50">
        <f t="shared" si="74"/>
        <v>45814</v>
      </c>
      <c r="FH50">
        <f t="shared" si="75"/>
        <v>1832.56</v>
      </c>
      <c r="FI50">
        <f t="shared" si="76"/>
        <v>47647</v>
      </c>
      <c r="FJ50">
        <v>0</v>
      </c>
      <c r="FK50">
        <f t="shared" si="77"/>
        <v>47647</v>
      </c>
      <c r="FL50" t="b">
        <f t="shared" si="78"/>
        <v>1</v>
      </c>
      <c r="FM50">
        <f t="shared" ca="1" si="79"/>
        <v>564</v>
      </c>
      <c r="FN50">
        <f t="shared" ca="1" si="80"/>
        <v>791536</v>
      </c>
      <c r="FO50">
        <f t="shared" si="81"/>
        <v>75000</v>
      </c>
      <c r="FP50">
        <f t="shared" ca="1" si="82"/>
        <v>716536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316536</v>
      </c>
      <c r="GB50">
        <f t="shared" ca="1" si="94"/>
        <v>15826.800000000001</v>
      </c>
      <c r="GC50">
        <f t="shared" ca="1" si="95"/>
        <v>15827</v>
      </c>
      <c r="GD50">
        <f t="shared" ca="1" si="96"/>
        <v>0</v>
      </c>
      <c r="GE50">
        <f t="shared" ca="1" si="97"/>
        <v>0</v>
      </c>
      <c r="GF50">
        <f t="shared" ca="1" si="98"/>
        <v>15827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15827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213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36510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37850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2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37850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7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37850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22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40450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7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40450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32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40450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7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40450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42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40450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7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40450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554860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502460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430460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430460</v>
      </c>
      <c r="FD51">
        <f t="shared" si="71"/>
        <v>9023</v>
      </c>
      <c r="FE51">
        <f t="shared" si="72"/>
        <v>0</v>
      </c>
      <c r="FF51">
        <f t="shared" si="73"/>
        <v>9023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764</v>
      </c>
      <c r="FN51">
        <f t="shared" ca="1" si="80"/>
        <v>555624</v>
      </c>
      <c r="FO51">
        <f t="shared" si="81"/>
        <v>75000</v>
      </c>
      <c r="FP51">
        <f t="shared" ca="1" si="82"/>
        <v>480624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80624</v>
      </c>
      <c r="GB51">
        <f t="shared" ca="1" si="94"/>
        <v>4031.2000000000003</v>
      </c>
      <c r="GC51">
        <f t="shared" ca="1" si="95"/>
        <v>4031</v>
      </c>
      <c r="GD51">
        <f t="shared" ca="1" si="96"/>
        <v>0</v>
      </c>
      <c r="GE51">
        <f t="shared" ca="1" si="97"/>
        <v>0</v>
      </c>
      <c r="GF51">
        <f t="shared" ca="1" si="98"/>
        <v>4031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4031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213"/>
        <v>6800</v>
      </c>
      <c r="I52">
        <f>_xlfn.XLOOKUP(B52,'[1]march-2025'!$A:$A,'[1]march-2025'!$J:$J,0,0)</f>
        <v>0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39510</v>
      </c>
      <c r="T52">
        <f>_xlfn.XLOOKUP(B52,'[2]april-2025'!$A:$A,'[2]april-2025'!$C:$C,0,0)</f>
        <v>33500</v>
      </c>
      <c r="U52">
        <f t="shared" si="5"/>
        <v>6030</v>
      </c>
      <c r="V52">
        <f t="shared" si="6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40850</v>
      </c>
      <c r="AD52">
        <f>_xlfn.XLOOKUP(B52,'[3]may-2025'!$A:$A,'[3]may-2025'!$C:$C,0,0)</f>
        <v>33500</v>
      </c>
      <c r="AE52">
        <f t="shared" si="10"/>
        <v>6030</v>
      </c>
      <c r="AF52">
        <f t="shared" si="11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2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40850</v>
      </c>
      <c r="AN52">
        <f>_xlfn.XLOOKUP(B52,'[4]june-2025'!$A:$A,'[4]june-2025'!$C:$C,0,0)</f>
        <v>33500</v>
      </c>
      <c r="AO52">
        <f t="shared" si="15"/>
        <v>6030</v>
      </c>
      <c r="AP52">
        <f t="shared" si="16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7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40850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22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43450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7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43450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32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43450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7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43450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42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43450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7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43450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548860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496460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466460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466460</v>
      </c>
      <c r="FD52">
        <f t="shared" si="71"/>
        <v>10823</v>
      </c>
      <c r="FE52">
        <f t="shared" si="72"/>
        <v>0</v>
      </c>
      <c r="FF52">
        <f t="shared" si="73"/>
        <v>10823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717</v>
      </c>
      <c r="FN52">
        <f t="shared" ca="1" si="80"/>
        <v>549577</v>
      </c>
      <c r="FO52">
        <f t="shared" si="81"/>
        <v>75000</v>
      </c>
      <c r="FP52">
        <f t="shared" ca="1" si="82"/>
        <v>474577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74577</v>
      </c>
      <c r="GB52">
        <f t="shared" ca="1" si="94"/>
        <v>3728.8500000000004</v>
      </c>
      <c r="GC52">
        <f t="shared" ca="1" si="95"/>
        <v>3729</v>
      </c>
      <c r="GD52">
        <f t="shared" ca="1" si="96"/>
        <v>0</v>
      </c>
      <c r="GE52">
        <f t="shared" ca="1" si="97"/>
        <v>0</v>
      </c>
      <c r="GF52">
        <f t="shared" ca="1" si="98"/>
        <v>3729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3729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21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39170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40550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2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40550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7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40550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22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41850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7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41850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32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41850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7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41850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42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41850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7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41850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564820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512420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452420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452420</v>
      </c>
      <c r="FD53">
        <f t="shared" si="71"/>
        <v>10121</v>
      </c>
      <c r="FE53">
        <f t="shared" si="72"/>
        <v>0</v>
      </c>
      <c r="FF53">
        <f t="shared" si="73"/>
        <v>10121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944</v>
      </c>
      <c r="FN53">
        <f t="shared" ca="1" si="80"/>
        <v>565764</v>
      </c>
      <c r="FO53">
        <f t="shared" si="81"/>
        <v>75000</v>
      </c>
      <c r="FP53">
        <f t="shared" ca="1" si="82"/>
        <v>490764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90764</v>
      </c>
      <c r="GB53">
        <f t="shared" ca="1" si="94"/>
        <v>4538.2</v>
      </c>
      <c r="GC53">
        <f t="shared" ca="1" si="95"/>
        <v>4538</v>
      </c>
      <c r="GD53">
        <f t="shared" ca="1" si="96"/>
        <v>0</v>
      </c>
      <c r="GE53">
        <f t="shared" ca="1" si="97"/>
        <v>0</v>
      </c>
      <c r="GF53">
        <f t="shared" ca="1" si="98"/>
        <v>4538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4538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21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41270</v>
      </c>
      <c r="T54">
        <f>_xlfn.XLOOKUP(B54,'[2]april-2025'!$A:$A,'[2]april-2025'!$C:$C,0,0)</f>
        <v>34500</v>
      </c>
      <c r="U54">
        <f t="shared" si="5"/>
        <v>6210</v>
      </c>
      <c r="V54">
        <f t="shared" si="6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42650</v>
      </c>
      <c r="AD54">
        <f>_xlfn.XLOOKUP(B54,'[3]may-2025'!$A:$A,'[3]may-2025'!$C:$C,0,0)</f>
        <v>34500</v>
      </c>
      <c r="AE54">
        <f t="shared" si="10"/>
        <v>6210</v>
      </c>
      <c r="AF54">
        <f t="shared" si="11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42650</v>
      </c>
      <c r="AN54">
        <f>_xlfn.XLOOKUP(B54,'[4]june-2025'!$A:$A,'[4]june-2025'!$C:$C,0,0)</f>
        <v>34500</v>
      </c>
      <c r="AO54">
        <f t="shared" si="15"/>
        <v>6210</v>
      </c>
      <c r="AP54">
        <f t="shared" si="16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42650</v>
      </c>
      <c r="AX54">
        <f>_xlfn.XLOOKUP(B54,'[5]july-2025'!$A:$A,'[5]july-2025'!$C:$C,0,0)</f>
        <v>35500</v>
      </c>
      <c r="AY54">
        <f t="shared" si="20"/>
        <v>6390</v>
      </c>
      <c r="AZ54">
        <v>0</v>
      </c>
      <c r="BA54">
        <f t="shared" si="21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43950</v>
      </c>
      <c r="BI54">
        <f>_xlfn.XLOOKUP(B54,'[6]august-2025'!$A:$A,'[6]august-2025'!$C:$C,0,0)</f>
        <v>35500</v>
      </c>
      <c r="BJ54">
        <f t="shared" si="25"/>
        <v>6390</v>
      </c>
      <c r="BK54">
        <f t="shared" si="26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43950</v>
      </c>
      <c r="BS54">
        <f>_xlfn.XLOOKUP(B54,'[7]september-2025'!$A:$A,'[7]september-2025'!$C:$C,0,0)</f>
        <v>35500</v>
      </c>
      <c r="BT54">
        <f t="shared" si="30"/>
        <v>6390</v>
      </c>
      <c r="BU54">
        <f t="shared" si="31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43950</v>
      </c>
      <c r="CC54">
        <f>_xlfn.XLOOKUP(B54,'[8]october-2025'!$A:$A,'[8]october-2025'!$C:$C,0,0)</f>
        <v>35500</v>
      </c>
      <c r="CD54">
        <f t="shared" si="35"/>
        <v>6390</v>
      </c>
      <c r="CE54">
        <f t="shared" si="36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43950</v>
      </c>
      <c r="CM54">
        <f>_xlfn.XLOOKUP(B54,'[9]november-2025'!$A:$A,'[9]november-2025'!$C:$C,0,0)</f>
        <v>35500</v>
      </c>
      <c r="CN54">
        <f t="shared" si="40"/>
        <v>6390</v>
      </c>
      <c r="CO54">
        <f t="shared" si="4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43950</v>
      </c>
      <c r="CW54">
        <f>_xlfn.XLOOKUP(B54,'[10]december-2025'!$A:$A,'[10]december-2025'!$C:$C,0,0)</f>
        <v>35500</v>
      </c>
      <c r="CX54">
        <f t="shared" si="45"/>
        <v>6390</v>
      </c>
      <c r="CY54">
        <f t="shared" si="46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43950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560020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507620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477620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477620</v>
      </c>
      <c r="FD54">
        <f t="shared" si="71"/>
        <v>11381</v>
      </c>
      <c r="FE54">
        <f t="shared" si="72"/>
        <v>0</v>
      </c>
      <c r="FF54">
        <f t="shared" si="73"/>
        <v>11381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567</v>
      </c>
      <c r="FN54">
        <f t="shared" ca="1" si="80"/>
        <v>560587</v>
      </c>
      <c r="FO54">
        <f t="shared" si="81"/>
        <v>75000</v>
      </c>
      <c r="FP54">
        <f t="shared" ca="1" si="82"/>
        <v>485587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85587</v>
      </c>
      <c r="GB54">
        <f t="shared" ca="1" si="94"/>
        <v>4279.3500000000004</v>
      </c>
      <c r="GC54">
        <f t="shared" ca="1" si="95"/>
        <v>4279</v>
      </c>
      <c r="GD54">
        <f t="shared" ca="1" si="96"/>
        <v>0</v>
      </c>
      <c r="GE54">
        <f t="shared" ca="1" si="97"/>
        <v>0</v>
      </c>
      <c r="GF54">
        <f t="shared" ca="1" si="98"/>
        <v>4279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4279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21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6"/>
        <v>200</v>
      </c>
      <c r="S55">
        <f t="shared" si="4"/>
        <v>39010</v>
      </c>
      <c r="T55">
        <f>_xlfn.XLOOKUP(B55,'[2]april-2025'!$A:$A,'[2]april-2025'!$C:$C,0,0)</f>
        <v>33500</v>
      </c>
      <c r="U55">
        <f t="shared" si="5"/>
        <v>6030</v>
      </c>
      <c r="V55">
        <f t="shared" si="6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40350</v>
      </c>
      <c r="AD55">
        <f>_xlfn.XLOOKUP(B55,'[3]may-2025'!$A:$A,'[3]may-2025'!$C:$C,0,0)</f>
        <v>33500</v>
      </c>
      <c r="AE55">
        <f t="shared" si="10"/>
        <v>6030</v>
      </c>
      <c r="AF55">
        <f t="shared" si="11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2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40350</v>
      </c>
      <c r="AN55">
        <f>_xlfn.XLOOKUP(B55,'[4]june-2025'!$A:$A,'[4]june-2025'!$C:$C,0,0)</f>
        <v>33500</v>
      </c>
      <c r="AO55">
        <f t="shared" si="15"/>
        <v>6030</v>
      </c>
      <c r="AP55">
        <f t="shared" si="16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7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40350</v>
      </c>
      <c r="AX55">
        <f>_xlfn.XLOOKUP(B55,'[5]july-2025'!$A:$A,'[5]july-2025'!$C:$C,0,0)</f>
        <v>34500</v>
      </c>
      <c r="AY55">
        <f t="shared" si="20"/>
        <v>6210</v>
      </c>
      <c r="AZ55">
        <v>0</v>
      </c>
      <c r="BA55">
        <f t="shared" si="21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22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41650</v>
      </c>
      <c r="BI55">
        <f>_xlfn.XLOOKUP(B55,'[6]august-2025'!$A:$A,'[6]august-2025'!$C:$C,0,0)</f>
        <v>34500</v>
      </c>
      <c r="BJ55">
        <f t="shared" si="25"/>
        <v>6210</v>
      </c>
      <c r="BK55">
        <f t="shared" si="26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7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41650</v>
      </c>
      <c r="BS55">
        <f>_xlfn.XLOOKUP(B55,'[7]september-2025'!$A:$A,'[7]september-2025'!$C:$C,0,0)</f>
        <v>34500</v>
      </c>
      <c r="BT55">
        <f t="shared" si="30"/>
        <v>6210</v>
      </c>
      <c r="BU55">
        <f t="shared" si="31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32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41650</v>
      </c>
      <c r="CC55">
        <f>_xlfn.XLOOKUP(B55,'[8]october-2025'!$A:$A,'[8]october-2025'!$C:$C,0,0)</f>
        <v>34500</v>
      </c>
      <c r="CD55">
        <f t="shared" si="35"/>
        <v>6210</v>
      </c>
      <c r="CE55">
        <f t="shared" si="36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7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41650</v>
      </c>
      <c r="CM55">
        <f>_xlfn.XLOOKUP(B55,'[9]november-2025'!$A:$A,'[9]november-2025'!$C:$C,0,0)</f>
        <v>34500</v>
      </c>
      <c r="CN55">
        <f t="shared" si="40"/>
        <v>6210</v>
      </c>
      <c r="CO55">
        <f t="shared" si="4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42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41650</v>
      </c>
      <c r="CW55">
        <f>_xlfn.XLOOKUP(B55,'[10]december-2025'!$A:$A,'[10]december-2025'!$C:$C,0,0)</f>
        <v>34500</v>
      </c>
      <c r="CX55">
        <f t="shared" si="45"/>
        <v>6210</v>
      </c>
      <c r="CY55">
        <f t="shared" si="46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7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41650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544460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492060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450060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450060</v>
      </c>
      <c r="FD55">
        <f t="shared" si="71"/>
        <v>10003</v>
      </c>
      <c r="FE55">
        <f t="shared" si="72"/>
        <v>0</v>
      </c>
      <c r="FF55">
        <f t="shared" si="73"/>
        <v>10003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683</v>
      </c>
      <c r="FN55">
        <f t="shared" ca="1" si="80"/>
        <v>545143</v>
      </c>
      <c r="FO55">
        <f t="shared" si="81"/>
        <v>75000</v>
      </c>
      <c r="FP55">
        <f t="shared" ca="1" si="82"/>
        <v>470143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70143</v>
      </c>
      <c r="GB55">
        <f t="shared" ca="1" si="94"/>
        <v>3507.15</v>
      </c>
      <c r="GC55">
        <f t="shared" ca="1" si="95"/>
        <v>3507</v>
      </c>
      <c r="GD55">
        <f t="shared" ca="1" si="96"/>
        <v>0</v>
      </c>
      <c r="GE55">
        <f t="shared" ca="1" si="97"/>
        <v>0</v>
      </c>
      <c r="GF55">
        <f t="shared" ca="1" si="98"/>
        <v>3507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3507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21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6"/>
        <v>150</v>
      </c>
      <c r="S56">
        <f t="shared" si="4"/>
        <v>36666</v>
      </c>
      <c r="T56">
        <f>_xlfn.XLOOKUP(B56,'[2]april-2025'!$A:$A,'[2]april-2025'!$C:$C,0,0)</f>
        <v>31600</v>
      </c>
      <c r="U56">
        <f t="shared" si="5"/>
        <v>5688</v>
      </c>
      <c r="V56">
        <f t="shared" si="6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37880</v>
      </c>
      <c r="AD56">
        <f>_xlfn.XLOOKUP(B56,'[3]may-2025'!$A:$A,'[3]may-2025'!$C:$C,0,0)</f>
        <v>31600</v>
      </c>
      <c r="AE56">
        <f t="shared" si="10"/>
        <v>5688</v>
      </c>
      <c r="AF56">
        <f t="shared" si="11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2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37880</v>
      </c>
      <c r="AN56">
        <f>_xlfn.XLOOKUP(B56,'[4]june-2025'!$A:$A,'[4]june-2025'!$C:$C,0,0)</f>
        <v>31600</v>
      </c>
      <c r="AO56">
        <f t="shared" si="15"/>
        <v>5688</v>
      </c>
      <c r="AP56">
        <f t="shared" si="16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7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37880</v>
      </c>
      <c r="AX56">
        <f>_xlfn.XLOOKUP(B56,'[5]july-2025'!$A:$A,'[5]july-2025'!$C:$C,0,0)</f>
        <v>32500</v>
      </c>
      <c r="AY56">
        <f t="shared" si="20"/>
        <v>5850</v>
      </c>
      <c r="AZ56">
        <v>0</v>
      </c>
      <c r="BA56">
        <f t="shared" si="21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22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39050</v>
      </c>
      <c r="BI56">
        <f>_xlfn.XLOOKUP(B56,'[6]august-2025'!$A:$A,'[6]august-2025'!$C:$C,0,0)</f>
        <v>32500</v>
      </c>
      <c r="BJ56">
        <f t="shared" si="25"/>
        <v>5850</v>
      </c>
      <c r="BK56">
        <f t="shared" si="26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7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39050</v>
      </c>
      <c r="BS56">
        <f>_xlfn.XLOOKUP(B56,'[7]september-2025'!$A:$A,'[7]september-2025'!$C:$C,0,0)</f>
        <v>32500</v>
      </c>
      <c r="BT56">
        <f t="shared" si="30"/>
        <v>5850</v>
      </c>
      <c r="BU56">
        <f t="shared" si="31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32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39050</v>
      </c>
      <c r="CC56">
        <f>_xlfn.XLOOKUP(B56,'[8]october-2025'!$A:$A,'[8]october-2025'!$C:$C,0,0)</f>
        <v>32500</v>
      </c>
      <c r="CD56">
        <f t="shared" si="35"/>
        <v>5850</v>
      </c>
      <c r="CE56">
        <f t="shared" si="36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7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39050</v>
      </c>
      <c r="CM56">
        <f>_xlfn.XLOOKUP(B56,'[9]november-2025'!$A:$A,'[9]november-2025'!$C:$C,0,0)</f>
        <v>32500</v>
      </c>
      <c r="CN56">
        <f t="shared" si="40"/>
        <v>5850</v>
      </c>
      <c r="CO56">
        <f t="shared" si="4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42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39050</v>
      </c>
      <c r="CW56">
        <f>_xlfn.XLOOKUP(B56,'[10]december-2025'!$A:$A,'[10]december-2025'!$C:$C,0,0)</f>
        <v>32500</v>
      </c>
      <c r="CX56">
        <f t="shared" si="45"/>
        <v>5850</v>
      </c>
      <c r="CY56">
        <f t="shared" si="46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7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39050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507856</v>
      </c>
      <c r="EB56">
        <f t="shared" si="61"/>
        <v>2350</v>
      </c>
      <c r="EC56">
        <f t="shared" si="62"/>
        <v>50000</v>
      </c>
      <c r="ED56">
        <v>0</v>
      </c>
      <c r="EE56">
        <f t="shared" si="63"/>
        <v>455506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419506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419506</v>
      </c>
      <c r="FD56">
        <f t="shared" si="71"/>
        <v>8475</v>
      </c>
      <c r="FE56">
        <f t="shared" si="72"/>
        <v>0</v>
      </c>
      <c r="FF56">
        <f t="shared" si="73"/>
        <v>8475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580</v>
      </c>
      <c r="FN56">
        <f t="shared" ca="1" si="80"/>
        <v>508436</v>
      </c>
      <c r="FO56">
        <f t="shared" si="81"/>
        <v>75000</v>
      </c>
      <c r="FP56">
        <f t="shared" ca="1" si="82"/>
        <v>433436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33436</v>
      </c>
      <c r="GB56">
        <f t="shared" ca="1" si="94"/>
        <v>1671.8000000000002</v>
      </c>
      <c r="GC56">
        <f t="shared" ca="1" si="95"/>
        <v>1672</v>
      </c>
      <c r="GD56">
        <f t="shared" ca="1" si="96"/>
        <v>0</v>
      </c>
      <c r="GE56">
        <f t="shared" ca="1" si="97"/>
        <v>0</v>
      </c>
      <c r="GF56">
        <f t="shared" ca="1" si="98"/>
        <v>1672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1672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21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40010</v>
      </c>
      <c r="T57">
        <f>_xlfn.XLOOKUP(B57,'[2]april-2025'!$A:$A,'[2]april-2025'!$C:$C,0,0)</f>
        <v>33500</v>
      </c>
      <c r="U57">
        <f t="shared" si="5"/>
        <v>6030</v>
      </c>
      <c r="V57">
        <f t="shared" si="6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41350</v>
      </c>
      <c r="AD57">
        <f>_xlfn.XLOOKUP(B57,'[3]may-2025'!$A:$A,'[3]may-2025'!$C:$C,0,0)</f>
        <v>33500</v>
      </c>
      <c r="AE57">
        <f t="shared" si="10"/>
        <v>6030</v>
      </c>
      <c r="AF57">
        <f t="shared" si="11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2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41350</v>
      </c>
      <c r="AN57">
        <f>_xlfn.XLOOKUP(B57,'[4]june-2025'!$A:$A,'[4]june-2025'!$C:$C,0,0)</f>
        <v>33500</v>
      </c>
      <c r="AO57">
        <f t="shared" si="15"/>
        <v>6030</v>
      </c>
      <c r="AP57">
        <f t="shared" si="16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7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41350</v>
      </c>
      <c r="AX57">
        <f>_xlfn.XLOOKUP(B57,'[5]july-2025'!$A:$A,'[5]july-2025'!$C:$C,0,0)</f>
        <v>34500</v>
      </c>
      <c r="AY57">
        <f t="shared" si="20"/>
        <v>6210</v>
      </c>
      <c r="AZ57">
        <v>0</v>
      </c>
      <c r="BA57">
        <f t="shared" si="21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22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42650</v>
      </c>
      <c r="BI57">
        <f>_xlfn.XLOOKUP(B57,'[6]august-2025'!$A:$A,'[6]august-2025'!$C:$C,0,0)</f>
        <v>34500</v>
      </c>
      <c r="BJ57">
        <f t="shared" si="25"/>
        <v>6210</v>
      </c>
      <c r="BK57">
        <f t="shared" si="26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7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42650</v>
      </c>
      <c r="BS57">
        <f>_xlfn.XLOOKUP(B57,'[7]september-2025'!$A:$A,'[7]september-2025'!$C:$C,0,0)</f>
        <v>34500</v>
      </c>
      <c r="BT57">
        <f t="shared" si="30"/>
        <v>6210</v>
      </c>
      <c r="BU57">
        <f t="shared" si="31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32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42650</v>
      </c>
      <c r="CC57">
        <f>_xlfn.XLOOKUP(B57,'[8]october-2025'!$A:$A,'[8]october-2025'!$C:$C,0,0)</f>
        <v>34500</v>
      </c>
      <c r="CD57">
        <f t="shared" si="35"/>
        <v>6210</v>
      </c>
      <c r="CE57">
        <f t="shared" si="36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7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42650</v>
      </c>
      <c r="CM57">
        <f>_xlfn.XLOOKUP(B57,'[9]november-2025'!$A:$A,'[9]november-2025'!$C:$C,0,0)</f>
        <v>34500</v>
      </c>
      <c r="CN57">
        <f t="shared" si="40"/>
        <v>6210</v>
      </c>
      <c r="CO57">
        <f t="shared" si="4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42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42650</v>
      </c>
      <c r="CW57">
        <f>_xlfn.XLOOKUP(B57,'[10]december-2025'!$A:$A,'[10]december-2025'!$C:$C,0,0)</f>
        <v>34500</v>
      </c>
      <c r="CX57">
        <f t="shared" si="45"/>
        <v>6210</v>
      </c>
      <c r="CY57">
        <f t="shared" si="46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7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42650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544460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492060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462060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462060</v>
      </c>
      <c r="FD57">
        <f t="shared" si="71"/>
        <v>10603</v>
      </c>
      <c r="FE57">
        <f t="shared" si="72"/>
        <v>0</v>
      </c>
      <c r="FF57">
        <f t="shared" si="73"/>
        <v>10603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622</v>
      </c>
      <c r="FN57">
        <f t="shared" ca="1" si="80"/>
        <v>545082</v>
      </c>
      <c r="FO57">
        <f t="shared" si="81"/>
        <v>75000</v>
      </c>
      <c r="FP57">
        <f t="shared" ca="1" si="82"/>
        <v>470082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70082</v>
      </c>
      <c r="GB57">
        <f t="shared" ca="1" si="94"/>
        <v>3504.1000000000004</v>
      </c>
      <c r="GC57">
        <f t="shared" ca="1" si="95"/>
        <v>3504</v>
      </c>
      <c r="GD57">
        <f t="shared" ca="1" si="96"/>
        <v>0</v>
      </c>
      <c r="GE57">
        <f t="shared" ca="1" si="97"/>
        <v>0</v>
      </c>
      <c r="GF57">
        <f t="shared" ca="1" si="98"/>
        <v>3504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3504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21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45202</v>
      </c>
      <c r="T58">
        <f>_xlfn.XLOOKUP(B58,'[2]april-2025'!$A:$A,'[2]april-2025'!$C:$C,0,0)</f>
        <v>37700</v>
      </c>
      <c r="U58">
        <f t="shared" si="5"/>
        <v>6786</v>
      </c>
      <c r="V58">
        <f t="shared" si="6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46710</v>
      </c>
      <c r="AD58">
        <f>_xlfn.XLOOKUP(B58,'[3]may-2025'!$A:$A,'[3]may-2025'!$C:$C,0,0)</f>
        <v>37700</v>
      </c>
      <c r="AE58">
        <f t="shared" si="10"/>
        <v>6786</v>
      </c>
      <c r="AF58">
        <f t="shared" si="11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2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46710</v>
      </c>
      <c r="AN58">
        <f>_xlfn.XLOOKUP(B58,'[4]june-2025'!$A:$A,'[4]june-2025'!$C:$C,0,0)</f>
        <v>37700</v>
      </c>
      <c r="AO58">
        <f t="shared" si="15"/>
        <v>6786</v>
      </c>
      <c r="AP58">
        <f t="shared" si="16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7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46710</v>
      </c>
      <c r="AX58">
        <f>_xlfn.XLOOKUP(B58,'[5]july-2025'!$A:$A,'[5]july-2025'!$C:$C,0,0)</f>
        <v>38800</v>
      </c>
      <c r="AY58">
        <f t="shared" si="20"/>
        <v>6984</v>
      </c>
      <c r="AZ58">
        <v>0</v>
      </c>
      <c r="BA58">
        <f t="shared" si="21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22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48140</v>
      </c>
      <c r="BI58">
        <f>_xlfn.XLOOKUP(B58,'[6]august-2025'!$A:$A,'[6]august-2025'!$C:$C,0,0)</f>
        <v>38800</v>
      </c>
      <c r="BJ58">
        <f t="shared" si="25"/>
        <v>6984</v>
      </c>
      <c r="BK58">
        <f t="shared" si="26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7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48140</v>
      </c>
      <c r="BS58">
        <f>_xlfn.XLOOKUP(B58,'[7]september-2025'!$A:$A,'[7]september-2025'!$C:$C,0,0)</f>
        <v>38800</v>
      </c>
      <c r="BT58">
        <f t="shared" si="30"/>
        <v>6984</v>
      </c>
      <c r="BU58">
        <f t="shared" si="31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32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48140</v>
      </c>
      <c r="CC58">
        <f>_xlfn.XLOOKUP(B58,'[8]october-2025'!$A:$A,'[8]october-2025'!$C:$C,0,0)</f>
        <v>38800</v>
      </c>
      <c r="CD58">
        <f t="shared" si="35"/>
        <v>6984</v>
      </c>
      <c r="CE58">
        <f t="shared" si="36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7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48140</v>
      </c>
      <c r="CM58">
        <f>_xlfn.XLOOKUP(B58,'[9]november-2025'!$A:$A,'[9]november-2025'!$C:$C,0,0)</f>
        <v>38800</v>
      </c>
      <c r="CN58">
        <f t="shared" si="40"/>
        <v>6984</v>
      </c>
      <c r="CO58">
        <f t="shared" si="4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42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48140</v>
      </c>
      <c r="CW58">
        <f>_xlfn.XLOOKUP(B58,'[10]december-2025'!$A:$A,'[10]december-2025'!$C:$C,0,0)</f>
        <v>38800</v>
      </c>
      <c r="CX58">
        <f t="shared" si="45"/>
        <v>6984</v>
      </c>
      <c r="CY58">
        <f t="shared" si="46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7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48140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615652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563252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527252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527252</v>
      </c>
      <c r="FD58">
        <f t="shared" si="71"/>
        <v>12500</v>
      </c>
      <c r="FE58">
        <f t="shared" si="72"/>
        <v>5450</v>
      </c>
      <c r="FF58">
        <f t="shared" si="73"/>
        <v>17950</v>
      </c>
      <c r="FG58">
        <f t="shared" si="74"/>
        <v>17950</v>
      </c>
      <c r="FH58">
        <f t="shared" si="75"/>
        <v>718</v>
      </c>
      <c r="FI58">
        <f t="shared" si="76"/>
        <v>18668</v>
      </c>
      <c r="FJ58">
        <v>0</v>
      </c>
      <c r="FK58">
        <f t="shared" si="77"/>
        <v>18668</v>
      </c>
      <c r="FL58" t="b">
        <f t="shared" si="78"/>
        <v>1</v>
      </c>
      <c r="FM58">
        <f t="shared" ca="1" si="79"/>
        <v>799</v>
      </c>
      <c r="FN58">
        <f t="shared" ca="1" si="80"/>
        <v>616451</v>
      </c>
      <c r="FO58">
        <f t="shared" si="81"/>
        <v>75000</v>
      </c>
      <c r="FP58">
        <f t="shared" ca="1" si="82"/>
        <v>541451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141451</v>
      </c>
      <c r="GB58">
        <f t="shared" ca="1" si="94"/>
        <v>7072.55</v>
      </c>
      <c r="GC58">
        <f t="shared" ca="1" si="95"/>
        <v>7073</v>
      </c>
      <c r="GD58">
        <f t="shared" ca="1" si="96"/>
        <v>0</v>
      </c>
      <c r="GE58">
        <f t="shared" ca="1" si="97"/>
        <v>0</v>
      </c>
      <c r="GF58">
        <f t="shared" ca="1" si="98"/>
        <v>7073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7073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21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747</v>
      </c>
      <c r="FN59">
        <f t="shared" ca="1" si="80"/>
        <v>545207</v>
      </c>
      <c r="FO59">
        <f t="shared" si="81"/>
        <v>75000</v>
      </c>
      <c r="FP59">
        <f t="shared" ca="1" si="82"/>
        <v>470207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70207</v>
      </c>
      <c r="GB59">
        <f t="shared" ca="1" si="94"/>
        <v>3510.3500000000004</v>
      </c>
      <c r="GC59">
        <f t="shared" ca="1" si="95"/>
        <v>3510</v>
      </c>
      <c r="GD59">
        <f t="shared" ca="1" si="96"/>
        <v>0</v>
      </c>
      <c r="GE59">
        <f t="shared" ca="1" si="97"/>
        <v>0</v>
      </c>
      <c r="GF59">
        <f t="shared" ca="1" si="98"/>
        <v>3510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3510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21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6"/>
        <v>200</v>
      </c>
      <c r="S60">
        <f t="shared" si="4"/>
        <v>40010</v>
      </c>
      <c r="T60">
        <f>_xlfn.XLOOKUP(B60,'[2]april-2025'!$A:$A,'[2]april-2025'!$C:$C,0,0)</f>
        <v>33500</v>
      </c>
      <c r="U60">
        <f t="shared" si="5"/>
        <v>6030</v>
      </c>
      <c r="V60">
        <f t="shared" si="6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8"/>
        <v>200</v>
      </c>
      <c r="AC60">
        <f t="shared" si="9"/>
        <v>41350</v>
      </c>
      <c r="AD60">
        <f>_xlfn.XLOOKUP(B60,'[3]may-2025'!$A:$A,'[3]may-2025'!$C:$C,0,0)</f>
        <v>33500</v>
      </c>
      <c r="AE60">
        <f t="shared" si="10"/>
        <v>6030</v>
      </c>
      <c r="AF60">
        <f t="shared" si="11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3"/>
        <v>200</v>
      </c>
      <c r="AM60">
        <f t="shared" si="14"/>
        <v>41350</v>
      </c>
      <c r="AN60">
        <f>_xlfn.XLOOKUP(B60,'[4]june-2025'!$A:$A,'[4]june-2025'!$C:$C,0,0)</f>
        <v>33500</v>
      </c>
      <c r="AO60">
        <f t="shared" si="15"/>
        <v>6030</v>
      </c>
      <c r="AP60">
        <f t="shared" si="16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8"/>
        <v>200</v>
      </c>
      <c r="AW60">
        <f t="shared" si="19"/>
        <v>41350</v>
      </c>
      <c r="AX60">
        <f>_xlfn.XLOOKUP(B60,'[5]july-2025'!$A:$A,'[5]july-2025'!$C:$C,0,0)</f>
        <v>34500</v>
      </c>
      <c r="AY60">
        <f t="shared" si="20"/>
        <v>6210</v>
      </c>
      <c r="AZ60">
        <v>0</v>
      </c>
      <c r="BA60">
        <f t="shared" si="21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23"/>
        <v>200</v>
      </c>
      <c r="BH60">
        <f t="shared" si="24"/>
        <v>42650</v>
      </c>
      <c r="BI60">
        <f>_xlfn.XLOOKUP(B60,'[6]august-2025'!$A:$A,'[6]august-2025'!$C:$C,0,0)</f>
        <v>34500</v>
      </c>
      <c r="BJ60">
        <f t="shared" si="25"/>
        <v>6210</v>
      </c>
      <c r="BK60">
        <f t="shared" si="26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8"/>
        <v>200</v>
      </c>
      <c r="BR60">
        <f t="shared" si="29"/>
        <v>42650</v>
      </c>
      <c r="BS60">
        <f>_xlfn.XLOOKUP(B60,'[7]september-2025'!$A:$A,'[7]september-2025'!$C:$C,0,0)</f>
        <v>34500</v>
      </c>
      <c r="BT60">
        <f t="shared" si="30"/>
        <v>6210</v>
      </c>
      <c r="BU60">
        <f t="shared" si="31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33"/>
        <v>200</v>
      </c>
      <c r="CB60">
        <f t="shared" si="34"/>
        <v>42650</v>
      </c>
      <c r="CC60">
        <f>_xlfn.XLOOKUP(B60,'[8]october-2025'!$A:$A,'[8]october-2025'!$C:$C,0,0)</f>
        <v>34500</v>
      </c>
      <c r="CD60">
        <f t="shared" si="35"/>
        <v>6210</v>
      </c>
      <c r="CE60">
        <f t="shared" si="36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8"/>
        <v>200</v>
      </c>
      <c r="CL60">
        <f t="shared" si="39"/>
        <v>42650</v>
      </c>
      <c r="CM60">
        <f>_xlfn.XLOOKUP(B60,'[9]november-2025'!$A:$A,'[9]november-2025'!$C:$C,0,0)</f>
        <v>34500</v>
      </c>
      <c r="CN60">
        <f t="shared" si="40"/>
        <v>6210</v>
      </c>
      <c r="CO60">
        <f t="shared" si="4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43"/>
        <v>200</v>
      </c>
      <c r="CV60">
        <f t="shared" si="44"/>
        <v>42650</v>
      </c>
      <c r="CW60">
        <f>_xlfn.XLOOKUP(B60,'[10]december-2025'!$A:$A,'[10]december-2025'!$C:$C,0,0)</f>
        <v>34500</v>
      </c>
      <c r="CX60">
        <f t="shared" si="45"/>
        <v>6210</v>
      </c>
      <c r="CY60">
        <f t="shared" si="46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8"/>
        <v>200</v>
      </c>
      <c r="DF60">
        <f t="shared" si="49"/>
        <v>42650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544460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492060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462060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462060</v>
      </c>
      <c r="FD60">
        <f t="shared" si="71"/>
        <v>10603</v>
      </c>
      <c r="FE60">
        <f t="shared" si="72"/>
        <v>0</v>
      </c>
      <c r="FF60">
        <f t="shared" si="73"/>
        <v>10603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791</v>
      </c>
      <c r="FN60">
        <f t="shared" ca="1" si="80"/>
        <v>545251</v>
      </c>
      <c r="FO60">
        <f t="shared" si="81"/>
        <v>75000</v>
      </c>
      <c r="FP60">
        <f t="shared" ca="1" si="82"/>
        <v>470251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70251</v>
      </c>
      <c r="GB60">
        <f t="shared" ca="1" si="94"/>
        <v>3512.55</v>
      </c>
      <c r="GC60">
        <f t="shared" ca="1" si="95"/>
        <v>3513</v>
      </c>
      <c r="GD60">
        <f t="shared" ca="1" si="96"/>
        <v>0</v>
      </c>
      <c r="GE60">
        <f t="shared" ca="1" si="97"/>
        <v>0</v>
      </c>
      <c r="GF60">
        <f t="shared" ca="1" si="98"/>
        <v>3513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3513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21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6"/>
        <v>0</v>
      </c>
      <c r="S61">
        <f t="shared" si="4"/>
        <v>32520</v>
      </c>
      <c r="T61">
        <f>_xlfn.XLOOKUP(B61,'[2]april-2025'!$A:$A,'[2]april-2025'!$C:$C,0,0)</f>
        <v>27000</v>
      </c>
      <c r="U61">
        <f t="shared" si="5"/>
        <v>4860</v>
      </c>
      <c r="V61">
        <f t="shared" si="6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8"/>
        <v>0</v>
      </c>
      <c r="AC61">
        <f t="shared" si="9"/>
        <v>33600</v>
      </c>
      <c r="AD61">
        <f>_xlfn.XLOOKUP(B61,'[3]may-2025'!$A:$A,'[3]may-2025'!$C:$C,0,0)</f>
        <v>31600</v>
      </c>
      <c r="AE61">
        <f t="shared" si="10"/>
        <v>5688</v>
      </c>
      <c r="AF61">
        <f t="shared" si="11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2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3"/>
        <v>0</v>
      </c>
      <c r="AM61">
        <f t="shared" si="14"/>
        <v>39580</v>
      </c>
      <c r="AN61">
        <f>_xlfn.XLOOKUP(B61,'[4]june-2025'!$A:$A,'[4]june-2025'!$C:$C,0,0)</f>
        <v>31600</v>
      </c>
      <c r="AO61">
        <f t="shared" si="15"/>
        <v>5688</v>
      </c>
      <c r="AP61">
        <f t="shared" si="16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7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8"/>
        <v>0</v>
      </c>
      <c r="AW61">
        <f t="shared" si="19"/>
        <v>39580</v>
      </c>
      <c r="AX61">
        <f>_xlfn.XLOOKUP(B61,'[5]july-2025'!$A:$A,'[5]july-2025'!$C:$C,0,0)</f>
        <v>32500</v>
      </c>
      <c r="AY61">
        <f t="shared" si="20"/>
        <v>5850</v>
      </c>
      <c r="AZ61">
        <v>0</v>
      </c>
      <c r="BA61">
        <f t="shared" si="21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22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23"/>
        <v>0</v>
      </c>
      <c r="BH61">
        <f t="shared" si="24"/>
        <v>40750</v>
      </c>
      <c r="BI61">
        <f>_xlfn.XLOOKUP(B61,'[6]august-2025'!$A:$A,'[6]august-2025'!$C:$C,0,0)</f>
        <v>32500</v>
      </c>
      <c r="BJ61">
        <f t="shared" si="25"/>
        <v>5850</v>
      </c>
      <c r="BK61">
        <f t="shared" si="26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7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8"/>
        <v>0</v>
      </c>
      <c r="BR61">
        <f t="shared" si="29"/>
        <v>40750</v>
      </c>
      <c r="BS61">
        <f>_xlfn.XLOOKUP(B61,'[7]september-2025'!$A:$A,'[7]september-2025'!$C:$C,0,0)</f>
        <v>32500</v>
      </c>
      <c r="BT61">
        <f t="shared" si="30"/>
        <v>5850</v>
      </c>
      <c r="BU61">
        <f t="shared" si="31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32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33"/>
        <v>0</v>
      </c>
      <c r="CB61">
        <f t="shared" si="34"/>
        <v>40750</v>
      </c>
      <c r="CC61">
        <f>_xlfn.XLOOKUP(B61,'[8]october-2025'!$A:$A,'[8]october-2025'!$C:$C,0,0)</f>
        <v>32500</v>
      </c>
      <c r="CD61">
        <f t="shared" si="35"/>
        <v>5850</v>
      </c>
      <c r="CE61">
        <f t="shared" si="36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7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8"/>
        <v>0</v>
      </c>
      <c r="CL61">
        <f t="shared" si="39"/>
        <v>40750</v>
      </c>
      <c r="CM61">
        <f>_xlfn.XLOOKUP(B61,'[9]november-2025'!$A:$A,'[9]november-2025'!$C:$C,0,0)</f>
        <v>32500</v>
      </c>
      <c r="CN61">
        <f t="shared" si="40"/>
        <v>5850</v>
      </c>
      <c r="CO61">
        <f t="shared" si="4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42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43"/>
        <v>0</v>
      </c>
      <c r="CV61">
        <f t="shared" si="44"/>
        <v>40750</v>
      </c>
      <c r="CW61">
        <f>_xlfn.XLOOKUP(B61,'[10]december-2025'!$A:$A,'[10]december-2025'!$C:$C,0,0)</f>
        <v>32500</v>
      </c>
      <c r="CX61">
        <f t="shared" si="45"/>
        <v>5850</v>
      </c>
      <c r="CY61">
        <f t="shared" si="46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7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8"/>
        <v>0</v>
      </c>
      <c r="DF61">
        <f t="shared" si="49"/>
        <v>40750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502080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452080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428080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378080</v>
      </c>
      <c r="FD61">
        <f t="shared" si="71"/>
        <v>6404</v>
      </c>
      <c r="FE61">
        <f t="shared" si="72"/>
        <v>0</v>
      </c>
      <c r="FF61">
        <f t="shared" si="73"/>
        <v>6404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823</v>
      </c>
      <c r="FN61">
        <f t="shared" ca="1" si="80"/>
        <v>502903</v>
      </c>
      <c r="FO61">
        <f t="shared" si="81"/>
        <v>75000</v>
      </c>
      <c r="FP61">
        <f t="shared" ca="1" si="82"/>
        <v>427903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27903</v>
      </c>
      <c r="GB61">
        <f t="shared" ca="1" si="94"/>
        <v>1395.15</v>
      </c>
      <c r="GC61">
        <f t="shared" ca="1" si="95"/>
        <v>1395</v>
      </c>
      <c r="GD61">
        <f t="shared" ca="1" si="96"/>
        <v>0</v>
      </c>
      <c r="GE61">
        <f t="shared" ca="1" si="97"/>
        <v>0</v>
      </c>
      <c r="GF61">
        <f t="shared" ca="1" si="98"/>
        <v>1395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1395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21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39170</v>
      </c>
      <c r="T62">
        <f>_xlfn.XLOOKUP(B62,'[2]april-2025'!$A:$A,'[2]april-2025'!$C:$C,0,0)</f>
        <v>34500</v>
      </c>
      <c r="U62">
        <f t="shared" si="5"/>
        <v>6210</v>
      </c>
      <c r="V62">
        <f t="shared" si="6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40550</v>
      </c>
      <c r="AD62">
        <f>_xlfn.XLOOKUP(B62,'[3]may-2025'!$A:$A,'[3]may-2025'!$C:$C,0,0)</f>
        <v>34500</v>
      </c>
      <c r="AE62">
        <f t="shared" si="10"/>
        <v>6210</v>
      </c>
      <c r="AF62">
        <f t="shared" si="11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2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40550</v>
      </c>
      <c r="AN62">
        <f>_xlfn.XLOOKUP(B62,'[4]june-2025'!$A:$A,'[4]june-2025'!$C:$C,0,0)</f>
        <v>34500</v>
      </c>
      <c r="AO62">
        <f t="shared" si="15"/>
        <v>6210</v>
      </c>
      <c r="AP62">
        <f t="shared" si="16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7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40550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22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41850</v>
      </c>
      <c r="BI62">
        <f>_xlfn.XLOOKUP(B62,'[6]august-2025'!$A:$A,'[6]august-2025'!$C:$C,0,0)</f>
        <v>35500</v>
      </c>
      <c r="BJ62">
        <f t="shared" si="25"/>
        <v>6390</v>
      </c>
      <c r="BK62">
        <f t="shared" si="26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7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41850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32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41850</v>
      </c>
      <c r="CC62">
        <f>_xlfn.XLOOKUP(B62,'[8]october-2025'!$A:$A,'[8]october-2025'!$C:$C,0,0)</f>
        <v>35500</v>
      </c>
      <c r="CD62">
        <f t="shared" si="35"/>
        <v>6390</v>
      </c>
      <c r="CE62">
        <f t="shared" si="36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7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41850</v>
      </c>
      <c r="CM62">
        <f>_xlfn.XLOOKUP(B62,'[9]november-2025'!$A:$A,'[9]november-2025'!$C:$C,0,0)</f>
        <v>35500</v>
      </c>
      <c r="CN62">
        <f t="shared" si="40"/>
        <v>6390</v>
      </c>
      <c r="CO62">
        <f t="shared" si="4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42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41850</v>
      </c>
      <c r="CW62">
        <f>_xlfn.XLOOKUP(B62,'[10]december-2025'!$A:$A,'[10]december-2025'!$C:$C,0,0)</f>
        <v>35500</v>
      </c>
      <c r="CX62">
        <f t="shared" si="45"/>
        <v>6390</v>
      </c>
      <c r="CY62">
        <f t="shared" si="46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7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41850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564820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512420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452420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452420</v>
      </c>
      <c r="FD62">
        <f t="shared" si="71"/>
        <v>10121</v>
      </c>
      <c r="FE62">
        <f t="shared" si="72"/>
        <v>0</v>
      </c>
      <c r="FF62">
        <f t="shared" si="73"/>
        <v>10121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586</v>
      </c>
      <c r="FN62">
        <f t="shared" ca="1" si="80"/>
        <v>565406</v>
      </c>
      <c r="FO62">
        <f t="shared" si="81"/>
        <v>75000</v>
      </c>
      <c r="FP62">
        <f t="shared" ca="1" si="82"/>
        <v>490406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90406</v>
      </c>
      <c r="GB62">
        <f t="shared" ca="1" si="94"/>
        <v>4520.3</v>
      </c>
      <c r="GC62">
        <f t="shared" ca="1" si="95"/>
        <v>4520</v>
      </c>
      <c r="GD62">
        <f t="shared" ca="1" si="96"/>
        <v>0</v>
      </c>
      <c r="GE62">
        <f t="shared" ca="1" si="97"/>
        <v>0</v>
      </c>
      <c r="GF62">
        <f t="shared" ca="1" si="98"/>
        <v>4520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4520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21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41270</v>
      </c>
      <c r="T63">
        <f>_xlfn.XLOOKUP(B63,'[2]april-2025'!$A:$A,'[2]april-2025'!$C:$C,0,0)</f>
        <v>34500</v>
      </c>
      <c r="U63">
        <f t="shared" si="5"/>
        <v>6210</v>
      </c>
      <c r="V63">
        <f t="shared" si="6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42650</v>
      </c>
      <c r="AD63">
        <f>_xlfn.XLOOKUP(B63,'[3]may-2025'!$A:$A,'[3]may-2025'!$C:$C,0,0)</f>
        <v>34500</v>
      </c>
      <c r="AE63">
        <f t="shared" si="10"/>
        <v>6210</v>
      </c>
      <c r="AF63">
        <f t="shared" si="11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2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42650</v>
      </c>
      <c r="AN63">
        <f>_xlfn.XLOOKUP(B63,'[4]june-2025'!$A:$A,'[4]june-2025'!$C:$C,0,0)</f>
        <v>34500</v>
      </c>
      <c r="AO63">
        <f t="shared" si="15"/>
        <v>6210</v>
      </c>
      <c r="AP63">
        <f t="shared" si="16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7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42650</v>
      </c>
      <c r="AX63">
        <f>_xlfn.XLOOKUP(B63,'[5]july-2025'!$A:$A,'[5]july-2025'!$C:$C,0,0)</f>
        <v>35500</v>
      </c>
      <c r="AY63">
        <f t="shared" si="20"/>
        <v>6390</v>
      </c>
      <c r="AZ63">
        <v>0</v>
      </c>
      <c r="BA63">
        <f t="shared" si="21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22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43950</v>
      </c>
      <c r="BI63">
        <f>_xlfn.XLOOKUP(B63,'[6]august-2025'!$A:$A,'[6]august-2025'!$C:$C,0,0)</f>
        <v>35500</v>
      </c>
      <c r="BJ63">
        <f t="shared" si="25"/>
        <v>6390</v>
      </c>
      <c r="BK63">
        <f t="shared" si="26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7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43950</v>
      </c>
      <c r="BS63">
        <f>_xlfn.XLOOKUP(B63,'[7]september-2025'!$A:$A,'[7]september-2025'!$C:$C,0,0)</f>
        <v>35500</v>
      </c>
      <c r="BT63">
        <f t="shared" si="30"/>
        <v>6390</v>
      </c>
      <c r="BU63">
        <f t="shared" si="31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32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43950</v>
      </c>
      <c r="CC63">
        <f>_xlfn.XLOOKUP(B63,'[8]october-2025'!$A:$A,'[8]october-2025'!$C:$C,0,0)</f>
        <v>35500</v>
      </c>
      <c r="CD63">
        <f t="shared" si="35"/>
        <v>6390</v>
      </c>
      <c r="CE63">
        <f t="shared" si="36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7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43950</v>
      </c>
      <c r="CM63">
        <f>_xlfn.XLOOKUP(B63,'[9]november-2025'!$A:$A,'[9]november-2025'!$C:$C,0,0)</f>
        <v>35500</v>
      </c>
      <c r="CN63">
        <f t="shared" si="40"/>
        <v>6390</v>
      </c>
      <c r="CO63">
        <f t="shared" si="4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42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43950</v>
      </c>
      <c r="CW63">
        <f>_xlfn.XLOOKUP(B63,'[10]december-2025'!$A:$A,'[10]december-2025'!$C:$C,0,0)</f>
        <v>35500</v>
      </c>
      <c r="CX63">
        <f t="shared" si="45"/>
        <v>6390</v>
      </c>
      <c r="CY63">
        <f t="shared" si="46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7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43950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560020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507620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477620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477620</v>
      </c>
      <c r="FD63">
        <f t="shared" si="71"/>
        <v>11381</v>
      </c>
      <c r="FE63">
        <f t="shared" si="72"/>
        <v>0</v>
      </c>
      <c r="FF63">
        <f t="shared" si="73"/>
        <v>11381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841</v>
      </c>
      <c r="FN63">
        <f t="shared" ca="1" si="80"/>
        <v>560861</v>
      </c>
      <c r="FO63">
        <f t="shared" si="81"/>
        <v>75000</v>
      </c>
      <c r="FP63">
        <f t="shared" ca="1" si="82"/>
        <v>485861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85861</v>
      </c>
      <c r="GB63">
        <f t="shared" ca="1" si="94"/>
        <v>4293.05</v>
      </c>
      <c r="GC63">
        <f t="shared" ca="1" si="95"/>
        <v>4293</v>
      </c>
      <c r="GD63">
        <f t="shared" ca="1" si="96"/>
        <v>0</v>
      </c>
      <c r="GE63">
        <f t="shared" ca="1" si="97"/>
        <v>0</v>
      </c>
      <c r="GF63">
        <f t="shared" ca="1" si="98"/>
        <v>4293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4293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21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34500</v>
      </c>
      <c r="AY64">
        <f t="shared" si="20"/>
        <v>6210</v>
      </c>
      <c r="AZ64">
        <v>0</v>
      </c>
      <c r="BA64">
        <f t="shared" si="21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42150</v>
      </c>
      <c r="BI64">
        <f>_xlfn.XLOOKUP(B64,'[6]august-2025'!$A:$A,'[6]august-2025'!$C:$C,0,0)</f>
        <v>34500</v>
      </c>
      <c r="BJ64">
        <f t="shared" si="25"/>
        <v>6210</v>
      </c>
      <c r="BK64">
        <f t="shared" si="26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42150</v>
      </c>
      <c r="BS64">
        <f>_xlfn.XLOOKUP(B64,'[7]september-2025'!$A:$A,'[7]september-2025'!$C:$C,0,0)</f>
        <v>34500</v>
      </c>
      <c r="BT64">
        <f t="shared" si="30"/>
        <v>6210</v>
      </c>
      <c r="BU64">
        <f t="shared" si="31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42150</v>
      </c>
      <c r="CC64">
        <f>_xlfn.XLOOKUP(B64,'[8]october-2025'!$A:$A,'[8]october-2025'!$C:$C,0,0)</f>
        <v>34500</v>
      </c>
      <c r="CD64">
        <f t="shared" si="35"/>
        <v>6210</v>
      </c>
      <c r="CE64">
        <f t="shared" si="36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42150</v>
      </c>
      <c r="CM64">
        <f>_xlfn.XLOOKUP(B64,'[9]november-2025'!$A:$A,'[9]november-2025'!$C:$C,0,0)</f>
        <v>34500</v>
      </c>
      <c r="CN64">
        <f t="shared" si="40"/>
        <v>6210</v>
      </c>
      <c r="CO64">
        <f t="shared" si="4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42150</v>
      </c>
      <c r="CW64">
        <f>_xlfn.XLOOKUP(B64,'[10]december-2025'!$A:$A,'[10]december-2025'!$C:$C,0,0)</f>
        <v>34500</v>
      </c>
      <c r="CX64">
        <f t="shared" si="45"/>
        <v>6210</v>
      </c>
      <c r="CY64">
        <f t="shared" si="46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42150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538460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486060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456060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456060</v>
      </c>
      <c r="FD64">
        <f t="shared" si="71"/>
        <v>10303</v>
      </c>
      <c r="FE64">
        <f t="shared" si="72"/>
        <v>0</v>
      </c>
      <c r="FF64">
        <f t="shared" si="73"/>
        <v>10303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998</v>
      </c>
      <c r="FN64">
        <f t="shared" ca="1" si="80"/>
        <v>539458</v>
      </c>
      <c r="FO64">
        <f t="shared" si="81"/>
        <v>75000</v>
      </c>
      <c r="FP64">
        <f t="shared" ca="1" si="82"/>
        <v>464458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64458</v>
      </c>
      <c r="GB64">
        <f t="shared" ca="1" si="94"/>
        <v>3222.9</v>
      </c>
      <c r="GC64">
        <f t="shared" ca="1" si="95"/>
        <v>3223</v>
      </c>
      <c r="GD64">
        <f t="shared" ca="1" si="96"/>
        <v>0</v>
      </c>
      <c r="GE64">
        <f t="shared" ca="1" si="97"/>
        <v>0</v>
      </c>
      <c r="GF64">
        <f t="shared" ca="1" si="98"/>
        <v>3223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3223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21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39510</v>
      </c>
      <c r="T65">
        <f>_xlfn.XLOOKUP(B65,'[2]april-2025'!$A:$A,'[2]april-2025'!$C:$C,0,0)</f>
        <v>33500</v>
      </c>
      <c r="U65">
        <f t="shared" si="5"/>
        <v>6030</v>
      </c>
      <c r="V65">
        <f t="shared" si="6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40850</v>
      </c>
      <c r="AD65">
        <f>_xlfn.XLOOKUP(B65,'[3]may-2025'!$A:$A,'[3]may-2025'!$C:$C,0,0)</f>
        <v>33500</v>
      </c>
      <c r="AE65">
        <f t="shared" si="10"/>
        <v>6030</v>
      </c>
      <c r="AF65">
        <f t="shared" si="11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2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40850</v>
      </c>
      <c r="AN65">
        <f>_xlfn.XLOOKUP(B65,'[4]june-2025'!$A:$A,'[4]june-2025'!$C:$C,0,0)</f>
        <v>33500</v>
      </c>
      <c r="AO65">
        <f t="shared" si="15"/>
        <v>6030</v>
      </c>
      <c r="AP65">
        <f t="shared" si="16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7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40850</v>
      </c>
      <c r="AX65">
        <f>_xlfn.XLOOKUP(B65,'[5]july-2025'!$A:$A,'[5]july-2025'!$C:$C,0,0)</f>
        <v>35500</v>
      </c>
      <c r="AY65">
        <f t="shared" si="20"/>
        <v>6390</v>
      </c>
      <c r="AZ65">
        <v>0</v>
      </c>
      <c r="BA65">
        <f t="shared" si="21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22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43450</v>
      </c>
      <c r="BI65">
        <f>_xlfn.XLOOKUP(B65,'[6]august-2025'!$A:$A,'[6]august-2025'!$C:$C,0,0)</f>
        <v>35500</v>
      </c>
      <c r="BJ65">
        <f t="shared" si="25"/>
        <v>6390</v>
      </c>
      <c r="BK65">
        <f t="shared" si="26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7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43450</v>
      </c>
      <c r="BS65">
        <f>_xlfn.XLOOKUP(B65,'[7]september-2025'!$A:$A,'[7]september-2025'!$C:$C,0,0)</f>
        <v>35500</v>
      </c>
      <c r="BT65">
        <f t="shared" si="30"/>
        <v>6390</v>
      </c>
      <c r="BU65">
        <f t="shared" si="31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32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43450</v>
      </c>
      <c r="CC65">
        <f>_xlfn.XLOOKUP(B65,'[8]october-2025'!$A:$A,'[8]october-2025'!$C:$C,0,0)</f>
        <v>35500</v>
      </c>
      <c r="CD65">
        <f t="shared" si="35"/>
        <v>6390</v>
      </c>
      <c r="CE65">
        <f t="shared" si="36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7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43450</v>
      </c>
      <c r="CM65">
        <f>_xlfn.XLOOKUP(B65,'[9]november-2025'!$A:$A,'[9]november-2025'!$C:$C,0,0)</f>
        <v>35500</v>
      </c>
      <c r="CN65">
        <f t="shared" si="40"/>
        <v>6390</v>
      </c>
      <c r="CO65">
        <f t="shared" si="4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42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43450</v>
      </c>
      <c r="CW65">
        <f>_xlfn.XLOOKUP(B65,'[10]december-2025'!$A:$A,'[10]december-2025'!$C:$C,0,0)</f>
        <v>35500</v>
      </c>
      <c r="CX65">
        <f t="shared" si="45"/>
        <v>6390</v>
      </c>
      <c r="CY65">
        <f t="shared" si="46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7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43450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548860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496460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466460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466460</v>
      </c>
      <c r="FD65">
        <f t="shared" si="71"/>
        <v>10823</v>
      </c>
      <c r="FE65">
        <f t="shared" si="72"/>
        <v>0</v>
      </c>
      <c r="FF65">
        <f t="shared" si="73"/>
        <v>10823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515</v>
      </c>
      <c r="FN65">
        <f t="shared" ca="1" si="80"/>
        <v>549375</v>
      </c>
      <c r="FO65">
        <f t="shared" si="81"/>
        <v>75000</v>
      </c>
      <c r="FP65">
        <f t="shared" ca="1" si="82"/>
        <v>474375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74375</v>
      </c>
      <c r="GB65">
        <f t="shared" ca="1" si="94"/>
        <v>3718.75</v>
      </c>
      <c r="GC65">
        <f t="shared" ca="1" si="95"/>
        <v>3719</v>
      </c>
      <c r="GD65">
        <f t="shared" ca="1" si="96"/>
        <v>0</v>
      </c>
      <c r="GE65">
        <f t="shared" ca="1" si="97"/>
        <v>0</v>
      </c>
      <c r="GF65">
        <f t="shared" ca="1" si="98"/>
        <v>3719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3719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21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si="3"/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200</v>
      </c>
      <c r="S66">
        <f t="shared" si="4"/>
        <v>38116</v>
      </c>
      <c r="T66">
        <f>_xlfn.XLOOKUP(B66,'[2]april-2025'!$A:$A,'[2]april-2025'!$C:$C,0,0)</f>
        <v>31600</v>
      </c>
      <c r="U66">
        <f t="shared" si="5"/>
        <v>5688</v>
      </c>
      <c r="V66">
        <f t="shared" si="6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8"/>
        <v>200</v>
      </c>
      <c r="AC66">
        <f t="shared" si="9"/>
        <v>39380</v>
      </c>
      <c r="AD66">
        <f>_xlfn.XLOOKUP(B66,'[3]may-2025'!$A:$A,'[3]may-2025'!$C:$C,0,0)</f>
        <v>31600</v>
      </c>
      <c r="AE66">
        <f t="shared" si="10"/>
        <v>5688</v>
      </c>
      <c r="AF66">
        <f t="shared" si="11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2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3"/>
        <v>200</v>
      </c>
      <c r="AM66">
        <f t="shared" si="14"/>
        <v>39380</v>
      </c>
      <c r="AN66">
        <f>_xlfn.XLOOKUP(B66,'[4]june-2025'!$A:$A,'[4]june-2025'!$C:$C,0,0)</f>
        <v>31600</v>
      </c>
      <c r="AO66">
        <f t="shared" si="15"/>
        <v>5688</v>
      </c>
      <c r="AP66">
        <f t="shared" si="16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7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8"/>
        <v>200</v>
      </c>
      <c r="AW66">
        <f t="shared" si="19"/>
        <v>39380</v>
      </c>
      <c r="AX66">
        <f>_xlfn.XLOOKUP(B66,'[5]july-2025'!$A:$A,'[5]july-2025'!$C:$C,0,0)</f>
        <v>32500</v>
      </c>
      <c r="AY66">
        <f t="shared" si="20"/>
        <v>5850</v>
      </c>
      <c r="AZ66">
        <v>0</v>
      </c>
      <c r="BA66">
        <f t="shared" si="21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2"/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23"/>
        <v>200</v>
      </c>
      <c r="BH66">
        <f t="shared" si="24"/>
        <v>40550</v>
      </c>
      <c r="BI66">
        <f>_xlfn.XLOOKUP(B66,'[6]august-2025'!$A:$A,'[6]august-2025'!$C:$C,0,0)</f>
        <v>32500</v>
      </c>
      <c r="BJ66">
        <f t="shared" si="25"/>
        <v>5850</v>
      </c>
      <c r="BK66">
        <f t="shared" si="26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7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28"/>
        <v>200</v>
      </c>
      <c r="BR66">
        <f t="shared" si="29"/>
        <v>40550</v>
      </c>
      <c r="BS66">
        <f>_xlfn.XLOOKUP(B66,'[7]september-2025'!$A:$A,'[7]september-2025'!$C:$C,0,0)</f>
        <v>32500</v>
      </c>
      <c r="BT66">
        <f t="shared" si="30"/>
        <v>5850</v>
      </c>
      <c r="BU66">
        <f t="shared" si="31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2"/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33"/>
        <v>200</v>
      </c>
      <c r="CB66">
        <f t="shared" si="34"/>
        <v>40550</v>
      </c>
      <c r="CC66">
        <f>_xlfn.XLOOKUP(B66,'[8]october-2025'!$A:$A,'[8]october-2025'!$C:$C,0,0)</f>
        <v>32500</v>
      </c>
      <c r="CD66">
        <f t="shared" si="35"/>
        <v>5850</v>
      </c>
      <c r="CE66">
        <f t="shared" si="36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37"/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8"/>
        <v>200</v>
      </c>
      <c r="CL66">
        <f t="shared" si="39"/>
        <v>40550</v>
      </c>
      <c r="CM66">
        <f>_xlfn.XLOOKUP(B66,'[9]november-2025'!$A:$A,'[9]november-2025'!$C:$C,0,0)</f>
        <v>32500</v>
      </c>
      <c r="CN66">
        <f t="shared" si="40"/>
        <v>5850</v>
      </c>
      <c r="CO66">
        <f t="shared" si="4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2"/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43"/>
        <v>200</v>
      </c>
      <c r="CV66">
        <f t="shared" si="44"/>
        <v>40550</v>
      </c>
      <c r="CW66">
        <f>_xlfn.XLOOKUP(B66,'[10]december-2025'!$A:$A,'[10]december-2025'!$C:$C,0,0)</f>
        <v>32500</v>
      </c>
      <c r="CX66">
        <f t="shared" si="45"/>
        <v>5850</v>
      </c>
      <c r="CY66">
        <f t="shared" si="46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47"/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8"/>
        <v>200</v>
      </c>
      <c r="DF66">
        <f t="shared" si="49"/>
        <v>40550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513856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461456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437456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437456</v>
      </c>
      <c r="FD66">
        <f t="shared" si="71"/>
        <v>9373</v>
      </c>
      <c r="FE66">
        <f t="shared" si="72"/>
        <v>0</v>
      </c>
      <c r="FF66">
        <f t="shared" si="73"/>
        <v>9373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931</v>
      </c>
      <c r="FN66">
        <f t="shared" ca="1" si="80"/>
        <v>514787</v>
      </c>
      <c r="FO66">
        <f t="shared" si="81"/>
        <v>75000</v>
      </c>
      <c r="FP66">
        <f t="shared" ca="1" si="82"/>
        <v>439787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39787</v>
      </c>
      <c r="GB66">
        <f t="shared" ca="1" si="94"/>
        <v>1989.3500000000001</v>
      </c>
      <c r="GC66">
        <f t="shared" ca="1" si="95"/>
        <v>1989</v>
      </c>
      <c r="GD66">
        <f t="shared" ca="1" si="96"/>
        <v>0</v>
      </c>
      <c r="GE66">
        <f t="shared" ca="1" si="97"/>
        <v>0</v>
      </c>
      <c r="GF66">
        <f t="shared" ca="1" si="98"/>
        <v>1989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1989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2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5">J67*0.14</f>
        <v>4298</v>
      </c>
      <c r="L67">
        <f t="shared" ref="L67:L131" si="216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ref="O67:O131" si="217"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6"/>
        <v>150</v>
      </c>
      <c r="S67">
        <f t="shared" ref="S67:S131" si="218">O67-P67-Q67-R67</f>
        <v>37032</v>
      </c>
      <c r="T67">
        <f>_xlfn.XLOOKUP(B67,'[2]april-2025'!$A:$A,'[2]april-2025'!$C:$C,0,0)</f>
        <v>30700</v>
      </c>
      <c r="U67">
        <f t="shared" ref="U67:U131" si="219">T67*0.18</f>
        <v>5526</v>
      </c>
      <c r="V67">
        <f t="shared" ref="V67:V131" si="220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1" si="221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38210</v>
      </c>
      <c r="AD67">
        <f>_xlfn.XLOOKUP(B67,'[3]may-2025'!$A:$A,'[3]may-2025'!$C:$C,0,0)</f>
        <v>30700</v>
      </c>
      <c r="AE67">
        <f t="shared" ref="AE67:AE131" si="224">AD67*0.18</f>
        <v>5526</v>
      </c>
      <c r="AF67">
        <f t="shared" ref="AF67:AF131" si="225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1" si="226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38210</v>
      </c>
      <c r="AN67">
        <f>_xlfn.XLOOKUP(B67,'[4]june-2025'!$A:$A,'[4]june-2025'!$C:$C,0,0)</f>
        <v>30700</v>
      </c>
      <c r="AO67">
        <f t="shared" ref="AO67:AO131" si="229">AN67*0.18</f>
        <v>5526</v>
      </c>
      <c r="AP67">
        <f t="shared" ref="AP67:AP131" si="230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1" si="231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38210</v>
      </c>
      <c r="AX67">
        <f>_xlfn.XLOOKUP(B67,'[5]july-2025'!$A:$A,'[5]july-2025'!$C:$C,0,0)</f>
        <v>31600</v>
      </c>
      <c r="AY67">
        <f t="shared" ref="AY67:AY131" si="234">AX67*0.18</f>
        <v>5688</v>
      </c>
      <c r="AZ67">
        <v>0</v>
      </c>
      <c r="BA67">
        <f t="shared" ref="BA67:BA131" si="235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1" si="236"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39380</v>
      </c>
      <c r="BI67">
        <f>_xlfn.XLOOKUP(B67,'[6]august-2025'!$A:$A,'[6]august-2025'!$C:$C,0,0)</f>
        <v>31600</v>
      </c>
      <c r="BJ67">
        <f t="shared" ref="BJ67:BJ131" si="239">BI67*0.18</f>
        <v>5688</v>
      </c>
      <c r="BK67">
        <f t="shared" ref="BK67:BK131" si="240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41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39380</v>
      </c>
      <c r="BS67">
        <f>_xlfn.XLOOKUP(B67,'[7]september-2025'!$A:$A,'[7]september-2025'!$C:$C,0,0)</f>
        <v>31600</v>
      </c>
      <c r="BT67">
        <f t="shared" ref="BT67:BT131" si="244">BS67*0.18</f>
        <v>5688</v>
      </c>
      <c r="BU67">
        <f t="shared" ref="BU67:BU131" si="24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1" si="246"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39380</v>
      </c>
      <c r="CC67">
        <f>_xlfn.XLOOKUP(B67,'[8]october-2025'!$A:$A,'[8]october-2025'!$C:$C,0,0)</f>
        <v>31600</v>
      </c>
      <c r="CD67">
        <f t="shared" ref="CD67:CD131" si="249">CC67*0.18</f>
        <v>5688</v>
      </c>
      <c r="CE67">
        <f t="shared" ref="CE67:CE131" si="250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1" si="251"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39380</v>
      </c>
      <c r="CM67">
        <f>_xlfn.XLOOKUP(B67,'[9]november-2025'!$A:$A,'[9]november-2025'!$C:$C,0,0)</f>
        <v>31600</v>
      </c>
      <c r="CN67">
        <f t="shared" ref="CN67:CN131" si="254">CM67*0.18</f>
        <v>5688</v>
      </c>
      <c r="CO67">
        <f t="shared" ref="CO67:CO131" si="25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1" si="256"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39380</v>
      </c>
      <c r="CW67">
        <f>_xlfn.XLOOKUP(B67,'[10]december-2025'!$A:$A,'[10]december-2025'!$C:$C,0,0)</f>
        <v>31600</v>
      </c>
      <c r="CX67">
        <f t="shared" ref="CX67:CX131" si="259">ROUND(CW67*0.18,0)</f>
        <v>5688</v>
      </c>
      <c r="CY67">
        <f t="shared" ref="CY67:CY131" si="260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1" si="261"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39380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499852</v>
      </c>
      <c r="EB67">
        <f t="shared" ref="EB67:EB131" si="275">DY67+DO67+DE67+CU67+CK67+CA67+BQ67+BG67+AV67+AL67+AB67+R67</f>
        <v>2350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447502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423502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423502</v>
      </c>
      <c r="FD67">
        <f t="shared" ref="FD67:FD131" si="285">ROUND(IF(FC67&gt;0,IF(FC67&gt;500000,12500,(FC67-250000)*0.05),0),0)</f>
        <v>8675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8675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0</v>
      </c>
      <c r="FM67">
        <f t="shared" ref="FM67:FM131" ca="1" si="293">IF(FL67,RANDBETWEEN(500,1000),RANDBETWEEN(1000,3000))</f>
        <v>2141</v>
      </c>
      <c r="FN67">
        <f t="shared" ref="FN67:FN131" ca="1" si="294">EA67+FM67</f>
        <v>501993</v>
      </c>
      <c r="FO67">
        <f t="shared" ref="FO67:FO131" si="295">IF(EA67&gt;0,75000,0)</f>
        <v>75000</v>
      </c>
      <c r="FP67">
        <f t="shared" ref="FP67:FP131" ca="1" si="296">FN67-FO67</f>
        <v>426993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26993</v>
      </c>
      <c r="GB67">
        <f t="shared" ref="GB67:GB131" ca="1" si="308">GA67*0.05</f>
        <v>1349.65</v>
      </c>
      <c r="GC67">
        <f t="shared" ref="GC67:GC131" ca="1" si="309">ROUND(FR67+FT67+FV67+FX67+FZ67+GB67,0)</f>
        <v>1350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1350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1350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214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5"/>
        <v>4046.0000000000005</v>
      </c>
      <c r="L68">
        <f t="shared" si="216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217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34764</v>
      </c>
      <c r="T68">
        <f>_xlfn.XLOOKUP(B68,'[2]april-2025'!$A:$A,'[2]april-2025'!$C:$C,0,0)</f>
        <v>28900</v>
      </c>
      <c r="U68">
        <f t="shared" si="219"/>
        <v>5202</v>
      </c>
      <c r="V68">
        <f t="shared" si="220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21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22"/>
        <v>150</v>
      </c>
      <c r="AC68">
        <f t="shared" si="223"/>
        <v>35920</v>
      </c>
      <c r="AD68">
        <f>_xlfn.XLOOKUP(B68,'[3]may-2025'!$A:$A,'[3]may-2025'!$C:$C,0,0)</f>
        <v>28900</v>
      </c>
      <c r="AE68">
        <f t="shared" si="224"/>
        <v>5202</v>
      </c>
      <c r="AF68">
        <f t="shared" si="225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6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7"/>
        <v>150</v>
      </c>
      <c r="AM68">
        <f t="shared" si="228"/>
        <v>35920</v>
      </c>
      <c r="AN68">
        <f>_xlfn.XLOOKUP(B68,'[4]june-2025'!$A:$A,'[4]june-2025'!$C:$C,0,0)</f>
        <v>28900</v>
      </c>
      <c r="AO68">
        <f t="shared" si="229"/>
        <v>5202</v>
      </c>
      <c r="AP68">
        <f t="shared" si="230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31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32"/>
        <v>150</v>
      </c>
      <c r="AW68">
        <f t="shared" si="233"/>
        <v>35920</v>
      </c>
      <c r="AX68">
        <f>_xlfn.XLOOKUP(B68,'[5]july-2025'!$A:$A,'[5]july-2025'!$C:$C,0,0)</f>
        <v>29800</v>
      </c>
      <c r="AY68">
        <f t="shared" si="234"/>
        <v>5364</v>
      </c>
      <c r="AZ68">
        <v>0</v>
      </c>
      <c r="BA68">
        <f t="shared" si="235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236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7"/>
        <v>150</v>
      </c>
      <c r="BH68">
        <f t="shared" si="238"/>
        <v>37090</v>
      </c>
      <c r="BI68">
        <f>_xlfn.XLOOKUP(B68,'[6]august-2025'!$A:$A,'[6]august-2025'!$C:$C,0,0)</f>
        <v>29800</v>
      </c>
      <c r="BJ68">
        <f t="shared" si="239"/>
        <v>5364</v>
      </c>
      <c r="BK68">
        <f t="shared" si="240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41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242"/>
        <v>150</v>
      </c>
      <c r="BR68">
        <f t="shared" si="243"/>
        <v>37090</v>
      </c>
      <c r="BS68">
        <f>_xlfn.XLOOKUP(B68,'[7]september-2025'!$A:$A,'[7]september-2025'!$C:$C,0,0)</f>
        <v>29800</v>
      </c>
      <c r="BT68">
        <f t="shared" si="244"/>
        <v>5364</v>
      </c>
      <c r="BU68">
        <f t="shared" si="24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246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47"/>
        <v>150</v>
      </c>
      <c r="CB68">
        <f t="shared" si="248"/>
        <v>37090</v>
      </c>
      <c r="CC68">
        <f>_xlfn.XLOOKUP(B68,'[8]october-2025'!$A:$A,'[8]october-2025'!$C:$C,0,0)</f>
        <v>29800</v>
      </c>
      <c r="CD68">
        <f t="shared" si="249"/>
        <v>5364</v>
      </c>
      <c r="CE68">
        <f t="shared" si="250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251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52"/>
        <v>150</v>
      </c>
      <c r="CL68">
        <f t="shared" si="253"/>
        <v>37090</v>
      </c>
      <c r="CM68">
        <f>_xlfn.XLOOKUP(B68,'[9]november-2025'!$A:$A,'[9]november-2025'!$C:$C,0,0)</f>
        <v>29800</v>
      </c>
      <c r="CN68">
        <f t="shared" si="254"/>
        <v>5364</v>
      </c>
      <c r="CO68">
        <f t="shared" si="25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56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57"/>
        <v>150</v>
      </c>
      <c r="CV68">
        <f t="shared" si="258"/>
        <v>37090</v>
      </c>
      <c r="CW68">
        <f>_xlfn.XLOOKUP(B68,'[10]december-2025'!$A:$A,'[10]december-2025'!$C:$C,0,0)</f>
        <v>29800</v>
      </c>
      <c r="CX68">
        <f t="shared" si="259"/>
        <v>5364</v>
      </c>
      <c r="CY68">
        <f t="shared" si="260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6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62"/>
        <v>150</v>
      </c>
      <c r="DF68">
        <f t="shared" si="263"/>
        <v>37090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471844</v>
      </c>
      <c r="EB68">
        <f t="shared" si="275"/>
        <v>1800</v>
      </c>
      <c r="EC68">
        <f t="shared" si="276"/>
        <v>50000</v>
      </c>
      <c r="ED68">
        <v>0</v>
      </c>
      <c r="EE68">
        <f t="shared" si="277"/>
        <v>420044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396044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396044</v>
      </c>
      <c r="FD68">
        <f t="shared" si="285"/>
        <v>7302</v>
      </c>
      <c r="FE68">
        <f t="shared" si="286"/>
        <v>0</v>
      </c>
      <c r="FF68">
        <f t="shared" si="287"/>
        <v>7302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1791</v>
      </c>
      <c r="FN68">
        <f t="shared" ca="1" si="294"/>
        <v>473635</v>
      </c>
      <c r="FO68">
        <f t="shared" si="295"/>
        <v>75000</v>
      </c>
      <c r="FP68">
        <f t="shared" ca="1" si="296"/>
        <v>398635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0</v>
      </c>
      <c r="GB68">
        <f t="shared" ca="1" si="308"/>
        <v>0</v>
      </c>
      <c r="GC68">
        <f t="shared" ca="1" si="309"/>
        <v>0</v>
      </c>
      <c r="GD68">
        <f t="shared" ca="1" si="310"/>
        <v>0</v>
      </c>
      <c r="GE68">
        <f t="shared" ca="1" si="311"/>
        <v>0</v>
      </c>
      <c r="GF68">
        <f t="shared" ca="1" si="312"/>
        <v>0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0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214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5"/>
        <v>7238.0000000000009</v>
      </c>
      <c r="L69">
        <f t="shared" si="216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217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20"/>
        <v>200</v>
      </c>
      <c r="S69">
        <f t="shared" si="218"/>
        <v>55782</v>
      </c>
      <c r="T69">
        <f>_xlfn.XLOOKUP(B69,'[2]april-2025'!$A:$A,'[2]april-2025'!$C:$C,0,0)</f>
        <v>51700</v>
      </c>
      <c r="U69">
        <f t="shared" si="219"/>
        <v>9306</v>
      </c>
      <c r="V69">
        <f t="shared" si="220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21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22"/>
        <v>200</v>
      </c>
      <c r="AC69">
        <f t="shared" si="223"/>
        <v>57850</v>
      </c>
      <c r="AD69">
        <f>_xlfn.XLOOKUP(B69,'[3]may-2025'!$A:$A,'[3]may-2025'!$C:$C,0,0)</f>
        <v>51700</v>
      </c>
      <c r="AE69">
        <f t="shared" si="224"/>
        <v>9306</v>
      </c>
      <c r="AF69">
        <f t="shared" si="225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6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7"/>
        <v>200</v>
      </c>
      <c r="AM69">
        <f t="shared" si="228"/>
        <v>57850</v>
      </c>
      <c r="AN69">
        <f>_xlfn.XLOOKUP(B69,'[4]june-2025'!$A:$A,'[4]june-2025'!$C:$C,0,0)</f>
        <v>51700</v>
      </c>
      <c r="AO69">
        <f t="shared" si="229"/>
        <v>9306</v>
      </c>
      <c r="AP69">
        <f t="shared" si="230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31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32"/>
        <v>200</v>
      </c>
      <c r="AW69">
        <f t="shared" si="233"/>
        <v>57850</v>
      </c>
      <c r="AX69">
        <f>_xlfn.XLOOKUP(B69,'[5]july-2025'!$A:$A,'[5]july-2025'!$C:$C,0,0)</f>
        <v>53300</v>
      </c>
      <c r="AY69">
        <f t="shared" si="234"/>
        <v>9594</v>
      </c>
      <c r="AZ69">
        <v>0</v>
      </c>
      <c r="BA69">
        <f t="shared" si="235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236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7"/>
        <v>200</v>
      </c>
      <c r="BH69">
        <f t="shared" si="238"/>
        <v>59930</v>
      </c>
      <c r="BI69">
        <f>_xlfn.XLOOKUP(B69,'[6]august-2025'!$A:$A,'[6]august-2025'!$C:$C,0,0)</f>
        <v>53300</v>
      </c>
      <c r="BJ69">
        <f t="shared" si="239"/>
        <v>9594</v>
      </c>
      <c r="BK69">
        <f t="shared" si="240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41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242"/>
        <v>200</v>
      </c>
      <c r="BR69">
        <f t="shared" si="243"/>
        <v>59930</v>
      </c>
      <c r="BS69">
        <f>_xlfn.XLOOKUP(B69,'[7]september-2025'!$A:$A,'[7]september-2025'!$C:$C,0,0)</f>
        <v>53300</v>
      </c>
      <c r="BT69">
        <f t="shared" si="244"/>
        <v>9594</v>
      </c>
      <c r="BU69">
        <f t="shared" si="24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246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47"/>
        <v>200</v>
      </c>
      <c r="CB69">
        <f t="shared" si="248"/>
        <v>59930</v>
      </c>
      <c r="CC69">
        <f>_xlfn.XLOOKUP(B69,'[8]october-2025'!$A:$A,'[8]october-2025'!$C:$C,0,0)</f>
        <v>53300</v>
      </c>
      <c r="CD69">
        <f t="shared" si="249"/>
        <v>9594</v>
      </c>
      <c r="CE69">
        <f t="shared" si="250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251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52"/>
        <v>200</v>
      </c>
      <c r="CL69">
        <f t="shared" si="253"/>
        <v>59930</v>
      </c>
      <c r="CM69">
        <f>_xlfn.XLOOKUP(B69,'[9]november-2025'!$A:$A,'[9]november-2025'!$C:$C,0,0)</f>
        <v>53300</v>
      </c>
      <c r="CN69">
        <f t="shared" si="254"/>
        <v>9594</v>
      </c>
      <c r="CO69">
        <f t="shared" si="25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56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57"/>
        <v>200</v>
      </c>
      <c r="CV69">
        <f t="shared" si="258"/>
        <v>59930</v>
      </c>
      <c r="CW69">
        <f>_xlfn.XLOOKUP(B69,'[10]december-2025'!$A:$A,'[10]december-2025'!$C:$C,0,0)</f>
        <v>53300</v>
      </c>
      <c r="CX69">
        <f t="shared" si="259"/>
        <v>9594</v>
      </c>
      <c r="CY69">
        <f t="shared" si="260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6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62"/>
        <v>200</v>
      </c>
      <c r="DF69">
        <f t="shared" si="263"/>
        <v>59930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838692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786292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665572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665572</v>
      </c>
      <c r="FD69">
        <f t="shared" si="285"/>
        <v>12500</v>
      </c>
      <c r="FE69">
        <f t="shared" si="286"/>
        <v>33114</v>
      </c>
      <c r="FF69">
        <f t="shared" si="287"/>
        <v>45614</v>
      </c>
      <c r="FG69">
        <f t="shared" si="288"/>
        <v>45614</v>
      </c>
      <c r="FH69">
        <f t="shared" si="289"/>
        <v>1824.56</v>
      </c>
      <c r="FI69">
        <f t="shared" si="290"/>
        <v>47439</v>
      </c>
      <c r="FJ69">
        <v>0</v>
      </c>
      <c r="FK69">
        <f t="shared" si="291"/>
        <v>47439</v>
      </c>
      <c r="FL69" t="b">
        <f t="shared" si="292"/>
        <v>1</v>
      </c>
      <c r="FM69">
        <f t="shared" ca="1" si="293"/>
        <v>864</v>
      </c>
      <c r="FN69">
        <f t="shared" ca="1" si="294"/>
        <v>839556</v>
      </c>
      <c r="FO69">
        <f t="shared" si="295"/>
        <v>75000</v>
      </c>
      <c r="FP69">
        <f t="shared" ca="1" si="296"/>
        <v>764556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364556</v>
      </c>
      <c r="GB69">
        <f t="shared" ca="1" si="308"/>
        <v>18227.8</v>
      </c>
      <c r="GC69">
        <f t="shared" ca="1" si="309"/>
        <v>18228</v>
      </c>
      <c r="GD69">
        <f t="shared" ca="1" si="310"/>
        <v>0</v>
      </c>
      <c r="GE69">
        <f t="shared" ca="1" si="311"/>
        <v>0</v>
      </c>
      <c r="GF69">
        <f t="shared" ca="1" si="312"/>
        <v>18228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18228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214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5"/>
        <v>5278.0000000000009</v>
      </c>
      <c r="L70">
        <f t="shared" si="216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217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20"/>
        <v>200</v>
      </c>
      <c r="S70">
        <f t="shared" si="218"/>
        <v>40802</v>
      </c>
      <c r="T70">
        <f>_xlfn.XLOOKUP(B70,'[2]april-2025'!$A:$A,'[2]april-2025'!$C:$C,0,0)</f>
        <v>37700</v>
      </c>
      <c r="U70">
        <f t="shared" si="219"/>
        <v>6786</v>
      </c>
      <c r="V70">
        <f t="shared" si="220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21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22"/>
        <v>200</v>
      </c>
      <c r="AC70">
        <f t="shared" si="223"/>
        <v>42310</v>
      </c>
      <c r="AD70">
        <f>_xlfn.XLOOKUP(B70,'[3]may-2025'!$A:$A,'[3]may-2025'!$C:$C,0,0)</f>
        <v>37700</v>
      </c>
      <c r="AE70">
        <f t="shared" si="224"/>
        <v>6786</v>
      </c>
      <c r="AF70">
        <f t="shared" si="225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6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7"/>
        <v>200</v>
      </c>
      <c r="AM70">
        <f t="shared" si="228"/>
        <v>42310</v>
      </c>
      <c r="AN70">
        <f>_xlfn.XLOOKUP(B70,'[4]june-2025'!$A:$A,'[4]june-2025'!$C:$C,0,0)</f>
        <v>37700</v>
      </c>
      <c r="AO70">
        <f t="shared" si="229"/>
        <v>6786</v>
      </c>
      <c r="AP70">
        <f t="shared" si="230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31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32"/>
        <v>200</v>
      </c>
      <c r="AW70">
        <f t="shared" si="233"/>
        <v>42310</v>
      </c>
      <c r="AX70">
        <f>_xlfn.XLOOKUP(B70,'[5]july-2025'!$A:$A,'[5]july-2025'!$C:$C,0,0)</f>
        <v>38800</v>
      </c>
      <c r="AY70">
        <f t="shared" si="234"/>
        <v>6984</v>
      </c>
      <c r="AZ70">
        <v>0</v>
      </c>
      <c r="BA70">
        <f t="shared" si="235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236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7"/>
        <v>200</v>
      </c>
      <c r="BH70">
        <f t="shared" si="238"/>
        <v>43740</v>
      </c>
      <c r="BI70">
        <f>_xlfn.XLOOKUP(B70,'[6]august-2025'!$A:$A,'[6]august-2025'!$C:$C,0,0)</f>
        <v>38800</v>
      </c>
      <c r="BJ70">
        <f t="shared" si="239"/>
        <v>6984</v>
      </c>
      <c r="BK70">
        <f t="shared" si="240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41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242"/>
        <v>200</v>
      </c>
      <c r="BR70">
        <f t="shared" si="243"/>
        <v>43740</v>
      </c>
      <c r="BS70">
        <f>_xlfn.XLOOKUP(B70,'[7]september-2025'!$A:$A,'[7]september-2025'!$C:$C,0,0)</f>
        <v>38800</v>
      </c>
      <c r="BT70">
        <f t="shared" si="244"/>
        <v>6984</v>
      </c>
      <c r="BU70">
        <f t="shared" si="24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246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47"/>
        <v>200</v>
      </c>
      <c r="CB70">
        <f t="shared" si="248"/>
        <v>43740</v>
      </c>
      <c r="CC70">
        <f>_xlfn.XLOOKUP(B70,'[8]october-2025'!$A:$A,'[8]october-2025'!$C:$C,0,0)</f>
        <v>38800</v>
      </c>
      <c r="CD70">
        <f t="shared" si="249"/>
        <v>6984</v>
      </c>
      <c r="CE70">
        <f t="shared" si="250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251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52"/>
        <v>200</v>
      </c>
      <c r="CL70">
        <f t="shared" si="253"/>
        <v>43740</v>
      </c>
      <c r="CM70">
        <f>_xlfn.XLOOKUP(B70,'[9]november-2025'!$A:$A,'[9]november-2025'!$C:$C,0,0)</f>
        <v>38800</v>
      </c>
      <c r="CN70">
        <f t="shared" si="254"/>
        <v>6984</v>
      </c>
      <c r="CO70">
        <f t="shared" si="25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56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57"/>
        <v>200</v>
      </c>
      <c r="CV70">
        <f t="shared" si="258"/>
        <v>43740</v>
      </c>
      <c r="CW70">
        <f>_xlfn.XLOOKUP(B70,'[10]december-2025'!$A:$A,'[10]december-2025'!$C:$C,0,0)</f>
        <v>38800</v>
      </c>
      <c r="CX70">
        <f t="shared" si="259"/>
        <v>6984</v>
      </c>
      <c r="CY70">
        <f t="shared" si="260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6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62"/>
        <v>200</v>
      </c>
      <c r="DF70">
        <f t="shared" si="263"/>
        <v>43740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610852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558452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474452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474452</v>
      </c>
      <c r="FD70">
        <f t="shared" si="285"/>
        <v>11223</v>
      </c>
      <c r="FE70">
        <f t="shared" si="286"/>
        <v>0</v>
      </c>
      <c r="FF70">
        <f t="shared" si="287"/>
        <v>11223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940</v>
      </c>
      <c r="FN70">
        <f t="shared" ca="1" si="294"/>
        <v>611792</v>
      </c>
      <c r="FO70">
        <f t="shared" si="295"/>
        <v>75000</v>
      </c>
      <c r="FP70">
        <f t="shared" ca="1" si="296"/>
        <v>536792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136792</v>
      </c>
      <c r="GB70">
        <f t="shared" ca="1" si="308"/>
        <v>6839.6</v>
      </c>
      <c r="GC70">
        <f t="shared" ca="1" si="309"/>
        <v>6840</v>
      </c>
      <c r="GD70">
        <f t="shared" ca="1" si="310"/>
        <v>0</v>
      </c>
      <c r="GE70">
        <f t="shared" ca="1" si="311"/>
        <v>0</v>
      </c>
      <c r="GF70">
        <f t="shared" ca="1" si="312"/>
        <v>6840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6840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214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5"/>
        <v>7238.0000000000009</v>
      </c>
      <c r="L71">
        <f t="shared" si="216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217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20"/>
        <v>200</v>
      </c>
      <c r="S71">
        <f t="shared" si="218"/>
        <v>61842</v>
      </c>
      <c r="T71">
        <f>_xlfn.XLOOKUP(B71,'[2]april-2025'!$A:$A,'[2]april-2025'!$C:$C,0,0)</f>
        <v>51700</v>
      </c>
      <c r="U71">
        <f t="shared" si="219"/>
        <v>9306</v>
      </c>
      <c r="V71">
        <f t="shared" si="220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21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22"/>
        <v>200</v>
      </c>
      <c r="AC71">
        <f t="shared" si="223"/>
        <v>63910</v>
      </c>
      <c r="AD71">
        <f>_xlfn.XLOOKUP(B71,'[3]may-2025'!$A:$A,'[3]may-2025'!$C:$C,0,0)</f>
        <v>51700</v>
      </c>
      <c r="AE71">
        <f t="shared" si="224"/>
        <v>9306</v>
      </c>
      <c r="AF71">
        <f t="shared" si="225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6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7"/>
        <v>200</v>
      </c>
      <c r="AM71">
        <f t="shared" si="228"/>
        <v>63910</v>
      </c>
      <c r="AN71">
        <f>_xlfn.XLOOKUP(B71,'[4]june-2025'!$A:$A,'[4]june-2025'!$C:$C,0,0)</f>
        <v>51700</v>
      </c>
      <c r="AO71">
        <f t="shared" si="229"/>
        <v>9306</v>
      </c>
      <c r="AP71">
        <f t="shared" si="230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31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32"/>
        <v>200</v>
      </c>
      <c r="AW71">
        <f t="shared" si="233"/>
        <v>63910</v>
      </c>
      <c r="AX71">
        <f>_xlfn.XLOOKUP(B71,'[5]july-2025'!$A:$A,'[5]july-2025'!$C:$C,0,0)</f>
        <v>53300</v>
      </c>
      <c r="AY71">
        <f t="shared" si="234"/>
        <v>9594</v>
      </c>
      <c r="AZ71">
        <v>0</v>
      </c>
      <c r="BA71">
        <f t="shared" si="235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236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7"/>
        <v>200</v>
      </c>
      <c r="BH71">
        <f t="shared" si="238"/>
        <v>65990</v>
      </c>
      <c r="BI71">
        <f>_xlfn.XLOOKUP(B71,'[6]august-2025'!$A:$A,'[6]august-2025'!$C:$C,0,0)</f>
        <v>53300</v>
      </c>
      <c r="BJ71">
        <f t="shared" si="239"/>
        <v>9594</v>
      </c>
      <c r="BK71">
        <f t="shared" si="240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41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242"/>
        <v>200</v>
      </c>
      <c r="BR71">
        <f t="shared" si="243"/>
        <v>65990</v>
      </c>
      <c r="BS71">
        <f>_xlfn.XLOOKUP(B71,'[7]september-2025'!$A:$A,'[7]september-2025'!$C:$C,0,0)</f>
        <v>53300</v>
      </c>
      <c r="BT71">
        <f t="shared" si="244"/>
        <v>9594</v>
      </c>
      <c r="BU71">
        <f t="shared" si="24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246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47"/>
        <v>200</v>
      </c>
      <c r="CB71">
        <f t="shared" si="248"/>
        <v>65990</v>
      </c>
      <c r="CC71">
        <f>_xlfn.XLOOKUP(B71,'[8]october-2025'!$A:$A,'[8]october-2025'!$C:$C,0,0)</f>
        <v>53300</v>
      </c>
      <c r="CD71">
        <f t="shared" si="249"/>
        <v>9594</v>
      </c>
      <c r="CE71">
        <f t="shared" si="250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251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52"/>
        <v>200</v>
      </c>
      <c r="CL71">
        <f t="shared" si="253"/>
        <v>65990</v>
      </c>
      <c r="CM71">
        <f>_xlfn.XLOOKUP(B71,'[9]november-2025'!$A:$A,'[9]november-2025'!$C:$C,0,0)</f>
        <v>53300</v>
      </c>
      <c r="CN71">
        <f t="shared" si="254"/>
        <v>9594</v>
      </c>
      <c r="CO71">
        <f t="shared" si="25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56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57"/>
        <v>200</v>
      </c>
      <c r="CV71">
        <f t="shared" si="258"/>
        <v>65990</v>
      </c>
      <c r="CW71">
        <f>_xlfn.XLOOKUP(B71,'[10]december-2025'!$A:$A,'[10]december-2025'!$C:$C,0,0)</f>
        <v>53300</v>
      </c>
      <c r="CX71">
        <f t="shared" si="259"/>
        <v>9594</v>
      </c>
      <c r="CY71">
        <f t="shared" si="260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6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62"/>
        <v>200</v>
      </c>
      <c r="DF71">
        <f t="shared" si="263"/>
        <v>65990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838692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786292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738292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738292</v>
      </c>
      <c r="FD71">
        <f t="shared" si="285"/>
        <v>12500</v>
      </c>
      <c r="FE71">
        <f t="shared" si="286"/>
        <v>47658</v>
      </c>
      <c r="FF71">
        <f t="shared" si="287"/>
        <v>60158</v>
      </c>
      <c r="FG71">
        <f t="shared" si="288"/>
        <v>60158</v>
      </c>
      <c r="FH71">
        <f t="shared" si="289"/>
        <v>2406.3200000000002</v>
      </c>
      <c r="FI71">
        <f t="shared" si="290"/>
        <v>62564</v>
      </c>
      <c r="FJ71">
        <v>0</v>
      </c>
      <c r="FK71">
        <f t="shared" si="291"/>
        <v>62564</v>
      </c>
      <c r="FL71" t="b">
        <f t="shared" si="292"/>
        <v>1</v>
      </c>
      <c r="FM71">
        <f t="shared" ca="1" si="293"/>
        <v>925</v>
      </c>
      <c r="FN71">
        <f t="shared" ca="1" si="294"/>
        <v>839617</v>
      </c>
      <c r="FO71">
        <f t="shared" si="295"/>
        <v>75000</v>
      </c>
      <c r="FP71">
        <f t="shared" ca="1" si="296"/>
        <v>764617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364617</v>
      </c>
      <c r="GB71">
        <f t="shared" ca="1" si="308"/>
        <v>18230.850000000002</v>
      </c>
      <c r="GC71">
        <f t="shared" ca="1" si="309"/>
        <v>18231</v>
      </c>
      <c r="GD71">
        <f t="shared" ca="1" si="310"/>
        <v>0</v>
      </c>
      <c r="GE71">
        <f t="shared" ca="1" si="311"/>
        <v>0</v>
      </c>
      <c r="GF71">
        <f t="shared" ca="1" si="312"/>
        <v>18231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18231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214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5"/>
        <v>4830.0000000000009</v>
      </c>
      <c r="L72">
        <f t="shared" si="216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217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20"/>
        <v>200</v>
      </c>
      <c r="S72">
        <f t="shared" si="218"/>
        <v>41270</v>
      </c>
      <c r="T72">
        <f>_xlfn.XLOOKUP(B72,'[2]april-2025'!$A:$A,'[2]april-2025'!$C:$C,0,0)</f>
        <v>34500</v>
      </c>
      <c r="U72">
        <f t="shared" si="219"/>
        <v>6210</v>
      </c>
      <c r="V72">
        <f t="shared" si="220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21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22"/>
        <v>200</v>
      </c>
      <c r="AC72">
        <f t="shared" si="223"/>
        <v>42650</v>
      </c>
      <c r="AD72">
        <f>_xlfn.XLOOKUP(B72,'[3]may-2025'!$A:$A,'[3]may-2025'!$C:$C,0,0)</f>
        <v>34500</v>
      </c>
      <c r="AE72">
        <f t="shared" si="224"/>
        <v>6210</v>
      </c>
      <c r="AF72">
        <f t="shared" si="225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6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7"/>
        <v>200</v>
      </c>
      <c r="AM72">
        <f t="shared" si="228"/>
        <v>42650</v>
      </c>
      <c r="AN72">
        <f>_xlfn.XLOOKUP(B72,'[4]june-2025'!$A:$A,'[4]june-2025'!$C:$C,0,0)</f>
        <v>34500</v>
      </c>
      <c r="AO72">
        <f t="shared" si="229"/>
        <v>6210</v>
      </c>
      <c r="AP72">
        <f t="shared" si="230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31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32"/>
        <v>200</v>
      </c>
      <c r="AW72">
        <f t="shared" si="233"/>
        <v>42650</v>
      </c>
      <c r="AX72">
        <f>_xlfn.XLOOKUP(B72,'[5]july-2025'!$A:$A,'[5]july-2025'!$C:$C,0,0)</f>
        <v>35500</v>
      </c>
      <c r="AY72">
        <f t="shared" si="234"/>
        <v>6390</v>
      </c>
      <c r="AZ72">
        <v>0</v>
      </c>
      <c r="BA72">
        <f t="shared" si="2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2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7"/>
        <v>200</v>
      </c>
      <c r="BH72">
        <f t="shared" si="238"/>
        <v>43950</v>
      </c>
      <c r="BI72">
        <f>_xlfn.XLOOKUP(B72,'[6]august-2025'!$A:$A,'[6]august-2025'!$C:$C,0,0)</f>
        <v>35500</v>
      </c>
      <c r="BJ72">
        <f t="shared" si="239"/>
        <v>6390</v>
      </c>
      <c r="BK72">
        <f t="shared" si="2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242"/>
        <v>200</v>
      </c>
      <c r="BR72">
        <f t="shared" si="243"/>
        <v>43950</v>
      </c>
      <c r="BS72">
        <f>_xlfn.XLOOKUP(B72,'[7]september-2025'!$A:$A,'[7]september-2025'!$C:$C,0,0)</f>
        <v>35500</v>
      </c>
      <c r="BT72">
        <f t="shared" si="244"/>
        <v>6390</v>
      </c>
      <c r="BU72">
        <f t="shared" si="2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2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47"/>
        <v>200</v>
      </c>
      <c r="CB72">
        <f t="shared" si="248"/>
        <v>43950</v>
      </c>
      <c r="CC72">
        <f>_xlfn.XLOOKUP(B72,'[8]october-2025'!$A:$A,'[8]october-2025'!$C:$C,0,0)</f>
        <v>35500</v>
      </c>
      <c r="CD72">
        <f t="shared" si="249"/>
        <v>6390</v>
      </c>
      <c r="CE72">
        <f t="shared" si="2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2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52"/>
        <v>200</v>
      </c>
      <c r="CL72">
        <f t="shared" si="253"/>
        <v>43950</v>
      </c>
      <c r="CM72">
        <f>_xlfn.XLOOKUP(B72,'[9]november-2025'!$A:$A,'[9]november-2025'!$C:$C,0,0)</f>
        <v>35500</v>
      </c>
      <c r="CN72">
        <f t="shared" si="254"/>
        <v>6390</v>
      </c>
      <c r="CO72">
        <f t="shared" si="2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57"/>
        <v>200</v>
      </c>
      <c r="CV72">
        <f t="shared" si="258"/>
        <v>43950</v>
      </c>
      <c r="CW72">
        <f>_xlfn.XLOOKUP(B72,'[10]december-2025'!$A:$A,'[10]december-2025'!$C:$C,0,0)</f>
        <v>35500</v>
      </c>
      <c r="CX72">
        <f t="shared" si="259"/>
        <v>6390</v>
      </c>
      <c r="CY72">
        <f t="shared" si="2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62"/>
        <v>200</v>
      </c>
      <c r="DF72">
        <f t="shared" si="263"/>
        <v>43950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560020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507620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477620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477620</v>
      </c>
      <c r="FD72">
        <f t="shared" si="285"/>
        <v>11381</v>
      </c>
      <c r="FE72">
        <f t="shared" si="286"/>
        <v>0</v>
      </c>
      <c r="FF72">
        <f t="shared" si="287"/>
        <v>11381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715</v>
      </c>
      <c r="FN72">
        <f t="shared" ca="1" si="294"/>
        <v>560735</v>
      </c>
      <c r="FO72">
        <f t="shared" si="295"/>
        <v>75000</v>
      </c>
      <c r="FP72">
        <f t="shared" ca="1" si="296"/>
        <v>485735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85735</v>
      </c>
      <c r="GB72">
        <f t="shared" ca="1" si="308"/>
        <v>4286.75</v>
      </c>
      <c r="GC72">
        <f t="shared" ca="1" si="309"/>
        <v>4287</v>
      </c>
      <c r="GD72">
        <f t="shared" ca="1" si="310"/>
        <v>0</v>
      </c>
      <c r="GE72">
        <f t="shared" ca="1" si="311"/>
        <v>0</v>
      </c>
      <c r="GF72">
        <f t="shared" ca="1" si="312"/>
        <v>4287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4287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214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5"/>
        <v>4690</v>
      </c>
      <c r="L73">
        <f t="shared" si="216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217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20"/>
        <v>200</v>
      </c>
      <c r="S73">
        <f t="shared" si="218"/>
        <v>40010</v>
      </c>
      <c r="T73">
        <f>_xlfn.XLOOKUP(B73,'[2]april-2025'!$A:$A,'[2]april-2025'!$C:$C,0,0)</f>
        <v>33500</v>
      </c>
      <c r="U73">
        <f t="shared" si="219"/>
        <v>6030</v>
      </c>
      <c r="V73">
        <f t="shared" si="220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21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22"/>
        <v>200</v>
      </c>
      <c r="AC73">
        <f t="shared" si="223"/>
        <v>41350</v>
      </c>
      <c r="AD73">
        <f>_xlfn.XLOOKUP(B73,'[3]may-2025'!$A:$A,'[3]may-2025'!$C:$C,0,0)</f>
        <v>33500</v>
      </c>
      <c r="AE73">
        <f t="shared" si="224"/>
        <v>6030</v>
      </c>
      <c r="AF73">
        <f t="shared" si="225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6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7"/>
        <v>200</v>
      </c>
      <c r="AM73">
        <f t="shared" si="228"/>
        <v>41350</v>
      </c>
      <c r="AN73">
        <f>_xlfn.XLOOKUP(B73,'[4]june-2025'!$A:$A,'[4]june-2025'!$C:$C,0,0)</f>
        <v>33500</v>
      </c>
      <c r="AO73">
        <f t="shared" si="229"/>
        <v>6030</v>
      </c>
      <c r="AP73">
        <f t="shared" si="230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31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32"/>
        <v>200</v>
      </c>
      <c r="AW73">
        <f t="shared" si="233"/>
        <v>41350</v>
      </c>
      <c r="AX73">
        <f>_xlfn.XLOOKUP(B73,'[5]july-2025'!$A:$A,'[5]july-2025'!$C:$C,0,0)</f>
        <v>35500</v>
      </c>
      <c r="AY73">
        <f t="shared" si="234"/>
        <v>6390</v>
      </c>
      <c r="AZ73">
        <v>0</v>
      </c>
      <c r="BA73">
        <f t="shared" si="235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236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7"/>
        <v>200</v>
      </c>
      <c r="BH73">
        <f t="shared" si="238"/>
        <v>43950</v>
      </c>
      <c r="BI73">
        <f>_xlfn.XLOOKUP(B73,'[6]august-2025'!$A:$A,'[6]august-2025'!$C:$C,0,0)</f>
        <v>35500</v>
      </c>
      <c r="BJ73">
        <f t="shared" si="239"/>
        <v>6390</v>
      </c>
      <c r="BK73">
        <f t="shared" si="240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41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242"/>
        <v>200</v>
      </c>
      <c r="BR73">
        <f t="shared" si="243"/>
        <v>43950</v>
      </c>
      <c r="BS73">
        <f>_xlfn.XLOOKUP(B73,'[7]september-2025'!$A:$A,'[7]september-2025'!$C:$C,0,0)</f>
        <v>35500</v>
      </c>
      <c r="BT73">
        <f t="shared" si="244"/>
        <v>6390</v>
      </c>
      <c r="BU73">
        <f t="shared" si="24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246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47"/>
        <v>200</v>
      </c>
      <c r="CB73">
        <f t="shared" si="248"/>
        <v>43950</v>
      </c>
      <c r="CC73">
        <f>_xlfn.XLOOKUP(B73,'[8]october-2025'!$A:$A,'[8]october-2025'!$C:$C,0,0)</f>
        <v>35500</v>
      </c>
      <c r="CD73">
        <f t="shared" si="249"/>
        <v>6390</v>
      </c>
      <c r="CE73">
        <f t="shared" si="250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251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52"/>
        <v>200</v>
      </c>
      <c r="CL73">
        <f t="shared" si="253"/>
        <v>43950</v>
      </c>
      <c r="CM73">
        <f>_xlfn.XLOOKUP(B73,'[9]november-2025'!$A:$A,'[9]november-2025'!$C:$C,0,0)</f>
        <v>35500</v>
      </c>
      <c r="CN73">
        <f t="shared" si="254"/>
        <v>6390</v>
      </c>
      <c r="CO73">
        <f t="shared" si="25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56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57"/>
        <v>200</v>
      </c>
      <c r="CV73">
        <f t="shared" si="258"/>
        <v>43950</v>
      </c>
      <c r="CW73">
        <f>_xlfn.XLOOKUP(B73,'[10]december-2025'!$A:$A,'[10]december-2025'!$C:$C,0,0)</f>
        <v>35500</v>
      </c>
      <c r="CX73">
        <f t="shared" si="259"/>
        <v>6390</v>
      </c>
      <c r="CY73">
        <f t="shared" si="260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6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62"/>
        <v>200</v>
      </c>
      <c r="DF73">
        <f t="shared" si="263"/>
        <v>43950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554860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502460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472460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472460</v>
      </c>
      <c r="FD73">
        <f t="shared" si="285"/>
        <v>11123</v>
      </c>
      <c r="FE73">
        <f t="shared" si="286"/>
        <v>0</v>
      </c>
      <c r="FF73">
        <f t="shared" si="287"/>
        <v>11123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542</v>
      </c>
      <c r="FN73">
        <f t="shared" ca="1" si="294"/>
        <v>555402</v>
      </c>
      <c r="FO73">
        <f t="shared" si="295"/>
        <v>75000</v>
      </c>
      <c r="FP73">
        <f t="shared" ca="1" si="296"/>
        <v>480402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80402</v>
      </c>
      <c r="GB73">
        <f t="shared" ca="1" si="308"/>
        <v>4020.1000000000004</v>
      </c>
      <c r="GC73">
        <f t="shared" ca="1" si="309"/>
        <v>4020</v>
      </c>
      <c r="GD73">
        <f t="shared" ca="1" si="310"/>
        <v>0</v>
      </c>
      <c r="GE73">
        <f t="shared" ca="1" si="311"/>
        <v>0</v>
      </c>
      <c r="GF73">
        <f t="shared" ca="1" si="312"/>
        <v>4020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4020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214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5"/>
        <v>6818.0000000000009</v>
      </c>
      <c r="L74">
        <f t="shared" si="216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217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20"/>
        <v>200</v>
      </c>
      <c r="S74">
        <f t="shared" si="218"/>
        <v>56062</v>
      </c>
      <c r="T74">
        <f>_xlfn.XLOOKUP(B74,'[2]april-2025'!$A:$A,'[2]april-2025'!$C:$C,0,0)</f>
        <v>48700</v>
      </c>
      <c r="U74">
        <f t="shared" si="219"/>
        <v>8766</v>
      </c>
      <c r="V74">
        <f t="shared" si="220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21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22"/>
        <v>200</v>
      </c>
      <c r="AC74">
        <f t="shared" si="223"/>
        <v>58010</v>
      </c>
      <c r="AD74">
        <f>_xlfn.XLOOKUP(B74,'[3]may-2025'!$A:$A,'[3]may-2025'!$C:$C,0,0)</f>
        <v>48700</v>
      </c>
      <c r="AE74">
        <f t="shared" si="224"/>
        <v>8766</v>
      </c>
      <c r="AF74">
        <f t="shared" si="225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6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7"/>
        <v>200</v>
      </c>
      <c r="AM74">
        <f t="shared" si="228"/>
        <v>58010</v>
      </c>
      <c r="AN74">
        <f>_xlfn.XLOOKUP(B74,'[4]june-2025'!$A:$A,'[4]june-2025'!$C:$C,0,0)</f>
        <v>48700</v>
      </c>
      <c r="AO74">
        <f t="shared" si="229"/>
        <v>8766</v>
      </c>
      <c r="AP74">
        <f t="shared" si="230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31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32"/>
        <v>200</v>
      </c>
      <c r="AW74">
        <f t="shared" si="233"/>
        <v>58010</v>
      </c>
      <c r="AX74">
        <f>_xlfn.XLOOKUP(B74,'[5]july-2025'!$A:$A,'[5]july-2025'!$C:$C,0,0)</f>
        <v>51700</v>
      </c>
      <c r="AY74">
        <f t="shared" si="234"/>
        <v>9306</v>
      </c>
      <c r="AZ74">
        <v>0</v>
      </c>
      <c r="BA74">
        <f t="shared" si="235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236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7"/>
        <v>200</v>
      </c>
      <c r="BH74">
        <f t="shared" si="238"/>
        <v>61910</v>
      </c>
      <c r="BI74">
        <f>_xlfn.XLOOKUP(B74,'[6]august-2025'!$A:$A,'[6]august-2025'!$C:$C,0,0)</f>
        <v>51700</v>
      </c>
      <c r="BJ74">
        <f t="shared" si="239"/>
        <v>9306</v>
      </c>
      <c r="BK74">
        <f t="shared" si="240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41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242"/>
        <v>200</v>
      </c>
      <c r="BR74">
        <f t="shared" si="243"/>
        <v>61910</v>
      </c>
      <c r="BS74">
        <f>_xlfn.XLOOKUP(B74,'[7]september-2025'!$A:$A,'[7]september-2025'!$C:$C,0,0)</f>
        <v>51700</v>
      </c>
      <c r="BT74">
        <f t="shared" si="244"/>
        <v>9306</v>
      </c>
      <c r="BU74">
        <f t="shared" si="24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246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47"/>
        <v>200</v>
      </c>
      <c r="CB74">
        <f t="shared" si="248"/>
        <v>61910</v>
      </c>
      <c r="CC74">
        <f>_xlfn.XLOOKUP(B74,'[8]october-2025'!$A:$A,'[8]october-2025'!$C:$C,0,0)</f>
        <v>51700</v>
      </c>
      <c r="CD74">
        <f t="shared" si="249"/>
        <v>9306</v>
      </c>
      <c r="CE74">
        <f t="shared" si="250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251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52"/>
        <v>200</v>
      </c>
      <c r="CL74">
        <f t="shared" si="253"/>
        <v>61910</v>
      </c>
      <c r="CM74">
        <f>_xlfn.XLOOKUP(B74,'[9]november-2025'!$A:$A,'[9]november-2025'!$C:$C,0,0)</f>
        <v>51700</v>
      </c>
      <c r="CN74">
        <f t="shared" si="254"/>
        <v>9306</v>
      </c>
      <c r="CO74">
        <f t="shared" si="25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56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57"/>
        <v>200</v>
      </c>
      <c r="CV74">
        <f t="shared" si="258"/>
        <v>61910</v>
      </c>
      <c r="CW74">
        <f>_xlfn.XLOOKUP(B74,'[10]december-2025'!$A:$A,'[10]december-2025'!$C:$C,0,0)</f>
        <v>51700</v>
      </c>
      <c r="CX74">
        <f t="shared" si="259"/>
        <v>9306</v>
      </c>
      <c r="CY74">
        <f t="shared" si="260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6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62"/>
        <v>200</v>
      </c>
      <c r="DF74">
        <f t="shared" si="263"/>
        <v>61910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806572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754172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682172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682172</v>
      </c>
      <c r="FD74">
        <f t="shared" si="285"/>
        <v>12500</v>
      </c>
      <c r="FE74">
        <f t="shared" si="286"/>
        <v>36434</v>
      </c>
      <c r="FF74">
        <f t="shared" si="287"/>
        <v>48934</v>
      </c>
      <c r="FG74">
        <f t="shared" si="288"/>
        <v>48934</v>
      </c>
      <c r="FH74">
        <f t="shared" si="289"/>
        <v>1957.3600000000001</v>
      </c>
      <c r="FI74">
        <f t="shared" si="290"/>
        <v>50891</v>
      </c>
      <c r="FJ74">
        <v>0</v>
      </c>
      <c r="FK74">
        <f t="shared" si="291"/>
        <v>50891</v>
      </c>
      <c r="FL74" t="b">
        <f t="shared" si="292"/>
        <v>1</v>
      </c>
      <c r="FM74">
        <f t="shared" ca="1" si="293"/>
        <v>562</v>
      </c>
      <c r="FN74">
        <f t="shared" ca="1" si="294"/>
        <v>807134</v>
      </c>
      <c r="FO74">
        <f t="shared" si="295"/>
        <v>75000</v>
      </c>
      <c r="FP74">
        <f t="shared" ca="1" si="296"/>
        <v>732134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332134</v>
      </c>
      <c r="GB74">
        <f t="shared" ca="1" si="308"/>
        <v>16606.7</v>
      </c>
      <c r="GC74">
        <f t="shared" ca="1" si="309"/>
        <v>16607</v>
      </c>
      <c r="GD74">
        <f t="shared" ca="1" si="310"/>
        <v>0</v>
      </c>
      <c r="GE74">
        <f t="shared" ca="1" si="311"/>
        <v>0</v>
      </c>
      <c r="GF74">
        <f t="shared" ca="1" si="312"/>
        <v>16607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16607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214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5"/>
        <v>6622.0000000000009</v>
      </c>
      <c r="L75">
        <f t="shared" si="216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217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20"/>
        <v>200</v>
      </c>
      <c r="S75">
        <f t="shared" si="218"/>
        <v>56398</v>
      </c>
      <c r="T75">
        <f>_xlfn.XLOOKUP(B75,'[2]april-2025'!$A:$A,'[2]april-2025'!$C:$C,0,0)</f>
        <v>47300</v>
      </c>
      <c r="U75">
        <f t="shared" si="219"/>
        <v>8514</v>
      </c>
      <c r="V75">
        <f t="shared" si="220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21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22"/>
        <v>200</v>
      </c>
      <c r="AC75">
        <f t="shared" si="223"/>
        <v>58290</v>
      </c>
      <c r="AD75">
        <f>_xlfn.XLOOKUP(B75,'[3]may-2025'!$A:$A,'[3]may-2025'!$C:$C,0,0)</f>
        <v>47300</v>
      </c>
      <c r="AE75">
        <f t="shared" si="224"/>
        <v>8514</v>
      </c>
      <c r="AF75">
        <f t="shared" si="225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6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7"/>
        <v>200</v>
      </c>
      <c r="AM75">
        <f t="shared" si="228"/>
        <v>58290</v>
      </c>
      <c r="AN75">
        <f>_xlfn.XLOOKUP(B75,'[4]june-2025'!$A:$A,'[4]june-2025'!$C:$C,0,0)</f>
        <v>47300</v>
      </c>
      <c r="AO75">
        <f t="shared" si="229"/>
        <v>8514</v>
      </c>
      <c r="AP75">
        <f t="shared" si="230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31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32"/>
        <v>200</v>
      </c>
      <c r="AW75">
        <f t="shared" si="233"/>
        <v>58290</v>
      </c>
      <c r="AX75">
        <f>_xlfn.XLOOKUP(B75,'[5]july-2025'!$A:$A,'[5]july-2025'!$C:$C,0,0)</f>
        <v>48700</v>
      </c>
      <c r="AY75">
        <f t="shared" si="234"/>
        <v>8766</v>
      </c>
      <c r="AZ75">
        <v>0</v>
      </c>
      <c r="BA75">
        <f t="shared" si="235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236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7"/>
        <v>200</v>
      </c>
      <c r="BH75">
        <f t="shared" si="238"/>
        <v>60110</v>
      </c>
      <c r="BI75">
        <f>_xlfn.XLOOKUP(B75,'[6]august-2025'!$A:$A,'[6]august-2025'!$C:$C,0,0)</f>
        <v>48700</v>
      </c>
      <c r="BJ75">
        <f t="shared" si="239"/>
        <v>8766</v>
      </c>
      <c r="BK75">
        <f t="shared" si="240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41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242"/>
        <v>200</v>
      </c>
      <c r="BR75">
        <f t="shared" si="243"/>
        <v>60110</v>
      </c>
      <c r="BS75">
        <f>_xlfn.XLOOKUP(B75,'[7]september-2025'!$A:$A,'[7]september-2025'!$C:$C,0,0)</f>
        <v>48700</v>
      </c>
      <c r="BT75">
        <f t="shared" si="244"/>
        <v>8766</v>
      </c>
      <c r="BU75">
        <f t="shared" si="24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246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47"/>
        <v>200</v>
      </c>
      <c r="CB75">
        <f t="shared" si="248"/>
        <v>60110</v>
      </c>
      <c r="CC75">
        <f>_xlfn.XLOOKUP(B75,'[8]october-2025'!$A:$A,'[8]october-2025'!$C:$C,0,0)</f>
        <v>48700</v>
      </c>
      <c r="CD75">
        <f t="shared" si="249"/>
        <v>8766</v>
      </c>
      <c r="CE75">
        <f t="shared" si="250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251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52"/>
        <v>200</v>
      </c>
      <c r="CL75">
        <f t="shared" si="253"/>
        <v>60110</v>
      </c>
      <c r="CM75">
        <f>_xlfn.XLOOKUP(B75,'[9]november-2025'!$A:$A,'[9]november-2025'!$C:$C,0,0)</f>
        <v>48700</v>
      </c>
      <c r="CN75">
        <f t="shared" si="254"/>
        <v>8766</v>
      </c>
      <c r="CO75">
        <f t="shared" si="25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56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57"/>
        <v>200</v>
      </c>
      <c r="CV75">
        <f t="shared" si="258"/>
        <v>60110</v>
      </c>
      <c r="CW75">
        <f>_xlfn.XLOOKUP(B75,'[10]december-2025'!$A:$A,'[10]december-2025'!$C:$C,0,0)</f>
        <v>48700</v>
      </c>
      <c r="CX75">
        <f t="shared" si="259"/>
        <v>8766</v>
      </c>
      <c r="CY75">
        <f t="shared" si="260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6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62"/>
        <v>200</v>
      </c>
      <c r="DF75">
        <f t="shared" si="263"/>
        <v>60110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757348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704948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668948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668948</v>
      </c>
      <c r="FD75">
        <f t="shared" si="285"/>
        <v>12500</v>
      </c>
      <c r="FE75">
        <f t="shared" si="286"/>
        <v>33790</v>
      </c>
      <c r="FF75">
        <f t="shared" si="287"/>
        <v>46290</v>
      </c>
      <c r="FG75">
        <f t="shared" si="288"/>
        <v>46290</v>
      </c>
      <c r="FH75">
        <f t="shared" si="289"/>
        <v>1851.6000000000001</v>
      </c>
      <c r="FI75">
        <f t="shared" si="290"/>
        <v>48142</v>
      </c>
      <c r="FJ75">
        <v>0</v>
      </c>
      <c r="FK75">
        <f t="shared" si="291"/>
        <v>48142</v>
      </c>
      <c r="FL75" t="b">
        <f t="shared" si="292"/>
        <v>1</v>
      </c>
      <c r="FM75">
        <f t="shared" ca="1" si="293"/>
        <v>824</v>
      </c>
      <c r="FN75">
        <f t="shared" ca="1" si="294"/>
        <v>758172</v>
      </c>
      <c r="FO75">
        <f t="shared" si="295"/>
        <v>75000</v>
      </c>
      <c r="FP75">
        <f t="shared" ca="1" si="296"/>
        <v>683172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283172</v>
      </c>
      <c r="GB75">
        <f t="shared" ca="1" si="308"/>
        <v>14158.6</v>
      </c>
      <c r="GC75">
        <f t="shared" ca="1" si="309"/>
        <v>14159</v>
      </c>
      <c r="GD75">
        <f t="shared" ca="1" si="310"/>
        <v>0</v>
      </c>
      <c r="GE75">
        <f t="shared" ca="1" si="311"/>
        <v>0</v>
      </c>
      <c r="GF75">
        <f t="shared" ca="1" si="312"/>
        <v>14159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14159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214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5"/>
        <v>4046.0000000000005</v>
      </c>
      <c r="L76">
        <f t="shared" si="216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217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20"/>
        <v>150</v>
      </c>
      <c r="S76">
        <f t="shared" si="218"/>
        <v>36764</v>
      </c>
      <c r="T76">
        <f>_xlfn.XLOOKUP(B76,'[2]april-2025'!$A:$A,'[2]april-2025'!$C:$C,0,0)</f>
        <v>28900</v>
      </c>
      <c r="U76">
        <f t="shared" si="219"/>
        <v>5202</v>
      </c>
      <c r="V76">
        <f t="shared" si="220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21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22"/>
        <v>150</v>
      </c>
      <c r="AC76">
        <f t="shared" si="223"/>
        <v>37920</v>
      </c>
      <c r="AD76">
        <f>_xlfn.XLOOKUP(B76,'[3]may-2025'!$A:$A,'[3]may-2025'!$C:$C,0,0)</f>
        <v>28900</v>
      </c>
      <c r="AE76">
        <f t="shared" si="224"/>
        <v>5202</v>
      </c>
      <c r="AF76">
        <f t="shared" si="225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6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7"/>
        <v>150</v>
      </c>
      <c r="AM76">
        <f t="shared" si="228"/>
        <v>37920</v>
      </c>
      <c r="AN76">
        <f>_xlfn.XLOOKUP(B76,'[4]june-2025'!$A:$A,'[4]june-2025'!$C:$C,0,0)</f>
        <v>28900</v>
      </c>
      <c r="AO76">
        <f t="shared" si="229"/>
        <v>5202</v>
      </c>
      <c r="AP76">
        <f t="shared" si="230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31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32"/>
        <v>150</v>
      </c>
      <c r="AW76">
        <f t="shared" si="233"/>
        <v>37920</v>
      </c>
      <c r="AX76">
        <f>_xlfn.XLOOKUP(B76,'[5]july-2025'!$A:$A,'[5]july-2025'!$C:$C,0,0)</f>
        <v>29800</v>
      </c>
      <c r="AY76">
        <f t="shared" si="234"/>
        <v>5364</v>
      </c>
      <c r="AZ76">
        <v>0</v>
      </c>
      <c r="BA76">
        <f t="shared" si="235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236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7"/>
        <v>150</v>
      </c>
      <c r="BH76">
        <f t="shared" si="238"/>
        <v>39090</v>
      </c>
      <c r="BI76">
        <f>_xlfn.XLOOKUP(B76,'[6]august-2025'!$A:$A,'[6]august-2025'!$C:$C,0,0)</f>
        <v>29800</v>
      </c>
      <c r="BJ76">
        <f t="shared" si="239"/>
        <v>5364</v>
      </c>
      <c r="BK76">
        <f t="shared" si="240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41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242"/>
        <v>150</v>
      </c>
      <c r="BR76">
        <f t="shared" si="243"/>
        <v>39090</v>
      </c>
      <c r="BS76">
        <f>_xlfn.XLOOKUP(B76,'[7]september-2025'!$A:$A,'[7]september-2025'!$C:$C,0,0)</f>
        <v>29800</v>
      </c>
      <c r="BT76">
        <f t="shared" si="244"/>
        <v>5364</v>
      </c>
      <c r="BU76">
        <f t="shared" si="24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246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47"/>
        <v>150</v>
      </c>
      <c r="CB76">
        <f t="shared" si="248"/>
        <v>37090</v>
      </c>
      <c r="CC76">
        <f>_xlfn.XLOOKUP(B76,'[8]october-2025'!$A:$A,'[8]october-2025'!$C:$C,0,0)</f>
        <v>29800</v>
      </c>
      <c r="CD76">
        <f t="shared" si="249"/>
        <v>5364</v>
      </c>
      <c r="CE76">
        <f t="shared" si="250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251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52"/>
        <v>150</v>
      </c>
      <c r="CL76">
        <f t="shared" si="253"/>
        <v>37090</v>
      </c>
      <c r="CM76">
        <f>_xlfn.XLOOKUP(B76,'[9]november-2025'!$A:$A,'[9]november-2025'!$C:$C,0,0)</f>
        <v>29800</v>
      </c>
      <c r="CN76">
        <f t="shared" si="254"/>
        <v>5364</v>
      </c>
      <c r="CO76">
        <f t="shared" si="25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56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57"/>
        <v>150</v>
      </c>
      <c r="CV76">
        <f t="shared" si="258"/>
        <v>37090</v>
      </c>
      <c r="CW76">
        <f>_xlfn.XLOOKUP(B76,'[10]december-2025'!$A:$A,'[10]december-2025'!$C:$C,0,0)</f>
        <v>29800</v>
      </c>
      <c r="CX76">
        <f t="shared" si="259"/>
        <v>5364</v>
      </c>
      <c r="CY76">
        <f t="shared" si="260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6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62"/>
        <v>150</v>
      </c>
      <c r="DF76">
        <f t="shared" si="263"/>
        <v>37090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471844</v>
      </c>
      <c r="EB76">
        <f t="shared" si="275"/>
        <v>1800</v>
      </c>
      <c r="EC76">
        <f t="shared" si="276"/>
        <v>50000</v>
      </c>
      <c r="ED76">
        <v>0</v>
      </c>
      <c r="EE76">
        <f t="shared" si="277"/>
        <v>420044</v>
      </c>
      <c r="EF76">
        <f t="shared" si="278"/>
        <v>12000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12000</v>
      </c>
      <c r="ES76">
        <f t="shared" si="281"/>
        <v>12000</v>
      </c>
      <c r="ET76">
        <f t="shared" si="282"/>
        <v>408044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408044</v>
      </c>
      <c r="FD76">
        <f t="shared" si="285"/>
        <v>7902</v>
      </c>
      <c r="FE76">
        <f t="shared" si="286"/>
        <v>0</v>
      </c>
      <c r="FF76">
        <f t="shared" si="287"/>
        <v>7902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2857</v>
      </c>
      <c r="FN76">
        <f t="shared" ca="1" si="294"/>
        <v>474701</v>
      </c>
      <c r="FO76">
        <f t="shared" si="295"/>
        <v>75000</v>
      </c>
      <c r="FP76">
        <f t="shared" ca="1" si="296"/>
        <v>399701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0</v>
      </c>
      <c r="GB76">
        <f t="shared" ca="1" si="308"/>
        <v>0</v>
      </c>
      <c r="GC76">
        <f t="shared" ca="1" si="309"/>
        <v>0</v>
      </c>
      <c r="GD76">
        <f t="shared" ca="1" si="310"/>
        <v>0</v>
      </c>
      <c r="GE76">
        <f t="shared" ca="1" si="311"/>
        <v>0</v>
      </c>
      <c r="GF76">
        <f t="shared" ca="1" si="312"/>
        <v>0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0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214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5"/>
        <v>4690</v>
      </c>
      <c r="L77">
        <f t="shared" si="216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217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20"/>
        <v>200</v>
      </c>
      <c r="S77">
        <f t="shared" si="218"/>
        <v>37910</v>
      </c>
      <c r="T77">
        <f>_xlfn.XLOOKUP(B77,'[2]april-2025'!$A:$A,'[2]april-2025'!$C:$C,0,0)</f>
        <v>33500</v>
      </c>
      <c r="U77">
        <f t="shared" si="219"/>
        <v>6030</v>
      </c>
      <c r="V77">
        <f t="shared" si="220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21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22"/>
        <v>200</v>
      </c>
      <c r="AC77">
        <f t="shared" si="223"/>
        <v>39250</v>
      </c>
      <c r="AD77">
        <f>_xlfn.XLOOKUP(B77,'[3]may-2025'!$A:$A,'[3]may-2025'!$C:$C,0,0)</f>
        <v>33500</v>
      </c>
      <c r="AE77">
        <f t="shared" si="224"/>
        <v>6030</v>
      </c>
      <c r="AF77">
        <f t="shared" si="225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6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7"/>
        <v>200</v>
      </c>
      <c r="AM77">
        <f t="shared" si="228"/>
        <v>39250</v>
      </c>
      <c r="AN77">
        <f>_xlfn.XLOOKUP(B77,'[4]june-2025'!$A:$A,'[4]june-2025'!$C:$C,0,0)</f>
        <v>33500</v>
      </c>
      <c r="AO77">
        <f t="shared" si="229"/>
        <v>6030</v>
      </c>
      <c r="AP77">
        <f t="shared" si="230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31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32"/>
        <v>200</v>
      </c>
      <c r="AW77">
        <f t="shared" si="233"/>
        <v>39250</v>
      </c>
      <c r="AX77">
        <f>_xlfn.XLOOKUP(B77,'[5]july-2025'!$A:$A,'[5]july-2025'!$C:$C,0,0)</f>
        <v>35500</v>
      </c>
      <c r="AY77">
        <f t="shared" si="234"/>
        <v>6390</v>
      </c>
      <c r="AZ77">
        <v>0</v>
      </c>
      <c r="BA77">
        <f t="shared" si="235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236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7"/>
        <v>200</v>
      </c>
      <c r="BH77">
        <f t="shared" si="238"/>
        <v>41850</v>
      </c>
      <c r="BI77">
        <f>_xlfn.XLOOKUP(B77,'[6]august-2025'!$A:$A,'[6]august-2025'!$C:$C,0,0)</f>
        <v>35500</v>
      </c>
      <c r="BJ77">
        <f t="shared" si="239"/>
        <v>6390</v>
      </c>
      <c r="BK77">
        <f t="shared" si="240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41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242"/>
        <v>200</v>
      </c>
      <c r="BR77">
        <f t="shared" si="243"/>
        <v>41850</v>
      </c>
      <c r="BS77">
        <f>_xlfn.XLOOKUP(B77,'[7]september-2025'!$A:$A,'[7]september-2025'!$C:$C,0,0)</f>
        <v>35500</v>
      </c>
      <c r="BT77">
        <f t="shared" si="244"/>
        <v>6390</v>
      </c>
      <c r="BU77">
        <f t="shared" si="24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246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47"/>
        <v>200</v>
      </c>
      <c r="CB77">
        <f t="shared" si="248"/>
        <v>41850</v>
      </c>
      <c r="CC77">
        <f>_xlfn.XLOOKUP(B77,'[8]october-2025'!$A:$A,'[8]october-2025'!$C:$C,0,0)</f>
        <v>35500</v>
      </c>
      <c r="CD77">
        <f t="shared" si="249"/>
        <v>6390</v>
      </c>
      <c r="CE77">
        <f t="shared" si="250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251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52"/>
        <v>200</v>
      </c>
      <c r="CL77">
        <f t="shared" si="253"/>
        <v>41850</v>
      </c>
      <c r="CM77">
        <f>_xlfn.XLOOKUP(B77,'[9]november-2025'!$A:$A,'[9]november-2025'!$C:$C,0,0)</f>
        <v>35500</v>
      </c>
      <c r="CN77">
        <f t="shared" si="254"/>
        <v>6390</v>
      </c>
      <c r="CO77">
        <f t="shared" si="25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56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57"/>
        <v>200</v>
      </c>
      <c r="CV77">
        <f t="shared" si="258"/>
        <v>41850</v>
      </c>
      <c r="CW77">
        <f>_xlfn.XLOOKUP(B77,'[10]december-2025'!$A:$A,'[10]december-2025'!$C:$C,0,0)</f>
        <v>35500</v>
      </c>
      <c r="CX77">
        <f t="shared" si="259"/>
        <v>6390</v>
      </c>
      <c r="CY77">
        <f t="shared" si="260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6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62"/>
        <v>200</v>
      </c>
      <c r="DF77">
        <f t="shared" si="263"/>
        <v>41850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559660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507260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447260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447260</v>
      </c>
      <c r="FD77">
        <f t="shared" si="285"/>
        <v>9863</v>
      </c>
      <c r="FE77">
        <f t="shared" si="286"/>
        <v>0</v>
      </c>
      <c r="FF77">
        <f t="shared" si="287"/>
        <v>9863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797</v>
      </c>
      <c r="FN77">
        <f t="shared" ca="1" si="294"/>
        <v>560457</v>
      </c>
      <c r="FO77">
        <f t="shared" si="295"/>
        <v>75000</v>
      </c>
      <c r="FP77">
        <f t="shared" ca="1" si="296"/>
        <v>485457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85457</v>
      </c>
      <c r="GB77">
        <f t="shared" ca="1" si="308"/>
        <v>4272.8500000000004</v>
      </c>
      <c r="GC77">
        <f t="shared" ca="1" si="309"/>
        <v>4273</v>
      </c>
      <c r="GD77">
        <f t="shared" ca="1" si="310"/>
        <v>0</v>
      </c>
      <c r="GE77">
        <f t="shared" ca="1" si="311"/>
        <v>0</v>
      </c>
      <c r="GF77">
        <f t="shared" ca="1" si="312"/>
        <v>4273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4273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214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5"/>
        <v>4830.0000000000009</v>
      </c>
      <c r="L78">
        <f t="shared" si="216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217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20"/>
        <v>200</v>
      </c>
      <c r="S78">
        <f t="shared" si="218"/>
        <v>41270</v>
      </c>
      <c r="T78">
        <f>_xlfn.XLOOKUP(B78,'[2]april-2025'!$A:$A,'[2]april-2025'!$C:$C,0,0)</f>
        <v>34500</v>
      </c>
      <c r="U78">
        <f t="shared" si="219"/>
        <v>6210</v>
      </c>
      <c r="V78">
        <f t="shared" si="220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21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22"/>
        <v>200</v>
      </c>
      <c r="AC78">
        <f t="shared" si="223"/>
        <v>42650</v>
      </c>
      <c r="AD78">
        <f>_xlfn.XLOOKUP(B78,'[3]may-2025'!$A:$A,'[3]may-2025'!$C:$C,0,0)</f>
        <v>34500</v>
      </c>
      <c r="AE78">
        <f t="shared" si="224"/>
        <v>6210</v>
      </c>
      <c r="AF78">
        <f t="shared" si="225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6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7"/>
        <v>200</v>
      </c>
      <c r="AM78">
        <f t="shared" si="228"/>
        <v>42650</v>
      </c>
      <c r="AN78">
        <f>_xlfn.XLOOKUP(B78,'[4]june-2025'!$A:$A,'[4]june-2025'!$C:$C,0,0)</f>
        <v>34500</v>
      </c>
      <c r="AO78">
        <f t="shared" si="229"/>
        <v>6210</v>
      </c>
      <c r="AP78">
        <f t="shared" si="230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31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32"/>
        <v>200</v>
      </c>
      <c r="AW78">
        <f t="shared" si="233"/>
        <v>42650</v>
      </c>
      <c r="AX78">
        <f>_xlfn.XLOOKUP(B78,'[5]july-2025'!$A:$A,'[5]july-2025'!$C:$C,0,0)</f>
        <v>35500</v>
      </c>
      <c r="AY78">
        <f t="shared" si="234"/>
        <v>6390</v>
      </c>
      <c r="AZ78">
        <v>0</v>
      </c>
      <c r="BA78">
        <f t="shared" si="235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236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7"/>
        <v>200</v>
      </c>
      <c r="BH78">
        <f t="shared" si="238"/>
        <v>43950</v>
      </c>
      <c r="BI78">
        <f>_xlfn.XLOOKUP(B78,'[6]august-2025'!$A:$A,'[6]august-2025'!$C:$C,0,0)</f>
        <v>35500</v>
      </c>
      <c r="BJ78">
        <f t="shared" si="239"/>
        <v>6390</v>
      </c>
      <c r="BK78">
        <f t="shared" si="240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41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242"/>
        <v>200</v>
      </c>
      <c r="BR78">
        <f t="shared" si="243"/>
        <v>43950</v>
      </c>
      <c r="BS78">
        <f>_xlfn.XLOOKUP(B78,'[7]september-2025'!$A:$A,'[7]september-2025'!$C:$C,0,0)</f>
        <v>35500</v>
      </c>
      <c r="BT78">
        <f t="shared" si="244"/>
        <v>6390</v>
      </c>
      <c r="BU78">
        <f t="shared" si="24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246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47"/>
        <v>200</v>
      </c>
      <c r="CB78">
        <f t="shared" si="248"/>
        <v>43950</v>
      </c>
      <c r="CC78">
        <f>_xlfn.XLOOKUP(B78,'[8]october-2025'!$A:$A,'[8]october-2025'!$C:$C,0,0)</f>
        <v>35500</v>
      </c>
      <c r="CD78">
        <f t="shared" si="249"/>
        <v>6390</v>
      </c>
      <c r="CE78">
        <f t="shared" si="250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251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52"/>
        <v>200</v>
      </c>
      <c r="CL78">
        <f t="shared" si="253"/>
        <v>43950</v>
      </c>
      <c r="CM78">
        <f>_xlfn.XLOOKUP(B78,'[9]november-2025'!$A:$A,'[9]november-2025'!$C:$C,0,0)</f>
        <v>35500</v>
      </c>
      <c r="CN78">
        <f t="shared" si="254"/>
        <v>6390</v>
      </c>
      <c r="CO78">
        <f t="shared" si="25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56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57"/>
        <v>200</v>
      </c>
      <c r="CV78">
        <f t="shared" si="258"/>
        <v>43950</v>
      </c>
      <c r="CW78">
        <f>_xlfn.XLOOKUP(B78,'[10]december-2025'!$A:$A,'[10]december-2025'!$C:$C,0,0)</f>
        <v>35500</v>
      </c>
      <c r="CX78">
        <f t="shared" si="259"/>
        <v>6390</v>
      </c>
      <c r="CY78">
        <f t="shared" si="260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6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62"/>
        <v>200</v>
      </c>
      <c r="DF78">
        <f t="shared" si="263"/>
        <v>43950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560020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507620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477620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477620</v>
      </c>
      <c r="FD78">
        <f t="shared" si="285"/>
        <v>11381</v>
      </c>
      <c r="FE78">
        <f t="shared" si="286"/>
        <v>0</v>
      </c>
      <c r="FF78">
        <f t="shared" si="287"/>
        <v>11381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530</v>
      </c>
      <c r="FN78">
        <f t="shared" ca="1" si="294"/>
        <v>560550</v>
      </c>
      <c r="FO78">
        <f t="shared" si="295"/>
        <v>75000</v>
      </c>
      <c r="FP78">
        <f t="shared" ca="1" si="296"/>
        <v>485550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85550</v>
      </c>
      <c r="GB78">
        <f t="shared" ca="1" si="308"/>
        <v>4277.5</v>
      </c>
      <c r="GC78">
        <f t="shared" ca="1" si="309"/>
        <v>4278</v>
      </c>
      <c r="GD78">
        <f t="shared" ca="1" si="310"/>
        <v>0</v>
      </c>
      <c r="GE78">
        <f t="shared" ca="1" si="311"/>
        <v>0</v>
      </c>
      <c r="GF78">
        <f t="shared" ca="1" si="312"/>
        <v>4278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4278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2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5"/>
        <v>3780.0000000000005</v>
      </c>
      <c r="L79">
        <f t="shared" si="2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217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20"/>
        <v>150</v>
      </c>
      <c r="S79">
        <f t="shared" si="218"/>
        <v>32370</v>
      </c>
      <c r="T79">
        <f>_xlfn.XLOOKUP(B79,'[2]april-2025'!$A:$A,'[2]april-2025'!$C:$C,0,0)</f>
        <v>27000</v>
      </c>
      <c r="U79">
        <f t="shared" si="219"/>
        <v>4860</v>
      </c>
      <c r="V79">
        <f t="shared" si="2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22"/>
        <v>150</v>
      </c>
      <c r="AC79">
        <f t="shared" si="223"/>
        <v>33450</v>
      </c>
      <c r="AD79">
        <f>_xlfn.XLOOKUP(B79,'[3]may-2025'!$A:$A,'[3]may-2025'!$C:$C,0,0)</f>
        <v>31600</v>
      </c>
      <c r="AE79">
        <f t="shared" si="224"/>
        <v>5688</v>
      </c>
      <c r="AF79">
        <f t="shared" si="225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6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7"/>
        <v>200</v>
      </c>
      <c r="AM79">
        <f t="shared" si="228"/>
        <v>39380</v>
      </c>
      <c r="AN79">
        <f>_xlfn.XLOOKUP(B79,'[4]june-2025'!$A:$A,'[4]june-2025'!$C:$C,0,0)</f>
        <v>31600</v>
      </c>
      <c r="AO79">
        <f t="shared" si="229"/>
        <v>5688</v>
      </c>
      <c r="AP79">
        <f t="shared" si="2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32"/>
        <v>200</v>
      </c>
      <c r="AW79">
        <f t="shared" si="233"/>
        <v>39380</v>
      </c>
      <c r="AX79">
        <f>_xlfn.XLOOKUP(B79,'[5]july-2025'!$A:$A,'[5]july-2025'!$C:$C,0,0)</f>
        <v>32500</v>
      </c>
      <c r="AY79">
        <f t="shared" si="234"/>
        <v>5850</v>
      </c>
      <c r="AZ79">
        <v>0</v>
      </c>
      <c r="BA79">
        <f t="shared" si="2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2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7"/>
        <v>200</v>
      </c>
      <c r="BH79">
        <f t="shared" si="238"/>
        <v>40550</v>
      </c>
      <c r="BI79">
        <f>_xlfn.XLOOKUP(B79,'[6]august-2025'!$A:$A,'[6]august-2025'!$C:$C,0,0)</f>
        <v>32500</v>
      </c>
      <c r="BJ79">
        <f t="shared" si="239"/>
        <v>5850</v>
      </c>
      <c r="BK79">
        <f t="shared" si="240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41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242"/>
        <v>200</v>
      </c>
      <c r="BR79">
        <f t="shared" si="243"/>
        <v>40550</v>
      </c>
      <c r="BS79">
        <f>_xlfn.XLOOKUP(B79,'[7]september-2025'!$A:$A,'[7]september-2025'!$C:$C,0,0)</f>
        <v>32500</v>
      </c>
      <c r="BT79">
        <f t="shared" si="244"/>
        <v>5850</v>
      </c>
      <c r="BU79">
        <f t="shared" si="2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2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47"/>
        <v>200</v>
      </c>
      <c r="CB79">
        <f t="shared" si="248"/>
        <v>40550</v>
      </c>
      <c r="CC79">
        <f>_xlfn.XLOOKUP(B79,'[8]october-2025'!$A:$A,'[8]october-2025'!$C:$C,0,0)</f>
        <v>32500</v>
      </c>
      <c r="CD79">
        <f t="shared" si="249"/>
        <v>5850</v>
      </c>
      <c r="CE79">
        <f t="shared" si="250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251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52"/>
        <v>200</v>
      </c>
      <c r="CL79">
        <f t="shared" si="253"/>
        <v>40550</v>
      </c>
      <c r="CM79">
        <f>_xlfn.XLOOKUP(B79,'[9]november-2025'!$A:$A,'[9]november-2025'!$C:$C,0,0)</f>
        <v>32500</v>
      </c>
      <c r="CN79">
        <f t="shared" si="254"/>
        <v>5850</v>
      </c>
      <c r="CO79">
        <f t="shared" si="25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56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57"/>
        <v>200</v>
      </c>
      <c r="CV79">
        <f t="shared" si="258"/>
        <v>40550</v>
      </c>
      <c r="CW79">
        <f>_xlfn.XLOOKUP(B79,'[10]december-2025'!$A:$A,'[10]december-2025'!$C:$C,0,0)</f>
        <v>32500</v>
      </c>
      <c r="CX79">
        <f t="shared" si="259"/>
        <v>5850</v>
      </c>
      <c r="CY79">
        <f t="shared" si="260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6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62"/>
        <v>200</v>
      </c>
      <c r="DF79">
        <f t="shared" si="263"/>
        <v>40550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502080</v>
      </c>
      <c r="EB79">
        <f t="shared" si="275"/>
        <v>2300</v>
      </c>
      <c r="EC79">
        <f t="shared" si="276"/>
        <v>50000</v>
      </c>
      <c r="ED79">
        <v>0</v>
      </c>
      <c r="EE79">
        <f t="shared" si="277"/>
        <v>449780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425780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425780</v>
      </c>
      <c r="FD79">
        <f t="shared" si="285"/>
        <v>8789</v>
      </c>
      <c r="FE79">
        <f t="shared" si="286"/>
        <v>0</v>
      </c>
      <c r="FF79">
        <f t="shared" si="287"/>
        <v>8789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505</v>
      </c>
      <c r="FN79">
        <f t="shared" ca="1" si="294"/>
        <v>502585</v>
      </c>
      <c r="FO79">
        <f t="shared" si="295"/>
        <v>75000</v>
      </c>
      <c r="FP79">
        <f t="shared" ca="1" si="296"/>
        <v>427585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27585</v>
      </c>
      <c r="GB79">
        <f t="shared" ca="1" si="308"/>
        <v>1379.25</v>
      </c>
      <c r="GC79">
        <f t="shared" ca="1" si="309"/>
        <v>1379</v>
      </c>
      <c r="GD79">
        <f t="shared" ca="1" si="310"/>
        <v>0</v>
      </c>
      <c r="GE79">
        <f t="shared" ca="1" si="311"/>
        <v>0</v>
      </c>
      <c r="GF79">
        <f t="shared" ca="1" si="312"/>
        <v>1379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1379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214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5"/>
        <v>3780.0000000000005</v>
      </c>
      <c r="L80">
        <f t="shared" si="216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217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20"/>
        <v>150</v>
      </c>
      <c r="S80">
        <f t="shared" si="218"/>
        <v>32370</v>
      </c>
      <c r="T80">
        <f>_xlfn.XLOOKUP(B80,'[2]april-2025'!$A:$A,'[2]april-2025'!$C:$C,0,0)</f>
        <v>27000</v>
      </c>
      <c r="U80">
        <f t="shared" si="219"/>
        <v>4860</v>
      </c>
      <c r="V80">
        <f t="shared" si="220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21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22"/>
        <v>150</v>
      </c>
      <c r="AC80">
        <f t="shared" si="223"/>
        <v>33450</v>
      </c>
      <c r="AD80">
        <f>_xlfn.XLOOKUP(B80,'[3]may-2025'!$A:$A,'[3]may-2025'!$C:$C,0,0)</f>
        <v>31600</v>
      </c>
      <c r="AE80">
        <f t="shared" si="224"/>
        <v>5688</v>
      </c>
      <c r="AF80">
        <f t="shared" si="225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6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7"/>
        <v>200</v>
      </c>
      <c r="AM80">
        <f t="shared" si="228"/>
        <v>39380</v>
      </c>
      <c r="AN80">
        <f>_xlfn.XLOOKUP(B80,'[4]june-2025'!$A:$A,'[4]june-2025'!$C:$C,0,0)</f>
        <v>31600</v>
      </c>
      <c r="AO80">
        <f t="shared" si="229"/>
        <v>5688</v>
      </c>
      <c r="AP80">
        <f t="shared" si="230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31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32"/>
        <v>200</v>
      </c>
      <c r="AW80">
        <f t="shared" si="233"/>
        <v>39380</v>
      </c>
      <c r="AX80">
        <f>_xlfn.XLOOKUP(B80,'[5]july-2025'!$A:$A,'[5]july-2025'!$C:$C,0,0)</f>
        <v>32500</v>
      </c>
      <c r="AY80">
        <f t="shared" si="234"/>
        <v>5850</v>
      </c>
      <c r="AZ80">
        <v>0</v>
      </c>
      <c r="BA80">
        <f t="shared" si="235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236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7"/>
        <v>200</v>
      </c>
      <c r="BH80">
        <f t="shared" si="238"/>
        <v>40550</v>
      </c>
      <c r="BI80">
        <f>_xlfn.XLOOKUP(B80,'[6]august-2025'!$A:$A,'[6]august-2025'!$C:$C,0,0)</f>
        <v>32500</v>
      </c>
      <c r="BJ80">
        <f t="shared" si="239"/>
        <v>5850</v>
      </c>
      <c r="BK80">
        <f t="shared" si="240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41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242"/>
        <v>200</v>
      </c>
      <c r="BR80">
        <f t="shared" si="243"/>
        <v>40550</v>
      </c>
      <c r="BS80">
        <f>_xlfn.XLOOKUP(B80,'[7]september-2025'!$A:$A,'[7]september-2025'!$C:$C,0,0)</f>
        <v>32500</v>
      </c>
      <c r="BT80">
        <f t="shared" si="244"/>
        <v>5850</v>
      </c>
      <c r="BU80">
        <f t="shared" si="24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246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47"/>
        <v>200</v>
      </c>
      <c r="CB80">
        <f t="shared" si="248"/>
        <v>40550</v>
      </c>
      <c r="CC80">
        <f>_xlfn.XLOOKUP(B80,'[8]october-2025'!$A:$A,'[8]october-2025'!$C:$C,0,0)</f>
        <v>32500</v>
      </c>
      <c r="CD80">
        <f t="shared" si="249"/>
        <v>5850</v>
      </c>
      <c r="CE80">
        <f t="shared" si="250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251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52"/>
        <v>200</v>
      </c>
      <c r="CL80">
        <f t="shared" si="253"/>
        <v>40550</v>
      </c>
      <c r="CM80">
        <f>_xlfn.XLOOKUP(B80,'[9]november-2025'!$A:$A,'[9]november-2025'!$C:$C,0,0)</f>
        <v>32500</v>
      </c>
      <c r="CN80">
        <f t="shared" si="254"/>
        <v>5850</v>
      </c>
      <c r="CO80">
        <f t="shared" si="25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56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57"/>
        <v>200</v>
      </c>
      <c r="CV80">
        <f t="shared" si="258"/>
        <v>40550</v>
      </c>
      <c r="CW80">
        <f>_xlfn.XLOOKUP(B80,'[10]december-2025'!$A:$A,'[10]december-2025'!$C:$C,0,0)</f>
        <v>32500</v>
      </c>
      <c r="CX80">
        <f t="shared" si="259"/>
        <v>5850</v>
      </c>
      <c r="CY80">
        <f t="shared" si="260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6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62"/>
        <v>200</v>
      </c>
      <c r="DF80">
        <f t="shared" si="263"/>
        <v>40550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502080</v>
      </c>
      <c r="EB80">
        <f t="shared" si="275"/>
        <v>2300</v>
      </c>
      <c r="EC80">
        <f t="shared" si="276"/>
        <v>50000</v>
      </c>
      <c r="ED80">
        <v>0</v>
      </c>
      <c r="EE80">
        <f t="shared" si="277"/>
        <v>449780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425780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425780</v>
      </c>
      <c r="FD80">
        <f t="shared" si="285"/>
        <v>8789</v>
      </c>
      <c r="FE80">
        <f t="shared" si="286"/>
        <v>0</v>
      </c>
      <c r="FF80">
        <f t="shared" si="287"/>
        <v>8789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841</v>
      </c>
      <c r="FN80">
        <f t="shared" ca="1" si="294"/>
        <v>502921</v>
      </c>
      <c r="FO80">
        <f t="shared" si="295"/>
        <v>75000</v>
      </c>
      <c r="FP80">
        <f t="shared" ca="1" si="296"/>
        <v>427921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27921</v>
      </c>
      <c r="GB80">
        <f t="shared" ca="1" si="308"/>
        <v>1396.0500000000002</v>
      </c>
      <c r="GC80">
        <f t="shared" ca="1" si="309"/>
        <v>1396</v>
      </c>
      <c r="GD80">
        <f t="shared" ca="1" si="310"/>
        <v>0</v>
      </c>
      <c r="GE80">
        <f t="shared" ca="1" si="311"/>
        <v>0</v>
      </c>
      <c r="GF80">
        <f t="shared" ca="1" si="312"/>
        <v>1396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1396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214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5"/>
        <v>4046.0000000000005</v>
      </c>
      <c r="L81">
        <f t="shared" si="216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217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20"/>
        <v>150</v>
      </c>
      <c r="S81">
        <f t="shared" si="218"/>
        <v>34264</v>
      </c>
      <c r="T81">
        <f>_xlfn.XLOOKUP(B81,'[2]april-2025'!$A:$A,'[2]april-2025'!$C:$C,0,0)</f>
        <v>28900</v>
      </c>
      <c r="U81">
        <f t="shared" si="219"/>
        <v>5202</v>
      </c>
      <c r="V81">
        <f t="shared" si="220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21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22"/>
        <v>150</v>
      </c>
      <c r="AC81">
        <f t="shared" si="223"/>
        <v>35420</v>
      </c>
      <c r="AD81">
        <f>_xlfn.XLOOKUP(B81,'[3]may-2025'!$A:$A,'[3]may-2025'!$C:$C,0,0)</f>
        <v>28900</v>
      </c>
      <c r="AE81">
        <f t="shared" si="224"/>
        <v>5202</v>
      </c>
      <c r="AF81">
        <f t="shared" si="225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6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7"/>
        <v>150</v>
      </c>
      <c r="AM81">
        <f t="shared" si="228"/>
        <v>35420</v>
      </c>
      <c r="AN81">
        <f>_xlfn.XLOOKUP(B81,'[4]june-2025'!$A:$A,'[4]june-2025'!$C:$C,0,0)</f>
        <v>28900</v>
      </c>
      <c r="AO81">
        <f t="shared" si="229"/>
        <v>5202</v>
      </c>
      <c r="AP81">
        <f t="shared" si="230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31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32"/>
        <v>150</v>
      </c>
      <c r="AW81">
        <f t="shared" si="233"/>
        <v>35420</v>
      </c>
      <c r="AX81">
        <f>_xlfn.XLOOKUP(B81,'[5]july-2025'!$A:$A,'[5]july-2025'!$C:$C,0,0)</f>
        <v>29800</v>
      </c>
      <c r="AY81">
        <f t="shared" si="234"/>
        <v>5364</v>
      </c>
      <c r="AZ81">
        <v>0</v>
      </c>
      <c r="BA81">
        <f t="shared" si="235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236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7"/>
        <v>150</v>
      </c>
      <c r="BH81">
        <f t="shared" si="238"/>
        <v>36590</v>
      </c>
      <c r="BI81">
        <f>_xlfn.XLOOKUP(B81,'[6]august-2025'!$A:$A,'[6]august-2025'!$C:$C,0,0)</f>
        <v>29800</v>
      </c>
      <c r="BJ81">
        <f t="shared" si="239"/>
        <v>5364</v>
      </c>
      <c r="BK81">
        <f t="shared" si="240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41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242"/>
        <v>150</v>
      </c>
      <c r="BR81">
        <f t="shared" si="243"/>
        <v>36590</v>
      </c>
      <c r="BS81">
        <f>_xlfn.XLOOKUP(B81,'[7]september-2025'!$A:$A,'[7]september-2025'!$C:$C,0,0)</f>
        <v>29800</v>
      </c>
      <c r="BT81">
        <f t="shared" si="244"/>
        <v>5364</v>
      </c>
      <c r="BU81">
        <f t="shared" si="24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246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47"/>
        <v>150</v>
      </c>
      <c r="CB81">
        <f t="shared" si="248"/>
        <v>36590</v>
      </c>
      <c r="CC81">
        <f>_xlfn.XLOOKUP(B81,'[8]october-2025'!$A:$A,'[8]october-2025'!$C:$C,0,0)</f>
        <v>29800</v>
      </c>
      <c r="CD81">
        <f t="shared" si="249"/>
        <v>5364</v>
      </c>
      <c r="CE81">
        <f t="shared" si="250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251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52"/>
        <v>150</v>
      </c>
      <c r="CL81">
        <f t="shared" si="253"/>
        <v>36590</v>
      </c>
      <c r="CM81">
        <f>_xlfn.XLOOKUP(B81,'[9]november-2025'!$A:$A,'[9]november-2025'!$C:$C,0,0)</f>
        <v>29800</v>
      </c>
      <c r="CN81">
        <f t="shared" si="254"/>
        <v>5364</v>
      </c>
      <c r="CO81">
        <f t="shared" si="25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56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57"/>
        <v>150</v>
      </c>
      <c r="CV81">
        <f t="shared" si="258"/>
        <v>36590</v>
      </c>
      <c r="CW81">
        <f>_xlfn.XLOOKUP(B81,'[10]december-2025'!$A:$A,'[10]december-2025'!$C:$C,0,0)</f>
        <v>29800</v>
      </c>
      <c r="CX81">
        <f t="shared" si="259"/>
        <v>5364</v>
      </c>
      <c r="CY81">
        <f t="shared" si="260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6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62"/>
        <v>150</v>
      </c>
      <c r="DF81">
        <f t="shared" si="263"/>
        <v>36590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465844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414044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390044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390044</v>
      </c>
      <c r="FD81">
        <f t="shared" si="285"/>
        <v>7002</v>
      </c>
      <c r="FE81">
        <f t="shared" si="286"/>
        <v>0</v>
      </c>
      <c r="FF81">
        <f t="shared" si="287"/>
        <v>7002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2178</v>
      </c>
      <c r="FN81">
        <f t="shared" ca="1" si="294"/>
        <v>468022</v>
      </c>
      <c r="FO81">
        <f t="shared" si="295"/>
        <v>75000</v>
      </c>
      <c r="FP81">
        <f t="shared" ca="1" si="296"/>
        <v>393022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0</v>
      </c>
      <c r="GB81">
        <f t="shared" ca="1" si="308"/>
        <v>0</v>
      </c>
      <c r="GC81">
        <f t="shared" ca="1" si="309"/>
        <v>0</v>
      </c>
      <c r="GD81">
        <f t="shared" ca="1" si="310"/>
        <v>0</v>
      </c>
      <c r="GE81">
        <f t="shared" ca="1" si="311"/>
        <v>0</v>
      </c>
      <c r="GF81">
        <f t="shared" ca="1" si="312"/>
        <v>0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0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2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5"/>
        <v>4690</v>
      </c>
      <c r="L82">
        <f t="shared" si="216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217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20"/>
        <v>200</v>
      </c>
      <c r="S82">
        <f t="shared" si="218"/>
        <v>40410</v>
      </c>
      <c r="T82">
        <f>_xlfn.XLOOKUP(B82,'[2]april-2025'!$A:$A,'[2]april-2025'!$C:$C,0,0)</f>
        <v>33500</v>
      </c>
      <c r="U82">
        <f t="shared" si="219"/>
        <v>6030</v>
      </c>
      <c r="V82">
        <f t="shared" si="220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21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22"/>
        <v>200</v>
      </c>
      <c r="AC82">
        <f t="shared" si="223"/>
        <v>41750</v>
      </c>
      <c r="AD82">
        <f>_xlfn.XLOOKUP(B82,'[3]may-2025'!$A:$A,'[3]may-2025'!$C:$C,0,0)</f>
        <v>33500</v>
      </c>
      <c r="AE82">
        <f t="shared" si="224"/>
        <v>6030</v>
      </c>
      <c r="AF82">
        <f t="shared" si="225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6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7"/>
        <v>200</v>
      </c>
      <c r="AM82">
        <f t="shared" si="228"/>
        <v>41750</v>
      </c>
      <c r="AN82">
        <f>_xlfn.XLOOKUP(B82,'[4]june-2025'!$A:$A,'[4]june-2025'!$C:$C,0,0)</f>
        <v>33500</v>
      </c>
      <c r="AO82">
        <f t="shared" si="229"/>
        <v>6030</v>
      </c>
      <c r="AP82">
        <f t="shared" si="230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31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32"/>
        <v>200</v>
      </c>
      <c r="AW82">
        <f t="shared" si="233"/>
        <v>41750</v>
      </c>
      <c r="AX82">
        <f>_xlfn.XLOOKUP(B82,'[5]july-2025'!$A:$A,'[5]july-2025'!$C:$C,0,0)</f>
        <v>35500</v>
      </c>
      <c r="AY82">
        <f t="shared" si="234"/>
        <v>6390</v>
      </c>
      <c r="AZ82">
        <v>0</v>
      </c>
      <c r="BA82">
        <f t="shared" si="235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236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7"/>
        <v>200</v>
      </c>
      <c r="BH82">
        <f t="shared" si="238"/>
        <v>44350</v>
      </c>
      <c r="BI82">
        <f>_xlfn.XLOOKUP(B82,'[6]august-2025'!$A:$A,'[6]august-2025'!$C:$C,0,0)</f>
        <v>35500</v>
      </c>
      <c r="BJ82">
        <f t="shared" si="239"/>
        <v>6390</v>
      </c>
      <c r="BK82">
        <f t="shared" si="240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41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242"/>
        <v>200</v>
      </c>
      <c r="BR82">
        <f t="shared" si="243"/>
        <v>44350</v>
      </c>
      <c r="BS82">
        <f>_xlfn.XLOOKUP(B82,'[7]september-2025'!$A:$A,'[7]september-2025'!$C:$C,0,0)</f>
        <v>35500</v>
      </c>
      <c r="BT82">
        <f t="shared" si="244"/>
        <v>6390</v>
      </c>
      <c r="BU82">
        <f t="shared" si="24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246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47"/>
        <v>200</v>
      </c>
      <c r="CB82">
        <f t="shared" si="248"/>
        <v>44350</v>
      </c>
      <c r="CC82">
        <f>_xlfn.XLOOKUP(B82,'[8]october-2025'!$A:$A,'[8]october-2025'!$C:$C,0,0)</f>
        <v>35500</v>
      </c>
      <c r="CD82">
        <f t="shared" si="249"/>
        <v>6390</v>
      </c>
      <c r="CE82">
        <f t="shared" si="250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251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52"/>
        <v>200</v>
      </c>
      <c r="CL82">
        <f t="shared" si="253"/>
        <v>44350</v>
      </c>
      <c r="CM82">
        <f>_xlfn.XLOOKUP(B82,'[9]november-2025'!$A:$A,'[9]november-2025'!$C:$C,0,0)</f>
        <v>35500</v>
      </c>
      <c r="CN82">
        <f t="shared" si="254"/>
        <v>6390</v>
      </c>
      <c r="CO82">
        <f t="shared" si="25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56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57"/>
        <v>200</v>
      </c>
      <c r="CV82">
        <f t="shared" si="258"/>
        <v>44350</v>
      </c>
      <c r="CW82">
        <f>_xlfn.XLOOKUP(B82,'[10]december-2025'!$A:$A,'[10]december-2025'!$C:$C,0,0)</f>
        <v>35500</v>
      </c>
      <c r="CX82">
        <f t="shared" si="259"/>
        <v>6390</v>
      </c>
      <c r="CY82">
        <f t="shared" si="260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6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62"/>
        <v>200</v>
      </c>
      <c r="DF82">
        <f t="shared" si="263"/>
        <v>44350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559660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507260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477260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477260</v>
      </c>
      <c r="FD82">
        <f t="shared" si="285"/>
        <v>11363</v>
      </c>
      <c r="FE82">
        <f t="shared" si="286"/>
        <v>0</v>
      </c>
      <c r="FF82">
        <f t="shared" si="287"/>
        <v>11363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535</v>
      </c>
      <c r="FN82">
        <f t="shared" ca="1" si="294"/>
        <v>560195</v>
      </c>
      <c r="FO82">
        <f t="shared" si="295"/>
        <v>75000</v>
      </c>
      <c r="FP82">
        <f t="shared" ca="1" si="296"/>
        <v>485195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85195</v>
      </c>
      <c r="GB82">
        <f t="shared" ca="1" si="308"/>
        <v>4259.75</v>
      </c>
      <c r="GC82">
        <f t="shared" ca="1" si="309"/>
        <v>4260</v>
      </c>
      <c r="GD82">
        <f t="shared" ca="1" si="310"/>
        <v>0</v>
      </c>
      <c r="GE82">
        <f t="shared" ca="1" si="311"/>
        <v>0</v>
      </c>
      <c r="GF82">
        <f t="shared" ca="1" si="312"/>
        <v>4260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4260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2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5"/>
        <v>4690</v>
      </c>
      <c r="L83">
        <f t="shared" si="216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217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20"/>
        <v>200</v>
      </c>
      <c r="S83">
        <f t="shared" si="218"/>
        <v>39510</v>
      </c>
      <c r="T83">
        <f>_xlfn.XLOOKUP(B83,'[2]april-2025'!$A:$A,'[2]april-2025'!$C:$C,0,0)</f>
        <v>33500</v>
      </c>
      <c r="U83">
        <f t="shared" si="219"/>
        <v>6030</v>
      </c>
      <c r="V83">
        <f t="shared" si="220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21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22"/>
        <v>200</v>
      </c>
      <c r="AC83">
        <f t="shared" si="223"/>
        <v>40850</v>
      </c>
      <c r="AD83">
        <f>_xlfn.XLOOKUP(B83,'[3]may-2025'!$A:$A,'[3]may-2025'!$C:$C,0,0)</f>
        <v>33500</v>
      </c>
      <c r="AE83">
        <f t="shared" si="224"/>
        <v>6030</v>
      </c>
      <c r="AF83">
        <f t="shared" si="225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6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7"/>
        <v>200</v>
      </c>
      <c r="AM83">
        <f t="shared" si="228"/>
        <v>40850</v>
      </c>
      <c r="AN83">
        <f>_xlfn.XLOOKUP(B83,'[4]june-2025'!$A:$A,'[4]june-2025'!$C:$C,0,0)</f>
        <v>33500</v>
      </c>
      <c r="AO83">
        <f t="shared" si="229"/>
        <v>6030</v>
      </c>
      <c r="AP83">
        <f t="shared" si="230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31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32"/>
        <v>200</v>
      </c>
      <c r="AW83">
        <f t="shared" si="233"/>
        <v>40850</v>
      </c>
      <c r="AX83">
        <f>_xlfn.XLOOKUP(B83,'[5]july-2025'!$A:$A,'[5]july-2025'!$C:$C,0,0)</f>
        <v>34500</v>
      </c>
      <c r="AY83">
        <f t="shared" si="234"/>
        <v>6210</v>
      </c>
      <c r="AZ83">
        <v>0</v>
      </c>
      <c r="BA83">
        <f t="shared" si="235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236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7"/>
        <v>200</v>
      </c>
      <c r="BH83">
        <f t="shared" si="238"/>
        <v>42150</v>
      </c>
      <c r="BI83">
        <f>_xlfn.XLOOKUP(B83,'[6]august-2025'!$A:$A,'[6]august-2025'!$C:$C,0,0)</f>
        <v>34500</v>
      </c>
      <c r="BJ83">
        <f t="shared" si="239"/>
        <v>6210</v>
      </c>
      <c r="BK83">
        <f t="shared" si="240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41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242"/>
        <v>200</v>
      </c>
      <c r="BR83">
        <f t="shared" si="243"/>
        <v>42150</v>
      </c>
      <c r="BS83">
        <f>_xlfn.XLOOKUP(B83,'[7]september-2025'!$A:$A,'[7]september-2025'!$C:$C,0,0)</f>
        <v>34500</v>
      </c>
      <c r="BT83">
        <f t="shared" si="244"/>
        <v>6210</v>
      </c>
      <c r="BU83">
        <f t="shared" si="24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246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47"/>
        <v>200</v>
      </c>
      <c r="CB83">
        <f t="shared" si="248"/>
        <v>42150</v>
      </c>
      <c r="CC83">
        <f>_xlfn.XLOOKUP(B83,'[8]october-2025'!$A:$A,'[8]october-2025'!$C:$C,0,0)</f>
        <v>34500</v>
      </c>
      <c r="CD83">
        <f t="shared" si="249"/>
        <v>6210</v>
      </c>
      <c r="CE83">
        <f t="shared" si="250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251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52"/>
        <v>200</v>
      </c>
      <c r="CL83">
        <f t="shared" si="253"/>
        <v>42150</v>
      </c>
      <c r="CM83">
        <f>_xlfn.XLOOKUP(B83,'[9]november-2025'!$A:$A,'[9]november-2025'!$C:$C,0,0)</f>
        <v>34500</v>
      </c>
      <c r="CN83">
        <f t="shared" si="254"/>
        <v>6210</v>
      </c>
      <c r="CO83">
        <f t="shared" si="25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56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57"/>
        <v>200</v>
      </c>
      <c r="CV83">
        <f t="shared" si="258"/>
        <v>42150</v>
      </c>
      <c r="CW83">
        <f>_xlfn.XLOOKUP(B83,'[10]december-2025'!$A:$A,'[10]december-2025'!$C:$C,0,0)</f>
        <v>34500</v>
      </c>
      <c r="CX83">
        <f t="shared" si="259"/>
        <v>6210</v>
      </c>
      <c r="CY83">
        <f t="shared" si="260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6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62"/>
        <v>200</v>
      </c>
      <c r="DF83">
        <f t="shared" si="263"/>
        <v>42150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538460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486060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456060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456060</v>
      </c>
      <c r="FD83">
        <f t="shared" si="285"/>
        <v>10303</v>
      </c>
      <c r="FE83">
        <f t="shared" si="286"/>
        <v>0</v>
      </c>
      <c r="FF83">
        <f t="shared" si="287"/>
        <v>10303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523</v>
      </c>
      <c r="FN83">
        <f t="shared" ca="1" si="294"/>
        <v>538983</v>
      </c>
      <c r="FO83">
        <f t="shared" si="295"/>
        <v>75000</v>
      </c>
      <c r="FP83">
        <f t="shared" ca="1" si="296"/>
        <v>463983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63983</v>
      </c>
      <c r="GB83">
        <f t="shared" ca="1" si="308"/>
        <v>3199.15</v>
      </c>
      <c r="GC83">
        <f t="shared" ca="1" si="309"/>
        <v>3199</v>
      </c>
      <c r="GD83">
        <f t="shared" ca="1" si="310"/>
        <v>0</v>
      </c>
      <c r="GE83">
        <f t="shared" ca="1" si="311"/>
        <v>0</v>
      </c>
      <c r="GF83">
        <f t="shared" ca="1" si="312"/>
        <v>3199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3199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214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5"/>
        <v>4690</v>
      </c>
      <c r="L84">
        <f t="shared" si="216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217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20"/>
        <v>200</v>
      </c>
      <c r="S84">
        <f t="shared" si="218"/>
        <v>39410</v>
      </c>
      <c r="T84">
        <f>_xlfn.XLOOKUP(B84,'[2]april-2025'!$A:$A,'[2]april-2025'!$C:$C,0,0)</f>
        <v>33500</v>
      </c>
      <c r="U84">
        <f t="shared" si="219"/>
        <v>6030</v>
      </c>
      <c r="V84">
        <f t="shared" si="220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21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22"/>
        <v>200</v>
      </c>
      <c r="AC84">
        <f t="shared" si="223"/>
        <v>41250</v>
      </c>
      <c r="AD84">
        <f>_xlfn.XLOOKUP(B84,'[3]may-2025'!$A:$A,'[3]may-2025'!$C:$C,0,0)</f>
        <v>33500</v>
      </c>
      <c r="AE84">
        <f t="shared" si="224"/>
        <v>6030</v>
      </c>
      <c r="AF84">
        <f t="shared" si="225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6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7"/>
        <v>200</v>
      </c>
      <c r="AM84">
        <f t="shared" si="228"/>
        <v>41250</v>
      </c>
      <c r="AN84">
        <f>_xlfn.XLOOKUP(B84,'[4]june-2025'!$A:$A,'[4]june-2025'!$C:$C,0,0)</f>
        <v>33500</v>
      </c>
      <c r="AO84">
        <f t="shared" si="229"/>
        <v>6030</v>
      </c>
      <c r="AP84">
        <f t="shared" si="230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31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32"/>
        <v>200</v>
      </c>
      <c r="AW84">
        <f t="shared" si="233"/>
        <v>41250</v>
      </c>
      <c r="AX84">
        <f>_xlfn.XLOOKUP(B84,'[5]july-2025'!$A:$A,'[5]july-2025'!$C:$C,0,0)</f>
        <v>34500</v>
      </c>
      <c r="AY84">
        <f t="shared" si="234"/>
        <v>6210</v>
      </c>
      <c r="AZ84">
        <v>0</v>
      </c>
      <c r="BA84">
        <f t="shared" si="235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236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7"/>
        <v>200</v>
      </c>
      <c r="BH84">
        <f t="shared" si="238"/>
        <v>42550</v>
      </c>
      <c r="BI84">
        <f>_xlfn.XLOOKUP(B84,'[6]august-2025'!$A:$A,'[6]august-2025'!$C:$C,0,0)</f>
        <v>34500</v>
      </c>
      <c r="BJ84">
        <f t="shared" si="239"/>
        <v>6210</v>
      </c>
      <c r="BK84">
        <f t="shared" si="240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41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242"/>
        <v>200</v>
      </c>
      <c r="BR84">
        <f t="shared" si="243"/>
        <v>42550</v>
      </c>
      <c r="BS84">
        <f>_xlfn.XLOOKUP(B84,'[7]september-2025'!$A:$A,'[7]september-2025'!$C:$C,0,0)</f>
        <v>34500</v>
      </c>
      <c r="BT84">
        <f t="shared" si="244"/>
        <v>6210</v>
      </c>
      <c r="BU84">
        <f t="shared" si="24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246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47"/>
        <v>200</v>
      </c>
      <c r="CB84">
        <f t="shared" si="248"/>
        <v>42550</v>
      </c>
      <c r="CC84">
        <f>_xlfn.XLOOKUP(B84,'[8]october-2025'!$A:$A,'[8]october-2025'!$C:$C,0,0)</f>
        <v>34500</v>
      </c>
      <c r="CD84">
        <f t="shared" si="249"/>
        <v>6210</v>
      </c>
      <c r="CE84">
        <f t="shared" si="250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251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52"/>
        <v>200</v>
      </c>
      <c r="CL84">
        <f t="shared" si="253"/>
        <v>42550</v>
      </c>
      <c r="CM84">
        <f>_xlfn.XLOOKUP(B84,'[9]november-2025'!$A:$A,'[9]november-2025'!$C:$C,0,0)</f>
        <v>34500</v>
      </c>
      <c r="CN84">
        <f t="shared" si="254"/>
        <v>6210</v>
      </c>
      <c r="CO84">
        <f t="shared" si="25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56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57"/>
        <v>200</v>
      </c>
      <c r="CV84">
        <f t="shared" si="258"/>
        <v>42550</v>
      </c>
      <c r="CW84">
        <f>_xlfn.XLOOKUP(B84,'[10]december-2025'!$A:$A,'[10]december-2025'!$C:$C,0,0)</f>
        <v>34500</v>
      </c>
      <c r="CX84">
        <f t="shared" si="259"/>
        <v>6210</v>
      </c>
      <c r="CY84">
        <f t="shared" si="260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6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62"/>
        <v>200</v>
      </c>
      <c r="DF84">
        <f t="shared" si="263"/>
        <v>42550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548760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496360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460360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460360</v>
      </c>
      <c r="FD84">
        <f t="shared" si="285"/>
        <v>10518</v>
      </c>
      <c r="FE84">
        <f t="shared" si="286"/>
        <v>0</v>
      </c>
      <c r="FF84">
        <f t="shared" si="287"/>
        <v>10518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678</v>
      </c>
      <c r="FN84">
        <f t="shared" ca="1" si="294"/>
        <v>549438</v>
      </c>
      <c r="FO84">
        <f t="shared" si="295"/>
        <v>75000</v>
      </c>
      <c r="FP84">
        <f t="shared" ca="1" si="296"/>
        <v>474438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74438</v>
      </c>
      <c r="GB84">
        <f t="shared" ca="1" si="308"/>
        <v>3721.9</v>
      </c>
      <c r="GC84">
        <f t="shared" ca="1" si="309"/>
        <v>3722</v>
      </c>
      <c r="GD84">
        <f t="shared" ca="1" si="310"/>
        <v>0</v>
      </c>
      <c r="GE84">
        <f t="shared" ca="1" si="311"/>
        <v>0</v>
      </c>
      <c r="GF84">
        <f t="shared" ca="1" si="312"/>
        <v>3722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3722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214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5"/>
        <v>4172</v>
      </c>
      <c r="L85">
        <f t="shared" si="216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217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20"/>
        <v>150</v>
      </c>
      <c r="S85">
        <f t="shared" si="218"/>
        <v>35898</v>
      </c>
      <c r="T85">
        <f>_xlfn.XLOOKUP(B85,'[2]april-2025'!$A:$A,'[2]april-2025'!$C:$C,0,0)</f>
        <v>29800</v>
      </c>
      <c r="U85">
        <f t="shared" si="219"/>
        <v>5364</v>
      </c>
      <c r="V85">
        <f t="shared" si="220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21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22"/>
        <v>150</v>
      </c>
      <c r="AC85">
        <f t="shared" si="223"/>
        <v>37090</v>
      </c>
      <c r="AD85">
        <f>_xlfn.XLOOKUP(B85,'[3]may-2025'!$A:$A,'[3]may-2025'!$C:$C,0,0)</f>
        <v>29800</v>
      </c>
      <c r="AE85">
        <f t="shared" si="224"/>
        <v>5364</v>
      </c>
      <c r="AF85">
        <f t="shared" si="225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6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7"/>
        <v>150</v>
      </c>
      <c r="AM85">
        <f t="shared" si="228"/>
        <v>37090</v>
      </c>
      <c r="AN85">
        <f>_xlfn.XLOOKUP(B85,'[4]june-2025'!$A:$A,'[4]june-2025'!$C:$C,0,0)</f>
        <v>29800</v>
      </c>
      <c r="AO85">
        <f t="shared" si="229"/>
        <v>5364</v>
      </c>
      <c r="AP85">
        <f t="shared" si="230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31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32"/>
        <v>150</v>
      </c>
      <c r="AW85">
        <f t="shared" si="233"/>
        <v>37090</v>
      </c>
      <c r="AX85">
        <f>_xlfn.XLOOKUP(B85,'[5]july-2025'!$A:$A,'[5]july-2025'!$C:$C,0,0)</f>
        <v>30700</v>
      </c>
      <c r="AY85">
        <f t="shared" si="234"/>
        <v>5526</v>
      </c>
      <c r="AZ85">
        <v>0</v>
      </c>
      <c r="BA85">
        <f t="shared" si="235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236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7"/>
        <v>200</v>
      </c>
      <c r="BH85">
        <f t="shared" si="238"/>
        <v>38210</v>
      </c>
      <c r="BI85">
        <f>_xlfn.XLOOKUP(B85,'[6]august-2025'!$A:$A,'[6]august-2025'!$C:$C,0,0)</f>
        <v>30700</v>
      </c>
      <c r="BJ85">
        <f t="shared" si="239"/>
        <v>5526</v>
      </c>
      <c r="BK85">
        <f t="shared" si="240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41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242"/>
        <v>200</v>
      </c>
      <c r="BR85">
        <f t="shared" si="243"/>
        <v>38210</v>
      </c>
      <c r="BS85">
        <f>_xlfn.XLOOKUP(B85,'[7]september-2025'!$A:$A,'[7]september-2025'!$C:$C,0,0)</f>
        <v>30700</v>
      </c>
      <c r="BT85">
        <f t="shared" si="244"/>
        <v>5526</v>
      </c>
      <c r="BU85">
        <f t="shared" si="24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246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47"/>
        <v>200</v>
      </c>
      <c r="CB85">
        <f t="shared" si="248"/>
        <v>38210</v>
      </c>
      <c r="CC85">
        <f>_xlfn.XLOOKUP(B85,'[8]october-2025'!$A:$A,'[8]october-2025'!$C:$C,0,0)</f>
        <v>30700</v>
      </c>
      <c r="CD85">
        <f t="shared" si="249"/>
        <v>5526</v>
      </c>
      <c r="CE85">
        <f t="shared" si="250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251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52"/>
        <v>200</v>
      </c>
      <c r="CL85">
        <f t="shared" si="253"/>
        <v>38210</v>
      </c>
      <c r="CM85">
        <f>_xlfn.XLOOKUP(B85,'[9]november-2025'!$A:$A,'[9]november-2025'!$C:$C,0,0)</f>
        <v>30700</v>
      </c>
      <c r="CN85">
        <f t="shared" si="254"/>
        <v>5526</v>
      </c>
      <c r="CO85">
        <f t="shared" si="25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56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57"/>
        <v>200</v>
      </c>
      <c r="CV85">
        <f t="shared" si="258"/>
        <v>38210</v>
      </c>
      <c r="CW85">
        <f>_xlfn.XLOOKUP(B85,'[10]december-2025'!$A:$A,'[10]december-2025'!$C:$C,0,0)</f>
        <v>30700</v>
      </c>
      <c r="CX85">
        <f t="shared" si="259"/>
        <v>5526</v>
      </c>
      <c r="CY85">
        <f t="shared" si="260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6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62"/>
        <v>200</v>
      </c>
      <c r="DF85">
        <f t="shared" si="263"/>
        <v>38210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485848</v>
      </c>
      <c r="EB85">
        <f t="shared" si="275"/>
        <v>2200</v>
      </c>
      <c r="EC85">
        <f t="shared" si="276"/>
        <v>50000</v>
      </c>
      <c r="ED85">
        <v>0</v>
      </c>
      <c r="EE85">
        <f t="shared" si="277"/>
        <v>433648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409648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409648</v>
      </c>
      <c r="FD85">
        <f t="shared" si="285"/>
        <v>7982</v>
      </c>
      <c r="FE85">
        <f t="shared" si="286"/>
        <v>0</v>
      </c>
      <c r="FF85">
        <f t="shared" si="287"/>
        <v>7982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2292</v>
      </c>
      <c r="FN85">
        <f t="shared" ca="1" si="294"/>
        <v>488140</v>
      </c>
      <c r="FO85">
        <f t="shared" si="295"/>
        <v>75000</v>
      </c>
      <c r="FP85">
        <f t="shared" ca="1" si="296"/>
        <v>413140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13140</v>
      </c>
      <c r="GB85">
        <f t="shared" ca="1" si="308"/>
        <v>657</v>
      </c>
      <c r="GC85">
        <f t="shared" ca="1" si="309"/>
        <v>657</v>
      </c>
      <c r="GD85">
        <f t="shared" ca="1" si="310"/>
        <v>0</v>
      </c>
      <c r="GE85">
        <f t="shared" ca="1" si="311"/>
        <v>0</v>
      </c>
      <c r="GF85">
        <f t="shared" ca="1" si="312"/>
        <v>657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657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214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5"/>
        <v>6818.0000000000009</v>
      </c>
      <c r="L86">
        <f t="shared" si="216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217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20"/>
        <v>200</v>
      </c>
      <c r="S86">
        <f t="shared" si="218"/>
        <v>57062</v>
      </c>
      <c r="T86">
        <f>_xlfn.XLOOKUP(B86,'[2]april-2025'!$A:$A,'[2]april-2025'!$C:$C,0,0)</f>
        <v>48700</v>
      </c>
      <c r="U86">
        <f t="shared" si="219"/>
        <v>8766</v>
      </c>
      <c r="V86">
        <f t="shared" si="220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21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22"/>
        <v>200</v>
      </c>
      <c r="AC86">
        <f t="shared" si="223"/>
        <v>59010</v>
      </c>
      <c r="AD86">
        <f>_xlfn.XLOOKUP(B86,'[3]may-2025'!$A:$A,'[3]may-2025'!$C:$C,0,0)</f>
        <v>48700</v>
      </c>
      <c r="AE86">
        <f t="shared" si="224"/>
        <v>8766</v>
      </c>
      <c r="AF86">
        <f t="shared" si="225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6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7"/>
        <v>200</v>
      </c>
      <c r="AM86">
        <f t="shared" si="228"/>
        <v>59010</v>
      </c>
      <c r="AN86">
        <f>_xlfn.XLOOKUP(B86,'[4]june-2025'!$A:$A,'[4]june-2025'!$C:$C,0,0)</f>
        <v>48700</v>
      </c>
      <c r="AO86">
        <f t="shared" si="229"/>
        <v>8766</v>
      </c>
      <c r="AP86">
        <f t="shared" si="230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31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32"/>
        <v>200</v>
      </c>
      <c r="AW86">
        <f t="shared" si="233"/>
        <v>59010</v>
      </c>
      <c r="AX86">
        <f>_xlfn.XLOOKUP(B86,'[5]july-2025'!$A:$A,'[5]july-2025'!$C:$C,0,0)</f>
        <v>50200</v>
      </c>
      <c r="AY86">
        <f t="shared" si="234"/>
        <v>9036</v>
      </c>
      <c r="AZ86">
        <v>0</v>
      </c>
      <c r="BA86">
        <f t="shared" si="235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236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7"/>
        <v>200</v>
      </c>
      <c r="BH86">
        <f t="shared" si="238"/>
        <v>60960</v>
      </c>
      <c r="BI86">
        <f>_xlfn.XLOOKUP(B86,'[6]august-2025'!$A:$A,'[6]august-2025'!$C:$C,0,0)</f>
        <v>50200</v>
      </c>
      <c r="BJ86">
        <f t="shared" si="239"/>
        <v>9036</v>
      </c>
      <c r="BK86">
        <f t="shared" si="240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41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242"/>
        <v>200</v>
      </c>
      <c r="BR86">
        <f t="shared" si="243"/>
        <v>60960</v>
      </c>
      <c r="BS86">
        <f>_xlfn.XLOOKUP(B86,'[7]september-2025'!$A:$A,'[7]september-2025'!$C:$C,0,0)</f>
        <v>50200</v>
      </c>
      <c r="BT86">
        <f t="shared" si="244"/>
        <v>9036</v>
      </c>
      <c r="BU86">
        <f t="shared" si="24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246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47"/>
        <v>200</v>
      </c>
      <c r="CB86">
        <f t="shared" si="248"/>
        <v>60960</v>
      </c>
      <c r="CC86">
        <f>_xlfn.XLOOKUP(B86,'[8]october-2025'!$A:$A,'[8]october-2025'!$C:$C,0,0)</f>
        <v>50200</v>
      </c>
      <c r="CD86">
        <f t="shared" si="249"/>
        <v>9036</v>
      </c>
      <c r="CE86">
        <f t="shared" si="250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251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52"/>
        <v>200</v>
      </c>
      <c r="CL86">
        <f t="shared" si="253"/>
        <v>60960</v>
      </c>
      <c r="CM86">
        <f>_xlfn.XLOOKUP(B86,'[9]november-2025'!$A:$A,'[9]november-2025'!$C:$C,0,0)</f>
        <v>50200</v>
      </c>
      <c r="CN86">
        <f t="shared" si="254"/>
        <v>9036</v>
      </c>
      <c r="CO86">
        <f t="shared" si="25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56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57"/>
        <v>200</v>
      </c>
      <c r="CV86">
        <f t="shared" si="258"/>
        <v>60960</v>
      </c>
      <c r="CW86">
        <f>_xlfn.XLOOKUP(B86,'[10]december-2025'!$A:$A,'[10]december-2025'!$C:$C,0,0)</f>
        <v>50200</v>
      </c>
      <c r="CX86">
        <f t="shared" si="259"/>
        <v>9036</v>
      </c>
      <c r="CY86">
        <f t="shared" si="260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6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62"/>
        <v>200</v>
      </c>
      <c r="DF86">
        <f t="shared" si="263"/>
        <v>60960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790972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738572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678572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678572</v>
      </c>
      <c r="FD86">
        <f t="shared" si="285"/>
        <v>12500</v>
      </c>
      <c r="FE86">
        <f t="shared" si="286"/>
        <v>35714</v>
      </c>
      <c r="FF86">
        <f t="shared" si="287"/>
        <v>48214</v>
      </c>
      <c r="FG86">
        <f t="shared" si="288"/>
        <v>48214</v>
      </c>
      <c r="FH86">
        <f t="shared" si="289"/>
        <v>1928.56</v>
      </c>
      <c r="FI86">
        <f t="shared" si="290"/>
        <v>50143</v>
      </c>
      <c r="FJ86">
        <v>0</v>
      </c>
      <c r="FK86">
        <f t="shared" si="291"/>
        <v>50143</v>
      </c>
      <c r="FL86" t="b">
        <f t="shared" si="292"/>
        <v>1</v>
      </c>
      <c r="FM86">
        <f t="shared" ca="1" si="293"/>
        <v>591</v>
      </c>
      <c r="FN86">
        <f t="shared" ca="1" si="294"/>
        <v>791563</v>
      </c>
      <c r="FO86">
        <f t="shared" si="295"/>
        <v>75000</v>
      </c>
      <c r="FP86">
        <f t="shared" ca="1" si="296"/>
        <v>716563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316563</v>
      </c>
      <c r="GB86">
        <f t="shared" ca="1" si="308"/>
        <v>15828.150000000001</v>
      </c>
      <c r="GC86">
        <f t="shared" ca="1" si="309"/>
        <v>15828</v>
      </c>
      <c r="GD86">
        <f t="shared" ca="1" si="310"/>
        <v>0</v>
      </c>
      <c r="GE86">
        <f t="shared" ca="1" si="311"/>
        <v>0</v>
      </c>
      <c r="GF86">
        <f t="shared" ca="1" si="312"/>
        <v>15828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15828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214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5"/>
        <v>4830.0000000000009</v>
      </c>
      <c r="L87">
        <f t="shared" si="216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217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20"/>
        <v>200</v>
      </c>
      <c r="S87">
        <f t="shared" si="218"/>
        <v>40270</v>
      </c>
      <c r="T87">
        <f>_xlfn.XLOOKUP(B87,'[2]april-2025'!$A:$A,'[2]april-2025'!$C:$C,0,0)</f>
        <v>34500</v>
      </c>
      <c r="U87">
        <f t="shared" si="219"/>
        <v>6210</v>
      </c>
      <c r="V87">
        <f t="shared" si="220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21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22"/>
        <v>200</v>
      </c>
      <c r="AC87">
        <f t="shared" si="223"/>
        <v>41650</v>
      </c>
      <c r="AD87">
        <f>_xlfn.XLOOKUP(B87,'[3]may-2025'!$A:$A,'[3]may-2025'!$C:$C,0,0)</f>
        <v>34500</v>
      </c>
      <c r="AE87">
        <f t="shared" si="224"/>
        <v>6210</v>
      </c>
      <c r="AF87">
        <f t="shared" si="225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6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7"/>
        <v>200</v>
      </c>
      <c r="AM87">
        <f t="shared" si="228"/>
        <v>41650</v>
      </c>
      <c r="AN87">
        <f>_xlfn.XLOOKUP(B87,'[4]june-2025'!$A:$A,'[4]june-2025'!$C:$C,0,0)</f>
        <v>34500</v>
      </c>
      <c r="AO87">
        <f t="shared" si="229"/>
        <v>6210</v>
      </c>
      <c r="AP87">
        <f t="shared" si="230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31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32"/>
        <v>200</v>
      </c>
      <c r="AW87">
        <f t="shared" si="233"/>
        <v>41650</v>
      </c>
      <c r="AX87">
        <f>_xlfn.XLOOKUP(B87,'[5]july-2025'!$A:$A,'[5]july-2025'!$C:$C,0,0)</f>
        <v>35500</v>
      </c>
      <c r="AY87">
        <f t="shared" si="234"/>
        <v>6390</v>
      </c>
      <c r="AZ87">
        <v>0</v>
      </c>
      <c r="BA87">
        <f t="shared" si="235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236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7"/>
        <v>200</v>
      </c>
      <c r="BH87">
        <f t="shared" si="238"/>
        <v>42950</v>
      </c>
      <c r="BI87">
        <f>_xlfn.XLOOKUP(B87,'[6]august-2025'!$A:$A,'[6]august-2025'!$C:$C,0,0)</f>
        <v>35500</v>
      </c>
      <c r="BJ87">
        <f t="shared" si="239"/>
        <v>6390</v>
      </c>
      <c r="BK87">
        <f t="shared" si="240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41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242"/>
        <v>200</v>
      </c>
      <c r="BR87">
        <f t="shared" si="243"/>
        <v>42950</v>
      </c>
      <c r="BS87">
        <f>_xlfn.XLOOKUP(B87,'[7]september-2025'!$A:$A,'[7]september-2025'!$C:$C,0,0)</f>
        <v>35500</v>
      </c>
      <c r="BT87">
        <f t="shared" si="244"/>
        <v>6390</v>
      </c>
      <c r="BU87">
        <f t="shared" si="24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246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47"/>
        <v>200</v>
      </c>
      <c r="CB87">
        <f t="shared" si="248"/>
        <v>42950</v>
      </c>
      <c r="CC87">
        <f>_xlfn.XLOOKUP(B87,'[8]october-2025'!$A:$A,'[8]october-2025'!$C:$C,0,0)</f>
        <v>35500</v>
      </c>
      <c r="CD87">
        <f t="shared" si="249"/>
        <v>6390</v>
      </c>
      <c r="CE87">
        <f t="shared" si="250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251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52"/>
        <v>200</v>
      </c>
      <c r="CL87">
        <f t="shared" si="253"/>
        <v>42950</v>
      </c>
      <c r="CM87">
        <f>_xlfn.XLOOKUP(B87,'[9]november-2025'!$A:$A,'[9]november-2025'!$C:$C,0,0)</f>
        <v>35500</v>
      </c>
      <c r="CN87">
        <f t="shared" si="254"/>
        <v>6390</v>
      </c>
      <c r="CO87">
        <f t="shared" si="25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56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57"/>
        <v>200</v>
      </c>
      <c r="CV87">
        <f t="shared" si="258"/>
        <v>42950</v>
      </c>
      <c r="CW87">
        <f>_xlfn.XLOOKUP(B87,'[10]december-2025'!$A:$A,'[10]december-2025'!$C:$C,0,0)</f>
        <v>35500</v>
      </c>
      <c r="CX87">
        <f t="shared" si="259"/>
        <v>6390</v>
      </c>
      <c r="CY87">
        <f t="shared" si="260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6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62"/>
        <v>200</v>
      </c>
      <c r="DF87">
        <f t="shared" si="263"/>
        <v>42950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554020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501620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465620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465620</v>
      </c>
      <c r="FD87">
        <f t="shared" si="285"/>
        <v>10781</v>
      </c>
      <c r="FE87">
        <f t="shared" si="286"/>
        <v>0</v>
      </c>
      <c r="FF87">
        <f t="shared" si="287"/>
        <v>10781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854</v>
      </c>
      <c r="FN87">
        <f t="shared" ca="1" si="294"/>
        <v>554874</v>
      </c>
      <c r="FO87">
        <f t="shared" si="295"/>
        <v>75000</v>
      </c>
      <c r="FP87">
        <f t="shared" ca="1" si="296"/>
        <v>479874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79874</v>
      </c>
      <c r="GB87">
        <f t="shared" ca="1" si="308"/>
        <v>3993.7000000000003</v>
      </c>
      <c r="GC87">
        <f t="shared" ca="1" si="309"/>
        <v>3994</v>
      </c>
      <c r="GD87">
        <f t="shared" ca="1" si="310"/>
        <v>0</v>
      </c>
      <c r="GE87">
        <f t="shared" ca="1" si="311"/>
        <v>0</v>
      </c>
      <c r="GF87">
        <f t="shared" ca="1" si="312"/>
        <v>3994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3994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214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5"/>
        <v>3780.0000000000005</v>
      </c>
      <c r="L88">
        <f t="shared" si="216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217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20"/>
        <v>150</v>
      </c>
      <c r="S88">
        <f t="shared" si="218"/>
        <v>32370</v>
      </c>
      <c r="T88">
        <f>_xlfn.XLOOKUP(B88,'[2]april-2025'!$A:$A,'[2]april-2025'!$C:$C,0,0)</f>
        <v>27000</v>
      </c>
      <c r="U88">
        <f t="shared" si="219"/>
        <v>4860</v>
      </c>
      <c r="V88">
        <f t="shared" si="220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21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22"/>
        <v>150</v>
      </c>
      <c r="AC88">
        <f t="shared" si="223"/>
        <v>33450</v>
      </c>
      <c r="AD88">
        <f>_xlfn.XLOOKUP(B88,'[3]may-2025'!$A:$A,'[3]may-2025'!$C:$C,0,0)</f>
        <v>31600</v>
      </c>
      <c r="AE88">
        <f t="shared" si="224"/>
        <v>5688</v>
      </c>
      <c r="AF88">
        <f t="shared" si="225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6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7"/>
        <v>200</v>
      </c>
      <c r="AM88">
        <f t="shared" si="228"/>
        <v>39380</v>
      </c>
      <c r="AN88">
        <f>_xlfn.XLOOKUP(B88,'[4]june-2025'!$A:$A,'[4]june-2025'!$C:$C,0,0)</f>
        <v>31600</v>
      </c>
      <c r="AO88">
        <f t="shared" si="229"/>
        <v>5688</v>
      </c>
      <c r="AP88">
        <f t="shared" si="230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31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32"/>
        <v>200</v>
      </c>
      <c r="AW88">
        <f t="shared" si="233"/>
        <v>39380</v>
      </c>
      <c r="AX88">
        <f>_xlfn.XLOOKUP(B88,'[5]july-2025'!$A:$A,'[5]july-2025'!$C:$C,0,0)</f>
        <v>32500</v>
      </c>
      <c r="AY88">
        <f t="shared" si="234"/>
        <v>5850</v>
      </c>
      <c r="AZ88">
        <v>0</v>
      </c>
      <c r="BA88">
        <f t="shared" si="235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236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7"/>
        <v>200</v>
      </c>
      <c r="BH88">
        <f t="shared" si="238"/>
        <v>40550</v>
      </c>
      <c r="BI88">
        <f>_xlfn.XLOOKUP(B88,'[6]august-2025'!$A:$A,'[6]august-2025'!$C:$C,0,0)</f>
        <v>32500</v>
      </c>
      <c r="BJ88">
        <f t="shared" si="239"/>
        <v>5850</v>
      </c>
      <c r="BK88">
        <f t="shared" si="240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41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242"/>
        <v>200</v>
      </c>
      <c r="BR88">
        <f t="shared" si="243"/>
        <v>40550</v>
      </c>
      <c r="BS88">
        <f>_xlfn.XLOOKUP(B88,'[7]september-2025'!$A:$A,'[7]september-2025'!$C:$C,0,0)</f>
        <v>32500</v>
      </c>
      <c r="BT88">
        <f t="shared" si="244"/>
        <v>5850</v>
      </c>
      <c r="BU88">
        <f t="shared" si="24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246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47"/>
        <v>200</v>
      </c>
      <c r="CB88">
        <f t="shared" si="248"/>
        <v>40550</v>
      </c>
      <c r="CC88">
        <f>_xlfn.XLOOKUP(B88,'[8]october-2025'!$A:$A,'[8]october-2025'!$C:$C,0,0)</f>
        <v>32500</v>
      </c>
      <c r="CD88">
        <f t="shared" si="249"/>
        <v>5850</v>
      </c>
      <c r="CE88">
        <f t="shared" si="250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251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52"/>
        <v>200</v>
      </c>
      <c r="CL88">
        <f t="shared" si="253"/>
        <v>40550</v>
      </c>
      <c r="CM88">
        <f>_xlfn.XLOOKUP(B88,'[9]november-2025'!$A:$A,'[9]november-2025'!$C:$C,0,0)</f>
        <v>32500</v>
      </c>
      <c r="CN88">
        <f t="shared" si="254"/>
        <v>5850</v>
      </c>
      <c r="CO88">
        <f t="shared" si="25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56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57"/>
        <v>200</v>
      </c>
      <c r="CV88">
        <f t="shared" si="258"/>
        <v>40550</v>
      </c>
      <c r="CW88">
        <f>_xlfn.XLOOKUP(B88,'[10]december-2025'!$A:$A,'[10]december-2025'!$C:$C,0,0)</f>
        <v>32500</v>
      </c>
      <c r="CX88">
        <f t="shared" si="259"/>
        <v>5850</v>
      </c>
      <c r="CY88">
        <f t="shared" si="260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6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62"/>
        <v>200</v>
      </c>
      <c r="DF88">
        <f t="shared" si="263"/>
        <v>40550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502080</v>
      </c>
      <c r="EB88">
        <f t="shared" si="275"/>
        <v>2300</v>
      </c>
      <c r="EC88">
        <f t="shared" si="276"/>
        <v>50000</v>
      </c>
      <c r="ED88">
        <v>0</v>
      </c>
      <c r="EE88">
        <f t="shared" si="277"/>
        <v>449780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425780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425780</v>
      </c>
      <c r="FD88">
        <f t="shared" si="285"/>
        <v>8789</v>
      </c>
      <c r="FE88">
        <f t="shared" si="286"/>
        <v>0</v>
      </c>
      <c r="FF88">
        <f t="shared" si="287"/>
        <v>8789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736</v>
      </c>
      <c r="FN88">
        <f t="shared" ca="1" si="294"/>
        <v>502816</v>
      </c>
      <c r="FO88">
        <f t="shared" si="295"/>
        <v>75000</v>
      </c>
      <c r="FP88">
        <f t="shared" ca="1" si="296"/>
        <v>427816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27816</v>
      </c>
      <c r="GB88">
        <f t="shared" ca="1" si="308"/>
        <v>1390.8000000000002</v>
      </c>
      <c r="GC88">
        <f t="shared" ca="1" si="309"/>
        <v>1391</v>
      </c>
      <c r="GD88">
        <f t="shared" ca="1" si="310"/>
        <v>0</v>
      </c>
      <c r="GE88">
        <f t="shared" ca="1" si="311"/>
        <v>0</v>
      </c>
      <c r="GF88">
        <f t="shared" ca="1" si="312"/>
        <v>1391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1391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214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5"/>
        <v>7756.0000000000009</v>
      </c>
      <c r="L89">
        <f t="shared" si="216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217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20"/>
        <v>200</v>
      </c>
      <c r="S89">
        <f t="shared" si="218"/>
        <v>65504</v>
      </c>
      <c r="T89">
        <f>_xlfn.XLOOKUP(B89,'[2]april-2025'!$A:$A,'[2]april-2025'!$C:$C,0,0)</f>
        <v>55400</v>
      </c>
      <c r="U89">
        <f t="shared" si="219"/>
        <v>9972</v>
      </c>
      <c r="V89">
        <f t="shared" si="220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21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22"/>
        <v>200</v>
      </c>
      <c r="AC89">
        <f t="shared" si="223"/>
        <v>67720</v>
      </c>
      <c r="AD89">
        <f>_xlfn.XLOOKUP(B89,'[3]may-2025'!$A:$A,'[3]may-2025'!$C:$C,0,0)</f>
        <v>55400</v>
      </c>
      <c r="AE89">
        <f t="shared" si="224"/>
        <v>9972</v>
      </c>
      <c r="AF89">
        <f t="shared" si="225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6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7"/>
        <v>200</v>
      </c>
      <c r="AM89">
        <f t="shared" si="228"/>
        <v>67720</v>
      </c>
      <c r="AN89">
        <f>_xlfn.XLOOKUP(B89,'[4]june-2025'!$A:$A,'[4]june-2025'!$C:$C,0,0)</f>
        <v>55400</v>
      </c>
      <c r="AO89">
        <f t="shared" si="229"/>
        <v>9972</v>
      </c>
      <c r="AP89">
        <f t="shared" si="230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31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32"/>
        <v>200</v>
      </c>
      <c r="AW89">
        <f t="shared" si="233"/>
        <v>67720</v>
      </c>
      <c r="AX89">
        <f>_xlfn.XLOOKUP(B89,'[5]july-2025'!$A:$A,'[5]july-2025'!$C:$C,0,0)</f>
        <v>57100</v>
      </c>
      <c r="AY89">
        <f t="shared" si="234"/>
        <v>10278</v>
      </c>
      <c r="AZ89">
        <v>0</v>
      </c>
      <c r="BA89">
        <f t="shared" si="235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236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7"/>
        <v>200</v>
      </c>
      <c r="BH89">
        <f t="shared" si="238"/>
        <v>69930</v>
      </c>
      <c r="BI89">
        <f>_xlfn.XLOOKUP(B89,'[6]august-2025'!$A:$A,'[6]august-2025'!$C:$C,0,0)</f>
        <v>57100</v>
      </c>
      <c r="BJ89">
        <f t="shared" si="239"/>
        <v>10278</v>
      </c>
      <c r="BK89">
        <f t="shared" si="240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41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242"/>
        <v>200</v>
      </c>
      <c r="BR89">
        <f t="shared" si="243"/>
        <v>69930</v>
      </c>
      <c r="BS89">
        <f>_xlfn.XLOOKUP(B89,'[7]september-2025'!$A:$A,'[7]september-2025'!$C:$C,0,0)</f>
        <v>57100</v>
      </c>
      <c r="BT89">
        <f t="shared" si="244"/>
        <v>10278</v>
      </c>
      <c r="BU89">
        <f t="shared" si="24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246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47"/>
        <v>200</v>
      </c>
      <c r="CB89">
        <f t="shared" si="248"/>
        <v>69930</v>
      </c>
      <c r="CC89">
        <f>_xlfn.XLOOKUP(B89,'[8]october-2025'!$A:$A,'[8]october-2025'!$C:$C,0,0)</f>
        <v>57100</v>
      </c>
      <c r="CD89">
        <f t="shared" si="249"/>
        <v>10278</v>
      </c>
      <c r="CE89">
        <f t="shared" si="250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251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52"/>
        <v>200</v>
      </c>
      <c r="CL89">
        <f t="shared" si="253"/>
        <v>69930</v>
      </c>
      <c r="CM89">
        <f>_xlfn.XLOOKUP(B89,'[9]november-2025'!$A:$A,'[9]november-2025'!$C:$C,0,0)</f>
        <v>57100</v>
      </c>
      <c r="CN89">
        <f t="shared" si="254"/>
        <v>10278</v>
      </c>
      <c r="CO89">
        <f t="shared" si="25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56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57"/>
        <v>200</v>
      </c>
      <c r="CV89">
        <f t="shared" si="258"/>
        <v>69930</v>
      </c>
      <c r="CW89">
        <f>_xlfn.XLOOKUP(B89,'[10]december-2025'!$A:$A,'[10]december-2025'!$C:$C,0,0)</f>
        <v>57100</v>
      </c>
      <c r="CX89">
        <f t="shared" si="259"/>
        <v>10278</v>
      </c>
      <c r="CY89">
        <f t="shared" si="260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6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62"/>
        <v>200</v>
      </c>
      <c r="DF89">
        <f t="shared" si="263"/>
        <v>69930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897304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844904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784904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784904</v>
      </c>
      <c r="FD89">
        <f t="shared" si="285"/>
        <v>12500</v>
      </c>
      <c r="FE89">
        <f t="shared" si="286"/>
        <v>56981</v>
      </c>
      <c r="FF89">
        <f t="shared" si="287"/>
        <v>69481</v>
      </c>
      <c r="FG89">
        <f t="shared" si="288"/>
        <v>69481</v>
      </c>
      <c r="FH89">
        <f t="shared" si="289"/>
        <v>2779.2400000000002</v>
      </c>
      <c r="FI89">
        <f t="shared" si="290"/>
        <v>72260</v>
      </c>
      <c r="FJ89">
        <v>0</v>
      </c>
      <c r="FK89">
        <f t="shared" si="291"/>
        <v>72260</v>
      </c>
      <c r="FL89" t="b">
        <f t="shared" si="292"/>
        <v>1</v>
      </c>
      <c r="FM89">
        <f t="shared" ca="1" si="293"/>
        <v>599</v>
      </c>
      <c r="FN89">
        <f t="shared" ca="1" si="294"/>
        <v>897903</v>
      </c>
      <c r="FO89">
        <f t="shared" si="295"/>
        <v>75000</v>
      </c>
      <c r="FP89">
        <f t="shared" ca="1" si="296"/>
        <v>822903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22903</v>
      </c>
      <c r="FZ89">
        <f t="shared" ca="1" si="306"/>
        <v>2290.3000000000002</v>
      </c>
      <c r="GA89">
        <f t="shared" ca="1" si="307"/>
        <v>400000</v>
      </c>
      <c r="GB89">
        <f t="shared" ca="1" si="308"/>
        <v>20000</v>
      </c>
      <c r="GC89">
        <f t="shared" ca="1" si="309"/>
        <v>22290</v>
      </c>
      <c r="GD89">
        <f t="shared" ca="1" si="310"/>
        <v>0</v>
      </c>
      <c r="GE89">
        <f t="shared" ca="1" si="311"/>
        <v>0</v>
      </c>
      <c r="GF89">
        <f t="shared" ca="1" si="312"/>
        <v>22290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22290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214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5"/>
        <v>6622.0000000000009</v>
      </c>
      <c r="L90">
        <f t="shared" si="216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217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20"/>
        <v>200</v>
      </c>
      <c r="S90">
        <f t="shared" si="218"/>
        <v>56838</v>
      </c>
      <c r="T90">
        <f>_xlfn.XLOOKUP(B90,'[2]april-2025'!$A:$A,'[2]april-2025'!$C:$C,0,0)</f>
        <v>47300</v>
      </c>
      <c r="U90">
        <f t="shared" si="219"/>
        <v>8514</v>
      </c>
      <c r="V90">
        <f t="shared" si="220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21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22"/>
        <v>200</v>
      </c>
      <c r="AC90">
        <f t="shared" si="223"/>
        <v>58730</v>
      </c>
      <c r="AD90">
        <f>_xlfn.XLOOKUP(B90,'[3]may-2025'!$A:$A,'[3]may-2025'!$C:$C,0,0)</f>
        <v>47300</v>
      </c>
      <c r="AE90">
        <f t="shared" si="224"/>
        <v>8514</v>
      </c>
      <c r="AF90">
        <f t="shared" si="225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6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7"/>
        <v>200</v>
      </c>
      <c r="AM90">
        <f t="shared" si="228"/>
        <v>58730</v>
      </c>
      <c r="AN90">
        <f>_xlfn.XLOOKUP(B90,'[4]june-2025'!$A:$A,'[4]june-2025'!$C:$C,0,0)</f>
        <v>47300</v>
      </c>
      <c r="AO90">
        <f t="shared" si="229"/>
        <v>8514</v>
      </c>
      <c r="AP90">
        <f t="shared" si="230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31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32"/>
        <v>200</v>
      </c>
      <c r="AW90">
        <f t="shared" si="233"/>
        <v>58730</v>
      </c>
      <c r="AX90">
        <f>_xlfn.XLOOKUP(B90,'[5]july-2025'!$A:$A,'[5]july-2025'!$C:$C,0,0)</f>
        <v>48700</v>
      </c>
      <c r="AY90">
        <f t="shared" si="234"/>
        <v>8766</v>
      </c>
      <c r="AZ90">
        <v>0</v>
      </c>
      <c r="BA90">
        <f t="shared" si="235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236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7"/>
        <v>200</v>
      </c>
      <c r="BH90">
        <f t="shared" si="238"/>
        <v>60550</v>
      </c>
      <c r="BI90">
        <f>_xlfn.XLOOKUP(B90,'[6]august-2025'!$A:$A,'[6]august-2025'!$C:$C,0,0)</f>
        <v>48700</v>
      </c>
      <c r="BJ90">
        <f t="shared" si="239"/>
        <v>8766</v>
      </c>
      <c r="BK90">
        <f t="shared" si="240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41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242"/>
        <v>200</v>
      </c>
      <c r="BR90">
        <f t="shared" si="243"/>
        <v>60550</v>
      </c>
      <c r="BS90">
        <f>_xlfn.XLOOKUP(B90,'[7]september-2025'!$A:$A,'[7]september-2025'!$C:$C,0,0)</f>
        <v>48700</v>
      </c>
      <c r="BT90">
        <f t="shared" si="244"/>
        <v>8766</v>
      </c>
      <c r="BU90">
        <f t="shared" si="24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246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47"/>
        <v>200</v>
      </c>
      <c r="CB90">
        <f t="shared" si="248"/>
        <v>60550</v>
      </c>
      <c r="CC90">
        <f>_xlfn.XLOOKUP(B90,'[8]october-2025'!$A:$A,'[8]october-2025'!$C:$C,0,0)</f>
        <v>48700</v>
      </c>
      <c r="CD90">
        <f t="shared" si="249"/>
        <v>8766</v>
      </c>
      <c r="CE90">
        <f t="shared" si="250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251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52"/>
        <v>200</v>
      </c>
      <c r="CL90">
        <f t="shared" si="253"/>
        <v>60550</v>
      </c>
      <c r="CM90">
        <f>_xlfn.XLOOKUP(B90,'[9]november-2025'!$A:$A,'[9]november-2025'!$C:$C,0,0)</f>
        <v>48700</v>
      </c>
      <c r="CN90">
        <f t="shared" si="254"/>
        <v>8766</v>
      </c>
      <c r="CO90">
        <f t="shared" si="25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56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57"/>
        <v>200</v>
      </c>
      <c r="CV90">
        <f t="shared" si="258"/>
        <v>60550</v>
      </c>
      <c r="CW90">
        <f>_xlfn.XLOOKUP(B90,'[10]december-2025'!$A:$A,'[10]december-2025'!$C:$C,0,0)</f>
        <v>48700</v>
      </c>
      <c r="CX90">
        <f t="shared" si="259"/>
        <v>8766</v>
      </c>
      <c r="CY90">
        <f t="shared" si="260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6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62"/>
        <v>200</v>
      </c>
      <c r="DF90">
        <f t="shared" si="263"/>
        <v>60550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763348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710948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674228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674228</v>
      </c>
      <c r="FD90">
        <f t="shared" si="285"/>
        <v>12500</v>
      </c>
      <c r="FE90">
        <f t="shared" si="286"/>
        <v>34846</v>
      </c>
      <c r="FF90">
        <f t="shared" si="287"/>
        <v>47346</v>
      </c>
      <c r="FG90">
        <f t="shared" si="288"/>
        <v>47346</v>
      </c>
      <c r="FH90">
        <f t="shared" si="289"/>
        <v>1893.8400000000001</v>
      </c>
      <c r="FI90">
        <f t="shared" si="290"/>
        <v>49240</v>
      </c>
      <c r="FJ90">
        <v>0</v>
      </c>
      <c r="FK90">
        <f t="shared" si="291"/>
        <v>49240</v>
      </c>
      <c r="FL90" t="b">
        <f t="shared" si="292"/>
        <v>1</v>
      </c>
      <c r="FM90">
        <f t="shared" ca="1" si="293"/>
        <v>583</v>
      </c>
      <c r="FN90">
        <f t="shared" ca="1" si="294"/>
        <v>763931</v>
      </c>
      <c r="FO90">
        <f t="shared" si="295"/>
        <v>75000</v>
      </c>
      <c r="FP90">
        <f t="shared" ca="1" si="296"/>
        <v>688931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288931</v>
      </c>
      <c r="GB90">
        <f t="shared" ca="1" si="308"/>
        <v>14446.550000000001</v>
      </c>
      <c r="GC90">
        <f t="shared" ca="1" si="309"/>
        <v>14447</v>
      </c>
      <c r="GD90">
        <f t="shared" ca="1" si="310"/>
        <v>0</v>
      </c>
      <c r="GE90">
        <f t="shared" ca="1" si="311"/>
        <v>0</v>
      </c>
      <c r="GF90">
        <f t="shared" ca="1" si="312"/>
        <v>14447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14447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214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5"/>
        <v>4970.0000000000009</v>
      </c>
      <c r="L91">
        <f t="shared" si="216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217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20"/>
        <v>200</v>
      </c>
      <c r="S91">
        <f t="shared" si="218"/>
        <v>42030</v>
      </c>
      <c r="T91">
        <f>_xlfn.XLOOKUP(B91,'[2]april-2025'!$A:$A,'[2]april-2025'!$C:$C,0,0)</f>
        <v>35500</v>
      </c>
      <c r="U91">
        <f t="shared" si="219"/>
        <v>6390</v>
      </c>
      <c r="V91">
        <f t="shared" si="220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21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22"/>
        <v>200</v>
      </c>
      <c r="AC91">
        <f t="shared" si="223"/>
        <v>43450</v>
      </c>
      <c r="AD91">
        <f>_xlfn.XLOOKUP(B91,'[3]may-2025'!$A:$A,'[3]may-2025'!$C:$C,0,0)</f>
        <v>35500</v>
      </c>
      <c r="AE91">
        <f t="shared" si="224"/>
        <v>6390</v>
      </c>
      <c r="AF91">
        <f t="shared" si="225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6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7"/>
        <v>200</v>
      </c>
      <c r="AM91">
        <f t="shared" si="228"/>
        <v>43450</v>
      </c>
      <c r="AN91">
        <f>_xlfn.XLOOKUP(B91,'[4]june-2025'!$A:$A,'[4]june-2025'!$C:$C,0,0)</f>
        <v>35500</v>
      </c>
      <c r="AO91">
        <f t="shared" si="229"/>
        <v>6390</v>
      </c>
      <c r="AP91">
        <f t="shared" si="230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31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32"/>
        <v>200</v>
      </c>
      <c r="AW91">
        <f t="shared" si="233"/>
        <v>43450</v>
      </c>
      <c r="AX91">
        <f>_xlfn.XLOOKUP(B91,'[5]july-2025'!$A:$A,'[5]july-2025'!$C:$C,0,0)</f>
        <v>36600</v>
      </c>
      <c r="AY91">
        <f t="shared" si="234"/>
        <v>6588</v>
      </c>
      <c r="AZ91">
        <v>0</v>
      </c>
      <c r="BA91">
        <f t="shared" si="235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236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7"/>
        <v>200</v>
      </c>
      <c r="BH91">
        <f t="shared" si="238"/>
        <v>44880</v>
      </c>
      <c r="BI91">
        <f>_xlfn.XLOOKUP(B91,'[6]august-2025'!$A:$A,'[6]august-2025'!$C:$C,0,0)</f>
        <v>36600</v>
      </c>
      <c r="BJ91">
        <f t="shared" si="239"/>
        <v>6588</v>
      </c>
      <c r="BK91">
        <f t="shared" si="240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41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242"/>
        <v>200</v>
      </c>
      <c r="BR91">
        <f t="shared" si="243"/>
        <v>44880</v>
      </c>
      <c r="BS91">
        <f>_xlfn.XLOOKUP(B91,'[7]september-2025'!$A:$A,'[7]september-2025'!$C:$C,0,0)</f>
        <v>36600</v>
      </c>
      <c r="BT91">
        <f t="shared" si="244"/>
        <v>6588</v>
      </c>
      <c r="BU91">
        <f t="shared" si="24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246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47"/>
        <v>200</v>
      </c>
      <c r="CB91">
        <f t="shared" si="248"/>
        <v>44880</v>
      </c>
      <c r="CC91">
        <f>_xlfn.XLOOKUP(B91,'[8]october-2025'!$A:$A,'[8]october-2025'!$C:$C,0,0)</f>
        <v>36600</v>
      </c>
      <c r="CD91">
        <f t="shared" si="249"/>
        <v>6588</v>
      </c>
      <c r="CE91">
        <f t="shared" si="250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251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52"/>
        <v>200</v>
      </c>
      <c r="CL91">
        <f t="shared" si="253"/>
        <v>44880</v>
      </c>
      <c r="CM91">
        <f>_xlfn.XLOOKUP(B91,'[9]november-2025'!$A:$A,'[9]november-2025'!$C:$C,0,0)</f>
        <v>36600</v>
      </c>
      <c r="CN91">
        <f t="shared" si="254"/>
        <v>6588</v>
      </c>
      <c r="CO91">
        <f t="shared" si="25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56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57"/>
        <v>200</v>
      </c>
      <c r="CV91">
        <f t="shared" si="258"/>
        <v>44880</v>
      </c>
      <c r="CW91">
        <f>_xlfn.XLOOKUP(B91,'[10]december-2025'!$A:$A,'[10]december-2025'!$C:$C,0,0)</f>
        <v>36600</v>
      </c>
      <c r="CX91">
        <f t="shared" si="259"/>
        <v>6588</v>
      </c>
      <c r="CY91">
        <f t="shared" si="260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6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62"/>
        <v>200</v>
      </c>
      <c r="DF91">
        <f t="shared" si="263"/>
        <v>44880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576620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524220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488220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488220</v>
      </c>
      <c r="FD91">
        <f t="shared" si="285"/>
        <v>11911</v>
      </c>
      <c r="FE91">
        <f t="shared" si="286"/>
        <v>0</v>
      </c>
      <c r="FF91">
        <f t="shared" si="287"/>
        <v>11911</v>
      </c>
      <c r="FG91">
        <f t="shared" si="288"/>
        <v>0</v>
      </c>
      <c r="FH91">
        <f t="shared" si="289"/>
        <v>0</v>
      </c>
      <c r="FI91">
        <f t="shared" si="290"/>
        <v>0</v>
      </c>
      <c r="FJ91">
        <v>0</v>
      </c>
      <c r="FK91">
        <f t="shared" si="291"/>
        <v>0</v>
      </c>
      <c r="FL91" t="b">
        <f t="shared" si="292"/>
        <v>1</v>
      </c>
      <c r="FM91">
        <f t="shared" ca="1" si="293"/>
        <v>520</v>
      </c>
      <c r="FN91">
        <f t="shared" ca="1" si="294"/>
        <v>577140</v>
      </c>
      <c r="FO91">
        <f t="shared" si="295"/>
        <v>75000</v>
      </c>
      <c r="FP91">
        <f t="shared" ca="1" si="296"/>
        <v>502140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102140</v>
      </c>
      <c r="GB91">
        <f t="shared" ca="1" si="308"/>
        <v>5107</v>
      </c>
      <c r="GC91">
        <f t="shared" ca="1" si="309"/>
        <v>5107</v>
      </c>
      <c r="GD91">
        <f t="shared" ca="1" si="310"/>
        <v>0</v>
      </c>
      <c r="GE91">
        <f t="shared" ca="1" si="311"/>
        <v>0</v>
      </c>
      <c r="GF91">
        <f t="shared" ca="1" si="312"/>
        <v>5107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5107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214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5"/>
        <v>4830.0000000000009</v>
      </c>
      <c r="L92">
        <f t="shared" si="216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217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20"/>
        <v>200</v>
      </c>
      <c r="S92">
        <f t="shared" si="218"/>
        <v>40770</v>
      </c>
      <c r="T92">
        <f>_xlfn.XLOOKUP(B92,'[2]april-2025'!$A:$A,'[2]april-2025'!$C:$C,0,0)</f>
        <v>34500</v>
      </c>
      <c r="U92">
        <f t="shared" si="219"/>
        <v>6210</v>
      </c>
      <c r="V92">
        <f t="shared" si="220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21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22"/>
        <v>200</v>
      </c>
      <c r="AC92">
        <f t="shared" si="223"/>
        <v>42150</v>
      </c>
      <c r="AD92">
        <f>_xlfn.XLOOKUP(B92,'[3]may-2025'!$A:$A,'[3]may-2025'!$C:$C,0,0)</f>
        <v>34500</v>
      </c>
      <c r="AE92">
        <f t="shared" si="224"/>
        <v>6210</v>
      </c>
      <c r="AF92">
        <f t="shared" si="225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6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7"/>
        <v>200</v>
      </c>
      <c r="AM92">
        <f t="shared" si="228"/>
        <v>42150</v>
      </c>
      <c r="AN92">
        <f>_xlfn.XLOOKUP(B92,'[4]june-2025'!$A:$A,'[4]june-2025'!$C:$C,0,0)</f>
        <v>34500</v>
      </c>
      <c r="AO92">
        <f t="shared" si="229"/>
        <v>6210</v>
      </c>
      <c r="AP92">
        <f t="shared" si="230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31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32"/>
        <v>200</v>
      </c>
      <c r="AW92">
        <f t="shared" si="233"/>
        <v>42150</v>
      </c>
      <c r="AX92">
        <f>_xlfn.XLOOKUP(B92,'[5]july-2025'!$A:$A,'[5]july-2025'!$C:$C,0,0)</f>
        <v>35500</v>
      </c>
      <c r="AY92">
        <f t="shared" si="234"/>
        <v>6390</v>
      </c>
      <c r="AZ92">
        <v>0</v>
      </c>
      <c r="BA92">
        <f t="shared" si="235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236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7"/>
        <v>200</v>
      </c>
      <c r="BH92">
        <f t="shared" si="238"/>
        <v>43450</v>
      </c>
      <c r="BI92">
        <f>_xlfn.XLOOKUP(B92,'[6]august-2025'!$A:$A,'[6]august-2025'!$C:$C,0,0)</f>
        <v>35500</v>
      </c>
      <c r="BJ92">
        <f t="shared" si="239"/>
        <v>6390</v>
      </c>
      <c r="BK92">
        <f t="shared" si="240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41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242"/>
        <v>200</v>
      </c>
      <c r="BR92">
        <f t="shared" si="243"/>
        <v>43450</v>
      </c>
      <c r="BS92">
        <f>_xlfn.XLOOKUP(B92,'[7]september-2025'!$A:$A,'[7]september-2025'!$C:$C,0,0)</f>
        <v>35500</v>
      </c>
      <c r="BT92">
        <f t="shared" si="244"/>
        <v>6390</v>
      </c>
      <c r="BU92">
        <f t="shared" si="24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246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47"/>
        <v>200</v>
      </c>
      <c r="CB92">
        <f t="shared" si="248"/>
        <v>43450</v>
      </c>
      <c r="CC92">
        <f>_xlfn.XLOOKUP(B92,'[8]october-2025'!$A:$A,'[8]october-2025'!$C:$C,0,0)</f>
        <v>35500</v>
      </c>
      <c r="CD92">
        <f t="shared" si="249"/>
        <v>6390</v>
      </c>
      <c r="CE92">
        <f t="shared" si="250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251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52"/>
        <v>200</v>
      </c>
      <c r="CL92">
        <f t="shared" si="253"/>
        <v>43450</v>
      </c>
      <c r="CM92">
        <f>_xlfn.XLOOKUP(B92,'[9]november-2025'!$A:$A,'[9]november-2025'!$C:$C,0,0)</f>
        <v>35500</v>
      </c>
      <c r="CN92">
        <f t="shared" si="254"/>
        <v>6390</v>
      </c>
      <c r="CO92">
        <f t="shared" si="25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56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57"/>
        <v>200</v>
      </c>
      <c r="CV92">
        <f t="shared" si="258"/>
        <v>43450</v>
      </c>
      <c r="CW92">
        <f>_xlfn.XLOOKUP(B92,'[10]december-2025'!$A:$A,'[10]december-2025'!$C:$C,0,0)</f>
        <v>35500</v>
      </c>
      <c r="CX92">
        <f t="shared" si="259"/>
        <v>6390</v>
      </c>
      <c r="CY92">
        <f t="shared" si="260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6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62"/>
        <v>200</v>
      </c>
      <c r="DF92">
        <f t="shared" si="263"/>
        <v>43450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560020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507620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471620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471620</v>
      </c>
      <c r="FD92">
        <f t="shared" si="285"/>
        <v>11081</v>
      </c>
      <c r="FE92">
        <f t="shared" si="286"/>
        <v>0</v>
      </c>
      <c r="FF92">
        <f t="shared" si="287"/>
        <v>11081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981</v>
      </c>
      <c r="FN92">
        <f t="shared" ca="1" si="294"/>
        <v>561001</v>
      </c>
      <c r="FO92">
        <f t="shared" si="295"/>
        <v>75000</v>
      </c>
      <c r="FP92">
        <f t="shared" ca="1" si="296"/>
        <v>486001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86001</v>
      </c>
      <c r="GB92">
        <f t="shared" ca="1" si="308"/>
        <v>4300.05</v>
      </c>
      <c r="GC92">
        <f t="shared" ca="1" si="309"/>
        <v>4300</v>
      </c>
      <c r="GD92">
        <f t="shared" ca="1" si="310"/>
        <v>0</v>
      </c>
      <c r="GE92">
        <f t="shared" ca="1" si="311"/>
        <v>0</v>
      </c>
      <c r="GF92">
        <f t="shared" ca="1" si="312"/>
        <v>4300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4300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214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5"/>
        <v>4046.0000000000005</v>
      </c>
      <c r="L93">
        <f t="shared" si="216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217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20"/>
        <v>150</v>
      </c>
      <c r="S93">
        <f t="shared" si="218"/>
        <v>34764</v>
      </c>
      <c r="T93">
        <f>_xlfn.XLOOKUP(B93,'[2]april-2025'!$A:$A,'[2]april-2025'!$C:$C,0,0)</f>
        <v>28900</v>
      </c>
      <c r="U93">
        <f t="shared" si="219"/>
        <v>5202</v>
      </c>
      <c r="V93">
        <f t="shared" si="220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21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22"/>
        <v>150</v>
      </c>
      <c r="AC93">
        <f t="shared" si="223"/>
        <v>35920</v>
      </c>
      <c r="AD93">
        <f>_xlfn.XLOOKUP(B93,'[3]may-2025'!$A:$A,'[3]may-2025'!$C:$C,0,0)</f>
        <v>28900</v>
      </c>
      <c r="AE93">
        <f t="shared" si="224"/>
        <v>5202</v>
      </c>
      <c r="AF93">
        <f t="shared" si="225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6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7"/>
        <v>150</v>
      </c>
      <c r="AM93">
        <f t="shared" si="228"/>
        <v>35920</v>
      </c>
      <c r="AN93">
        <f>_xlfn.XLOOKUP(B93,'[4]june-2025'!$A:$A,'[4]june-2025'!$C:$C,0,0)</f>
        <v>28900</v>
      </c>
      <c r="AO93">
        <f t="shared" si="229"/>
        <v>5202</v>
      </c>
      <c r="AP93">
        <f t="shared" si="230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31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32"/>
        <v>150</v>
      </c>
      <c r="AW93">
        <f t="shared" si="233"/>
        <v>35920</v>
      </c>
      <c r="AX93">
        <f>_xlfn.XLOOKUP(B93,'[5]july-2025'!$A:$A,'[5]july-2025'!$C:$C,0,0)</f>
        <v>29800</v>
      </c>
      <c r="AY93">
        <f t="shared" si="234"/>
        <v>5364</v>
      </c>
      <c r="AZ93">
        <v>0</v>
      </c>
      <c r="BA93">
        <f t="shared" si="235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236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7"/>
        <v>150</v>
      </c>
      <c r="BH93">
        <f t="shared" si="238"/>
        <v>37090</v>
      </c>
      <c r="BI93">
        <f>_xlfn.XLOOKUP(B93,'[6]august-2025'!$A:$A,'[6]august-2025'!$C:$C,0,0)</f>
        <v>29800</v>
      </c>
      <c r="BJ93">
        <f t="shared" si="239"/>
        <v>5364</v>
      </c>
      <c r="BK93">
        <f t="shared" si="240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41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242"/>
        <v>150</v>
      </c>
      <c r="BR93">
        <f t="shared" si="243"/>
        <v>37090</v>
      </c>
      <c r="BS93">
        <f>_xlfn.XLOOKUP(B93,'[7]september-2025'!$A:$A,'[7]september-2025'!$C:$C,0,0)</f>
        <v>29800</v>
      </c>
      <c r="BT93">
        <f t="shared" si="244"/>
        <v>5364</v>
      </c>
      <c r="BU93">
        <f t="shared" si="24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246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47"/>
        <v>150</v>
      </c>
      <c r="CB93">
        <f t="shared" si="248"/>
        <v>37090</v>
      </c>
      <c r="CC93">
        <f>_xlfn.XLOOKUP(B93,'[8]october-2025'!$A:$A,'[8]october-2025'!$C:$C,0,0)</f>
        <v>29800</v>
      </c>
      <c r="CD93">
        <f t="shared" si="249"/>
        <v>5364</v>
      </c>
      <c r="CE93">
        <f t="shared" si="250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251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52"/>
        <v>150</v>
      </c>
      <c r="CL93">
        <f t="shared" si="253"/>
        <v>37090</v>
      </c>
      <c r="CM93">
        <f>_xlfn.XLOOKUP(B93,'[9]november-2025'!$A:$A,'[9]november-2025'!$C:$C,0,0)</f>
        <v>29800</v>
      </c>
      <c r="CN93">
        <f t="shared" si="254"/>
        <v>5364</v>
      </c>
      <c r="CO93">
        <f t="shared" si="25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56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57"/>
        <v>150</v>
      </c>
      <c r="CV93">
        <f t="shared" si="258"/>
        <v>37090</v>
      </c>
      <c r="CW93">
        <f>_xlfn.XLOOKUP(B93,'[10]december-2025'!$A:$A,'[10]december-2025'!$C:$C,0,0)</f>
        <v>29800</v>
      </c>
      <c r="CX93">
        <f t="shared" si="259"/>
        <v>5364</v>
      </c>
      <c r="CY93">
        <f t="shared" si="260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6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62"/>
        <v>150</v>
      </c>
      <c r="DF93">
        <f t="shared" si="263"/>
        <v>37090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471844</v>
      </c>
      <c r="EB93">
        <f t="shared" si="275"/>
        <v>1800</v>
      </c>
      <c r="EC93">
        <f t="shared" si="276"/>
        <v>50000</v>
      </c>
      <c r="ED93">
        <v>0</v>
      </c>
      <c r="EE93">
        <f t="shared" si="277"/>
        <v>420044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396044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396044</v>
      </c>
      <c r="FD93">
        <f t="shared" si="285"/>
        <v>7302</v>
      </c>
      <c r="FE93">
        <f t="shared" si="286"/>
        <v>0</v>
      </c>
      <c r="FF93">
        <f t="shared" si="287"/>
        <v>7302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2300</v>
      </c>
      <c r="FN93">
        <f t="shared" ca="1" si="294"/>
        <v>474144</v>
      </c>
      <c r="FO93">
        <f t="shared" si="295"/>
        <v>75000</v>
      </c>
      <c r="FP93">
        <f t="shared" ca="1" si="296"/>
        <v>399144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0</v>
      </c>
      <c r="GB93">
        <f t="shared" ca="1" si="308"/>
        <v>0</v>
      </c>
      <c r="GC93">
        <f t="shared" ca="1" si="309"/>
        <v>0</v>
      </c>
      <c r="GD93">
        <f t="shared" ca="1" si="310"/>
        <v>0</v>
      </c>
      <c r="GE93">
        <f t="shared" ca="1" si="311"/>
        <v>0</v>
      </c>
      <c r="GF93">
        <f t="shared" ca="1" si="312"/>
        <v>0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0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214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5"/>
        <v>4830.0000000000009</v>
      </c>
      <c r="L94">
        <f t="shared" si="216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217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20"/>
        <v>200</v>
      </c>
      <c r="S94">
        <f t="shared" si="218"/>
        <v>41270</v>
      </c>
      <c r="T94">
        <f>_xlfn.XLOOKUP(B94,'[2]april-2025'!$A:$A,'[2]april-2025'!$C:$C,0,0)</f>
        <v>34500</v>
      </c>
      <c r="U94">
        <f t="shared" si="219"/>
        <v>6210</v>
      </c>
      <c r="V94">
        <f t="shared" si="220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21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22"/>
        <v>200</v>
      </c>
      <c r="AC94">
        <f t="shared" si="223"/>
        <v>42650</v>
      </c>
      <c r="AD94">
        <f>_xlfn.XLOOKUP(B94,'[3]may-2025'!$A:$A,'[3]may-2025'!$C:$C,0,0)</f>
        <v>34500</v>
      </c>
      <c r="AE94">
        <f t="shared" si="224"/>
        <v>6210</v>
      </c>
      <c r="AF94">
        <f t="shared" si="225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6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7"/>
        <v>200</v>
      </c>
      <c r="AM94">
        <f t="shared" si="228"/>
        <v>42650</v>
      </c>
      <c r="AN94">
        <f>_xlfn.XLOOKUP(B94,'[4]june-2025'!$A:$A,'[4]june-2025'!$C:$C,0,0)</f>
        <v>34500</v>
      </c>
      <c r="AO94">
        <f t="shared" si="229"/>
        <v>6210</v>
      </c>
      <c r="AP94">
        <f t="shared" si="230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31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32"/>
        <v>200</v>
      </c>
      <c r="AW94">
        <f t="shared" si="233"/>
        <v>42650</v>
      </c>
      <c r="AX94">
        <f>_xlfn.XLOOKUP(B94,'[5]july-2025'!$A:$A,'[5]july-2025'!$C:$C,0,0)</f>
        <v>35500</v>
      </c>
      <c r="AY94">
        <f t="shared" si="234"/>
        <v>6390</v>
      </c>
      <c r="AZ94">
        <v>0</v>
      </c>
      <c r="BA94">
        <f t="shared" si="235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236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7"/>
        <v>200</v>
      </c>
      <c r="BH94">
        <f t="shared" si="238"/>
        <v>43950</v>
      </c>
      <c r="BI94">
        <f>_xlfn.XLOOKUP(B94,'[6]august-2025'!$A:$A,'[6]august-2025'!$C:$C,0,0)</f>
        <v>35500</v>
      </c>
      <c r="BJ94">
        <f t="shared" si="239"/>
        <v>6390</v>
      </c>
      <c r="BK94">
        <f t="shared" si="240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41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242"/>
        <v>200</v>
      </c>
      <c r="BR94">
        <f t="shared" si="243"/>
        <v>43950</v>
      </c>
      <c r="BS94">
        <f>_xlfn.XLOOKUP(B94,'[7]september-2025'!$A:$A,'[7]september-2025'!$C:$C,0,0)</f>
        <v>35500</v>
      </c>
      <c r="BT94">
        <f t="shared" si="244"/>
        <v>6390</v>
      </c>
      <c r="BU94">
        <f t="shared" si="24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246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47"/>
        <v>200</v>
      </c>
      <c r="CB94">
        <f t="shared" si="248"/>
        <v>43950</v>
      </c>
      <c r="CC94">
        <f>_xlfn.XLOOKUP(B94,'[8]october-2025'!$A:$A,'[8]october-2025'!$C:$C,0,0)</f>
        <v>35500</v>
      </c>
      <c r="CD94">
        <f t="shared" si="249"/>
        <v>6390</v>
      </c>
      <c r="CE94">
        <f t="shared" si="250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251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52"/>
        <v>200</v>
      </c>
      <c r="CL94">
        <f t="shared" si="253"/>
        <v>43950</v>
      </c>
      <c r="CM94">
        <f>_xlfn.XLOOKUP(B94,'[9]november-2025'!$A:$A,'[9]november-2025'!$C:$C,0,0)</f>
        <v>35500</v>
      </c>
      <c r="CN94">
        <f t="shared" si="254"/>
        <v>6390</v>
      </c>
      <c r="CO94">
        <f t="shared" si="25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56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57"/>
        <v>200</v>
      </c>
      <c r="CV94">
        <f t="shared" si="258"/>
        <v>43950</v>
      </c>
      <c r="CW94">
        <f>_xlfn.XLOOKUP(B94,'[10]december-2025'!$A:$A,'[10]december-2025'!$C:$C,0,0)</f>
        <v>35500</v>
      </c>
      <c r="CX94">
        <f t="shared" si="259"/>
        <v>6390</v>
      </c>
      <c r="CY94">
        <f t="shared" si="260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6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62"/>
        <v>200</v>
      </c>
      <c r="DF94">
        <f t="shared" si="263"/>
        <v>43950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560020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507620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477620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477620</v>
      </c>
      <c r="FD94">
        <f t="shared" si="285"/>
        <v>11381</v>
      </c>
      <c r="FE94">
        <f t="shared" si="286"/>
        <v>0</v>
      </c>
      <c r="FF94">
        <f t="shared" si="287"/>
        <v>11381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920</v>
      </c>
      <c r="FN94">
        <f t="shared" ca="1" si="294"/>
        <v>560940</v>
      </c>
      <c r="FO94">
        <f t="shared" si="295"/>
        <v>75000</v>
      </c>
      <c r="FP94">
        <f t="shared" ca="1" si="296"/>
        <v>485940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85940</v>
      </c>
      <c r="GB94">
        <f t="shared" ca="1" si="308"/>
        <v>4297</v>
      </c>
      <c r="GC94">
        <f t="shared" ca="1" si="309"/>
        <v>4297</v>
      </c>
      <c r="GD94">
        <f t="shared" ca="1" si="310"/>
        <v>0</v>
      </c>
      <c r="GE94">
        <f t="shared" ca="1" si="311"/>
        <v>0</v>
      </c>
      <c r="GF94">
        <f t="shared" ca="1" si="312"/>
        <v>4297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4297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214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5"/>
        <v>3556.0000000000005</v>
      </c>
      <c r="L95">
        <f t="shared" si="216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217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20"/>
        <v>150</v>
      </c>
      <c r="S95">
        <f t="shared" si="218"/>
        <v>30354</v>
      </c>
      <c r="T95">
        <f>_xlfn.XLOOKUP(B95,'[2]april-2025'!$A:$A,'[2]april-2025'!$C:$C,0,0)</f>
        <v>25400</v>
      </c>
      <c r="U95">
        <f t="shared" si="219"/>
        <v>4572</v>
      </c>
      <c r="V95">
        <f t="shared" si="220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21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22"/>
        <v>150</v>
      </c>
      <c r="AC95">
        <f t="shared" si="223"/>
        <v>31370</v>
      </c>
      <c r="AD95">
        <f>_xlfn.XLOOKUP(B95,'[3]may-2025'!$A:$A,'[3]may-2025'!$C:$C,0,0)</f>
        <v>25400</v>
      </c>
      <c r="AE95">
        <f t="shared" si="224"/>
        <v>4572</v>
      </c>
      <c r="AF95">
        <f t="shared" si="225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6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7"/>
        <v>150</v>
      </c>
      <c r="AM95">
        <f t="shared" si="228"/>
        <v>31370</v>
      </c>
      <c r="AN95">
        <f>_xlfn.XLOOKUP(B95,'[4]june-2025'!$A:$A,'[4]june-2025'!$C:$C,0,0)</f>
        <v>25400</v>
      </c>
      <c r="AO95">
        <f t="shared" si="229"/>
        <v>4572</v>
      </c>
      <c r="AP95">
        <f t="shared" si="230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31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32"/>
        <v>150</v>
      </c>
      <c r="AW95">
        <f t="shared" si="233"/>
        <v>31370</v>
      </c>
      <c r="AX95">
        <f>_xlfn.XLOOKUP(B95,'[5]july-2025'!$A:$A,'[5]july-2025'!$C:$C,0,0)</f>
        <v>26200</v>
      </c>
      <c r="AY95">
        <f t="shared" si="234"/>
        <v>4716</v>
      </c>
      <c r="AZ95">
        <v>0</v>
      </c>
      <c r="BA95">
        <f t="shared" si="235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236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7"/>
        <v>150</v>
      </c>
      <c r="BH95">
        <f t="shared" si="238"/>
        <v>32410</v>
      </c>
      <c r="BI95">
        <f>_xlfn.XLOOKUP(B95,'[6]august-2025'!$A:$A,'[6]august-2025'!$C:$C,0,0)</f>
        <v>26200</v>
      </c>
      <c r="BJ95">
        <f t="shared" si="239"/>
        <v>4716</v>
      </c>
      <c r="BK95">
        <f t="shared" si="240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41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242"/>
        <v>150</v>
      </c>
      <c r="BR95">
        <f t="shared" si="243"/>
        <v>32410</v>
      </c>
      <c r="BS95">
        <f>_xlfn.XLOOKUP(B95,'[7]september-2025'!$A:$A,'[7]september-2025'!$C:$C,0,0)</f>
        <v>26200</v>
      </c>
      <c r="BT95">
        <f t="shared" si="244"/>
        <v>4716</v>
      </c>
      <c r="BU95">
        <f t="shared" si="24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246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47"/>
        <v>150</v>
      </c>
      <c r="CB95">
        <f t="shared" si="248"/>
        <v>32410</v>
      </c>
      <c r="CC95">
        <f>_xlfn.XLOOKUP(B95,'[8]october-2025'!$A:$A,'[8]october-2025'!$C:$C,0,0)</f>
        <v>26200</v>
      </c>
      <c r="CD95">
        <f t="shared" si="249"/>
        <v>4716</v>
      </c>
      <c r="CE95">
        <f t="shared" si="250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251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52"/>
        <v>150</v>
      </c>
      <c r="CL95">
        <f t="shared" si="253"/>
        <v>32410</v>
      </c>
      <c r="CM95">
        <f>_xlfn.XLOOKUP(B95,'[9]november-2025'!$A:$A,'[9]november-2025'!$C:$C,0,0)</f>
        <v>26200</v>
      </c>
      <c r="CN95">
        <f t="shared" si="254"/>
        <v>4716</v>
      </c>
      <c r="CO95">
        <f t="shared" si="25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56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57"/>
        <v>150</v>
      </c>
      <c r="CV95">
        <f t="shared" si="258"/>
        <v>32410</v>
      </c>
      <c r="CW95">
        <f>_xlfn.XLOOKUP(B95,'[10]december-2025'!$A:$A,'[10]december-2025'!$C:$C,0,0)</f>
        <v>26200</v>
      </c>
      <c r="CX95">
        <f t="shared" si="259"/>
        <v>4716</v>
      </c>
      <c r="CY95">
        <f t="shared" si="260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6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62"/>
        <v>150</v>
      </c>
      <c r="DF95">
        <f t="shared" si="263"/>
        <v>32410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416344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364544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340544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340544</v>
      </c>
      <c r="FD95">
        <f t="shared" si="285"/>
        <v>4527</v>
      </c>
      <c r="FE95">
        <f t="shared" si="286"/>
        <v>0</v>
      </c>
      <c r="FF95">
        <f t="shared" si="287"/>
        <v>4527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1583</v>
      </c>
      <c r="FN95">
        <f t="shared" ca="1" si="294"/>
        <v>417927</v>
      </c>
      <c r="FO95">
        <f t="shared" si="295"/>
        <v>75000</v>
      </c>
      <c r="FP95">
        <f t="shared" ca="1" si="296"/>
        <v>342927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214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5"/>
        <v>4046.0000000000005</v>
      </c>
      <c r="L96">
        <f t="shared" si="216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217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20"/>
        <v>150</v>
      </c>
      <c r="S96">
        <f t="shared" si="218"/>
        <v>34764</v>
      </c>
      <c r="T96">
        <f>_xlfn.XLOOKUP(B96,'[2]april-2025'!$A:$A,'[2]april-2025'!$C:$C,0,0)</f>
        <v>28900</v>
      </c>
      <c r="U96">
        <f t="shared" si="219"/>
        <v>5202</v>
      </c>
      <c r="V96">
        <f t="shared" si="220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21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22"/>
        <v>150</v>
      </c>
      <c r="AC96">
        <f t="shared" si="223"/>
        <v>35920</v>
      </c>
      <c r="AD96">
        <f>_xlfn.XLOOKUP(B96,'[3]may-2025'!$A:$A,'[3]may-2025'!$C:$C,0,0)</f>
        <v>28900</v>
      </c>
      <c r="AE96">
        <f t="shared" si="224"/>
        <v>5202</v>
      </c>
      <c r="AF96">
        <f t="shared" si="225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6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7"/>
        <v>150</v>
      </c>
      <c r="AM96">
        <f t="shared" si="228"/>
        <v>35920</v>
      </c>
      <c r="AN96">
        <f>_xlfn.XLOOKUP(B96,'[4]june-2025'!$A:$A,'[4]june-2025'!$C:$C,0,0)</f>
        <v>28900</v>
      </c>
      <c r="AO96">
        <f t="shared" si="229"/>
        <v>5202</v>
      </c>
      <c r="AP96">
        <f t="shared" si="230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31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32"/>
        <v>150</v>
      </c>
      <c r="AW96">
        <f t="shared" si="233"/>
        <v>35920</v>
      </c>
      <c r="AX96">
        <f>_xlfn.XLOOKUP(B96,'[5]july-2025'!$A:$A,'[5]july-2025'!$C:$C,0,0)</f>
        <v>29800</v>
      </c>
      <c r="AY96">
        <f t="shared" si="234"/>
        <v>5364</v>
      </c>
      <c r="AZ96">
        <v>0</v>
      </c>
      <c r="BA96">
        <f t="shared" si="235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236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7"/>
        <v>150</v>
      </c>
      <c r="BH96">
        <f t="shared" si="238"/>
        <v>37090</v>
      </c>
      <c r="BI96">
        <f>_xlfn.XLOOKUP(B96,'[6]august-2025'!$A:$A,'[6]august-2025'!$C:$C,0,0)</f>
        <v>29800</v>
      </c>
      <c r="BJ96">
        <f t="shared" si="239"/>
        <v>5364</v>
      </c>
      <c r="BK96">
        <f t="shared" si="240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41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242"/>
        <v>150</v>
      </c>
      <c r="BR96">
        <f t="shared" si="243"/>
        <v>37090</v>
      </c>
      <c r="BS96">
        <f>_xlfn.XLOOKUP(B96,'[7]september-2025'!$A:$A,'[7]september-2025'!$C:$C,0,0)</f>
        <v>29800</v>
      </c>
      <c r="BT96">
        <f t="shared" si="244"/>
        <v>5364</v>
      </c>
      <c r="BU96">
        <f t="shared" si="24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246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47"/>
        <v>150</v>
      </c>
      <c r="CB96">
        <f t="shared" si="248"/>
        <v>37090</v>
      </c>
      <c r="CC96">
        <f>_xlfn.XLOOKUP(B96,'[8]october-2025'!$A:$A,'[8]october-2025'!$C:$C,0,0)</f>
        <v>29800</v>
      </c>
      <c r="CD96">
        <f t="shared" si="249"/>
        <v>5364</v>
      </c>
      <c r="CE96">
        <f t="shared" si="250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251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52"/>
        <v>150</v>
      </c>
      <c r="CL96">
        <f t="shared" si="253"/>
        <v>37090</v>
      </c>
      <c r="CM96">
        <f>_xlfn.XLOOKUP(B96,'[9]november-2025'!$A:$A,'[9]november-2025'!$C:$C,0,0)</f>
        <v>29800</v>
      </c>
      <c r="CN96">
        <f t="shared" si="254"/>
        <v>5364</v>
      </c>
      <c r="CO96">
        <f t="shared" si="25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56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57"/>
        <v>150</v>
      </c>
      <c r="CV96">
        <f t="shared" si="258"/>
        <v>37090</v>
      </c>
      <c r="CW96">
        <f>_xlfn.XLOOKUP(B96,'[10]december-2025'!$A:$A,'[10]december-2025'!$C:$C,0,0)</f>
        <v>29800</v>
      </c>
      <c r="CX96">
        <f t="shared" si="259"/>
        <v>5364</v>
      </c>
      <c r="CY96">
        <f t="shared" si="260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6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62"/>
        <v>150</v>
      </c>
      <c r="DF96">
        <f t="shared" si="263"/>
        <v>37090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471844</v>
      </c>
      <c r="EB96">
        <f t="shared" si="275"/>
        <v>1800</v>
      </c>
      <c r="EC96">
        <f t="shared" si="276"/>
        <v>50000</v>
      </c>
      <c r="ED96">
        <v>0</v>
      </c>
      <c r="EE96">
        <f t="shared" si="277"/>
        <v>420044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396044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396044</v>
      </c>
      <c r="FD96">
        <f t="shared" si="285"/>
        <v>7302</v>
      </c>
      <c r="FE96">
        <f t="shared" si="286"/>
        <v>0</v>
      </c>
      <c r="FF96">
        <f t="shared" si="287"/>
        <v>7302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1791</v>
      </c>
      <c r="FN96">
        <f t="shared" ca="1" si="294"/>
        <v>473635</v>
      </c>
      <c r="FO96">
        <f t="shared" si="295"/>
        <v>75000</v>
      </c>
      <c r="FP96">
        <f t="shared" ca="1" si="296"/>
        <v>398635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0</v>
      </c>
      <c r="GB96">
        <f t="shared" ca="1" si="308"/>
        <v>0</v>
      </c>
      <c r="GC96">
        <f t="shared" ca="1" si="309"/>
        <v>0</v>
      </c>
      <c r="GD96">
        <f t="shared" ca="1" si="310"/>
        <v>0</v>
      </c>
      <c r="GE96">
        <f t="shared" ca="1" si="311"/>
        <v>0</v>
      </c>
      <c r="GF96">
        <f t="shared" ca="1" si="312"/>
        <v>0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0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2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5"/>
        <v>4830.0000000000009</v>
      </c>
      <c r="L97">
        <f t="shared" si="216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217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20"/>
        <v>200</v>
      </c>
      <c r="S97">
        <f t="shared" si="218"/>
        <v>41670</v>
      </c>
      <c r="T97">
        <f>_xlfn.XLOOKUP(B97,'[2]april-2025'!$A:$A,'[2]april-2025'!$C:$C,0,0)</f>
        <v>34500</v>
      </c>
      <c r="U97">
        <f t="shared" si="219"/>
        <v>6210</v>
      </c>
      <c r="V97">
        <f t="shared" si="220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21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22"/>
        <v>200</v>
      </c>
      <c r="AC97">
        <f t="shared" si="223"/>
        <v>43050</v>
      </c>
      <c r="AD97">
        <f>_xlfn.XLOOKUP(B97,'[3]may-2025'!$A:$A,'[3]may-2025'!$C:$C,0,0)</f>
        <v>34500</v>
      </c>
      <c r="AE97">
        <f t="shared" si="224"/>
        <v>6210</v>
      </c>
      <c r="AF97">
        <f t="shared" si="225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6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7"/>
        <v>200</v>
      </c>
      <c r="AM97">
        <f t="shared" si="228"/>
        <v>43050</v>
      </c>
      <c r="AN97">
        <f>_xlfn.XLOOKUP(B97,'[4]june-2025'!$A:$A,'[4]june-2025'!$C:$C,0,0)</f>
        <v>34500</v>
      </c>
      <c r="AO97">
        <f t="shared" si="229"/>
        <v>6210</v>
      </c>
      <c r="AP97">
        <f t="shared" si="230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31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32"/>
        <v>200</v>
      </c>
      <c r="AW97">
        <f t="shared" si="233"/>
        <v>43050</v>
      </c>
      <c r="AX97">
        <f>_xlfn.XLOOKUP(B97,'[5]july-2025'!$A:$A,'[5]july-2025'!$C:$C,0,0)</f>
        <v>35500</v>
      </c>
      <c r="AY97">
        <f t="shared" si="234"/>
        <v>6390</v>
      </c>
      <c r="AZ97">
        <v>0</v>
      </c>
      <c r="BA97">
        <f t="shared" si="235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236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7"/>
        <v>200</v>
      </c>
      <c r="BH97">
        <f t="shared" si="238"/>
        <v>44350</v>
      </c>
      <c r="BI97">
        <f>_xlfn.XLOOKUP(B97,'[6]august-2025'!$A:$A,'[6]august-2025'!$C:$C,0,0)</f>
        <v>35500</v>
      </c>
      <c r="BJ97">
        <f t="shared" si="239"/>
        <v>6390</v>
      </c>
      <c r="BK97">
        <f t="shared" si="240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41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242"/>
        <v>200</v>
      </c>
      <c r="BR97">
        <f t="shared" si="243"/>
        <v>44350</v>
      </c>
      <c r="BS97">
        <f>_xlfn.XLOOKUP(B97,'[7]september-2025'!$A:$A,'[7]september-2025'!$C:$C,0,0)</f>
        <v>35500</v>
      </c>
      <c r="BT97">
        <f t="shared" si="244"/>
        <v>6390</v>
      </c>
      <c r="BU97">
        <f t="shared" si="24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246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47"/>
        <v>200</v>
      </c>
      <c r="CB97">
        <f t="shared" si="248"/>
        <v>44350</v>
      </c>
      <c r="CC97">
        <f>_xlfn.XLOOKUP(B97,'[8]october-2025'!$A:$A,'[8]october-2025'!$C:$C,0,0)</f>
        <v>35500</v>
      </c>
      <c r="CD97">
        <f t="shared" si="249"/>
        <v>6390</v>
      </c>
      <c r="CE97">
        <f t="shared" si="250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251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52"/>
        <v>200</v>
      </c>
      <c r="CL97">
        <f t="shared" si="253"/>
        <v>44350</v>
      </c>
      <c r="CM97">
        <f>_xlfn.XLOOKUP(B97,'[9]november-2025'!$A:$A,'[9]november-2025'!$C:$C,0,0)</f>
        <v>35500</v>
      </c>
      <c r="CN97">
        <f t="shared" si="254"/>
        <v>6390</v>
      </c>
      <c r="CO97">
        <f t="shared" si="25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56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57"/>
        <v>200</v>
      </c>
      <c r="CV97">
        <f t="shared" si="258"/>
        <v>44350</v>
      </c>
      <c r="CW97">
        <f>_xlfn.XLOOKUP(B97,'[10]december-2025'!$A:$A,'[10]december-2025'!$C:$C,0,0)</f>
        <v>35500</v>
      </c>
      <c r="CX97">
        <f t="shared" si="259"/>
        <v>6390</v>
      </c>
      <c r="CY97">
        <f t="shared" si="260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6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62"/>
        <v>200</v>
      </c>
      <c r="DF97">
        <f t="shared" si="263"/>
        <v>44350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564820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512420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482420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482420</v>
      </c>
      <c r="FD97">
        <f t="shared" si="285"/>
        <v>11621</v>
      </c>
      <c r="FE97">
        <f t="shared" si="286"/>
        <v>0</v>
      </c>
      <c r="FF97">
        <f t="shared" si="287"/>
        <v>11621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526</v>
      </c>
      <c r="FN97">
        <f t="shared" ca="1" si="294"/>
        <v>565346</v>
      </c>
      <c r="FO97">
        <f t="shared" si="295"/>
        <v>75000</v>
      </c>
      <c r="FP97">
        <f t="shared" ca="1" si="296"/>
        <v>490346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90346</v>
      </c>
      <c r="GB97">
        <f t="shared" ca="1" si="308"/>
        <v>4517.3</v>
      </c>
      <c r="GC97">
        <f t="shared" ca="1" si="309"/>
        <v>4517</v>
      </c>
      <c r="GD97">
        <f t="shared" ca="1" si="310"/>
        <v>0</v>
      </c>
      <c r="GE97">
        <f t="shared" ca="1" si="311"/>
        <v>0</v>
      </c>
      <c r="GF97">
        <f t="shared" ca="1" si="312"/>
        <v>4517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4517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214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5"/>
        <v>4830.0000000000009</v>
      </c>
      <c r="L98">
        <f t="shared" si="216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217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20"/>
        <v>200</v>
      </c>
      <c r="S98">
        <f t="shared" si="218"/>
        <v>40770</v>
      </c>
      <c r="T98">
        <f>_xlfn.XLOOKUP(B98,'[2]april-2025'!$A:$A,'[2]april-2025'!$C:$C,0,0)</f>
        <v>34500</v>
      </c>
      <c r="U98">
        <f t="shared" si="219"/>
        <v>6210</v>
      </c>
      <c r="V98">
        <f t="shared" si="220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21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22"/>
        <v>200</v>
      </c>
      <c r="AC98">
        <f t="shared" si="223"/>
        <v>42150</v>
      </c>
      <c r="AD98">
        <f>_xlfn.XLOOKUP(B98,'[3]may-2025'!$A:$A,'[3]may-2025'!$C:$C,0,0)</f>
        <v>34500</v>
      </c>
      <c r="AE98">
        <f t="shared" si="224"/>
        <v>6210</v>
      </c>
      <c r="AF98">
        <f t="shared" si="225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6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7"/>
        <v>200</v>
      </c>
      <c r="AM98">
        <f t="shared" si="228"/>
        <v>42150</v>
      </c>
      <c r="AN98">
        <f>_xlfn.XLOOKUP(B98,'[4]june-2025'!$A:$A,'[4]june-2025'!$C:$C,0,0)</f>
        <v>34500</v>
      </c>
      <c r="AO98">
        <f t="shared" si="229"/>
        <v>6210</v>
      </c>
      <c r="AP98">
        <f t="shared" si="230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31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32"/>
        <v>200</v>
      </c>
      <c r="AW98">
        <f t="shared" si="233"/>
        <v>42150</v>
      </c>
      <c r="AX98">
        <f>_xlfn.XLOOKUP(B98,'[5]july-2025'!$A:$A,'[5]july-2025'!$C:$C,0,0)</f>
        <v>35500</v>
      </c>
      <c r="AY98">
        <f t="shared" si="234"/>
        <v>6390</v>
      </c>
      <c r="AZ98">
        <v>0</v>
      </c>
      <c r="BA98">
        <f t="shared" si="235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236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7"/>
        <v>200</v>
      </c>
      <c r="BH98">
        <f t="shared" si="238"/>
        <v>43450</v>
      </c>
      <c r="BI98">
        <f>_xlfn.XLOOKUP(B98,'[6]august-2025'!$A:$A,'[6]august-2025'!$C:$C,0,0)</f>
        <v>35500</v>
      </c>
      <c r="BJ98">
        <f t="shared" si="239"/>
        <v>6390</v>
      </c>
      <c r="BK98">
        <f t="shared" si="240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41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242"/>
        <v>200</v>
      </c>
      <c r="BR98">
        <f t="shared" si="243"/>
        <v>43450</v>
      </c>
      <c r="BS98">
        <f>_xlfn.XLOOKUP(B98,'[7]september-2025'!$A:$A,'[7]september-2025'!$C:$C,0,0)</f>
        <v>35500</v>
      </c>
      <c r="BT98">
        <f t="shared" si="244"/>
        <v>6390</v>
      </c>
      <c r="BU98">
        <f t="shared" si="24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246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47"/>
        <v>200</v>
      </c>
      <c r="CB98">
        <f t="shared" si="248"/>
        <v>43450</v>
      </c>
      <c r="CC98">
        <f>_xlfn.XLOOKUP(B98,'[8]october-2025'!$A:$A,'[8]october-2025'!$C:$C,0,0)</f>
        <v>35500</v>
      </c>
      <c r="CD98">
        <f t="shared" si="249"/>
        <v>6390</v>
      </c>
      <c r="CE98">
        <f t="shared" si="250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251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52"/>
        <v>200</v>
      </c>
      <c r="CL98">
        <f t="shared" si="253"/>
        <v>43450</v>
      </c>
      <c r="CM98">
        <f>_xlfn.XLOOKUP(B98,'[9]november-2025'!$A:$A,'[9]november-2025'!$C:$C,0,0)</f>
        <v>35500</v>
      </c>
      <c r="CN98">
        <f t="shared" si="254"/>
        <v>6390</v>
      </c>
      <c r="CO98">
        <f t="shared" si="25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56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57"/>
        <v>200</v>
      </c>
      <c r="CV98">
        <f t="shared" si="258"/>
        <v>43450</v>
      </c>
      <c r="CW98">
        <f>_xlfn.XLOOKUP(B98,'[10]december-2025'!$A:$A,'[10]december-2025'!$C:$C,0,0)</f>
        <v>35500</v>
      </c>
      <c r="CX98">
        <f t="shared" si="259"/>
        <v>6390</v>
      </c>
      <c r="CY98">
        <f t="shared" si="260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6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62"/>
        <v>200</v>
      </c>
      <c r="DF98">
        <f t="shared" si="263"/>
        <v>43450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560020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507620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471620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471620</v>
      </c>
      <c r="FD98">
        <f t="shared" si="285"/>
        <v>11081</v>
      </c>
      <c r="FE98">
        <f t="shared" si="286"/>
        <v>0</v>
      </c>
      <c r="FF98">
        <f t="shared" si="287"/>
        <v>11081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581</v>
      </c>
      <c r="FN98">
        <f t="shared" ca="1" si="294"/>
        <v>560601</v>
      </c>
      <c r="FO98">
        <f t="shared" si="295"/>
        <v>75000</v>
      </c>
      <c r="FP98">
        <f t="shared" ca="1" si="296"/>
        <v>485601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85601</v>
      </c>
      <c r="GB98">
        <f t="shared" ca="1" si="308"/>
        <v>4280.05</v>
      </c>
      <c r="GC98">
        <f t="shared" ca="1" si="309"/>
        <v>4280</v>
      </c>
      <c r="GD98">
        <f t="shared" ca="1" si="310"/>
        <v>0</v>
      </c>
      <c r="GE98">
        <f t="shared" ca="1" si="311"/>
        <v>0</v>
      </c>
      <c r="GF98">
        <f t="shared" ca="1" si="312"/>
        <v>4280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4280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321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5"/>
        <v>4004.0000000000005</v>
      </c>
      <c r="L99">
        <f t="shared" si="216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217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20"/>
        <v>150</v>
      </c>
      <c r="S99">
        <f t="shared" si="218"/>
        <v>34386</v>
      </c>
      <c r="T99">
        <f>_xlfn.XLOOKUP(B99,'[2]april-2025'!$A:$A,'[2]april-2025'!$C:$C,0,0)</f>
        <v>28600</v>
      </c>
      <c r="U99">
        <f t="shared" si="219"/>
        <v>5148</v>
      </c>
      <c r="V99">
        <f t="shared" si="220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21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22"/>
        <v>150</v>
      </c>
      <c r="AC99">
        <f t="shared" si="223"/>
        <v>35530</v>
      </c>
      <c r="AD99">
        <f>_xlfn.XLOOKUP(B99,'[3]may-2025'!$A:$A,'[3]may-2025'!$C:$C,0,0)</f>
        <v>28600</v>
      </c>
      <c r="AE99">
        <f t="shared" si="224"/>
        <v>5148</v>
      </c>
      <c r="AF99">
        <f t="shared" si="225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6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7"/>
        <v>150</v>
      </c>
      <c r="AM99">
        <f t="shared" si="228"/>
        <v>35530</v>
      </c>
      <c r="AN99">
        <f>_xlfn.XLOOKUP(B99,'[4]june-2025'!$A:$A,'[4]june-2025'!$C:$C,0,0)</f>
        <v>28600</v>
      </c>
      <c r="AO99">
        <f t="shared" si="229"/>
        <v>5148</v>
      </c>
      <c r="AP99">
        <f t="shared" si="230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31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32"/>
        <v>150</v>
      </c>
      <c r="AW99">
        <f t="shared" si="233"/>
        <v>35530</v>
      </c>
      <c r="AX99">
        <f>_xlfn.XLOOKUP(B99,'[5]july-2025'!$A:$A,'[5]july-2025'!$C:$C,0,0)</f>
        <v>29500</v>
      </c>
      <c r="AY99">
        <f t="shared" si="234"/>
        <v>5310</v>
      </c>
      <c r="AZ99">
        <v>0</v>
      </c>
      <c r="BA99">
        <f t="shared" si="235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236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7"/>
        <v>150</v>
      </c>
      <c r="BH99">
        <f t="shared" si="238"/>
        <v>36700</v>
      </c>
      <c r="BI99">
        <f>_xlfn.XLOOKUP(B99,'[6]august-2025'!$A:$A,'[6]august-2025'!$C:$C,0,0)</f>
        <v>29500</v>
      </c>
      <c r="BJ99">
        <f t="shared" si="239"/>
        <v>5310</v>
      </c>
      <c r="BK99">
        <f t="shared" si="240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41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242"/>
        <v>150</v>
      </c>
      <c r="BR99">
        <f t="shared" si="243"/>
        <v>36700</v>
      </c>
      <c r="BS99">
        <f>_xlfn.XLOOKUP(B99,'[7]september-2025'!$A:$A,'[7]september-2025'!$C:$C,0,0)</f>
        <v>29500</v>
      </c>
      <c r="BT99">
        <f t="shared" si="244"/>
        <v>5310</v>
      </c>
      <c r="BU99">
        <f t="shared" si="24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246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47"/>
        <v>150</v>
      </c>
      <c r="CB99">
        <f t="shared" si="248"/>
        <v>36700</v>
      </c>
      <c r="CC99">
        <f>_xlfn.XLOOKUP(B99,'[8]october-2025'!$A:$A,'[8]october-2025'!$C:$C,0,0)</f>
        <v>29500</v>
      </c>
      <c r="CD99">
        <f t="shared" si="249"/>
        <v>5310</v>
      </c>
      <c r="CE99">
        <f t="shared" si="250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251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52"/>
        <v>150</v>
      </c>
      <c r="CL99">
        <f t="shared" si="253"/>
        <v>36700</v>
      </c>
      <c r="CM99">
        <f>_xlfn.XLOOKUP(B99,'[9]november-2025'!$A:$A,'[9]november-2025'!$C:$C,0,0)</f>
        <v>29500</v>
      </c>
      <c r="CN99">
        <f t="shared" si="254"/>
        <v>5310</v>
      </c>
      <c r="CO99">
        <f t="shared" si="25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56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57"/>
        <v>150</v>
      </c>
      <c r="CV99">
        <f t="shared" si="258"/>
        <v>36700</v>
      </c>
      <c r="CW99">
        <f>_xlfn.XLOOKUP(B99,'[10]december-2025'!$A:$A,'[10]december-2025'!$C:$C,0,0)</f>
        <v>29500</v>
      </c>
      <c r="CX99">
        <f t="shared" si="259"/>
        <v>5310</v>
      </c>
      <c r="CY99">
        <f t="shared" si="260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6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62"/>
        <v>150</v>
      </c>
      <c r="DF99">
        <f t="shared" si="263"/>
        <v>36700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467176</v>
      </c>
      <c r="EB99">
        <f t="shared" si="275"/>
        <v>1800</v>
      </c>
      <c r="EC99">
        <f t="shared" si="276"/>
        <v>50000</v>
      </c>
      <c r="ED99">
        <v>0</v>
      </c>
      <c r="EE99">
        <f t="shared" si="277"/>
        <v>415376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391376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391376</v>
      </c>
      <c r="FD99">
        <f t="shared" si="285"/>
        <v>7069</v>
      </c>
      <c r="FE99">
        <f t="shared" si="286"/>
        <v>0</v>
      </c>
      <c r="FF99">
        <f t="shared" si="287"/>
        <v>7069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2042</v>
      </c>
      <c r="FN99">
        <f t="shared" ca="1" si="294"/>
        <v>469218</v>
      </c>
      <c r="FO99">
        <f t="shared" si="295"/>
        <v>75000</v>
      </c>
      <c r="FP99">
        <f t="shared" ca="1" si="296"/>
        <v>394218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0</v>
      </c>
      <c r="GB99">
        <f t="shared" ca="1" si="308"/>
        <v>0</v>
      </c>
      <c r="GC99">
        <f t="shared" ca="1" si="309"/>
        <v>0</v>
      </c>
      <c r="GD99">
        <f t="shared" ca="1" si="310"/>
        <v>0</v>
      </c>
      <c r="GE99">
        <f t="shared" ca="1" si="311"/>
        <v>0</v>
      </c>
      <c r="GF99">
        <f t="shared" ca="1" si="312"/>
        <v>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321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5"/>
        <v>4424</v>
      </c>
      <c r="L100">
        <f t="shared" si="216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217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20"/>
        <v>200</v>
      </c>
      <c r="S100">
        <f t="shared" si="218"/>
        <v>38116</v>
      </c>
      <c r="T100">
        <f>_xlfn.XLOOKUP(B100,'[2]april-2025'!$A:$A,'[2]april-2025'!$C:$C,0,0)</f>
        <v>31600</v>
      </c>
      <c r="U100">
        <f t="shared" si="219"/>
        <v>5688</v>
      </c>
      <c r="V100">
        <f t="shared" si="220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21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22"/>
        <v>200</v>
      </c>
      <c r="AC100">
        <f t="shared" si="223"/>
        <v>39380</v>
      </c>
      <c r="AD100">
        <f>_xlfn.XLOOKUP(B100,'[3]may-2025'!$A:$A,'[3]may-2025'!$C:$C,0,0)</f>
        <v>31600</v>
      </c>
      <c r="AE100">
        <f t="shared" si="224"/>
        <v>5688</v>
      </c>
      <c r="AF100">
        <f t="shared" si="225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6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7"/>
        <v>200</v>
      </c>
      <c r="AM100">
        <f t="shared" si="228"/>
        <v>39380</v>
      </c>
      <c r="AN100">
        <f>_xlfn.XLOOKUP(B100,'[4]june-2025'!$A:$A,'[4]june-2025'!$C:$C,0,0)</f>
        <v>31600</v>
      </c>
      <c r="AO100">
        <f t="shared" si="229"/>
        <v>5688</v>
      </c>
      <c r="AP100">
        <f t="shared" si="230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31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32"/>
        <v>200</v>
      </c>
      <c r="AW100">
        <f t="shared" si="233"/>
        <v>39380</v>
      </c>
      <c r="AX100">
        <f>_xlfn.XLOOKUP(B100,'[5]july-2025'!$A:$A,'[5]july-2025'!$C:$C,0,0)</f>
        <v>32500</v>
      </c>
      <c r="AY100">
        <f t="shared" si="234"/>
        <v>5850</v>
      </c>
      <c r="AZ100">
        <v>0</v>
      </c>
      <c r="BA100">
        <f t="shared" si="235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236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7"/>
        <v>200</v>
      </c>
      <c r="BH100">
        <f t="shared" si="238"/>
        <v>40550</v>
      </c>
      <c r="BI100">
        <f>_xlfn.XLOOKUP(B100,'[6]august-2025'!$A:$A,'[6]august-2025'!$C:$C,0,0)</f>
        <v>32500</v>
      </c>
      <c r="BJ100">
        <f t="shared" si="239"/>
        <v>5850</v>
      </c>
      <c r="BK100">
        <f t="shared" si="240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41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242"/>
        <v>200</v>
      </c>
      <c r="BR100">
        <f t="shared" si="243"/>
        <v>40550</v>
      </c>
      <c r="BS100">
        <f>_xlfn.XLOOKUP(B100,'[7]september-2025'!$A:$A,'[7]september-2025'!$C:$C,0,0)</f>
        <v>32500</v>
      </c>
      <c r="BT100">
        <f t="shared" si="244"/>
        <v>5850</v>
      </c>
      <c r="BU100">
        <f t="shared" si="24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246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47"/>
        <v>200</v>
      </c>
      <c r="CB100">
        <f t="shared" si="248"/>
        <v>40550</v>
      </c>
      <c r="CC100">
        <f>_xlfn.XLOOKUP(B100,'[8]october-2025'!$A:$A,'[8]october-2025'!$C:$C,0,0)</f>
        <v>32500</v>
      </c>
      <c r="CD100">
        <f t="shared" si="249"/>
        <v>5850</v>
      </c>
      <c r="CE100">
        <f t="shared" si="250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251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52"/>
        <v>200</v>
      </c>
      <c r="CL100">
        <f t="shared" si="253"/>
        <v>40550</v>
      </c>
      <c r="CM100">
        <f>_xlfn.XLOOKUP(B100,'[9]november-2025'!$A:$A,'[9]november-2025'!$C:$C,0,0)</f>
        <v>32500</v>
      </c>
      <c r="CN100">
        <f t="shared" si="254"/>
        <v>5850</v>
      </c>
      <c r="CO100">
        <f t="shared" si="25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56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57"/>
        <v>200</v>
      </c>
      <c r="CV100">
        <f t="shared" si="258"/>
        <v>40550</v>
      </c>
      <c r="CW100">
        <f>_xlfn.XLOOKUP(B100,'[10]december-2025'!$A:$A,'[10]december-2025'!$C:$C,0,0)</f>
        <v>32500</v>
      </c>
      <c r="CX100">
        <f t="shared" si="259"/>
        <v>5850</v>
      </c>
      <c r="CY100">
        <f t="shared" si="260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6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62"/>
        <v>200</v>
      </c>
      <c r="DF100">
        <f t="shared" si="263"/>
        <v>40550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513856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461456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437456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437456</v>
      </c>
      <c r="FD100">
        <f t="shared" si="285"/>
        <v>9373</v>
      </c>
      <c r="FE100">
        <f t="shared" si="286"/>
        <v>0</v>
      </c>
      <c r="FF100">
        <f t="shared" si="287"/>
        <v>9373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891</v>
      </c>
      <c r="FN100">
        <f t="shared" ca="1" si="294"/>
        <v>514747</v>
      </c>
      <c r="FO100">
        <f t="shared" si="295"/>
        <v>75000</v>
      </c>
      <c r="FP100">
        <f t="shared" ca="1" si="296"/>
        <v>439747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39747</v>
      </c>
      <c r="GB100">
        <f t="shared" ca="1" si="308"/>
        <v>1987.3500000000001</v>
      </c>
      <c r="GC100">
        <f t="shared" ca="1" si="309"/>
        <v>1987</v>
      </c>
      <c r="GD100">
        <f t="shared" ca="1" si="310"/>
        <v>0</v>
      </c>
      <c r="GE100">
        <f t="shared" ca="1" si="311"/>
        <v>0</v>
      </c>
      <c r="GF100">
        <f t="shared" ca="1" si="312"/>
        <v>1987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1987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321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5"/>
        <v>4690</v>
      </c>
      <c r="L101">
        <f t="shared" si="216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217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20"/>
        <v>200</v>
      </c>
      <c r="S101">
        <f t="shared" si="218"/>
        <v>40010</v>
      </c>
      <c r="T101">
        <f>_xlfn.XLOOKUP(B101,'[2]april-2025'!$A:$A,'[2]april-2025'!$C:$C,0,0)</f>
        <v>33500</v>
      </c>
      <c r="U101">
        <f t="shared" si="219"/>
        <v>6030</v>
      </c>
      <c r="V101">
        <f t="shared" si="220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21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22"/>
        <v>200</v>
      </c>
      <c r="AC101">
        <f t="shared" si="223"/>
        <v>41350</v>
      </c>
      <c r="AD101">
        <f>_xlfn.XLOOKUP(B101,'[3]may-2025'!$A:$A,'[3]may-2025'!$C:$C,0,0)</f>
        <v>33500</v>
      </c>
      <c r="AE101">
        <f t="shared" si="224"/>
        <v>6030</v>
      </c>
      <c r="AF101">
        <f t="shared" si="225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6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7"/>
        <v>200</v>
      </c>
      <c r="AM101">
        <f t="shared" si="228"/>
        <v>41350</v>
      </c>
      <c r="AN101">
        <f>_xlfn.XLOOKUP(B101,'[4]june-2025'!$A:$A,'[4]june-2025'!$C:$C,0,0)</f>
        <v>33500</v>
      </c>
      <c r="AO101">
        <f t="shared" si="229"/>
        <v>6030</v>
      </c>
      <c r="AP101">
        <f t="shared" si="230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31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32"/>
        <v>200</v>
      </c>
      <c r="AW101">
        <f t="shared" si="233"/>
        <v>41350</v>
      </c>
      <c r="AX101">
        <f>_xlfn.XLOOKUP(B101,'[5]july-2025'!$A:$A,'[5]july-2025'!$C:$C,0,0)</f>
        <v>34500</v>
      </c>
      <c r="AY101">
        <f t="shared" si="234"/>
        <v>6210</v>
      </c>
      <c r="AZ101">
        <v>0</v>
      </c>
      <c r="BA101">
        <f t="shared" si="235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236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7"/>
        <v>200</v>
      </c>
      <c r="BH101">
        <f t="shared" si="238"/>
        <v>42650</v>
      </c>
      <c r="BI101">
        <f>_xlfn.XLOOKUP(B101,'[6]august-2025'!$A:$A,'[6]august-2025'!$C:$C,0,0)</f>
        <v>34500</v>
      </c>
      <c r="BJ101">
        <f t="shared" si="239"/>
        <v>6210</v>
      </c>
      <c r="BK101">
        <f t="shared" si="240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41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242"/>
        <v>200</v>
      </c>
      <c r="BR101">
        <f t="shared" si="243"/>
        <v>42650</v>
      </c>
      <c r="BS101">
        <f>_xlfn.XLOOKUP(B101,'[7]september-2025'!$A:$A,'[7]september-2025'!$C:$C,0,0)</f>
        <v>34500</v>
      </c>
      <c r="BT101">
        <f t="shared" si="244"/>
        <v>6210</v>
      </c>
      <c r="BU101">
        <f t="shared" si="24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246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47"/>
        <v>200</v>
      </c>
      <c r="CB101">
        <f t="shared" si="248"/>
        <v>42650</v>
      </c>
      <c r="CC101">
        <f>_xlfn.XLOOKUP(B101,'[8]october-2025'!$A:$A,'[8]october-2025'!$C:$C,0,0)</f>
        <v>34500</v>
      </c>
      <c r="CD101">
        <f t="shared" si="249"/>
        <v>6210</v>
      </c>
      <c r="CE101">
        <f t="shared" si="250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251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52"/>
        <v>200</v>
      </c>
      <c r="CL101">
        <f t="shared" si="253"/>
        <v>42650</v>
      </c>
      <c r="CM101">
        <f>_xlfn.XLOOKUP(B101,'[9]november-2025'!$A:$A,'[9]november-2025'!$C:$C,0,0)</f>
        <v>34500</v>
      </c>
      <c r="CN101">
        <f t="shared" si="254"/>
        <v>6210</v>
      </c>
      <c r="CO101">
        <f t="shared" si="25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56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57"/>
        <v>200</v>
      </c>
      <c r="CV101">
        <f t="shared" si="258"/>
        <v>42650</v>
      </c>
      <c r="CW101">
        <f>_xlfn.XLOOKUP(B101,'[10]december-2025'!$A:$A,'[10]december-2025'!$C:$C,0,0)</f>
        <v>34500</v>
      </c>
      <c r="CX101">
        <f t="shared" si="259"/>
        <v>6210</v>
      </c>
      <c r="CY101">
        <f t="shared" si="260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6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62"/>
        <v>200</v>
      </c>
      <c r="DF101">
        <f t="shared" si="263"/>
        <v>42650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544460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492060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462060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462060</v>
      </c>
      <c r="FD101">
        <f t="shared" si="285"/>
        <v>10603</v>
      </c>
      <c r="FE101">
        <f t="shared" si="286"/>
        <v>0</v>
      </c>
      <c r="FF101">
        <f t="shared" si="287"/>
        <v>10603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689</v>
      </c>
      <c r="FN101">
        <f t="shared" ca="1" si="294"/>
        <v>545149</v>
      </c>
      <c r="FO101">
        <f t="shared" si="295"/>
        <v>75000</v>
      </c>
      <c r="FP101">
        <f t="shared" ca="1" si="296"/>
        <v>470149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70149</v>
      </c>
      <c r="GB101">
        <f t="shared" ca="1" si="308"/>
        <v>3507.4500000000003</v>
      </c>
      <c r="GC101">
        <f t="shared" ca="1" si="309"/>
        <v>3507</v>
      </c>
      <c r="GD101">
        <f t="shared" ca="1" si="310"/>
        <v>0</v>
      </c>
      <c r="GE101">
        <f t="shared" ca="1" si="311"/>
        <v>0</v>
      </c>
      <c r="GF101">
        <f t="shared" ca="1" si="312"/>
        <v>3507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3507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321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5"/>
        <v>6818.0000000000009</v>
      </c>
      <c r="L102">
        <f t="shared" si="216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217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20"/>
        <v>200</v>
      </c>
      <c r="S102">
        <f t="shared" si="218"/>
        <v>57002</v>
      </c>
      <c r="T102">
        <f>_xlfn.XLOOKUP(B102,'[2]april-2025'!$A:$A,'[2]april-2025'!$C:$C,0,0)</f>
        <v>48700</v>
      </c>
      <c r="U102">
        <f t="shared" si="219"/>
        <v>8766</v>
      </c>
      <c r="V102">
        <f t="shared" si="220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21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22"/>
        <v>200</v>
      </c>
      <c r="AC102">
        <f t="shared" si="223"/>
        <v>58950</v>
      </c>
      <c r="AD102">
        <f>_xlfn.XLOOKUP(B102,'[3]may-2025'!$A:$A,'[3]may-2025'!$C:$C,0,0)</f>
        <v>48700</v>
      </c>
      <c r="AE102">
        <f t="shared" si="224"/>
        <v>8766</v>
      </c>
      <c r="AF102">
        <f t="shared" si="225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6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7"/>
        <v>200</v>
      </c>
      <c r="AM102">
        <f t="shared" si="228"/>
        <v>58950</v>
      </c>
      <c r="AN102">
        <f>_xlfn.XLOOKUP(B102,'[4]june-2025'!$A:$A,'[4]june-2025'!$C:$C,0,0)</f>
        <v>48700</v>
      </c>
      <c r="AO102">
        <f t="shared" si="229"/>
        <v>8766</v>
      </c>
      <c r="AP102">
        <f t="shared" si="230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31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32"/>
        <v>200</v>
      </c>
      <c r="AW102">
        <f t="shared" si="233"/>
        <v>58950</v>
      </c>
      <c r="AX102">
        <f>_xlfn.XLOOKUP(B102,'[5]july-2025'!$A:$A,'[5]july-2025'!$C:$C,0,0)</f>
        <v>51700</v>
      </c>
      <c r="AY102">
        <f t="shared" si="234"/>
        <v>9306</v>
      </c>
      <c r="AZ102">
        <v>0</v>
      </c>
      <c r="BA102">
        <f t="shared" si="235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236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7"/>
        <v>200</v>
      </c>
      <c r="BH102">
        <f t="shared" si="238"/>
        <v>62850</v>
      </c>
      <c r="BI102">
        <f>_xlfn.XLOOKUP(B102,'[6]august-2025'!$A:$A,'[6]august-2025'!$C:$C,0,0)</f>
        <v>51700</v>
      </c>
      <c r="BJ102">
        <f t="shared" si="239"/>
        <v>9306</v>
      </c>
      <c r="BK102">
        <f t="shared" si="240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41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242"/>
        <v>200</v>
      </c>
      <c r="BR102">
        <f t="shared" si="243"/>
        <v>62850</v>
      </c>
      <c r="BS102">
        <f>_xlfn.XLOOKUP(B102,'[7]september-2025'!$A:$A,'[7]september-2025'!$C:$C,0,0)</f>
        <v>51700</v>
      </c>
      <c r="BT102">
        <f t="shared" si="244"/>
        <v>9306</v>
      </c>
      <c r="BU102">
        <f t="shared" si="24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246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47"/>
        <v>200</v>
      </c>
      <c r="CB102">
        <f t="shared" si="248"/>
        <v>62850</v>
      </c>
      <c r="CC102">
        <f>_xlfn.XLOOKUP(B102,'[8]october-2025'!$A:$A,'[8]october-2025'!$C:$C,0,0)</f>
        <v>51700</v>
      </c>
      <c r="CD102">
        <f t="shared" si="249"/>
        <v>9306</v>
      </c>
      <c r="CE102">
        <f t="shared" si="250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251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52"/>
        <v>200</v>
      </c>
      <c r="CL102">
        <f t="shared" si="253"/>
        <v>62850</v>
      </c>
      <c r="CM102">
        <f>_xlfn.XLOOKUP(B102,'[9]november-2025'!$A:$A,'[9]november-2025'!$C:$C,0,0)</f>
        <v>51700</v>
      </c>
      <c r="CN102">
        <f t="shared" si="254"/>
        <v>9306</v>
      </c>
      <c r="CO102">
        <f t="shared" si="25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56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57"/>
        <v>200</v>
      </c>
      <c r="CV102">
        <f t="shared" si="258"/>
        <v>62850</v>
      </c>
      <c r="CW102">
        <f>_xlfn.XLOOKUP(B102,'[10]december-2025'!$A:$A,'[10]december-2025'!$C:$C,0,0)</f>
        <v>51700</v>
      </c>
      <c r="CX102">
        <f t="shared" si="259"/>
        <v>9306</v>
      </c>
      <c r="CY102">
        <f t="shared" si="260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6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62"/>
        <v>200</v>
      </c>
      <c r="DF102">
        <f t="shared" si="263"/>
        <v>62850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806572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754172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693452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693452</v>
      </c>
      <c r="FD102">
        <f t="shared" si="285"/>
        <v>12500</v>
      </c>
      <c r="FE102">
        <f t="shared" si="286"/>
        <v>38690</v>
      </c>
      <c r="FF102">
        <f t="shared" si="287"/>
        <v>51190</v>
      </c>
      <c r="FG102">
        <f t="shared" si="288"/>
        <v>51190</v>
      </c>
      <c r="FH102">
        <f t="shared" si="289"/>
        <v>2047.6000000000001</v>
      </c>
      <c r="FI102">
        <f t="shared" si="290"/>
        <v>53238</v>
      </c>
      <c r="FJ102">
        <v>0</v>
      </c>
      <c r="FK102">
        <f t="shared" si="291"/>
        <v>53238</v>
      </c>
      <c r="FL102" t="b">
        <f t="shared" si="292"/>
        <v>1</v>
      </c>
      <c r="FM102">
        <f t="shared" ca="1" si="293"/>
        <v>941</v>
      </c>
      <c r="FN102">
        <f t="shared" ca="1" si="294"/>
        <v>807513</v>
      </c>
      <c r="FO102">
        <f t="shared" si="295"/>
        <v>75000</v>
      </c>
      <c r="FP102">
        <f t="shared" ca="1" si="296"/>
        <v>732513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332513</v>
      </c>
      <c r="GB102">
        <f t="shared" ca="1" si="308"/>
        <v>16625.650000000001</v>
      </c>
      <c r="GC102">
        <f t="shared" ca="1" si="309"/>
        <v>16626</v>
      </c>
      <c r="GD102">
        <f t="shared" ca="1" si="310"/>
        <v>0</v>
      </c>
      <c r="GE102">
        <f t="shared" ca="1" si="311"/>
        <v>0</v>
      </c>
      <c r="GF102">
        <f t="shared" ca="1" si="312"/>
        <v>16626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16626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321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5"/>
        <v>4424</v>
      </c>
      <c r="L103">
        <f t="shared" si="216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217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20"/>
        <v>200</v>
      </c>
      <c r="S103">
        <f t="shared" si="218"/>
        <v>38116</v>
      </c>
      <c r="T103">
        <f>_xlfn.XLOOKUP(B103,'[2]april-2025'!$A:$A,'[2]april-2025'!$C:$C,0,0)</f>
        <v>31600</v>
      </c>
      <c r="U103">
        <f t="shared" si="219"/>
        <v>5688</v>
      </c>
      <c r="V103">
        <f t="shared" si="220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21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22"/>
        <v>200</v>
      </c>
      <c r="AC103">
        <f t="shared" si="223"/>
        <v>39380</v>
      </c>
      <c r="AD103">
        <f>_xlfn.XLOOKUP(B103,'[3]may-2025'!$A:$A,'[3]may-2025'!$C:$C,0,0)</f>
        <v>31600</v>
      </c>
      <c r="AE103">
        <f t="shared" si="224"/>
        <v>5688</v>
      </c>
      <c r="AF103">
        <f t="shared" si="225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6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7"/>
        <v>200</v>
      </c>
      <c r="AM103">
        <f t="shared" si="228"/>
        <v>39380</v>
      </c>
      <c r="AN103">
        <f>_xlfn.XLOOKUP(B103,'[4]june-2025'!$A:$A,'[4]june-2025'!$C:$C,0,0)</f>
        <v>31600</v>
      </c>
      <c r="AO103">
        <f t="shared" si="229"/>
        <v>5688</v>
      </c>
      <c r="AP103">
        <f t="shared" si="230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31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32"/>
        <v>200</v>
      </c>
      <c r="AW103">
        <f t="shared" si="233"/>
        <v>39380</v>
      </c>
      <c r="AX103">
        <f>_xlfn.XLOOKUP(B103,'[5]july-2025'!$A:$A,'[5]july-2025'!$C:$C,0,0)</f>
        <v>32500</v>
      </c>
      <c r="AY103">
        <f t="shared" si="234"/>
        <v>5850</v>
      </c>
      <c r="AZ103">
        <v>0</v>
      </c>
      <c r="BA103">
        <f t="shared" si="235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236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7"/>
        <v>200</v>
      </c>
      <c r="BH103">
        <f t="shared" si="238"/>
        <v>40550</v>
      </c>
      <c r="BI103">
        <f>_xlfn.XLOOKUP(B103,'[6]august-2025'!$A:$A,'[6]august-2025'!$C:$C,0,0)</f>
        <v>32500</v>
      </c>
      <c r="BJ103">
        <f t="shared" si="239"/>
        <v>5850</v>
      </c>
      <c r="BK103">
        <f t="shared" si="240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41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242"/>
        <v>200</v>
      </c>
      <c r="BR103">
        <f t="shared" si="243"/>
        <v>40550</v>
      </c>
      <c r="BS103">
        <f>_xlfn.XLOOKUP(B103,'[7]september-2025'!$A:$A,'[7]september-2025'!$C:$C,0,0)</f>
        <v>32500</v>
      </c>
      <c r="BT103">
        <f t="shared" si="244"/>
        <v>5850</v>
      </c>
      <c r="BU103">
        <f t="shared" si="24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246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47"/>
        <v>200</v>
      </c>
      <c r="CB103">
        <f t="shared" si="248"/>
        <v>40550</v>
      </c>
      <c r="CC103">
        <f>_xlfn.XLOOKUP(B103,'[8]october-2025'!$A:$A,'[8]october-2025'!$C:$C,0,0)</f>
        <v>32500</v>
      </c>
      <c r="CD103">
        <f t="shared" si="249"/>
        <v>5850</v>
      </c>
      <c r="CE103">
        <f t="shared" si="250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251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52"/>
        <v>200</v>
      </c>
      <c r="CL103">
        <f t="shared" si="253"/>
        <v>40550</v>
      </c>
      <c r="CM103">
        <f>_xlfn.XLOOKUP(B103,'[9]november-2025'!$A:$A,'[9]november-2025'!$C:$C,0,0)</f>
        <v>32500</v>
      </c>
      <c r="CN103">
        <f t="shared" si="254"/>
        <v>5850</v>
      </c>
      <c r="CO103">
        <f t="shared" si="25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56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57"/>
        <v>200</v>
      </c>
      <c r="CV103">
        <f t="shared" si="258"/>
        <v>40550</v>
      </c>
      <c r="CW103">
        <f>_xlfn.XLOOKUP(B103,'[10]december-2025'!$A:$A,'[10]december-2025'!$C:$C,0,0)</f>
        <v>32500</v>
      </c>
      <c r="CX103">
        <f t="shared" si="259"/>
        <v>5850</v>
      </c>
      <c r="CY103">
        <f t="shared" si="260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6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62"/>
        <v>200</v>
      </c>
      <c r="DF103">
        <f t="shared" si="263"/>
        <v>40550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513856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461456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437456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437456</v>
      </c>
      <c r="FD103">
        <f t="shared" si="285"/>
        <v>9373</v>
      </c>
      <c r="FE103">
        <f t="shared" si="286"/>
        <v>0</v>
      </c>
      <c r="FF103">
        <f t="shared" si="287"/>
        <v>9373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689</v>
      </c>
      <c r="FN103">
        <f t="shared" ca="1" si="294"/>
        <v>514545</v>
      </c>
      <c r="FO103">
        <f t="shared" si="295"/>
        <v>75000</v>
      </c>
      <c r="FP103">
        <f t="shared" ca="1" si="296"/>
        <v>439545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39545</v>
      </c>
      <c r="GB103">
        <f t="shared" ca="1" si="308"/>
        <v>1977.25</v>
      </c>
      <c r="GC103">
        <f t="shared" ca="1" si="309"/>
        <v>1977</v>
      </c>
      <c r="GD103">
        <f t="shared" ca="1" si="310"/>
        <v>0</v>
      </c>
      <c r="GE103">
        <f t="shared" ca="1" si="311"/>
        <v>0</v>
      </c>
      <c r="GF103">
        <f t="shared" ca="1" si="312"/>
        <v>1977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1977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321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5"/>
        <v>3556.0000000000005</v>
      </c>
      <c r="L104">
        <f t="shared" si="216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217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20"/>
        <v>150</v>
      </c>
      <c r="S104">
        <f t="shared" si="218"/>
        <v>30354</v>
      </c>
      <c r="T104">
        <f>_xlfn.XLOOKUP(B104,'[2]april-2025'!$A:$A,'[2]april-2025'!$C:$C,0,0)</f>
        <v>25400</v>
      </c>
      <c r="U104">
        <f t="shared" si="219"/>
        <v>4572</v>
      </c>
      <c r="V104">
        <f t="shared" si="220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21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22"/>
        <v>150</v>
      </c>
      <c r="AC104">
        <f t="shared" si="223"/>
        <v>31370</v>
      </c>
      <c r="AD104">
        <f>_xlfn.XLOOKUP(B104,'[3]may-2025'!$A:$A,'[3]may-2025'!$C:$C,0,0)</f>
        <v>25400</v>
      </c>
      <c r="AE104">
        <f t="shared" si="224"/>
        <v>4572</v>
      </c>
      <c r="AF104">
        <f t="shared" si="225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6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7"/>
        <v>150</v>
      </c>
      <c r="AM104">
        <f t="shared" si="228"/>
        <v>31370</v>
      </c>
      <c r="AN104">
        <f>_xlfn.XLOOKUP(B104,'[4]june-2025'!$A:$A,'[4]june-2025'!$C:$C,0,0)</f>
        <v>25400</v>
      </c>
      <c r="AO104">
        <f t="shared" si="229"/>
        <v>4572</v>
      </c>
      <c r="AP104">
        <f t="shared" si="230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31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32"/>
        <v>150</v>
      </c>
      <c r="AW104">
        <f t="shared" si="233"/>
        <v>31370</v>
      </c>
      <c r="AX104">
        <f>_xlfn.XLOOKUP(B104,'[5]july-2025'!$A:$A,'[5]july-2025'!$C:$C,0,0)</f>
        <v>26200</v>
      </c>
      <c r="AY104">
        <f t="shared" si="234"/>
        <v>4716</v>
      </c>
      <c r="AZ104">
        <v>0</v>
      </c>
      <c r="BA104">
        <f t="shared" si="235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236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7"/>
        <v>150</v>
      </c>
      <c r="BH104">
        <f t="shared" si="238"/>
        <v>32410</v>
      </c>
      <c r="BI104">
        <f>_xlfn.XLOOKUP(B104,'[6]august-2025'!$A:$A,'[6]august-2025'!$C:$C,0,0)</f>
        <v>26200</v>
      </c>
      <c r="BJ104">
        <f t="shared" si="239"/>
        <v>4716</v>
      </c>
      <c r="BK104">
        <f t="shared" si="240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41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242"/>
        <v>150</v>
      </c>
      <c r="BR104">
        <f t="shared" si="243"/>
        <v>32410</v>
      </c>
      <c r="BS104">
        <f>_xlfn.XLOOKUP(B104,'[7]september-2025'!$A:$A,'[7]september-2025'!$C:$C,0,0)</f>
        <v>26200</v>
      </c>
      <c r="BT104">
        <f t="shared" si="244"/>
        <v>4716</v>
      </c>
      <c r="BU104">
        <f t="shared" si="24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246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47"/>
        <v>150</v>
      </c>
      <c r="CB104">
        <f t="shared" si="248"/>
        <v>32410</v>
      </c>
      <c r="CC104">
        <f>_xlfn.XLOOKUP(B104,'[8]october-2025'!$A:$A,'[8]october-2025'!$C:$C,0,0)</f>
        <v>26200</v>
      </c>
      <c r="CD104">
        <f t="shared" si="249"/>
        <v>4716</v>
      </c>
      <c r="CE104">
        <f t="shared" si="250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251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52"/>
        <v>150</v>
      </c>
      <c r="CL104">
        <f t="shared" si="253"/>
        <v>32410</v>
      </c>
      <c r="CM104">
        <f>_xlfn.XLOOKUP(B104,'[9]november-2025'!$A:$A,'[9]november-2025'!$C:$C,0,0)</f>
        <v>26200</v>
      </c>
      <c r="CN104">
        <f t="shared" si="254"/>
        <v>4716</v>
      </c>
      <c r="CO104">
        <f t="shared" si="25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56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57"/>
        <v>150</v>
      </c>
      <c r="CV104">
        <f t="shared" si="258"/>
        <v>32410</v>
      </c>
      <c r="CW104">
        <f>_xlfn.XLOOKUP(B104,'[10]december-2025'!$A:$A,'[10]december-2025'!$C:$C,0,0)</f>
        <v>26200</v>
      </c>
      <c r="CX104">
        <f t="shared" si="259"/>
        <v>4716</v>
      </c>
      <c r="CY104">
        <f t="shared" si="260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6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62"/>
        <v>150</v>
      </c>
      <c r="DF104">
        <f t="shared" si="263"/>
        <v>32410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416344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364544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340544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340544</v>
      </c>
      <c r="FD104">
        <f t="shared" si="285"/>
        <v>4527</v>
      </c>
      <c r="FE104">
        <f t="shared" si="286"/>
        <v>0</v>
      </c>
      <c r="FF104">
        <f t="shared" si="287"/>
        <v>4527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1847</v>
      </c>
      <c r="FN104">
        <f t="shared" ca="1" si="294"/>
        <v>418191</v>
      </c>
      <c r="FO104">
        <f t="shared" si="295"/>
        <v>75000</v>
      </c>
      <c r="FP104">
        <f t="shared" ca="1" si="296"/>
        <v>343191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321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5"/>
        <v>4830.0000000000009</v>
      </c>
      <c r="L105">
        <f t="shared" si="216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217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20"/>
        <v>200</v>
      </c>
      <c r="S105">
        <f t="shared" si="218"/>
        <v>40170</v>
      </c>
      <c r="T105">
        <f>_xlfn.XLOOKUP(B105,'[2]april-2025'!$A:$A,'[2]april-2025'!$C:$C,0,0)</f>
        <v>34500</v>
      </c>
      <c r="U105">
        <f t="shared" si="219"/>
        <v>6210</v>
      </c>
      <c r="V105">
        <f t="shared" si="220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21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22"/>
        <v>200</v>
      </c>
      <c r="AC105">
        <f t="shared" si="223"/>
        <v>41550</v>
      </c>
      <c r="AD105">
        <f>_xlfn.XLOOKUP(B105,'[3]may-2025'!$A:$A,'[3]may-2025'!$C:$C,0,0)</f>
        <v>34500</v>
      </c>
      <c r="AE105">
        <f t="shared" si="224"/>
        <v>6210</v>
      </c>
      <c r="AF105">
        <f t="shared" si="225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6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7"/>
        <v>200</v>
      </c>
      <c r="AM105">
        <f t="shared" si="228"/>
        <v>41550</v>
      </c>
      <c r="AN105">
        <f>_xlfn.XLOOKUP(B105,'[4]june-2025'!$A:$A,'[4]june-2025'!$C:$C,0,0)</f>
        <v>34500</v>
      </c>
      <c r="AO105">
        <f t="shared" si="229"/>
        <v>6210</v>
      </c>
      <c r="AP105">
        <f t="shared" si="230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31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32"/>
        <v>200</v>
      </c>
      <c r="AW105">
        <f t="shared" si="233"/>
        <v>41550</v>
      </c>
      <c r="AX105">
        <f>_xlfn.XLOOKUP(B105,'[5]july-2025'!$A:$A,'[5]july-2025'!$C:$C,0,0)</f>
        <v>35500</v>
      </c>
      <c r="AY105">
        <f t="shared" si="234"/>
        <v>6390</v>
      </c>
      <c r="AZ105">
        <v>0</v>
      </c>
      <c r="BA105">
        <f t="shared" si="235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236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7"/>
        <v>200</v>
      </c>
      <c r="BH105">
        <f t="shared" si="238"/>
        <v>42850</v>
      </c>
      <c r="BI105">
        <f>_xlfn.XLOOKUP(B105,'[6]august-2025'!$A:$A,'[6]august-2025'!$C:$C,0,0)</f>
        <v>35500</v>
      </c>
      <c r="BJ105">
        <f t="shared" si="239"/>
        <v>6390</v>
      </c>
      <c r="BK105">
        <f t="shared" si="240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41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242"/>
        <v>200</v>
      </c>
      <c r="BR105">
        <f t="shared" si="243"/>
        <v>42850</v>
      </c>
      <c r="BS105">
        <f>_xlfn.XLOOKUP(B105,'[7]september-2025'!$A:$A,'[7]september-2025'!$C:$C,0,0)</f>
        <v>35500</v>
      </c>
      <c r="BT105">
        <f t="shared" si="244"/>
        <v>6390</v>
      </c>
      <c r="BU105">
        <f t="shared" si="24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246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47"/>
        <v>200</v>
      </c>
      <c r="CB105">
        <f t="shared" si="248"/>
        <v>42850</v>
      </c>
      <c r="CC105">
        <f>_xlfn.XLOOKUP(B105,'[8]october-2025'!$A:$A,'[8]october-2025'!$C:$C,0,0)</f>
        <v>35500</v>
      </c>
      <c r="CD105">
        <f t="shared" si="249"/>
        <v>6390</v>
      </c>
      <c r="CE105">
        <f t="shared" si="250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251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52"/>
        <v>200</v>
      </c>
      <c r="CL105">
        <f t="shared" si="253"/>
        <v>42850</v>
      </c>
      <c r="CM105">
        <f>_xlfn.XLOOKUP(B105,'[9]november-2025'!$A:$A,'[9]november-2025'!$C:$C,0,0)</f>
        <v>35500</v>
      </c>
      <c r="CN105">
        <f t="shared" si="254"/>
        <v>6390</v>
      </c>
      <c r="CO105">
        <f t="shared" si="25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56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57"/>
        <v>200</v>
      </c>
      <c r="CV105">
        <f t="shared" si="258"/>
        <v>42850</v>
      </c>
      <c r="CW105">
        <f>_xlfn.XLOOKUP(B105,'[10]december-2025'!$A:$A,'[10]december-2025'!$C:$C,0,0)</f>
        <v>35500</v>
      </c>
      <c r="CX105">
        <f t="shared" si="259"/>
        <v>6390</v>
      </c>
      <c r="CY105">
        <f t="shared" si="260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6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62"/>
        <v>200</v>
      </c>
      <c r="DF105">
        <f t="shared" si="263"/>
        <v>42850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564820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512420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464420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464420</v>
      </c>
      <c r="FD105">
        <f t="shared" si="285"/>
        <v>10721</v>
      </c>
      <c r="FE105">
        <f t="shared" si="286"/>
        <v>0</v>
      </c>
      <c r="FF105">
        <f t="shared" si="287"/>
        <v>10721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776</v>
      </c>
      <c r="FN105">
        <f t="shared" ca="1" si="294"/>
        <v>565596</v>
      </c>
      <c r="FO105">
        <f t="shared" si="295"/>
        <v>75000</v>
      </c>
      <c r="FP105">
        <f t="shared" ca="1" si="296"/>
        <v>490596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90596</v>
      </c>
      <c r="GB105">
        <f t="shared" ca="1" si="308"/>
        <v>4529.8</v>
      </c>
      <c r="GC105">
        <f t="shared" ca="1" si="309"/>
        <v>4530</v>
      </c>
      <c r="GD105">
        <f t="shared" ca="1" si="310"/>
        <v>0</v>
      </c>
      <c r="GE105">
        <f t="shared" ca="1" si="311"/>
        <v>0</v>
      </c>
      <c r="GF105">
        <f t="shared" ca="1" si="312"/>
        <v>4530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4530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321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5"/>
        <v>4830.0000000000009</v>
      </c>
      <c r="L106">
        <f t="shared" si="216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7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20"/>
        <v>200</v>
      </c>
      <c r="S106">
        <f t="shared" si="218"/>
        <v>39770</v>
      </c>
      <c r="T106">
        <f>_xlfn.XLOOKUP(B106,'[2]april-2025'!$A:$A,'[2]april-2025'!$C:$C,0,0)</f>
        <v>34500</v>
      </c>
      <c r="U106">
        <f t="shared" si="219"/>
        <v>6210</v>
      </c>
      <c r="V106">
        <f t="shared" si="220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21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22"/>
        <v>200</v>
      </c>
      <c r="AC106">
        <f t="shared" si="223"/>
        <v>41150</v>
      </c>
      <c r="AD106">
        <f>_xlfn.XLOOKUP(B106,'[3]may-2025'!$A:$A,'[3]may-2025'!$C:$C,0,0)</f>
        <v>34500</v>
      </c>
      <c r="AE106">
        <f t="shared" si="224"/>
        <v>6210</v>
      </c>
      <c r="AF106">
        <f t="shared" si="225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6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7"/>
        <v>200</v>
      </c>
      <c r="AM106">
        <f t="shared" si="228"/>
        <v>41150</v>
      </c>
      <c r="AN106">
        <f>_xlfn.XLOOKUP(B106,'[4]june-2025'!$A:$A,'[4]june-2025'!$C:$C,0,0)</f>
        <v>34500</v>
      </c>
      <c r="AO106">
        <f t="shared" si="229"/>
        <v>6210</v>
      </c>
      <c r="AP106">
        <f t="shared" si="230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31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32"/>
        <v>200</v>
      </c>
      <c r="AW106">
        <f t="shared" si="233"/>
        <v>41150</v>
      </c>
      <c r="AX106">
        <f>_xlfn.XLOOKUP(B106,'[5]july-2025'!$A:$A,'[5]july-2025'!$C:$C,0,0)</f>
        <v>35500</v>
      </c>
      <c r="AY106">
        <f t="shared" si="234"/>
        <v>6390</v>
      </c>
      <c r="AZ106">
        <v>0</v>
      </c>
      <c r="BA106">
        <f t="shared" si="235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236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7"/>
        <v>200</v>
      </c>
      <c r="BH106">
        <f t="shared" si="238"/>
        <v>42450</v>
      </c>
      <c r="BI106">
        <f>_xlfn.XLOOKUP(B106,'[6]august-2025'!$A:$A,'[6]august-2025'!$C:$C,0,0)</f>
        <v>35500</v>
      </c>
      <c r="BJ106">
        <f t="shared" si="239"/>
        <v>6390</v>
      </c>
      <c r="BK106">
        <f t="shared" si="240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41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242"/>
        <v>200</v>
      </c>
      <c r="BR106">
        <f t="shared" si="243"/>
        <v>42450</v>
      </c>
      <c r="BS106">
        <f>_xlfn.XLOOKUP(B106,'[7]september-2025'!$A:$A,'[7]september-2025'!$C:$C,0,0)</f>
        <v>35500</v>
      </c>
      <c r="BT106">
        <f t="shared" si="244"/>
        <v>6390</v>
      </c>
      <c r="BU106">
        <f t="shared" si="24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246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47"/>
        <v>200</v>
      </c>
      <c r="CB106">
        <f t="shared" si="248"/>
        <v>42450</v>
      </c>
      <c r="CC106">
        <f>_xlfn.XLOOKUP(B106,'[8]october-2025'!$A:$A,'[8]october-2025'!$C:$C,0,0)</f>
        <v>35500</v>
      </c>
      <c r="CD106">
        <f t="shared" si="249"/>
        <v>6390</v>
      </c>
      <c r="CE106">
        <f t="shared" si="250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251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52"/>
        <v>200</v>
      </c>
      <c r="CL106">
        <f t="shared" si="253"/>
        <v>42450</v>
      </c>
      <c r="CM106">
        <f>_xlfn.XLOOKUP(B106,'[9]november-2025'!$A:$A,'[9]november-2025'!$C:$C,0,0)</f>
        <v>35500</v>
      </c>
      <c r="CN106">
        <f t="shared" si="254"/>
        <v>6390</v>
      </c>
      <c r="CO106">
        <f t="shared" si="25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56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57"/>
        <v>200</v>
      </c>
      <c r="CV106">
        <f t="shared" si="258"/>
        <v>42450</v>
      </c>
      <c r="CW106">
        <f>_xlfn.XLOOKUP(B106,'[10]december-2025'!$A:$A,'[10]december-2025'!$C:$C,0,0)</f>
        <v>35500</v>
      </c>
      <c r="CX106">
        <f t="shared" si="259"/>
        <v>6390</v>
      </c>
      <c r="CY106">
        <f t="shared" si="260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6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62"/>
        <v>200</v>
      </c>
      <c r="DF106">
        <f t="shared" si="263"/>
        <v>42450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560020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507620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459620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459620</v>
      </c>
      <c r="FD106">
        <f t="shared" si="285"/>
        <v>10481</v>
      </c>
      <c r="FE106">
        <f t="shared" si="286"/>
        <v>0</v>
      </c>
      <c r="FF106">
        <f t="shared" si="287"/>
        <v>10481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825</v>
      </c>
      <c r="FN106">
        <f t="shared" ca="1" si="294"/>
        <v>560845</v>
      </c>
      <c r="FO106">
        <f t="shared" si="295"/>
        <v>75000</v>
      </c>
      <c r="FP106">
        <f t="shared" ca="1" si="296"/>
        <v>485845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85845</v>
      </c>
      <c r="GB106">
        <f t="shared" ca="1" si="308"/>
        <v>4292.25</v>
      </c>
      <c r="GC106">
        <f t="shared" ca="1" si="309"/>
        <v>4292</v>
      </c>
      <c r="GD106">
        <f t="shared" ca="1" si="310"/>
        <v>0</v>
      </c>
      <c r="GE106">
        <f t="shared" ca="1" si="311"/>
        <v>0</v>
      </c>
      <c r="GF106">
        <f t="shared" ca="1" si="312"/>
        <v>4292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4292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321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5"/>
        <v>3780.0000000000005</v>
      </c>
      <c r="L107">
        <f t="shared" si="216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7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20"/>
        <v>150</v>
      </c>
      <c r="S107">
        <f t="shared" si="218"/>
        <v>32370</v>
      </c>
      <c r="T107">
        <f>_xlfn.XLOOKUP(B107,'[2]april-2025'!$A:$A,'[2]april-2025'!$C:$C,0,0)</f>
        <v>27000</v>
      </c>
      <c r="U107">
        <f t="shared" si="219"/>
        <v>4860</v>
      </c>
      <c r="V107">
        <f t="shared" si="220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21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22"/>
        <v>150</v>
      </c>
      <c r="AC107">
        <f t="shared" si="223"/>
        <v>33450</v>
      </c>
      <c r="AD107">
        <f>_xlfn.XLOOKUP(B107,'[3]may-2025'!$A:$A,'[3]may-2025'!$C:$C,0,0)</f>
        <v>31600</v>
      </c>
      <c r="AE107">
        <f t="shared" si="224"/>
        <v>5688</v>
      </c>
      <c r="AF107">
        <f t="shared" si="225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6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7"/>
        <v>200</v>
      </c>
      <c r="AM107">
        <f t="shared" si="228"/>
        <v>39380</v>
      </c>
      <c r="AN107">
        <f>_xlfn.XLOOKUP(B107,'[4]june-2025'!$A:$A,'[4]june-2025'!$C:$C,0,0)</f>
        <v>31600</v>
      </c>
      <c r="AO107">
        <f t="shared" si="229"/>
        <v>5688</v>
      </c>
      <c r="AP107">
        <f t="shared" si="230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31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32"/>
        <v>200</v>
      </c>
      <c r="AW107">
        <f t="shared" si="233"/>
        <v>39380</v>
      </c>
      <c r="AX107">
        <f>_xlfn.XLOOKUP(B107,'[5]july-2025'!$A:$A,'[5]july-2025'!$C:$C,0,0)</f>
        <v>32500</v>
      </c>
      <c r="AY107">
        <f t="shared" si="234"/>
        <v>5850</v>
      </c>
      <c r="AZ107">
        <v>0</v>
      </c>
      <c r="BA107">
        <f t="shared" si="235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236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7"/>
        <v>200</v>
      </c>
      <c r="BH107">
        <f t="shared" si="238"/>
        <v>40550</v>
      </c>
      <c r="BI107">
        <f>_xlfn.XLOOKUP(B107,'[6]august-2025'!$A:$A,'[6]august-2025'!$C:$C,0,0)</f>
        <v>32500</v>
      </c>
      <c r="BJ107">
        <f t="shared" si="239"/>
        <v>5850</v>
      </c>
      <c r="BK107">
        <f t="shared" si="240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41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242"/>
        <v>200</v>
      </c>
      <c r="BR107">
        <f t="shared" si="243"/>
        <v>40550</v>
      </c>
      <c r="BS107">
        <f>_xlfn.XLOOKUP(B107,'[7]september-2025'!$A:$A,'[7]september-2025'!$C:$C,0,0)</f>
        <v>32500</v>
      </c>
      <c r="BT107">
        <f t="shared" si="244"/>
        <v>5850</v>
      </c>
      <c r="BU107">
        <f t="shared" si="24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246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47"/>
        <v>200</v>
      </c>
      <c r="CB107">
        <f t="shared" si="248"/>
        <v>40550</v>
      </c>
      <c r="CC107">
        <f>_xlfn.XLOOKUP(B107,'[8]october-2025'!$A:$A,'[8]october-2025'!$C:$C,0,0)</f>
        <v>32500</v>
      </c>
      <c r="CD107">
        <f t="shared" si="249"/>
        <v>5850</v>
      </c>
      <c r="CE107">
        <f t="shared" si="250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251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52"/>
        <v>200</v>
      </c>
      <c r="CL107">
        <f t="shared" si="253"/>
        <v>40550</v>
      </c>
      <c r="CM107">
        <f>_xlfn.XLOOKUP(B107,'[9]november-2025'!$A:$A,'[9]november-2025'!$C:$C,0,0)</f>
        <v>32500</v>
      </c>
      <c r="CN107">
        <f t="shared" si="254"/>
        <v>5850</v>
      </c>
      <c r="CO107">
        <f t="shared" si="25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56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57"/>
        <v>200</v>
      </c>
      <c r="CV107">
        <f t="shared" si="258"/>
        <v>40550</v>
      </c>
      <c r="CW107">
        <f>_xlfn.XLOOKUP(B107,'[10]december-2025'!$A:$A,'[10]december-2025'!$C:$C,0,0)</f>
        <v>32500</v>
      </c>
      <c r="CX107">
        <f t="shared" si="259"/>
        <v>5850</v>
      </c>
      <c r="CY107">
        <f t="shared" si="260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6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62"/>
        <v>200</v>
      </c>
      <c r="DF107">
        <f t="shared" si="263"/>
        <v>40550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502080</v>
      </c>
      <c r="EB107">
        <f t="shared" si="275"/>
        <v>2300</v>
      </c>
      <c r="EC107">
        <f t="shared" si="276"/>
        <v>50000</v>
      </c>
      <c r="ED107">
        <v>0</v>
      </c>
      <c r="EE107">
        <f t="shared" si="277"/>
        <v>449780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425780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425780</v>
      </c>
      <c r="FD107">
        <f t="shared" si="285"/>
        <v>8789</v>
      </c>
      <c r="FE107">
        <f t="shared" si="286"/>
        <v>0</v>
      </c>
      <c r="FF107">
        <f t="shared" si="287"/>
        <v>8789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786</v>
      </c>
      <c r="FN107">
        <f t="shared" ca="1" si="294"/>
        <v>502866</v>
      </c>
      <c r="FO107">
        <f t="shared" si="295"/>
        <v>75000</v>
      </c>
      <c r="FP107">
        <f t="shared" ca="1" si="296"/>
        <v>427866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27866</v>
      </c>
      <c r="GB107">
        <f t="shared" ca="1" si="308"/>
        <v>1393.3000000000002</v>
      </c>
      <c r="GC107">
        <f t="shared" ca="1" si="309"/>
        <v>1393</v>
      </c>
      <c r="GD107">
        <f t="shared" ca="1" si="310"/>
        <v>0</v>
      </c>
      <c r="GE107">
        <f t="shared" ca="1" si="311"/>
        <v>0</v>
      </c>
      <c r="GF107">
        <f t="shared" ca="1" si="312"/>
        <v>1393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1393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321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5"/>
        <v>4046.0000000000005</v>
      </c>
      <c r="L108">
        <f t="shared" si="216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217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20"/>
        <v>150</v>
      </c>
      <c r="S108">
        <f t="shared" si="218"/>
        <v>34764</v>
      </c>
      <c r="T108">
        <f>_xlfn.XLOOKUP(B108,'[2]april-2025'!$A:$A,'[2]april-2025'!$C:$C,0,0)</f>
        <v>28900</v>
      </c>
      <c r="U108">
        <f t="shared" si="219"/>
        <v>5202</v>
      </c>
      <c r="V108">
        <f t="shared" si="220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21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22"/>
        <v>150</v>
      </c>
      <c r="AC108">
        <f t="shared" si="223"/>
        <v>35920</v>
      </c>
      <c r="AD108">
        <f>_xlfn.XLOOKUP(B108,'[3]may-2025'!$A:$A,'[3]may-2025'!$C:$C,0,0)</f>
        <v>28900</v>
      </c>
      <c r="AE108">
        <f t="shared" si="224"/>
        <v>5202</v>
      </c>
      <c r="AF108">
        <f t="shared" si="225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6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7"/>
        <v>150</v>
      </c>
      <c r="AM108">
        <f t="shared" si="228"/>
        <v>35920</v>
      </c>
      <c r="AN108">
        <f>_xlfn.XLOOKUP(B108,'[4]june-2025'!$A:$A,'[4]june-2025'!$C:$C,0,0)</f>
        <v>28900</v>
      </c>
      <c r="AO108">
        <f t="shared" si="229"/>
        <v>5202</v>
      </c>
      <c r="AP108">
        <f t="shared" si="230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31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32"/>
        <v>150</v>
      </c>
      <c r="AW108">
        <f t="shared" si="233"/>
        <v>35920</v>
      </c>
      <c r="AX108">
        <f>_xlfn.XLOOKUP(B108,'[5]july-2025'!$A:$A,'[5]july-2025'!$C:$C,0,0)</f>
        <v>29800</v>
      </c>
      <c r="AY108">
        <f t="shared" si="234"/>
        <v>5364</v>
      </c>
      <c r="AZ108">
        <v>0</v>
      </c>
      <c r="BA108">
        <f t="shared" si="235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236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7"/>
        <v>150</v>
      </c>
      <c r="BH108">
        <f t="shared" si="238"/>
        <v>37090</v>
      </c>
      <c r="BI108">
        <f>_xlfn.XLOOKUP(B108,'[6]august-2025'!$A:$A,'[6]august-2025'!$C:$C,0,0)</f>
        <v>29800</v>
      </c>
      <c r="BJ108">
        <f t="shared" si="239"/>
        <v>5364</v>
      </c>
      <c r="BK108">
        <f t="shared" si="240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41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242"/>
        <v>150</v>
      </c>
      <c r="BR108">
        <f t="shared" si="243"/>
        <v>37090</v>
      </c>
      <c r="BS108">
        <f>_xlfn.XLOOKUP(B108,'[7]september-2025'!$A:$A,'[7]september-2025'!$C:$C,0,0)</f>
        <v>29800</v>
      </c>
      <c r="BT108">
        <f t="shared" si="244"/>
        <v>5364</v>
      </c>
      <c r="BU108">
        <f t="shared" si="24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246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47"/>
        <v>150</v>
      </c>
      <c r="CB108">
        <f t="shared" si="248"/>
        <v>37090</v>
      </c>
      <c r="CC108">
        <f>_xlfn.XLOOKUP(B108,'[8]october-2025'!$A:$A,'[8]october-2025'!$C:$C,0,0)</f>
        <v>29800</v>
      </c>
      <c r="CD108">
        <f t="shared" si="249"/>
        <v>5364</v>
      </c>
      <c r="CE108">
        <f t="shared" si="250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251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52"/>
        <v>150</v>
      </c>
      <c r="CL108">
        <f t="shared" si="253"/>
        <v>37090</v>
      </c>
      <c r="CM108">
        <f>_xlfn.XLOOKUP(B108,'[9]november-2025'!$A:$A,'[9]november-2025'!$C:$C,0,0)</f>
        <v>29800</v>
      </c>
      <c r="CN108">
        <f t="shared" si="254"/>
        <v>5364</v>
      </c>
      <c r="CO108">
        <f t="shared" si="25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56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57"/>
        <v>150</v>
      </c>
      <c r="CV108">
        <f t="shared" si="258"/>
        <v>37090</v>
      </c>
      <c r="CW108">
        <f>_xlfn.XLOOKUP(B108,'[10]december-2025'!$A:$A,'[10]december-2025'!$C:$C,0,0)</f>
        <v>29800</v>
      </c>
      <c r="CX108">
        <f t="shared" si="259"/>
        <v>5364</v>
      </c>
      <c r="CY108">
        <f t="shared" si="260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6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62"/>
        <v>150</v>
      </c>
      <c r="DF108">
        <f t="shared" si="263"/>
        <v>37090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471844</v>
      </c>
      <c r="EB108">
        <f t="shared" si="275"/>
        <v>1800</v>
      </c>
      <c r="EC108">
        <f t="shared" si="276"/>
        <v>50000</v>
      </c>
      <c r="ED108">
        <v>0</v>
      </c>
      <c r="EE108">
        <f t="shared" si="277"/>
        <v>420044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396044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396044</v>
      </c>
      <c r="FD108">
        <f t="shared" si="285"/>
        <v>7302</v>
      </c>
      <c r="FE108">
        <f t="shared" si="286"/>
        <v>0</v>
      </c>
      <c r="FF108">
        <f t="shared" si="287"/>
        <v>7302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1533</v>
      </c>
      <c r="FN108">
        <f t="shared" ca="1" si="294"/>
        <v>473377</v>
      </c>
      <c r="FO108">
        <f t="shared" si="295"/>
        <v>75000</v>
      </c>
      <c r="FP108">
        <f t="shared" ca="1" si="296"/>
        <v>398377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0</v>
      </c>
      <c r="GB108">
        <f t="shared" ca="1" si="308"/>
        <v>0</v>
      </c>
      <c r="GC108">
        <f t="shared" ca="1" si="309"/>
        <v>0</v>
      </c>
      <c r="GD108">
        <f t="shared" ca="1" si="310"/>
        <v>0</v>
      </c>
      <c r="GE108">
        <f t="shared" ca="1" si="311"/>
        <v>0</v>
      </c>
      <c r="GF108">
        <f t="shared" ca="1" si="312"/>
        <v>0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0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321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5"/>
        <v>4690</v>
      </c>
      <c r="L109">
        <f t="shared" si="216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217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20"/>
        <v>200</v>
      </c>
      <c r="S109">
        <f t="shared" si="218"/>
        <v>40410</v>
      </c>
      <c r="T109">
        <f>_xlfn.XLOOKUP(B109,'[2]april-2025'!$A:$A,'[2]april-2025'!$C:$C,0,0)</f>
        <v>33500</v>
      </c>
      <c r="U109">
        <f t="shared" si="219"/>
        <v>6030</v>
      </c>
      <c r="V109">
        <f t="shared" si="220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21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22"/>
        <v>200</v>
      </c>
      <c r="AC109">
        <f t="shared" si="223"/>
        <v>41750</v>
      </c>
      <c r="AD109">
        <f>_xlfn.XLOOKUP(B109,'[3]may-2025'!$A:$A,'[3]may-2025'!$C:$C,0,0)</f>
        <v>33500</v>
      </c>
      <c r="AE109">
        <f t="shared" si="224"/>
        <v>6030</v>
      </c>
      <c r="AF109">
        <f t="shared" si="225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6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7"/>
        <v>200</v>
      </c>
      <c r="AM109">
        <f t="shared" si="228"/>
        <v>41750</v>
      </c>
      <c r="AN109">
        <f>_xlfn.XLOOKUP(B109,'[4]june-2025'!$A:$A,'[4]june-2025'!$C:$C,0,0)</f>
        <v>33500</v>
      </c>
      <c r="AO109">
        <f t="shared" si="229"/>
        <v>6030</v>
      </c>
      <c r="AP109">
        <f t="shared" si="230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31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32"/>
        <v>200</v>
      </c>
      <c r="AW109">
        <f t="shared" si="233"/>
        <v>41750</v>
      </c>
      <c r="AX109">
        <f>_xlfn.XLOOKUP(B109,'[5]july-2025'!$A:$A,'[5]july-2025'!$C:$C,0,0)</f>
        <v>34500</v>
      </c>
      <c r="AY109">
        <f t="shared" si="234"/>
        <v>6210</v>
      </c>
      <c r="AZ109">
        <v>0</v>
      </c>
      <c r="BA109">
        <f t="shared" si="235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236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7"/>
        <v>200</v>
      </c>
      <c r="BH109">
        <f t="shared" si="238"/>
        <v>43050</v>
      </c>
      <c r="BI109">
        <f>_xlfn.XLOOKUP(B109,'[6]august-2025'!$A:$A,'[6]august-2025'!$C:$C,0,0)</f>
        <v>34500</v>
      </c>
      <c r="BJ109">
        <f t="shared" si="239"/>
        <v>6210</v>
      </c>
      <c r="BK109">
        <f t="shared" si="240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41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242"/>
        <v>200</v>
      </c>
      <c r="BR109">
        <f t="shared" si="243"/>
        <v>43050</v>
      </c>
      <c r="BS109">
        <f>_xlfn.XLOOKUP(B109,'[7]september-2025'!$A:$A,'[7]september-2025'!$C:$C,0,0)</f>
        <v>34500</v>
      </c>
      <c r="BT109">
        <f t="shared" si="244"/>
        <v>6210</v>
      </c>
      <c r="BU109">
        <f t="shared" si="24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246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47"/>
        <v>200</v>
      </c>
      <c r="CB109">
        <f t="shared" si="248"/>
        <v>43050</v>
      </c>
      <c r="CC109">
        <f>_xlfn.XLOOKUP(B109,'[8]october-2025'!$A:$A,'[8]october-2025'!$C:$C,0,0)</f>
        <v>34500</v>
      </c>
      <c r="CD109">
        <f t="shared" si="249"/>
        <v>6210</v>
      </c>
      <c r="CE109">
        <f t="shared" si="250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251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52"/>
        <v>200</v>
      </c>
      <c r="CL109">
        <f t="shared" si="253"/>
        <v>43050</v>
      </c>
      <c r="CM109">
        <f>_xlfn.XLOOKUP(B109,'[9]november-2025'!$A:$A,'[9]november-2025'!$C:$C,0,0)</f>
        <v>34500</v>
      </c>
      <c r="CN109">
        <f t="shared" si="254"/>
        <v>6210</v>
      </c>
      <c r="CO109">
        <f t="shared" si="25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56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57"/>
        <v>200</v>
      </c>
      <c r="CV109">
        <f t="shared" si="258"/>
        <v>43050</v>
      </c>
      <c r="CW109">
        <f>_xlfn.XLOOKUP(B109,'[10]december-2025'!$A:$A,'[10]december-2025'!$C:$C,0,0)</f>
        <v>34500</v>
      </c>
      <c r="CX109">
        <f t="shared" si="259"/>
        <v>6210</v>
      </c>
      <c r="CY109">
        <f t="shared" si="260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6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62"/>
        <v>200</v>
      </c>
      <c r="DF109">
        <f t="shared" si="263"/>
        <v>43050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549260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496860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466860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466860</v>
      </c>
      <c r="FD109">
        <f t="shared" si="285"/>
        <v>10843</v>
      </c>
      <c r="FE109">
        <f t="shared" si="286"/>
        <v>0</v>
      </c>
      <c r="FF109">
        <f t="shared" si="287"/>
        <v>10843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916</v>
      </c>
      <c r="FN109">
        <f t="shared" ca="1" si="294"/>
        <v>550176</v>
      </c>
      <c r="FO109">
        <f t="shared" si="295"/>
        <v>75000</v>
      </c>
      <c r="FP109">
        <f t="shared" ca="1" si="296"/>
        <v>475176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75176</v>
      </c>
      <c r="GB109">
        <f t="shared" ca="1" si="308"/>
        <v>3758.8</v>
      </c>
      <c r="GC109">
        <f t="shared" ca="1" si="309"/>
        <v>3759</v>
      </c>
      <c r="GD109">
        <f t="shared" ca="1" si="310"/>
        <v>0</v>
      </c>
      <c r="GE109">
        <f t="shared" ca="1" si="311"/>
        <v>0</v>
      </c>
      <c r="GF109">
        <f t="shared" ca="1" si="312"/>
        <v>3759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3759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321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5"/>
        <v>4690</v>
      </c>
      <c r="L110">
        <f t="shared" si="216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217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20"/>
        <v>200</v>
      </c>
      <c r="S110">
        <f t="shared" si="218"/>
        <v>40010</v>
      </c>
      <c r="T110">
        <f>_xlfn.XLOOKUP(B110,'[2]april-2025'!$A:$A,'[2]april-2025'!$C:$C,0,0)</f>
        <v>33500</v>
      </c>
      <c r="U110">
        <f t="shared" si="219"/>
        <v>6030</v>
      </c>
      <c r="V110">
        <f t="shared" si="220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21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22"/>
        <v>200</v>
      </c>
      <c r="AC110">
        <f t="shared" si="223"/>
        <v>41350</v>
      </c>
      <c r="AD110">
        <f>_xlfn.XLOOKUP(B110,'[3]may-2025'!$A:$A,'[3]may-2025'!$C:$C,0,0)</f>
        <v>33500</v>
      </c>
      <c r="AE110">
        <f t="shared" si="224"/>
        <v>6030</v>
      </c>
      <c r="AF110">
        <f t="shared" si="225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6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7"/>
        <v>200</v>
      </c>
      <c r="AM110">
        <f t="shared" si="228"/>
        <v>41350</v>
      </c>
      <c r="AN110">
        <f>_xlfn.XLOOKUP(B110,'[4]june-2025'!$A:$A,'[4]june-2025'!$C:$C,0,0)</f>
        <v>33500</v>
      </c>
      <c r="AO110">
        <f t="shared" si="229"/>
        <v>6030</v>
      </c>
      <c r="AP110">
        <f t="shared" si="230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31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32"/>
        <v>200</v>
      </c>
      <c r="AW110">
        <f t="shared" si="233"/>
        <v>41350</v>
      </c>
      <c r="AX110">
        <f>_xlfn.XLOOKUP(B110,'[5]july-2025'!$A:$A,'[5]july-2025'!$C:$C,0,0)</f>
        <v>34500</v>
      </c>
      <c r="AY110">
        <f t="shared" si="234"/>
        <v>6210</v>
      </c>
      <c r="AZ110">
        <v>0</v>
      </c>
      <c r="BA110">
        <f t="shared" si="235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236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7"/>
        <v>200</v>
      </c>
      <c r="BH110">
        <f t="shared" si="238"/>
        <v>42650</v>
      </c>
      <c r="BI110">
        <f>_xlfn.XLOOKUP(B110,'[6]august-2025'!$A:$A,'[6]august-2025'!$C:$C,0,0)</f>
        <v>34500</v>
      </c>
      <c r="BJ110">
        <f t="shared" si="239"/>
        <v>6210</v>
      </c>
      <c r="BK110">
        <f t="shared" si="240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41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242"/>
        <v>200</v>
      </c>
      <c r="BR110">
        <f t="shared" si="243"/>
        <v>42650</v>
      </c>
      <c r="BS110">
        <f>_xlfn.XLOOKUP(B110,'[7]september-2025'!$A:$A,'[7]september-2025'!$C:$C,0,0)</f>
        <v>34500</v>
      </c>
      <c r="BT110">
        <f t="shared" si="244"/>
        <v>6210</v>
      </c>
      <c r="BU110">
        <f t="shared" si="24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246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47"/>
        <v>200</v>
      </c>
      <c r="CB110">
        <f t="shared" si="248"/>
        <v>42650</v>
      </c>
      <c r="CC110">
        <f>_xlfn.XLOOKUP(B110,'[8]october-2025'!$A:$A,'[8]october-2025'!$C:$C,0,0)</f>
        <v>34500</v>
      </c>
      <c r="CD110">
        <f t="shared" si="249"/>
        <v>6210</v>
      </c>
      <c r="CE110">
        <f t="shared" si="250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251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52"/>
        <v>200</v>
      </c>
      <c r="CL110">
        <f t="shared" si="253"/>
        <v>42650</v>
      </c>
      <c r="CM110">
        <f>_xlfn.XLOOKUP(B110,'[9]november-2025'!$A:$A,'[9]november-2025'!$C:$C,0,0)</f>
        <v>34500</v>
      </c>
      <c r="CN110">
        <f t="shared" si="254"/>
        <v>6210</v>
      </c>
      <c r="CO110">
        <f t="shared" si="25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56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57"/>
        <v>200</v>
      </c>
      <c r="CV110">
        <f t="shared" si="258"/>
        <v>42650</v>
      </c>
      <c r="CW110">
        <f>_xlfn.XLOOKUP(B110,'[10]december-2025'!$A:$A,'[10]december-2025'!$C:$C,0,0)</f>
        <v>34500</v>
      </c>
      <c r="CX110">
        <f t="shared" si="259"/>
        <v>6210</v>
      </c>
      <c r="CY110">
        <f t="shared" si="260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6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62"/>
        <v>200</v>
      </c>
      <c r="DF110">
        <f t="shared" si="263"/>
        <v>42650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544460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492060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462060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462060</v>
      </c>
      <c r="FD110">
        <f t="shared" si="285"/>
        <v>10603</v>
      </c>
      <c r="FE110">
        <f t="shared" si="286"/>
        <v>0</v>
      </c>
      <c r="FF110">
        <f t="shared" si="287"/>
        <v>10603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960</v>
      </c>
      <c r="FN110">
        <f t="shared" ca="1" si="294"/>
        <v>545420</v>
      </c>
      <c r="FO110">
        <f t="shared" si="295"/>
        <v>75000</v>
      </c>
      <c r="FP110">
        <f t="shared" ca="1" si="296"/>
        <v>470420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70420</v>
      </c>
      <c r="GB110">
        <f t="shared" ca="1" si="308"/>
        <v>3521</v>
      </c>
      <c r="GC110">
        <f t="shared" ca="1" si="309"/>
        <v>3521</v>
      </c>
      <c r="GD110">
        <f t="shared" ca="1" si="310"/>
        <v>0</v>
      </c>
      <c r="GE110">
        <f t="shared" ca="1" si="311"/>
        <v>0</v>
      </c>
      <c r="GF110">
        <f t="shared" ca="1" si="312"/>
        <v>3521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3521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321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5"/>
        <v>4424</v>
      </c>
      <c r="L111">
        <f t="shared" si="216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217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20"/>
        <v>150</v>
      </c>
      <c r="S111">
        <f t="shared" si="218"/>
        <v>37666</v>
      </c>
      <c r="T111">
        <f>_xlfn.XLOOKUP(B111,'[2]april-2025'!$A:$A,'[2]april-2025'!$C:$C,0,0)</f>
        <v>31600</v>
      </c>
      <c r="U111">
        <f t="shared" si="219"/>
        <v>5688</v>
      </c>
      <c r="V111">
        <f t="shared" si="220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21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22"/>
        <v>200</v>
      </c>
      <c r="AC111">
        <f t="shared" si="223"/>
        <v>38880</v>
      </c>
      <c r="AD111">
        <f>_xlfn.XLOOKUP(B111,'[3]may-2025'!$A:$A,'[3]may-2025'!$C:$C,0,0)</f>
        <v>31600</v>
      </c>
      <c r="AE111">
        <f t="shared" si="224"/>
        <v>5688</v>
      </c>
      <c r="AF111">
        <f t="shared" si="225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6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7"/>
        <v>200</v>
      </c>
      <c r="AM111">
        <f t="shared" si="228"/>
        <v>38880</v>
      </c>
      <c r="AN111">
        <f>_xlfn.XLOOKUP(B111,'[4]june-2025'!$A:$A,'[4]june-2025'!$C:$C,0,0)</f>
        <v>31600</v>
      </c>
      <c r="AO111">
        <f t="shared" si="229"/>
        <v>5688</v>
      </c>
      <c r="AP111">
        <f t="shared" si="230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31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32"/>
        <v>200</v>
      </c>
      <c r="AW111">
        <f t="shared" si="233"/>
        <v>38880</v>
      </c>
      <c r="AX111">
        <f>_xlfn.XLOOKUP(B111,'[5]july-2025'!$A:$A,'[5]july-2025'!$C:$C,0,0)</f>
        <v>32500</v>
      </c>
      <c r="AY111">
        <f t="shared" si="234"/>
        <v>5850</v>
      </c>
      <c r="AZ111">
        <v>0</v>
      </c>
      <c r="BA111">
        <f t="shared" si="235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236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7"/>
        <v>200</v>
      </c>
      <c r="BH111">
        <f t="shared" si="238"/>
        <v>40050</v>
      </c>
      <c r="BI111">
        <f>_xlfn.XLOOKUP(B111,'[6]august-2025'!$A:$A,'[6]august-2025'!$C:$C,0,0)</f>
        <v>32500</v>
      </c>
      <c r="BJ111">
        <f t="shared" si="239"/>
        <v>5850</v>
      </c>
      <c r="BK111">
        <f t="shared" si="240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41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242"/>
        <v>200</v>
      </c>
      <c r="BR111">
        <f t="shared" si="243"/>
        <v>40050</v>
      </c>
      <c r="BS111">
        <f>_xlfn.XLOOKUP(B111,'[7]september-2025'!$A:$A,'[7]september-2025'!$C:$C,0,0)</f>
        <v>32500</v>
      </c>
      <c r="BT111">
        <f t="shared" si="244"/>
        <v>5850</v>
      </c>
      <c r="BU111">
        <f t="shared" si="24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246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47"/>
        <v>200</v>
      </c>
      <c r="CB111">
        <f t="shared" si="248"/>
        <v>40050</v>
      </c>
      <c r="CC111">
        <f>_xlfn.XLOOKUP(B111,'[8]october-2025'!$A:$A,'[8]october-2025'!$C:$C,0,0)</f>
        <v>32500</v>
      </c>
      <c r="CD111">
        <f t="shared" si="249"/>
        <v>5850</v>
      </c>
      <c r="CE111">
        <f t="shared" si="250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251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52"/>
        <v>200</v>
      </c>
      <c r="CL111">
        <f t="shared" si="253"/>
        <v>40050</v>
      </c>
      <c r="CM111">
        <f>_xlfn.XLOOKUP(B111,'[9]november-2025'!$A:$A,'[9]november-2025'!$C:$C,0,0)</f>
        <v>32500</v>
      </c>
      <c r="CN111">
        <f t="shared" si="254"/>
        <v>5850</v>
      </c>
      <c r="CO111">
        <f t="shared" si="25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56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57"/>
        <v>200</v>
      </c>
      <c r="CV111">
        <f t="shared" si="258"/>
        <v>40050</v>
      </c>
      <c r="CW111">
        <f>_xlfn.XLOOKUP(B111,'[10]december-2025'!$A:$A,'[10]december-2025'!$C:$C,0,0)</f>
        <v>32500</v>
      </c>
      <c r="CX111">
        <f t="shared" si="259"/>
        <v>5850</v>
      </c>
      <c r="CY111">
        <f t="shared" si="260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6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62"/>
        <v>200</v>
      </c>
      <c r="DF111">
        <f t="shared" si="263"/>
        <v>40050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507856</v>
      </c>
      <c r="EB111">
        <f t="shared" si="275"/>
        <v>2350</v>
      </c>
      <c r="EC111">
        <f t="shared" si="276"/>
        <v>50000</v>
      </c>
      <c r="ED111">
        <v>0</v>
      </c>
      <c r="EE111">
        <f t="shared" si="277"/>
        <v>455506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431506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431506</v>
      </c>
      <c r="FD111">
        <f t="shared" si="285"/>
        <v>9075</v>
      </c>
      <c r="FE111">
        <f t="shared" si="286"/>
        <v>0</v>
      </c>
      <c r="FF111">
        <f t="shared" si="287"/>
        <v>9075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990</v>
      </c>
      <c r="FN111">
        <f t="shared" ca="1" si="294"/>
        <v>508846</v>
      </c>
      <c r="FO111">
        <f t="shared" si="295"/>
        <v>75000</v>
      </c>
      <c r="FP111">
        <f t="shared" ca="1" si="296"/>
        <v>433846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33846</v>
      </c>
      <c r="GB111">
        <f t="shared" ca="1" si="308"/>
        <v>1692.3000000000002</v>
      </c>
      <c r="GC111">
        <f t="shared" ca="1" si="309"/>
        <v>1692</v>
      </c>
      <c r="GD111">
        <f t="shared" ca="1" si="310"/>
        <v>0</v>
      </c>
      <c r="GE111">
        <f t="shared" ca="1" si="311"/>
        <v>0</v>
      </c>
      <c r="GF111">
        <f t="shared" ca="1" si="312"/>
        <v>1692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1692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321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5"/>
        <v>7238.0000000000009</v>
      </c>
      <c r="L112">
        <f t="shared" si="216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217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20"/>
        <v>200</v>
      </c>
      <c r="S112">
        <f t="shared" si="218"/>
        <v>55782</v>
      </c>
      <c r="T112">
        <f>_xlfn.XLOOKUP(B112,'[2]april-2025'!$A:$A,'[2]april-2025'!$C:$C,0,0)</f>
        <v>51700</v>
      </c>
      <c r="U112">
        <f t="shared" si="219"/>
        <v>9306</v>
      </c>
      <c r="V112">
        <f t="shared" si="220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21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22"/>
        <v>200</v>
      </c>
      <c r="AC112">
        <f t="shared" si="223"/>
        <v>57850</v>
      </c>
      <c r="AD112">
        <f>_xlfn.XLOOKUP(B112,'[3]may-2025'!$A:$A,'[3]may-2025'!$C:$C,0,0)</f>
        <v>51700</v>
      </c>
      <c r="AE112">
        <f t="shared" si="224"/>
        <v>9306</v>
      </c>
      <c r="AF112">
        <f t="shared" si="225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6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7"/>
        <v>200</v>
      </c>
      <c r="AM112">
        <f t="shared" si="228"/>
        <v>57850</v>
      </c>
      <c r="AN112">
        <f>_xlfn.XLOOKUP(B112,'[4]june-2025'!$A:$A,'[4]june-2025'!$C:$C,0,0)</f>
        <v>51700</v>
      </c>
      <c r="AO112">
        <f t="shared" si="229"/>
        <v>9306</v>
      </c>
      <c r="AP112">
        <f t="shared" si="230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31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32"/>
        <v>200</v>
      </c>
      <c r="AW112">
        <f t="shared" si="233"/>
        <v>57850</v>
      </c>
      <c r="AX112">
        <f>_xlfn.XLOOKUP(B112,'[5]july-2025'!$A:$A,'[5]july-2025'!$C:$C,0,0)</f>
        <v>53300</v>
      </c>
      <c r="AY112">
        <f t="shared" si="234"/>
        <v>9594</v>
      </c>
      <c r="AZ112">
        <v>0</v>
      </c>
      <c r="BA112">
        <f t="shared" si="235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236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7"/>
        <v>200</v>
      </c>
      <c r="BH112">
        <f t="shared" si="238"/>
        <v>59930</v>
      </c>
      <c r="BI112">
        <f>_xlfn.XLOOKUP(B112,'[6]august-2025'!$A:$A,'[6]august-2025'!$C:$C,0,0)</f>
        <v>53300</v>
      </c>
      <c r="BJ112">
        <f t="shared" si="239"/>
        <v>9594</v>
      </c>
      <c r="BK112">
        <f t="shared" si="240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41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242"/>
        <v>200</v>
      </c>
      <c r="BR112">
        <f t="shared" si="243"/>
        <v>59930</v>
      </c>
      <c r="BS112">
        <f>_xlfn.XLOOKUP(B112,'[7]september-2025'!$A:$A,'[7]september-2025'!$C:$C,0,0)</f>
        <v>53300</v>
      </c>
      <c r="BT112">
        <f t="shared" si="244"/>
        <v>9594</v>
      </c>
      <c r="BU112">
        <f t="shared" si="24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246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47"/>
        <v>200</v>
      </c>
      <c r="CB112">
        <f t="shared" si="248"/>
        <v>59930</v>
      </c>
      <c r="CC112">
        <f>_xlfn.XLOOKUP(B112,'[8]october-2025'!$A:$A,'[8]october-2025'!$C:$C,0,0)</f>
        <v>53300</v>
      </c>
      <c r="CD112">
        <f t="shared" si="249"/>
        <v>9594</v>
      </c>
      <c r="CE112">
        <f t="shared" si="250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251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52"/>
        <v>200</v>
      </c>
      <c r="CL112">
        <f t="shared" si="253"/>
        <v>59930</v>
      </c>
      <c r="CM112">
        <f>_xlfn.XLOOKUP(B112,'[9]november-2025'!$A:$A,'[9]november-2025'!$C:$C,0,0)</f>
        <v>53300</v>
      </c>
      <c r="CN112">
        <f t="shared" si="254"/>
        <v>9594</v>
      </c>
      <c r="CO112">
        <f t="shared" si="25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56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57"/>
        <v>200</v>
      </c>
      <c r="CV112">
        <f t="shared" si="258"/>
        <v>59930</v>
      </c>
      <c r="CW112">
        <f>_xlfn.XLOOKUP(B112,'[10]december-2025'!$A:$A,'[10]december-2025'!$C:$C,0,0)</f>
        <v>53300</v>
      </c>
      <c r="CX112">
        <f t="shared" si="259"/>
        <v>9594</v>
      </c>
      <c r="CY112">
        <f t="shared" si="260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6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62"/>
        <v>200</v>
      </c>
      <c r="DF112">
        <f t="shared" si="263"/>
        <v>59930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838692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786292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665572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665572</v>
      </c>
      <c r="FD112">
        <f t="shared" si="285"/>
        <v>12500</v>
      </c>
      <c r="FE112">
        <f t="shared" si="286"/>
        <v>33114</v>
      </c>
      <c r="FF112">
        <f t="shared" si="287"/>
        <v>45614</v>
      </c>
      <c r="FG112">
        <f t="shared" si="288"/>
        <v>45614</v>
      </c>
      <c r="FH112">
        <f t="shared" si="289"/>
        <v>1824.56</v>
      </c>
      <c r="FI112">
        <f t="shared" si="290"/>
        <v>47439</v>
      </c>
      <c r="FJ112">
        <v>0</v>
      </c>
      <c r="FK112">
        <f t="shared" si="291"/>
        <v>47439</v>
      </c>
      <c r="FL112" t="b">
        <f t="shared" si="292"/>
        <v>1</v>
      </c>
      <c r="FM112">
        <f t="shared" ca="1" si="293"/>
        <v>671</v>
      </c>
      <c r="FN112">
        <f t="shared" ca="1" si="294"/>
        <v>839363</v>
      </c>
      <c r="FO112">
        <f t="shared" si="295"/>
        <v>75000</v>
      </c>
      <c r="FP112">
        <f t="shared" ca="1" si="296"/>
        <v>764363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364363</v>
      </c>
      <c r="GB112">
        <f t="shared" ca="1" si="308"/>
        <v>18218.150000000001</v>
      </c>
      <c r="GC112">
        <f t="shared" ca="1" si="309"/>
        <v>18218</v>
      </c>
      <c r="GD112">
        <f t="shared" ca="1" si="310"/>
        <v>0</v>
      </c>
      <c r="GE112">
        <f t="shared" ca="1" si="311"/>
        <v>0</v>
      </c>
      <c r="GF112">
        <f t="shared" ca="1" si="312"/>
        <v>18218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18218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321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5"/>
        <v>5278.0000000000009</v>
      </c>
      <c r="L113">
        <f t="shared" si="216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217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20"/>
        <v>200</v>
      </c>
      <c r="S113">
        <f t="shared" si="218"/>
        <v>42802</v>
      </c>
      <c r="T113">
        <f>_xlfn.XLOOKUP(B113,'[2]april-2025'!$A:$A,'[2]april-2025'!$C:$C,0,0)</f>
        <v>37700</v>
      </c>
      <c r="U113">
        <f t="shared" si="219"/>
        <v>6786</v>
      </c>
      <c r="V113">
        <f t="shared" si="220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21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22"/>
        <v>200</v>
      </c>
      <c r="AC113">
        <f t="shared" si="223"/>
        <v>44310</v>
      </c>
      <c r="AD113">
        <f>_xlfn.XLOOKUP(B113,'[3]may-2025'!$A:$A,'[3]may-2025'!$C:$C,0,0)</f>
        <v>37700</v>
      </c>
      <c r="AE113">
        <f t="shared" si="224"/>
        <v>6786</v>
      </c>
      <c r="AF113">
        <f t="shared" si="225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6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7"/>
        <v>200</v>
      </c>
      <c r="AM113">
        <f t="shared" si="228"/>
        <v>44310</v>
      </c>
      <c r="AN113">
        <f>_xlfn.XLOOKUP(B113,'[4]june-2025'!$A:$A,'[4]june-2025'!$C:$C,0,0)</f>
        <v>37700</v>
      </c>
      <c r="AO113">
        <f t="shared" si="229"/>
        <v>6786</v>
      </c>
      <c r="AP113">
        <f t="shared" si="230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31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32"/>
        <v>200</v>
      </c>
      <c r="AW113">
        <f t="shared" si="233"/>
        <v>44310</v>
      </c>
      <c r="AX113">
        <f>_xlfn.XLOOKUP(B113,'[5]july-2025'!$A:$A,'[5]july-2025'!$C:$C,0,0)</f>
        <v>38800</v>
      </c>
      <c r="AY113">
        <f t="shared" si="234"/>
        <v>6984</v>
      </c>
      <c r="AZ113">
        <v>0</v>
      </c>
      <c r="BA113">
        <f t="shared" si="235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236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7"/>
        <v>200</v>
      </c>
      <c r="BH113">
        <f t="shared" si="238"/>
        <v>45740</v>
      </c>
      <c r="BI113">
        <f>_xlfn.XLOOKUP(B113,'[6]august-2025'!$A:$A,'[6]august-2025'!$C:$C,0,0)</f>
        <v>38800</v>
      </c>
      <c r="BJ113">
        <f t="shared" si="239"/>
        <v>6984</v>
      </c>
      <c r="BK113">
        <f t="shared" si="240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41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242"/>
        <v>200</v>
      </c>
      <c r="BR113">
        <f t="shared" si="243"/>
        <v>45740</v>
      </c>
      <c r="BS113">
        <f>_xlfn.XLOOKUP(B113,'[7]september-2025'!$A:$A,'[7]september-2025'!$C:$C,0,0)</f>
        <v>38800</v>
      </c>
      <c r="BT113">
        <f t="shared" si="244"/>
        <v>6984</v>
      </c>
      <c r="BU113">
        <f t="shared" si="24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246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47"/>
        <v>200</v>
      </c>
      <c r="CB113">
        <f t="shared" si="248"/>
        <v>45740</v>
      </c>
      <c r="CC113">
        <f>_xlfn.XLOOKUP(B113,'[8]october-2025'!$A:$A,'[8]october-2025'!$C:$C,0,0)</f>
        <v>38800</v>
      </c>
      <c r="CD113">
        <f t="shared" si="249"/>
        <v>6984</v>
      </c>
      <c r="CE113">
        <f t="shared" si="250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251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52"/>
        <v>200</v>
      </c>
      <c r="CL113">
        <f t="shared" si="253"/>
        <v>45740</v>
      </c>
      <c r="CM113">
        <f>_xlfn.XLOOKUP(B113,'[9]november-2025'!$A:$A,'[9]november-2025'!$C:$C,0,0)</f>
        <v>38800</v>
      </c>
      <c r="CN113">
        <f t="shared" si="254"/>
        <v>6984</v>
      </c>
      <c r="CO113">
        <f t="shared" si="25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56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57"/>
        <v>200</v>
      </c>
      <c r="CV113">
        <f t="shared" si="258"/>
        <v>45740</v>
      </c>
      <c r="CW113">
        <f>_xlfn.XLOOKUP(B113,'[10]december-2025'!$A:$A,'[10]december-2025'!$C:$C,0,0)</f>
        <v>38800</v>
      </c>
      <c r="CX113">
        <f t="shared" si="259"/>
        <v>6984</v>
      </c>
      <c r="CY113">
        <f t="shared" si="260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6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62"/>
        <v>200</v>
      </c>
      <c r="DF113">
        <f t="shared" si="263"/>
        <v>45740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610852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558452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498452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498452</v>
      </c>
      <c r="FD113">
        <f t="shared" si="285"/>
        <v>12423</v>
      </c>
      <c r="FE113">
        <f t="shared" si="286"/>
        <v>0</v>
      </c>
      <c r="FF113">
        <f t="shared" si="287"/>
        <v>12423</v>
      </c>
      <c r="FG113">
        <f t="shared" si="288"/>
        <v>0</v>
      </c>
      <c r="FH113">
        <f t="shared" si="289"/>
        <v>0</v>
      </c>
      <c r="FI113">
        <f t="shared" si="290"/>
        <v>0</v>
      </c>
      <c r="FJ113">
        <v>0</v>
      </c>
      <c r="FK113">
        <f t="shared" si="291"/>
        <v>0</v>
      </c>
      <c r="FL113" t="b">
        <f t="shared" si="292"/>
        <v>1</v>
      </c>
      <c r="FM113">
        <f t="shared" ca="1" si="293"/>
        <v>781</v>
      </c>
      <c r="FN113">
        <f t="shared" ca="1" si="294"/>
        <v>611633</v>
      </c>
      <c r="FO113">
        <f t="shared" si="295"/>
        <v>75000</v>
      </c>
      <c r="FP113">
        <f t="shared" ca="1" si="296"/>
        <v>536633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136633</v>
      </c>
      <c r="GB113">
        <f t="shared" ca="1" si="308"/>
        <v>6831.6500000000005</v>
      </c>
      <c r="GC113">
        <f t="shared" ca="1" si="309"/>
        <v>6832</v>
      </c>
      <c r="GD113">
        <f t="shared" ca="1" si="310"/>
        <v>0</v>
      </c>
      <c r="GE113">
        <f t="shared" ca="1" si="311"/>
        <v>0</v>
      </c>
      <c r="GF113">
        <f t="shared" ca="1" si="312"/>
        <v>6832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6832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321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5"/>
        <v>4382</v>
      </c>
      <c r="L114">
        <f t="shared" si="216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217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20"/>
        <v>150</v>
      </c>
      <c r="S114">
        <f t="shared" si="218"/>
        <v>37288</v>
      </c>
      <c r="T114">
        <f>_xlfn.XLOOKUP(B114,'[2]april-2025'!$A:$A,'[2]april-2025'!$C:$C,0,0)</f>
        <v>31300</v>
      </c>
      <c r="U114">
        <f t="shared" si="219"/>
        <v>5634</v>
      </c>
      <c r="V114">
        <f t="shared" si="220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21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22"/>
        <v>200</v>
      </c>
      <c r="AC114">
        <f t="shared" si="223"/>
        <v>38490</v>
      </c>
      <c r="AD114">
        <f>_xlfn.XLOOKUP(B114,'[3]may-2025'!$A:$A,'[3]may-2025'!$C:$C,0,0)</f>
        <v>31300</v>
      </c>
      <c r="AE114">
        <f t="shared" si="224"/>
        <v>5634</v>
      </c>
      <c r="AF114">
        <f t="shared" si="225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6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7"/>
        <v>200</v>
      </c>
      <c r="AM114">
        <f t="shared" si="228"/>
        <v>38490</v>
      </c>
      <c r="AN114">
        <f>_xlfn.XLOOKUP(B114,'[4]june-2025'!$A:$A,'[4]june-2025'!$C:$C,0,0)</f>
        <v>31300</v>
      </c>
      <c r="AO114">
        <f t="shared" si="229"/>
        <v>5634</v>
      </c>
      <c r="AP114">
        <f t="shared" si="230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31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32"/>
        <v>200</v>
      </c>
      <c r="AW114">
        <f t="shared" si="233"/>
        <v>38490</v>
      </c>
      <c r="AX114">
        <f>_xlfn.XLOOKUP(B114,'[5]july-2025'!$A:$A,'[5]july-2025'!$C:$C,0,0)</f>
        <v>32200</v>
      </c>
      <c r="AY114">
        <f t="shared" si="234"/>
        <v>5796</v>
      </c>
      <c r="AZ114">
        <v>0</v>
      </c>
      <c r="BA114">
        <f t="shared" si="235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236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7"/>
        <v>200</v>
      </c>
      <c r="BH114">
        <f t="shared" si="238"/>
        <v>39660</v>
      </c>
      <c r="BI114">
        <f>_xlfn.XLOOKUP(B114,'[6]august-2025'!$A:$A,'[6]august-2025'!$C:$C,0,0)</f>
        <v>32200</v>
      </c>
      <c r="BJ114">
        <f t="shared" si="239"/>
        <v>5796</v>
      </c>
      <c r="BK114">
        <f t="shared" si="240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41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242"/>
        <v>200</v>
      </c>
      <c r="BR114">
        <f t="shared" si="243"/>
        <v>39660</v>
      </c>
      <c r="BS114">
        <f>_xlfn.XLOOKUP(B114,'[7]september-2025'!$A:$A,'[7]september-2025'!$C:$C,0,0)</f>
        <v>32200</v>
      </c>
      <c r="BT114">
        <f t="shared" si="244"/>
        <v>5796</v>
      </c>
      <c r="BU114">
        <f t="shared" si="24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246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47"/>
        <v>200</v>
      </c>
      <c r="CB114">
        <f t="shared" si="248"/>
        <v>39660</v>
      </c>
      <c r="CC114">
        <f>_xlfn.XLOOKUP(B114,'[8]october-2025'!$A:$A,'[8]october-2025'!$C:$C,0,0)</f>
        <v>32200</v>
      </c>
      <c r="CD114">
        <f t="shared" si="249"/>
        <v>5796</v>
      </c>
      <c r="CE114">
        <f t="shared" si="250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251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52"/>
        <v>200</v>
      </c>
      <c r="CL114">
        <f t="shared" si="253"/>
        <v>39660</v>
      </c>
      <c r="CM114">
        <f>_xlfn.XLOOKUP(B114,'[9]november-2025'!$A:$A,'[9]november-2025'!$C:$C,0,0)</f>
        <v>32200</v>
      </c>
      <c r="CN114">
        <f t="shared" si="254"/>
        <v>5796</v>
      </c>
      <c r="CO114">
        <f t="shared" si="25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56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57"/>
        <v>200</v>
      </c>
      <c r="CV114">
        <f t="shared" si="258"/>
        <v>39660</v>
      </c>
      <c r="CW114">
        <f>_xlfn.XLOOKUP(B114,'[10]december-2025'!$A:$A,'[10]december-2025'!$C:$C,0,0)</f>
        <v>32200</v>
      </c>
      <c r="CX114">
        <f t="shared" si="259"/>
        <v>5796</v>
      </c>
      <c r="CY114">
        <f t="shared" si="260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6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62"/>
        <v>200</v>
      </c>
      <c r="DF114">
        <f t="shared" si="263"/>
        <v>39660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503188</v>
      </c>
      <c r="EB114">
        <f t="shared" si="275"/>
        <v>2350</v>
      </c>
      <c r="EC114">
        <f t="shared" si="276"/>
        <v>50000</v>
      </c>
      <c r="ED114">
        <v>0</v>
      </c>
      <c r="EE114">
        <f t="shared" si="277"/>
        <v>450838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426838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426838</v>
      </c>
      <c r="FD114">
        <f t="shared" si="285"/>
        <v>8842</v>
      </c>
      <c r="FE114">
        <f t="shared" si="286"/>
        <v>0</v>
      </c>
      <c r="FF114">
        <f t="shared" si="287"/>
        <v>8842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628</v>
      </c>
      <c r="FN114">
        <f t="shared" ca="1" si="294"/>
        <v>503816</v>
      </c>
      <c r="FO114">
        <f t="shared" si="295"/>
        <v>75000</v>
      </c>
      <c r="FP114">
        <f t="shared" ca="1" si="296"/>
        <v>428816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28816</v>
      </c>
      <c r="GB114">
        <f t="shared" ca="1" si="308"/>
        <v>1440.8000000000002</v>
      </c>
      <c r="GC114">
        <f t="shared" ca="1" si="309"/>
        <v>1441</v>
      </c>
      <c r="GD114">
        <f t="shared" ca="1" si="310"/>
        <v>0</v>
      </c>
      <c r="GE114">
        <f t="shared" ca="1" si="311"/>
        <v>0</v>
      </c>
      <c r="GF114">
        <f t="shared" ca="1" si="312"/>
        <v>1441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1441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321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5"/>
        <v>7476.0000000000009</v>
      </c>
      <c r="L115">
        <f t="shared" si="216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217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20"/>
        <v>200</v>
      </c>
      <c r="S115">
        <f t="shared" si="218"/>
        <v>62584</v>
      </c>
      <c r="T115">
        <f>_xlfn.XLOOKUP(B115,'[2]april-2025'!$A:$A,'[2]april-2025'!$C:$C,0,0)</f>
        <v>53400</v>
      </c>
      <c r="U115">
        <f t="shared" si="219"/>
        <v>9612</v>
      </c>
      <c r="V115">
        <f t="shared" si="220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21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22"/>
        <v>200</v>
      </c>
      <c r="AC115">
        <f t="shared" si="223"/>
        <v>64720</v>
      </c>
      <c r="AD115">
        <f>_xlfn.XLOOKUP(B115,'[3]may-2025'!$A:$A,'[3]may-2025'!$C:$C,0,0)</f>
        <v>53400</v>
      </c>
      <c r="AE115">
        <f t="shared" si="224"/>
        <v>9612</v>
      </c>
      <c r="AF115">
        <f t="shared" si="225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6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7"/>
        <v>200</v>
      </c>
      <c r="AM115">
        <f t="shared" si="228"/>
        <v>64720</v>
      </c>
      <c r="AN115">
        <f>_xlfn.XLOOKUP(B115,'[4]june-2025'!$A:$A,'[4]june-2025'!$C:$C,0,0)</f>
        <v>53400</v>
      </c>
      <c r="AO115">
        <f t="shared" si="229"/>
        <v>9612</v>
      </c>
      <c r="AP115">
        <f t="shared" si="230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31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32"/>
        <v>200</v>
      </c>
      <c r="AW115">
        <f t="shared" si="233"/>
        <v>64720</v>
      </c>
      <c r="AX115">
        <f>_xlfn.XLOOKUP(B115,'[5]july-2025'!$A:$A,'[5]july-2025'!$C:$C,0,0)</f>
        <v>55000</v>
      </c>
      <c r="AY115">
        <f t="shared" si="234"/>
        <v>9900</v>
      </c>
      <c r="AZ115">
        <v>0</v>
      </c>
      <c r="BA115">
        <f t="shared" si="235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236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7"/>
        <v>200</v>
      </c>
      <c r="BH115">
        <f t="shared" si="238"/>
        <v>66800</v>
      </c>
      <c r="BI115">
        <f>_xlfn.XLOOKUP(B115,'[6]august-2025'!$A:$A,'[6]august-2025'!$C:$C,0,0)</f>
        <v>55000</v>
      </c>
      <c r="BJ115">
        <f t="shared" si="239"/>
        <v>9900</v>
      </c>
      <c r="BK115">
        <f t="shared" si="240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41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242"/>
        <v>200</v>
      </c>
      <c r="BR115">
        <f t="shared" si="243"/>
        <v>66800</v>
      </c>
      <c r="BS115">
        <f>_xlfn.XLOOKUP(B115,'[7]september-2025'!$A:$A,'[7]september-2025'!$C:$C,0,0)</f>
        <v>55000</v>
      </c>
      <c r="BT115">
        <f t="shared" si="244"/>
        <v>9900</v>
      </c>
      <c r="BU115">
        <f t="shared" si="24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246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47"/>
        <v>200</v>
      </c>
      <c r="CB115">
        <f t="shared" si="248"/>
        <v>66800</v>
      </c>
      <c r="CC115">
        <f>_xlfn.XLOOKUP(B115,'[8]october-2025'!$A:$A,'[8]october-2025'!$C:$C,0,0)</f>
        <v>55000</v>
      </c>
      <c r="CD115">
        <f t="shared" si="249"/>
        <v>9900</v>
      </c>
      <c r="CE115">
        <f t="shared" si="250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251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52"/>
        <v>200</v>
      </c>
      <c r="CL115">
        <f t="shared" si="253"/>
        <v>66800</v>
      </c>
      <c r="CM115">
        <f>_xlfn.XLOOKUP(B115,'[9]november-2025'!$A:$A,'[9]november-2025'!$C:$C,0,0)</f>
        <v>55000</v>
      </c>
      <c r="CN115">
        <f t="shared" si="254"/>
        <v>9900</v>
      </c>
      <c r="CO115">
        <f t="shared" si="25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56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57"/>
        <v>200</v>
      </c>
      <c r="CV115">
        <f t="shared" si="258"/>
        <v>66800</v>
      </c>
      <c r="CW115">
        <f>_xlfn.XLOOKUP(B115,'[10]december-2025'!$A:$A,'[10]december-2025'!$C:$C,0,0)</f>
        <v>55000</v>
      </c>
      <c r="CX115">
        <f t="shared" si="259"/>
        <v>9900</v>
      </c>
      <c r="CY115">
        <f t="shared" si="260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6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62"/>
        <v>200</v>
      </c>
      <c r="DF115">
        <f t="shared" si="263"/>
        <v>66800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860344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807944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747944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747944</v>
      </c>
      <c r="FD115">
        <f t="shared" si="285"/>
        <v>12500</v>
      </c>
      <c r="FE115">
        <f t="shared" si="286"/>
        <v>49589</v>
      </c>
      <c r="FF115">
        <f t="shared" si="287"/>
        <v>62089</v>
      </c>
      <c r="FG115">
        <f t="shared" si="288"/>
        <v>62089</v>
      </c>
      <c r="FH115">
        <f t="shared" si="289"/>
        <v>2483.56</v>
      </c>
      <c r="FI115">
        <f t="shared" si="290"/>
        <v>64573</v>
      </c>
      <c r="FJ115">
        <v>0</v>
      </c>
      <c r="FK115">
        <f t="shared" si="291"/>
        <v>64573</v>
      </c>
      <c r="FL115" t="b">
        <f t="shared" si="292"/>
        <v>1</v>
      </c>
      <c r="FM115">
        <f t="shared" ca="1" si="293"/>
        <v>516</v>
      </c>
      <c r="FN115">
        <f t="shared" ca="1" si="294"/>
        <v>860860</v>
      </c>
      <c r="FO115">
        <f t="shared" si="295"/>
        <v>75000</v>
      </c>
      <c r="FP115">
        <f t="shared" ca="1" si="296"/>
        <v>785860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0</v>
      </c>
      <c r="FZ115">
        <f t="shared" ca="1" si="306"/>
        <v>0</v>
      </c>
      <c r="GA115">
        <f t="shared" ca="1" si="307"/>
        <v>385860</v>
      </c>
      <c r="GB115">
        <f t="shared" ca="1" si="308"/>
        <v>19293</v>
      </c>
      <c r="GC115">
        <f t="shared" ca="1" si="309"/>
        <v>19293</v>
      </c>
      <c r="GD115">
        <f t="shared" ca="1" si="310"/>
        <v>0</v>
      </c>
      <c r="GE115">
        <f t="shared" ca="1" si="311"/>
        <v>0</v>
      </c>
      <c r="GF115">
        <f t="shared" ca="1" si="312"/>
        <v>19293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19293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321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5"/>
        <v>4690</v>
      </c>
      <c r="L116">
        <f t="shared" si="216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217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20"/>
        <v>200</v>
      </c>
      <c r="S116">
        <f t="shared" si="218"/>
        <v>39510</v>
      </c>
      <c r="T116">
        <f>_xlfn.XLOOKUP(B116,'[2]april-2025'!$A:$A,'[2]april-2025'!$C:$C,0,0)</f>
        <v>33500</v>
      </c>
      <c r="U116">
        <f t="shared" si="219"/>
        <v>6030</v>
      </c>
      <c r="V116">
        <f t="shared" si="220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21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22"/>
        <v>200</v>
      </c>
      <c r="AC116">
        <f t="shared" si="223"/>
        <v>40850</v>
      </c>
      <c r="AD116">
        <f>_xlfn.XLOOKUP(B116,'[3]may-2025'!$A:$A,'[3]may-2025'!$C:$C,0,0)</f>
        <v>33500</v>
      </c>
      <c r="AE116">
        <f t="shared" si="224"/>
        <v>6030</v>
      </c>
      <c r="AF116">
        <f t="shared" si="225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6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7"/>
        <v>200</v>
      </c>
      <c r="AM116">
        <f t="shared" si="228"/>
        <v>40850</v>
      </c>
      <c r="AN116">
        <f>_xlfn.XLOOKUP(B116,'[4]june-2025'!$A:$A,'[4]june-2025'!$C:$C,0,0)</f>
        <v>33500</v>
      </c>
      <c r="AO116">
        <f t="shared" si="229"/>
        <v>6030</v>
      </c>
      <c r="AP116">
        <f t="shared" si="230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31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32"/>
        <v>200</v>
      </c>
      <c r="AW116">
        <f t="shared" si="233"/>
        <v>40850</v>
      </c>
      <c r="AX116">
        <f>_xlfn.XLOOKUP(B116,'[5]july-2025'!$A:$A,'[5]july-2025'!$C:$C,0,0)</f>
        <v>34500</v>
      </c>
      <c r="AY116">
        <f t="shared" si="234"/>
        <v>6210</v>
      </c>
      <c r="AZ116">
        <v>0</v>
      </c>
      <c r="BA116">
        <f t="shared" si="235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236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7"/>
        <v>200</v>
      </c>
      <c r="BH116">
        <f t="shared" si="238"/>
        <v>42150</v>
      </c>
      <c r="BI116">
        <f>_xlfn.XLOOKUP(B116,'[6]august-2025'!$A:$A,'[6]august-2025'!$C:$C,0,0)</f>
        <v>34500</v>
      </c>
      <c r="BJ116">
        <f t="shared" si="239"/>
        <v>6210</v>
      </c>
      <c r="BK116">
        <f t="shared" si="240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41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242"/>
        <v>200</v>
      </c>
      <c r="BR116">
        <f t="shared" si="243"/>
        <v>42150</v>
      </c>
      <c r="BS116">
        <f>_xlfn.XLOOKUP(B116,'[7]september-2025'!$A:$A,'[7]september-2025'!$C:$C,0,0)</f>
        <v>34500</v>
      </c>
      <c r="BT116">
        <f t="shared" si="244"/>
        <v>6210</v>
      </c>
      <c r="BU116">
        <f t="shared" si="24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246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47"/>
        <v>200</v>
      </c>
      <c r="CB116">
        <f t="shared" si="248"/>
        <v>42150</v>
      </c>
      <c r="CC116">
        <f>_xlfn.XLOOKUP(B116,'[8]october-2025'!$A:$A,'[8]october-2025'!$C:$C,0,0)</f>
        <v>34500</v>
      </c>
      <c r="CD116">
        <f t="shared" si="249"/>
        <v>6210</v>
      </c>
      <c r="CE116">
        <f t="shared" si="250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251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52"/>
        <v>200</v>
      </c>
      <c r="CL116">
        <f t="shared" si="253"/>
        <v>42150</v>
      </c>
      <c r="CM116">
        <f>_xlfn.XLOOKUP(B116,'[9]november-2025'!$A:$A,'[9]november-2025'!$C:$C,0,0)</f>
        <v>34500</v>
      </c>
      <c r="CN116">
        <f t="shared" si="254"/>
        <v>6210</v>
      </c>
      <c r="CO116">
        <f t="shared" si="25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56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57"/>
        <v>200</v>
      </c>
      <c r="CV116">
        <f t="shared" si="258"/>
        <v>42150</v>
      </c>
      <c r="CW116">
        <f>_xlfn.XLOOKUP(B116,'[10]december-2025'!$A:$A,'[10]december-2025'!$C:$C,0,0)</f>
        <v>34500</v>
      </c>
      <c r="CX116">
        <f t="shared" si="259"/>
        <v>6210</v>
      </c>
      <c r="CY116">
        <f t="shared" si="260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6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62"/>
        <v>200</v>
      </c>
      <c r="DF116">
        <f t="shared" si="263"/>
        <v>42150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538460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486060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456060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456060</v>
      </c>
      <c r="FD116">
        <f t="shared" si="285"/>
        <v>10303</v>
      </c>
      <c r="FE116">
        <f t="shared" si="286"/>
        <v>0</v>
      </c>
      <c r="FF116">
        <f t="shared" si="287"/>
        <v>10303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748</v>
      </c>
      <c r="FN116">
        <f t="shared" ca="1" si="294"/>
        <v>539208</v>
      </c>
      <c r="FO116">
        <f t="shared" si="295"/>
        <v>75000</v>
      </c>
      <c r="FP116">
        <f t="shared" ca="1" si="296"/>
        <v>464208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64208</v>
      </c>
      <c r="GB116">
        <f t="shared" ca="1" si="308"/>
        <v>3210.4</v>
      </c>
      <c r="GC116">
        <f t="shared" ca="1" si="309"/>
        <v>3210</v>
      </c>
      <c r="GD116">
        <f t="shared" ca="1" si="310"/>
        <v>0</v>
      </c>
      <c r="GE116">
        <f t="shared" ca="1" si="311"/>
        <v>0</v>
      </c>
      <c r="GF116">
        <f t="shared" ca="1" si="312"/>
        <v>3210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3210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321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5"/>
        <v>7238.0000000000009</v>
      </c>
      <c r="L117">
        <f t="shared" si="216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217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20"/>
        <v>200</v>
      </c>
      <c r="S117">
        <f t="shared" si="218"/>
        <v>60842</v>
      </c>
      <c r="T117">
        <f>_xlfn.XLOOKUP(B117,'[2]april-2025'!$A:$A,'[2]april-2025'!$C:$C,0,0)</f>
        <v>51700</v>
      </c>
      <c r="U117">
        <f t="shared" si="219"/>
        <v>9306</v>
      </c>
      <c r="V117">
        <f t="shared" si="220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21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22"/>
        <v>200</v>
      </c>
      <c r="AC117">
        <f t="shared" si="223"/>
        <v>62910</v>
      </c>
      <c r="AD117">
        <f>_xlfn.XLOOKUP(B117,'[3]may-2025'!$A:$A,'[3]may-2025'!$C:$C,0,0)</f>
        <v>51700</v>
      </c>
      <c r="AE117">
        <f t="shared" si="224"/>
        <v>9306</v>
      </c>
      <c r="AF117">
        <f t="shared" si="225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6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7"/>
        <v>200</v>
      </c>
      <c r="AM117">
        <f t="shared" si="228"/>
        <v>62910</v>
      </c>
      <c r="AN117">
        <f>_xlfn.XLOOKUP(B117,'[4]june-2025'!$A:$A,'[4]june-2025'!$C:$C,0,0)</f>
        <v>51700</v>
      </c>
      <c r="AO117">
        <f t="shared" si="229"/>
        <v>9306</v>
      </c>
      <c r="AP117">
        <f t="shared" si="230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31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32"/>
        <v>200</v>
      </c>
      <c r="AW117">
        <f t="shared" si="233"/>
        <v>62910</v>
      </c>
      <c r="AX117">
        <f>_xlfn.XLOOKUP(B117,'[5]july-2025'!$A:$A,'[5]july-2025'!$C:$C,0,0)</f>
        <v>53300</v>
      </c>
      <c r="AY117">
        <f t="shared" si="234"/>
        <v>9594</v>
      </c>
      <c r="AZ117">
        <v>0</v>
      </c>
      <c r="BA117">
        <f t="shared" si="235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236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7"/>
        <v>200</v>
      </c>
      <c r="BH117">
        <f t="shared" si="238"/>
        <v>64990</v>
      </c>
      <c r="BI117">
        <f>_xlfn.XLOOKUP(B117,'[6]august-2025'!$A:$A,'[6]august-2025'!$C:$C,0,0)</f>
        <v>53300</v>
      </c>
      <c r="BJ117">
        <f t="shared" si="239"/>
        <v>9594</v>
      </c>
      <c r="BK117">
        <f t="shared" si="240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41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242"/>
        <v>200</v>
      </c>
      <c r="BR117">
        <f t="shared" si="243"/>
        <v>64990</v>
      </c>
      <c r="BS117">
        <f>_xlfn.XLOOKUP(B117,'[7]september-2025'!$A:$A,'[7]september-2025'!$C:$C,0,0)</f>
        <v>53300</v>
      </c>
      <c r="BT117">
        <f t="shared" si="244"/>
        <v>9594</v>
      </c>
      <c r="BU117">
        <f t="shared" si="24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246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47"/>
        <v>200</v>
      </c>
      <c r="CB117">
        <f t="shared" si="248"/>
        <v>64990</v>
      </c>
      <c r="CC117">
        <f>_xlfn.XLOOKUP(B117,'[8]october-2025'!$A:$A,'[8]october-2025'!$C:$C,0,0)</f>
        <v>53300</v>
      </c>
      <c r="CD117">
        <f t="shared" si="249"/>
        <v>9594</v>
      </c>
      <c r="CE117">
        <f t="shared" si="250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251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52"/>
        <v>200</v>
      </c>
      <c r="CL117">
        <f t="shared" si="253"/>
        <v>64990</v>
      </c>
      <c r="CM117">
        <f>_xlfn.XLOOKUP(B117,'[9]november-2025'!$A:$A,'[9]november-2025'!$C:$C,0,0)</f>
        <v>53300</v>
      </c>
      <c r="CN117">
        <f t="shared" si="254"/>
        <v>9594</v>
      </c>
      <c r="CO117">
        <f t="shared" si="25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56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57"/>
        <v>200</v>
      </c>
      <c r="CV117">
        <f t="shared" si="258"/>
        <v>64990</v>
      </c>
      <c r="CW117">
        <f>_xlfn.XLOOKUP(B117,'[10]december-2025'!$A:$A,'[10]december-2025'!$C:$C,0,0)</f>
        <v>53300</v>
      </c>
      <c r="CX117">
        <f t="shared" si="259"/>
        <v>9594</v>
      </c>
      <c r="CY117">
        <f t="shared" si="260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6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62"/>
        <v>200</v>
      </c>
      <c r="DF117">
        <f t="shared" si="263"/>
        <v>64990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838692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786292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726292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726292</v>
      </c>
      <c r="FD117">
        <f t="shared" si="285"/>
        <v>12500</v>
      </c>
      <c r="FE117">
        <f t="shared" si="286"/>
        <v>45258</v>
      </c>
      <c r="FF117">
        <f t="shared" si="287"/>
        <v>57758</v>
      </c>
      <c r="FG117">
        <f t="shared" si="288"/>
        <v>57758</v>
      </c>
      <c r="FH117">
        <f t="shared" si="289"/>
        <v>2310.3200000000002</v>
      </c>
      <c r="FI117">
        <f t="shared" si="290"/>
        <v>60068</v>
      </c>
      <c r="FJ117">
        <v>0</v>
      </c>
      <c r="FK117">
        <f t="shared" si="291"/>
        <v>60068</v>
      </c>
      <c r="FL117" t="b">
        <f t="shared" si="292"/>
        <v>1</v>
      </c>
      <c r="FM117">
        <f t="shared" ca="1" si="293"/>
        <v>573</v>
      </c>
      <c r="FN117">
        <f t="shared" ca="1" si="294"/>
        <v>839265</v>
      </c>
      <c r="FO117">
        <f t="shared" si="295"/>
        <v>75000</v>
      </c>
      <c r="FP117">
        <f t="shared" ca="1" si="296"/>
        <v>764265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364265</v>
      </c>
      <c r="GB117">
        <f t="shared" ca="1" si="308"/>
        <v>18213.25</v>
      </c>
      <c r="GC117">
        <f t="shared" ca="1" si="309"/>
        <v>18213</v>
      </c>
      <c r="GD117">
        <f t="shared" ca="1" si="310"/>
        <v>0</v>
      </c>
      <c r="GE117">
        <f t="shared" ca="1" si="311"/>
        <v>0</v>
      </c>
      <c r="GF117">
        <f t="shared" ca="1" si="312"/>
        <v>18213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18213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321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5"/>
        <v>6622.0000000000009</v>
      </c>
      <c r="L118">
        <f t="shared" si="216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7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20"/>
        <v>200</v>
      </c>
      <c r="S118">
        <f t="shared" si="218"/>
        <v>53398</v>
      </c>
      <c r="T118">
        <f>_xlfn.XLOOKUP(B118,'[2]april-2025'!$A:$A,'[2]april-2025'!$C:$C,0,0)</f>
        <v>47300</v>
      </c>
      <c r="U118">
        <f t="shared" si="219"/>
        <v>8514</v>
      </c>
      <c r="V118">
        <f t="shared" si="220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21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22"/>
        <v>200</v>
      </c>
      <c r="AC118">
        <f t="shared" si="223"/>
        <v>55290</v>
      </c>
      <c r="AD118">
        <f>_xlfn.XLOOKUP(B118,'[3]may-2025'!$A:$A,'[3]may-2025'!$C:$C,0,0)</f>
        <v>47300</v>
      </c>
      <c r="AE118">
        <f t="shared" si="224"/>
        <v>8514</v>
      </c>
      <c r="AF118">
        <f t="shared" si="225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6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7"/>
        <v>200</v>
      </c>
      <c r="AM118">
        <f t="shared" si="228"/>
        <v>55290</v>
      </c>
      <c r="AN118">
        <f>_xlfn.XLOOKUP(B118,'[4]june-2025'!$A:$A,'[4]june-2025'!$C:$C,0,0)</f>
        <v>47300</v>
      </c>
      <c r="AO118">
        <f t="shared" si="229"/>
        <v>8514</v>
      </c>
      <c r="AP118">
        <f t="shared" si="230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31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32"/>
        <v>200</v>
      </c>
      <c r="AW118">
        <f t="shared" si="233"/>
        <v>55290</v>
      </c>
      <c r="AX118">
        <f>_xlfn.XLOOKUP(B118,'[5]july-2025'!$A:$A,'[5]july-2025'!$C:$C,0,0)</f>
        <v>48700</v>
      </c>
      <c r="AY118">
        <f t="shared" si="234"/>
        <v>8766</v>
      </c>
      <c r="AZ118">
        <v>0</v>
      </c>
      <c r="BA118">
        <f t="shared" si="235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236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7"/>
        <v>200</v>
      </c>
      <c r="BH118">
        <f t="shared" si="238"/>
        <v>57110</v>
      </c>
      <c r="BI118">
        <f>_xlfn.XLOOKUP(B118,'[6]august-2025'!$A:$A,'[6]august-2025'!$C:$C,0,0)</f>
        <v>48700</v>
      </c>
      <c r="BJ118">
        <f t="shared" si="239"/>
        <v>8766</v>
      </c>
      <c r="BK118">
        <f t="shared" si="240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41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242"/>
        <v>200</v>
      </c>
      <c r="BR118">
        <f t="shared" si="243"/>
        <v>57110</v>
      </c>
      <c r="BS118">
        <f>_xlfn.XLOOKUP(B118,'[7]september-2025'!$A:$A,'[7]september-2025'!$C:$C,0,0)</f>
        <v>48700</v>
      </c>
      <c r="BT118">
        <f t="shared" si="244"/>
        <v>8766</v>
      </c>
      <c r="BU118">
        <f t="shared" si="24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246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47"/>
        <v>200</v>
      </c>
      <c r="CB118">
        <f t="shared" si="248"/>
        <v>57110</v>
      </c>
      <c r="CC118">
        <f>_xlfn.XLOOKUP(B118,'[8]october-2025'!$A:$A,'[8]october-2025'!$C:$C,0,0)</f>
        <v>48700</v>
      </c>
      <c r="CD118">
        <f t="shared" si="249"/>
        <v>8766</v>
      </c>
      <c r="CE118">
        <f t="shared" si="250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251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52"/>
        <v>200</v>
      </c>
      <c r="CL118">
        <f t="shared" si="253"/>
        <v>57110</v>
      </c>
      <c r="CM118">
        <f>_xlfn.XLOOKUP(B118,'[9]november-2025'!$A:$A,'[9]november-2025'!$C:$C,0,0)</f>
        <v>48700</v>
      </c>
      <c r="CN118">
        <f t="shared" si="254"/>
        <v>8766</v>
      </c>
      <c r="CO118">
        <f t="shared" si="25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56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57"/>
        <v>200</v>
      </c>
      <c r="CV118">
        <f t="shared" si="258"/>
        <v>57110</v>
      </c>
      <c r="CW118">
        <f>_xlfn.XLOOKUP(B118,'[10]december-2025'!$A:$A,'[10]december-2025'!$C:$C,0,0)</f>
        <v>48700</v>
      </c>
      <c r="CX118">
        <f t="shared" si="259"/>
        <v>8766</v>
      </c>
      <c r="CY118">
        <f t="shared" si="260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6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62"/>
        <v>200</v>
      </c>
      <c r="DF118">
        <f t="shared" si="263"/>
        <v>57110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757348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704948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632948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632948</v>
      </c>
      <c r="FD118">
        <f t="shared" si="285"/>
        <v>12500</v>
      </c>
      <c r="FE118">
        <f t="shared" si="286"/>
        <v>26590</v>
      </c>
      <c r="FF118">
        <f t="shared" si="287"/>
        <v>39090</v>
      </c>
      <c r="FG118">
        <f t="shared" si="288"/>
        <v>39090</v>
      </c>
      <c r="FH118">
        <f t="shared" si="289"/>
        <v>1563.6000000000001</v>
      </c>
      <c r="FI118">
        <f t="shared" si="290"/>
        <v>40654</v>
      </c>
      <c r="FJ118">
        <v>0</v>
      </c>
      <c r="FK118">
        <f t="shared" si="291"/>
        <v>40654</v>
      </c>
      <c r="FL118" t="b">
        <f t="shared" si="292"/>
        <v>1</v>
      </c>
      <c r="FM118">
        <f t="shared" ca="1" si="293"/>
        <v>645</v>
      </c>
      <c r="FN118">
        <f t="shared" ca="1" si="294"/>
        <v>757993</v>
      </c>
      <c r="FO118">
        <f t="shared" si="295"/>
        <v>75000</v>
      </c>
      <c r="FP118">
        <f t="shared" ca="1" si="296"/>
        <v>682993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282993</v>
      </c>
      <c r="GB118">
        <f t="shared" ca="1" si="308"/>
        <v>14149.650000000001</v>
      </c>
      <c r="GC118">
        <f t="shared" ca="1" si="309"/>
        <v>14150</v>
      </c>
      <c r="GD118">
        <f t="shared" ca="1" si="310"/>
        <v>0</v>
      </c>
      <c r="GE118">
        <f t="shared" ca="1" si="311"/>
        <v>0</v>
      </c>
      <c r="GF118">
        <f t="shared" ca="1" si="312"/>
        <v>14150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14150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321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5"/>
        <v>4830.0000000000009</v>
      </c>
      <c r="L119">
        <f t="shared" si="216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217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20"/>
        <v>200</v>
      </c>
      <c r="S119">
        <f t="shared" si="218"/>
        <v>38270</v>
      </c>
      <c r="T119">
        <f>_xlfn.XLOOKUP(B119,'[2]april-2025'!$A:$A,'[2]april-2025'!$C:$C,0,0)</f>
        <v>34500</v>
      </c>
      <c r="U119">
        <f t="shared" si="219"/>
        <v>6210</v>
      </c>
      <c r="V119">
        <f t="shared" si="2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21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22"/>
        <v>200</v>
      </c>
      <c r="AC119">
        <f t="shared" si="223"/>
        <v>39650</v>
      </c>
      <c r="AD119">
        <f>_xlfn.XLOOKUP(B119,'[3]may-2025'!$A:$A,'[3]may-2025'!$C:$C,0,0)</f>
        <v>34500</v>
      </c>
      <c r="AE119">
        <f t="shared" si="224"/>
        <v>6210</v>
      </c>
      <c r="AF119">
        <f t="shared" si="225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6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7"/>
        <v>200</v>
      </c>
      <c r="AM119">
        <f t="shared" si="228"/>
        <v>39650</v>
      </c>
      <c r="AN119">
        <f>_xlfn.XLOOKUP(B119,'[4]june-2025'!$A:$A,'[4]june-2025'!$C:$C,0,0)</f>
        <v>34500</v>
      </c>
      <c r="AO119">
        <f t="shared" si="229"/>
        <v>6210</v>
      </c>
      <c r="AP119">
        <f t="shared" si="230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31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32"/>
        <v>200</v>
      </c>
      <c r="AW119">
        <f t="shared" si="233"/>
        <v>39650</v>
      </c>
      <c r="AX119">
        <f>_xlfn.XLOOKUP(B119,'[5]july-2025'!$A:$A,'[5]july-2025'!$C:$C,0,0)</f>
        <v>35500</v>
      </c>
      <c r="AY119">
        <f t="shared" si="234"/>
        <v>6390</v>
      </c>
      <c r="AZ119">
        <v>0</v>
      </c>
      <c r="BA119">
        <f t="shared" si="235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236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7"/>
        <v>200</v>
      </c>
      <c r="BH119">
        <f t="shared" si="238"/>
        <v>40950</v>
      </c>
      <c r="BI119">
        <f>_xlfn.XLOOKUP(B119,'[6]august-2025'!$A:$A,'[6]august-2025'!$C:$C,0,0)</f>
        <v>35500</v>
      </c>
      <c r="BJ119">
        <f t="shared" si="239"/>
        <v>6390</v>
      </c>
      <c r="BK119">
        <f t="shared" si="2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41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242"/>
        <v>200</v>
      </c>
      <c r="BR119">
        <f t="shared" si="243"/>
        <v>40950</v>
      </c>
      <c r="BS119">
        <f>_xlfn.XLOOKUP(B119,'[7]september-2025'!$A:$A,'[7]september-2025'!$C:$C,0,0)</f>
        <v>35500</v>
      </c>
      <c r="BT119">
        <f t="shared" si="244"/>
        <v>6390</v>
      </c>
      <c r="BU119">
        <f t="shared" si="2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246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47"/>
        <v>200</v>
      </c>
      <c r="CB119">
        <f t="shared" si="248"/>
        <v>40950</v>
      </c>
      <c r="CC119">
        <f>_xlfn.XLOOKUP(B119,'[8]october-2025'!$A:$A,'[8]october-2025'!$C:$C,0,0)</f>
        <v>35500</v>
      </c>
      <c r="CD119">
        <f t="shared" si="249"/>
        <v>6390</v>
      </c>
      <c r="CE119">
        <f t="shared" si="2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251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52"/>
        <v>200</v>
      </c>
      <c r="CL119">
        <f t="shared" si="253"/>
        <v>40950</v>
      </c>
      <c r="CM119">
        <f>_xlfn.XLOOKUP(B119,'[9]november-2025'!$A:$A,'[9]november-2025'!$C:$C,0,0)</f>
        <v>35500</v>
      </c>
      <c r="CN119">
        <f t="shared" si="254"/>
        <v>6390</v>
      </c>
      <c r="CO119">
        <f t="shared" si="2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56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57"/>
        <v>200</v>
      </c>
      <c r="CV119">
        <f t="shared" si="258"/>
        <v>40950</v>
      </c>
      <c r="CW119">
        <f>_xlfn.XLOOKUP(B119,'[10]december-2025'!$A:$A,'[10]december-2025'!$C:$C,0,0)</f>
        <v>35500</v>
      </c>
      <c r="CX119">
        <f t="shared" si="259"/>
        <v>6390</v>
      </c>
      <c r="CY119">
        <f t="shared" si="2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6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62"/>
        <v>200</v>
      </c>
      <c r="DF119">
        <f t="shared" si="263"/>
        <v>40950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554020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501620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441620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441620</v>
      </c>
      <c r="FD119">
        <f t="shared" si="285"/>
        <v>9581</v>
      </c>
      <c r="FE119">
        <f t="shared" si="286"/>
        <v>0</v>
      </c>
      <c r="FF119">
        <f t="shared" si="287"/>
        <v>9581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650</v>
      </c>
      <c r="FN119">
        <f t="shared" ca="1" si="294"/>
        <v>554670</v>
      </c>
      <c r="FO119">
        <f t="shared" si="295"/>
        <v>75000</v>
      </c>
      <c r="FP119">
        <f t="shared" ca="1" si="296"/>
        <v>479670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79670</v>
      </c>
      <c r="GB119">
        <f t="shared" ca="1" si="308"/>
        <v>3983.5</v>
      </c>
      <c r="GC119">
        <f t="shared" ca="1" si="309"/>
        <v>3984</v>
      </c>
      <c r="GD119">
        <f t="shared" ca="1" si="310"/>
        <v>0</v>
      </c>
      <c r="GE119">
        <f t="shared" ca="1" si="311"/>
        <v>0</v>
      </c>
      <c r="GF119">
        <f t="shared" ca="1" si="312"/>
        <v>3984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3984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321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5"/>
        <v>4830.0000000000009</v>
      </c>
      <c r="L120">
        <f t="shared" si="216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217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20"/>
        <v>200</v>
      </c>
      <c r="S120">
        <f t="shared" si="218"/>
        <v>38770</v>
      </c>
      <c r="T120">
        <f>_xlfn.XLOOKUP(B120,'[2]april-2025'!$A:$A,'[2]april-2025'!$C:$C,0,0)</f>
        <v>34500</v>
      </c>
      <c r="U120">
        <f t="shared" si="219"/>
        <v>6210</v>
      </c>
      <c r="V120">
        <f t="shared" si="220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21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22"/>
        <v>200</v>
      </c>
      <c r="AC120">
        <f t="shared" si="223"/>
        <v>40150</v>
      </c>
      <c r="AD120">
        <f>_xlfn.XLOOKUP(B120,'[3]may-2025'!$A:$A,'[3]may-2025'!$C:$C,0,0)</f>
        <v>34500</v>
      </c>
      <c r="AE120">
        <f t="shared" si="224"/>
        <v>6210</v>
      </c>
      <c r="AF120">
        <f t="shared" si="225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6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7"/>
        <v>200</v>
      </c>
      <c r="AM120">
        <f t="shared" si="228"/>
        <v>40150</v>
      </c>
      <c r="AN120">
        <f>_xlfn.XLOOKUP(B120,'[4]june-2025'!$A:$A,'[4]june-2025'!$C:$C,0,0)</f>
        <v>34500</v>
      </c>
      <c r="AO120">
        <f t="shared" si="229"/>
        <v>6210</v>
      </c>
      <c r="AP120">
        <f t="shared" si="230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31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32"/>
        <v>200</v>
      </c>
      <c r="AW120">
        <f t="shared" si="233"/>
        <v>40150</v>
      </c>
      <c r="AX120">
        <f>_xlfn.XLOOKUP(B120,'[5]july-2025'!$A:$A,'[5]july-2025'!$C:$C,0,0)</f>
        <v>35500</v>
      </c>
      <c r="AY120">
        <f t="shared" si="234"/>
        <v>6390</v>
      </c>
      <c r="AZ120">
        <v>0</v>
      </c>
      <c r="BA120">
        <f t="shared" si="235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236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7"/>
        <v>200</v>
      </c>
      <c r="BH120">
        <f t="shared" si="238"/>
        <v>41450</v>
      </c>
      <c r="BI120">
        <f>_xlfn.XLOOKUP(B120,'[6]august-2025'!$A:$A,'[6]august-2025'!$C:$C,0,0)</f>
        <v>35500</v>
      </c>
      <c r="BJ120">
        <f t="shared" si="239"/>
        <v>6390</v>
      </c>
      <c r="BK120">
        <f t="shared" si="240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41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242"/>
        <v>200</v>
      </c>
      <c r="BR120">
        <f t="shared" si="243"/>
        <v>41450</v>
      </c>
      <c r="BS120">
        <f>_xlfn.XLOOKUP(B120,'[7]september-2025'!$A:$A,'[7]september-2025'!$C:$C,0,0)</f>
        <v>35500</v>
      </c>
      <c r="BT120">
        <f t="shared" si="244"/>
        <v>6390</v>
      </c>
      <c r="BU120">
        <f t="shared" si="24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246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47"/>
        <v>200</v>
      </c>
      <c r="CB120">
        <f t="shared" si="248"/>
        <v>41450</v>
      </c>
      <c r="CC120">
        <f>_xlfn.XLOOKUP(B120,'[8]october-2025'!$A:$A,'[8]october-2025'!$C:$C,0,0)</f>
        <v>35500</v>
      </c>
      <c r="CD120">
        <f t="shared" si="249"/>
        <v>6390</v>
      </c>
      <c r="CE120">
        <f t="shared" si="250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251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52"/>
        <v>200</v>
      </c>
      <c r="CL120">
        <f t="shared" si="253"/>
        <v>41450</v>
      </c>
      <c r="CM120">
        <f>_xlfn.XLOOKUP(B120,'[9]november-2025'!$A:$A,'[9]november-2025'!$C:$C,0,0)</f>
        <v>35500</v>
      </c>
      <c r="CN120">
        <f t="shared" si="254"/>
        <v>6390</v>
      </c>
      <c r="CO120">
        <f t="shared" si="25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56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57"/>
        <v>200</v>
      </c>
      <c r="CV120">
        <f t="shared" si="258"/>
        <v>41450</v>
      </c>
      <c r="CW120">
        <f>_xlfn.XLOOKUP(B120,'[10]december-2025'!$A:$A,'[10]december-2025'!$C:$C,0,0)</f>
        <v>35500</v>
      </c>
      <c r="CX120">
        <f t="shared" si="259"/>
        <v>6390</v>
      </c>
      <c r="CY120">
        <f t="shared" si="260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6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62"/>
        <v>200</v>
      </c>
      <c r="DF120">
        <f t="shared" si="263"/>
        <v>41450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560020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507620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447620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447620</v>
      </c>
      <c r="FD120">
        <f t="shared" si="285"/>
        <v>9881</v>
      </c>
      <c r="FE120">
        <f t="shared" si="286"/>
        <v>0</v>
      </c>
      <c r="FF120">
        <f t="shared" si="287"/>
        <v>9881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878</v>
      </c>
      <c r="FN120">
        <f t="shared" ca="1" si="294"/>
        <v>560898</v>
      </c>
      <c r="FO120">
        <f t="shared" si="295"/>
        <v>75000</v>
      </c>
      <c r="FP120">
        <f t="shared" ca="1" si="296"/>
        <v>485898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85898</v>
      </c>
      <c r="GB120">
        <f t="shared" ca="1" si="308"/>
        <v>4294.9000000000005</v>
      </c>
      <c r="GC120">
        <f t="shared" ca="1" si="309"/>
        <v>4295</v>
      </c>
      <c r="GD120">
        <f t="shared" ca="1" si="310"/>
        <v>0</v>
      </c>
      <c r="GE120">
        <f t="shared" ca="1" si="311"/>
        <v>0</v>
      </c>
      <c r="GF120">
        <f t="shared" ca="1" si="312"/>
        <v>4295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4295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321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5"/>
        <v>3780.0000000000005</v>
      </c>
      <c r="L121">
        <f t="shared" si="216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217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20"/>
        <v>150</v>
      </c>
      <c r="S121">
        <f t="shared" si="218"/>
        <v>31870</v>
      </c>
      <c r="T121">
        <f>_xlfn.XLOOKUP(B121,'[2]april-2025'!$A:$A,'[2]april-2025'!$C:$C,0,0)</f>
        <v>27000</v>
      </c>
      <c r="U121">
        <f t="shared" si="219"/>
        <v>4860</v>
      </c>
      <c r="V121">
        <f t="shared" si="220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21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22"/>
        <v>150</v>
      </c>
      <c r="AC121">
        <f t="shared" si="223"/>
        <v>32950</v>
      </c>
      <c r="AD121">
        <f>_xlfn.XLOOKUP(B121,'[3]may-2025'!$A:$A,'[3]may-2025'!$C:$C,0,0)</f>
        <v>31600</v>
      </c>
      <c r="AE121">
        <f t="shared" si="224"/>
        <v>5688</v>
      </c>
      <c r="AF121">
        <f t="shared" si="225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6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7"/>
        <v>200</v>
      </c>
      <c r="AM121">
        <f t="shared" si="228"/>
        <v>38880</v>
      </c>
      <c r="AN121">
        <f>_xlfn.XLOOKUP(B121,'[4]june-2025'!$A:$A,'[4]june-2025'!$C:$C,0,0)</f>
        <v>31600</v>
      </c>
      <c r="AO121">
        <f t="shared" si="229"/>
        <v>5688</v>
      </c>
      <c r="AP121">
        <f t="shared" si="230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31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32"/>
        <v>200</v>
      </c>
      <c r="AW121">
        <f t="shared" si="233"/>
        <v>38880</v>
      </c>
      <c r="AX121">
        <f>_xlfn.XLOOKUP(B121,'[5]july-2025'!$A:$A,'[5]july-2025'!$C:$C,0,0)</f>
        <v>32500</v>
      </c>
      <c r="AY121">
        <f t="shared" si="234"/>
        <v>5850</v>
      </c>
      <c r="AZ121">
        <v>0</v>
      </c>
      <c r="BA121">
        <f t="shared" si="235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236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7"/>
        <v>200</v>
      </c>
      <c r="BH121">
        <f t="shared" si="238"/>
        <v>40050</v>
      </c>
      <c r="BI121">
        <f>_xlfn.XLOOKUP(B121,'[6]august-2025'!$A:$A,'[6]august-2025'!$C:$C,0,0)</f>
        <v>32500</v>
      </c>
      <c r="BJ121">
        <f t="shared" si="239"/>
        <v>5850</v>
      </c>
      <c r="BK121">
        <f t="shared" si="2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41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242"/>
        <v>200</v>
      </c>
      <c r="BR121">
        <f t="shared" si="243"/>
        <v>40050</v>
      </c>
      <c r="BS121">
        <f>_xlfn.XLOOKUP(B121,'[7]september-2025'!$A:$A,'[7]september-2025'!$C:$C,0,0)</f>
        <v>32500</v>
      </c>
      <c r="BT121">
        <f t="shared" si="244"/>
        <v>5850</v>
      </c>
      <c r="BU121">
        <f t="shared" si="2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246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47"/>
        <v>200</v>
      </c>
      <c r="CB121">
        <f t="shared" si="248"/>
        <v>40050</v>
      </c>
      <c r="CC121">
        <f>_xlfn.XLOOKUP(B121,'[8]october-2025'!$A:$A,'[8]october-2025'!$C:$C,0,0)</f>
        <v>32500</v>
      </c>
      <c r="CD121">
        <f t="shared" si="249"/>
        <v>5850</v>
      </c>
      <c r="CE121">
        <f t="shared" si="2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251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52"/>
        <v>200</v>
      </c>
      <c r="CL121">
        <f t="shared" si="253"/>
        <v>40050</v>
      </c>
      <c r="CM121">
        <f>_xlfn.XLOOKUP(B121,'[9]november-2025'!$A:$A,'[9]november-2025'!$C:$C,0,0)</f>
        <v>32500</v>
      </c>
      <c r="CN121">
        <f t="shared" si="254"/>
        <v>5850</v>
      </c>
      <c r="CO121">
        <f t="shared" si="2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56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57"/>
        <v>200</v>
      </c>
      <c r="CV121">
        <f t="shared" si="258"/>
        <v>40050</v>
      </c>
      <c r="CW121">
        <f>_xlfn.XLOOKUP(B121,'[10]december-2025'!$A:$A,'[10]december-2025'!$C:$C,0,0)</f>
        <v>32500</v>
      </c>
      <c r="CX121">
        <f t="shared" si="259"/>
        <v>5850</v>
      </c>
      <c r="CY121">
        <f t="shared" si="2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6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62"/>
        <v>200</v>
      </c>
      <c r="DF121">
        <f t="shared" si="263"/>
        <v>40050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496080</v>
      </c>
      <c r="EB121">
        <f t="shared" si="275"/>
        <v>2300</v>
      </c>
      <c r="EC121">
        <f t="shared" si="276"/>
        <v>50000</v>
      </c>
      <c r="ED121">
        <v>0</v>
      </c>
      <c r="EE121">
        <f t="shared" si="277"/>
        <v>443780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419780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419780</v>
      </c>
      <c r="FD121">
        <f t="shared" si="285"/>
        <v>8489</v>
      </c>
      <c r="FE121">
        <f t="shared" si="286"/>
        <v>0</v>
      </c>
      <c r="FF121">
        <f t="shared" si="287"/>
        <v>8489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0</v>
      </c>
      <c r="FM121">
        <f t="shared" ca="1" si="293"/>
        <v>2725</v>
      </c>
      <c r="FN121">
        <f t="shared" ca="1" si="294"/>
        <v>498805</v>
      </c>
      <c r="FO121">
        <f t="shared" si="295"/>
        <v>75000</v>
      </c>
      <c r="FP121">
        <f t="shared" ca="1" si="296"/>
        <v>423805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23805</v>
      </c>
      <c r="GB121">
        <f t="shared" ca="1" si="308"/>
        <v>1190.25</v>
      </c>
      <c r="GC121">
        <f t="shared" ca="1" si="309"/>
        <v>1190</v>
      </c>
      <c r="GD121">
        <f t="shared" ca="1" si="310"/>
        <v>0</v>
      </c>
      <c r="GE121">
        <f t="shared" ca="1" si="311"/>
        <v>0</v>
      </c>
      <c r="GF121">
        <f t="shared" ca="1" si="312"/>
        <v>1190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1190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321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5"/>
        <v>4424</v>
      </c>
      <c r="L122">
        <f t="shared" si="216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217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20"/>
        <v>200</v>
      </c>
      <c r="S122">
        <f t="shared" si="218"/>
        <v>38116</v>
      </c>
      <c r="T122">
        <f>_xlfn.XLOOKUP(B122,'[2]april-2025'!$A:$A,'[2]april-2025'!$C:$C,0,0)</f>
        <v>31600</v>
      </c>
      <c r="U122">
        <f t="shared" si="219"/>
        <v>5688</v>
      </c>
      <c r="V122">
        <f t="shared" si="220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21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22"/>
        <v>200</v>
      </c>
      <c r="AC122">
        <f t="shared" si="223"/>
        <v>39380</v>
      </c>
      <c r="AD122">
        <f>_xlfn.XLOOKUP(B122,'[3]may-2025'!$A:$A,'[3]may-2025'!$C:$C,0,0)</f>
        <v>31600</v>
      </c>
      <c r="AE122">
        <f t="shared" si="224"/>
        <v>5688</v>
      </c>
      <c r="AF122">
        <f t="shared" si="225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6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7"/>
        <v>200</v>
      </c>
      <c r="AM122">
        <f t="shared" si="228"/>
        <v>39380</v>
      </c>
      <c r="AN122">
        <f>_xlfn.XLOOKUP(B122,'[4]june-2025'!$A:$A,'[4]june-2025'!$C:$C,0,0)</f>
        <v>31600</v>
      </c>
      <c r="AO122">
        <f t="shared" si="229"/>
        <v>5688</v>
      </c>
      <c r="AP122">
        <f t="shared" si="230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31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32"/>
        <v>200</v>
      </c>
      <c r="AW122">
        <f t="shared" si="233"/>
        <v>39380</v>
      </c>
      <c r="AX122">
        <f>_xlfn.XLOOKUP(B122,'[5]july-2025'!$A:$A,'[5]july-2025'!$C:$C,0,0)</f>
        <v>32500</v>
      </c>
      <c r="AY122">
        <f t="shared" si="234"/>
        <v>5850</v>
      </c>
      <c r="AZ122">
        <v>0</v>
      </c>
      <c r="BA122">
        <f t="shared" si="235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236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7"/>
        <v>200</v>
      </c>
      <c r="BH122">
        <f t="shared" si="238"/>
        <v>40550</v>
      </c>
      <c r="BI122">
        <f>_xlfn.XLOOKUP(B122,'[6]august-2025'!$A:$A,'[6]august-2025'!$C:$C,0,0)</f>
        <v>32500</v>
      </c>
      <c r="BJ122">
        <f t="shared" si="239"/>
        <v>5850</v>
      </c>
      <c r="BK122">
        <f t="shared" si="240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41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242"/>
        <v>200</v>
      </c>
      <c r="BR122">
        <f t="shared" si="243"/>
        <v>40550</v>
      </c>
      <c r="BS122">
        <f>_xlfn.XLOOKUP(B122,'[7]september-2025'!$A:$A,'[7]september-2025'!$C:$C,0,0)</f>
        <v>32500</v>
      </c>
      <c r="BT122">
        <f t="shared" si="244"/>
        <v>5850</v>
      </c>
      <c r="BU122">
        <f t="shared" si="24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246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47"/>
        <v>200</v>
      </c>
      <c r="CB122">
        <f t="shared" si="248"/>
        <v>40550</v>
      </c>
      <c r="CC122">
        <f>_xlfn.XLOOKUP(B122,'[8]october-2025'!$A:$A,'[8]october-2025'!$C:$C,0,0)</f>
        <v>32500</v>
      </c>
      <c r="CD122">
        <f t="shared" si="249"/>
        <v>5850</v>
      </c>
      <c r="CE122">
        <f t="shared" si="250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251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52"/>
        <v>200</v>
      </c>
      <c r="CL122">
        <f t="shared" si="253"/>
        <v>40550</v>
      </c>
      <c r="CM122">
        <f>_xlfn.XLOOKUP(B122,'[9]november-2025'!$A:$A,'[9]november-2025'!$C:$C,0,0)</f>
        <v>32500</v>
      </c>
      <c r="CN122">
        <f t="shared" si="254"/>
        <v>5850</v>
      </c>
      <c r="CO122">
        <f t="shared" si="25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56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57"/>
        <v>200</v>
      </c>
      <c r="CV122">
        <f t="shared" si="258"/>
        <v>40550</v>
      </c>
      <c r="CW122">
        <f>_xlfn.XLOOKUP(B122,'[10]december-2025'!$A:$A,'[10]december-2025'!$C:$C,0,0)</f>
        <v>32500</v>
      </c>
      <c r="CX122">
        <f t="shared" si="259"/>
        <v>5850</v>
      </c>
      <c r="CY122">
        <f t="shared" si="260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6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62"/>
        <v>200</v>
      </c>
      <c r="DF122">
        <f t="shared" si="263"/>
        <v>40550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513856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461456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437456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437456</v>
      </c>
      <c r="FD122">
        <f t="shared" si="285"/>
        <v>9373</v>
      </c>
      <c r="FE122">
        <f t="shared" si="286"/>
        <v>0</v>
      </c>
      <c r="FF122">
        <f t="shared" si="287"/>
        <v>9373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857</v>
      </c>
      <c r="FN122">
        <f t="shared" ca="1" si="294"/>
        <v>514713</v>
      </c>
      <c r="FO122">
        <f t="shared" si="295"/>
        <v>75000</v>
      </c>
      <c r="FP122">
        <f t="shared" ca="1" si="296"/>
        <v>439713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39713</v>
      </c>
      <c r="GB122">
        <f t="shared" ca="1" si="308"/>
        <v>1985.65</v>
      </c>
      <c r="GC122">
        <f t="shared" ca="1" si="309"/>
        <v>1986</v>
      </c>
      <c r="GD122">
        <f t="shared" ca="1" si="310"/>
        <v>0</v>
      </c>
      <c r="GE122">
        <f t="shared" ca="1" si="311"/>
        <v>0</v>
      </c>
      <c r="GF122">
        <f t="shared" ca="1" si="312"/>
        <v>1986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1986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322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23">J123*0.14</f>
        <v>4424</v>
      </c>
      <c r="L123">
        <f t="shared" ref="L123" si="324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ref="O123" si="325"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38116</v>
      </c>
      <c r="T123">
        <f>_xlfn.XLOOKUP(B123,'[2]april-2025'!$A:$A,'[2]april-2025'!$C:$C,0,0)</f>
        <v>31600</v>
      </c>
      <c r="U123">
        <f t="shared" ref="U123" si="328">T123*0.18</f>
        <v>5688</v>
      </c>
      <c r="V123">
        <f t="shared" ref="V123" si="329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ref="Y123" si="330">IF(T123&gt;0,SUM(T123:X123),0)</f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39380</v>
      </c>
      <c r="AD123">
        <f>_xlfn.XLOOKUP(B123,'[3]may-2025'!$A:$A,'[3]may-2025'!$C:$C,0,0)</f>
        <v>31600</v>
      </c>
      <c r="AE123">
        <f t="shared" ref="AE123" si="333">AD123*0.18</f>
        <v>5688</v>
      </c>
      <c r="AF123">
        <f t="shared" ref="AF123" si="334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ref="AI123" si="335">IF(AD123&gt;0,SUM(AD123:AH123),0)</f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39380</v>
      </c>
      <c r="AN123">
        <f>_xlfn.XLOOKUP(B123,'[4]june-2025'!$A:$A,'[4]june-2025'!$C:$C,0,0)</f>
        <v>31600</v>
      </c>
      <c r="AO123">
        <f t="shared" ref="AO123" si="338">AN123*0.18</f>
        <v>5688</v>
      </c>
      <c r="AP123">
        <f t="shared" ref="AP123" si="339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ref="AS123" si="340">IF(AN123&gt;0,SUM(AN123:AR123),0)</f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39380</v>
      </c>
      <c r="AX123">
        <f>_xlfn.XLOOKUP(B123,'[5]july-2025'!$A:$A,'[5]july-2025'!$C:$C,0,0)</f>
        <v>32500</v>
      </c>
      <c r="AY123">
        <f t="shared" ref="AY123" si="343">AX123*0.18</f>
        <v>5850</v>
      </c>
      <c r="AZ123">
        <v>1</v>
      </c>
      <c r="BA123">
        <f t="shared" ref="BA123" si="344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ref="BD123" si="345">IF(AX123&gt;0,SUM(AX123:BC123),0)</f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40551</v>
      </c>
      <c r="BI123">
        <f>_xlfn.XLOOKUP(B123,'[6]august-2025'!$A:$A,'[6]august-2025'!$C:$C,0,0)</f>
        <v>32500</v>
      </c>
      <c r="BJ123">
        <f t="shared" ref="BJ123" si="348">BI123*0.18</f>
        <v>5850</v>
      </c>
      <c r="BK123">
        <f t="shared" ref="BK123" si="349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50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40550</v>
      </c>
      <c r="BS123">
        <f>_xlfn.XLOOKUP(B123,'[7]september-2025'!$A:$A,'[7]september-2025'!$C:$C,0,0)</f>
        <v>32500</v>
      </c>
      <c r="BT123">
        <f t="shared" ref="BT123" si="353">BS123*0.18</f>
        <v>5850</v>
      </c>
      <c r="BU123">
        <f t="shared" ref="BU123" si="354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ref="BX123" si="355"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40550</v>
      </c>
      <c r="CC123">
        <f>_xlfn.XLOOKUP(B123,'[8]october-2025'!$A:$A,'[8]october-2025'!$C:$C,0,0)</f>
        <v>32500</v>
      </c>
      <c r="CD123">
        <f t="shared" ref="CD123" si="358">CC123*0.18</f>
        <v>5850</v>
      </c>
      <c r="CE123">
        <f t="shared" ref="CE123" si="359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ref="CH123" si="360"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40550</v>
      </c>
      <c r="CM123">
        <f>_xlfn.XLOOKUP(B123,'[9]november-2025'!$A:$A,'[9]november-2025'!$C:$C,0,0)</f>
        <v>32500</v>
      </c>
      <c r="CN123">
        <f t="shared" ref="CN123" si="363">CM123*0.18</f>
        <v>5850</v>
      </c>
      <c r="CO123">
        <f t="shared" ref="CO123" si="364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ref="CR123" si="365"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40550</v>
      </c>
      <c r="CW123">
        <f>_xlfn.XLOOKUP(B123,'[10]december-2025'!$A:$A,'[10]december-2025'!$C:$C,0,0)</f>
        <v>32500</v>
      </c>
      <c r="CX123">
        <f t="shared" ref="CX123" si="368">ROUND(CW123*0.18,0)</f>
        <v>5850</v>
      </c>
      <c r="CY123">
        <f t="shared" ref="CY123" si="36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ref="DB123" si="370"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40550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513857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461457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437457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437457</v>
      </c>
      <c r="FD123">
        <f t="shared" ref="FD123" si="394">ROUND(IF(FC123&gt;0,IF(FC123&gt;500000,12500,(FC123-250000)*0.05),0),0)</f>
        <v>9373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9373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573</v>
      </c>
      <c r="FN123">
        <f t="shared" ref="FN123" ca="1" si="403">EA123+FM123</f>
        <v>514430</v>
      </c>
      <c r="FO123">
        <f t="shared" ref="FO123" si="404">IF(EA123&gt;0,75000,0)</f>
        <v>75000</v>
      </c>
      <c r="FP123">
        <f t="shared" ref="FP123" ca="1" si="405">FN123-FO123</f>
        <v>439430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39430</v>
      </c>
      <c r="GB123">
        <f t="shared" ref="GB123" ca="1" si="417">GA123*0.05</f>
        <v>1971.5</v>
      </c>
      <c r="GC123">
        <f t="shared" ref="GC123" ca="1" si="418">ROUND(FR123+FT123+FV123+FX123+FZ123+GB123,0)</f>
        <v>1972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1972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1972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321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5"/>
        <v>6622.0000000000009</v>
      </c>
      <c r="L124">
        <f t="shared" si="216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217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20"/>
        <v>200</v>
      </c>
      <c r="S124">
        <f t="shared" si="218"/>
        <v>57238</v>
      </c>
      <c r="T124">
        <f>_xlfn.XLOOKUP(B124,'[2]april-2025'!$A:$A,'[2]april-2025'!$C:$C,0,0)</f>
        <v>47300</v>
      </c>
      <c r="U124">
        <f t="shared" si="219"/>
        <v>8514</v>
      </c>
      <c r="V124">
        <f t="shared" si="220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21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22"/>
        <v>200</v>
      </c>
      <c r="AC124">
        <f t="shared" si="223"/>
        <v>59130</v>
      </c>
      <c r="AD124">
        <f>_xlfn.XLOOKUP(B124,'[3]may-2025'!$A:$A,'[3]may-2025'!$C:$C,0,0)</f>
        <v>47300</v>
      </c>
      <c r="AE124">
        <f t="shared" si="224"/>
        <v>8514</v>
      </c>
      <c r="AF124">
        <f t="shared" si="225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6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7"/>
        <v>200</v>
      </c>
      <c r="AM124">
        <f t="shared" si="228"/>
        <v>59130</v>
      </c>
      <c r="AN124">
        <f>_xlfn.XLOOKUP(B124,'[4]june-2025'!$A:$A,'[4]june-2025'!$C:$C,0,0)</f>
        <v>47300</v>
      </c>
      <c r="AO124">
        <f t="shared" si="229"/>
        <v>8514</v>
      </c>
      <c r="AP124">
        <f t="shared" si="230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31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32"/>
        <v>200</v>
      </c>
      <c r="AW124">
        <f t="shared" si="233"/>
        <v>59130</v>
      </c>
      <c r="AX124">
        <f>_xlfn.XLOOKUP(B124,'[5]july-2025'!$A:$A,'[5]july-2025'!$C:$C,0,0)</f>
        <v>48700</v>
      </c>
      <c r="AY124">
        <f t="shared" si="234"/>
        <v>8766</v>
      </c>
      <c r="AZ124">
        <v>0</v>
      </c>
      <c r="BA124">
        <f t="shared" si="235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236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7"/>
        <v>200</v>
      </c>
      <c r="BH124">
        <f t="shared" si="238"/>
        <v>60950</v>
      </c>
      <c r="BI124">
        <f>_xlfn.XLOOKUP(B124,'[6]august-2025'!$A:$A,'[6]august-2025'!$C:$C,0,0)</f>
        <v>48700</v>
      </c>
      <c r="BJ124">
        <f t="shared" si="239"/>
        <v>8766</v>
      </c>
      <c r="BK124">
        <f t="shared" si="240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41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242"/>
        <v>200</v>
      </c>
      <c r="BR124">
        <f t="shared" si="243"/>
        <v>60950</v>
      </c>
      <c r="BS124">
        <f>_xlfn.XLOOKUP(B124,'[7]september-2025'!$A:$A,'[7]september-2025'!$C:$C,0,0)</f>
        <v>48700</v>
      </c>
      <c r="BT124">
        <f t="shared" si="244"/>
        <v>8766</v>
      </c>
      <c r="BU124">
        <f t="shared" si="245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246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47"/>
        <v>200</v>
      </c>
      <c r="CB124">
        <f t="shared" si="248"/>
        <v>60950</v>
      </c>
      <c r="CC124">
        <f>_xlfn.XLOOKUP(B124,'[8]october-2025'!$A:$A,'[8]october-2025'!$C:$C,0,0)</f>
        <v>48700</v>
      </c>
      <c r="CD124">
        <f t="shared" si="249"/>
        <v>8766</v>
      </c>
      <c r="CE124">
        <f t="shared" si="250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251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52"/>
        <v>200</v>
      </c>
      <c r="CL124">
        <f t="shared" si="253"/>
        <v>60950</v>
      </c>
      <c r="CM124">
        <f>_xlfn.XLOOKUP(B124,'[9]november-2025'!$A:$A,'[9]november-2025'!$C:$C,0,0)</f>
        <v>48700</v>
      </c>
      <c r="CN124">
        <f t="shared" si="254"/>
        <v>8766</v>
      </c>
      <c r="CO124">
        <f t="shared" si="25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56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57"/>
        <v>200</v>
      </c>
      <c r="CV124">
        <f t="shared" si="258"/>
        <v>60950</v>
      </c>
      <c r="CW124">
        <f>_xlfn.XLOOKUP(B124,'[10]december-2025'!$A:$A,'[10]december-2025'!$C:$C,0,0)</f>
        <v>48700</v>
      </c>
      <c r="CX124">
        <f t="shared" si="259"/>
        <v>8766</v>
      </c>
      <c r="CY124">
        <f t="shared" si="260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6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62"/>
        <v>200</v>
      </c>
      <c r="DF124">
        <f t="shared" si="263"/>
        <v>60950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768148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715748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679028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679028</v>
      </c>
      <c r="FD124">
        <f t="shared" si="285"/>
        <v>12500</v>
      </c>
      <c r="FE124">
        <f t="shared" si="286"/>
        <v>35806</v>
      </c>
      <c r="FF124">
        <f t="shared" si="287"/>
        <v>48306</v>
      </c>
      <c r="FG124">
        <f t="shared" si="288"/>
        <v>48306</v>
      </c>
      <c r="FH124">
        <f t="shared" si="289"/>
        <v>1932.24</v>
      </c>
      <c r="FI124">
        <f t="shared" si="290"/>
        <v>50238</v>
      </c>
      <c r="FJ124">
        <v>0</v>
      </c>
      <c r="FK124">
        <f t="shared" si="291"/>
        <v>50238</v>
      </c>
      <c r="FL124" t="b">
        <f t="shared" si="292"/>
        <v>1</v>
      </c>
      <c r="FM124">
        <f t="shared" ca="1" si="293"/>
        <v>812</v>
      </c>
      <c r="FN124">
        <f t="shared" ca="1" si="294"/>
        <v>768960</v>
      </c>
      <c r="FO124">
        <f t="shared" si="295"/>
        <v>75000</v>
      </c>
      <c r="FP124">
        <f t="shared" ca="1" si="296"/>
        <v>693960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293960</v>
      </c>
      <c r="GB124">
        <f t="shared" ca="1" si="308"/>
        <v>14698</v>
      </c>
      <c r="GC124">
        <f t="shared" ca="1" si="309"/>
        <v>14698</v>
      </c>
      <c r="GD124">
        <f t="shared" ca="1" si="310"/>
        <v>0</v>
      </c>
      <c r="GE124">
        <f t="shared" ca="1" si="311"/>
        <v>0</v>
      </c>
      <c r="GF124">
        <f t="shared" ca="1" si="312"/>
        <v>14698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14698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321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5"/>
        <v>4424</v>
      </c>
      <c r="L125">
        <f t="shared" si="216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217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20"/>
        <v>200</v>
      </c>
      <c r="S125">
        <f t="shared" si="218"/>
        <v>38116</v>
      </c>
      <c r="T125">
        <f>_xlfn.XLOOKUP(B125,'[2]april-2025'!$A:$A,'[2]april-2025'!$C:$C,0,0)</f>
        <v>31600</v>
      </c>
      <c r="U125">
        <f t="shared" si="219"/>
        <v>5688</v>
      </c>
      <c r="V125">
        <f t="shared" si="220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21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22"/>
        <v>200</v>
      </c>
      <c r="AC125">
        <f t="shared" si="223"/>
        <v>39380</v>
      </c>
      <c r="AD125">
        <f>_xlfn.XLOOKUP(B125,'[3]may-2025'!$A:$A,'[3]may-2025'!$C:$C,0,0)</f>
        <v>31600</v>
      </c>
      <c r="AE125">
        <f t="shared" si="224"/>
        <v>5688</v>
      </c>
      <c r="AF125">
        <f t="shared" si="225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6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7"/>
        <v>200</v>
      </c>
      <c r="AM125">
        <f t="shared" si="228"/>
        <v>39380</v>
      </c>
      <c r="AN125">
        <f>_xlfn.XLOOKUP(B125,'[4]june-2025'!$A:$A,'[4]june-2025'!$C:$C,0,0)</f>
        <v>31600</v>
      </c>
      <c r="AO125">
        <f t="shared" si="229"/>
        <v>5688</v>
      </c>
      <c r="AP125">
        <f t="shared" si="230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31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32"/>
        <v>200</v>
      </c>
      <c r="AW125">
        <f t="shared" si="233"/>
        <v>39380</v>
      </c>
      <c r="AX125">
        <f>_xlfn.XLOOKUP(B125,'[5]july-2025'!$A:$A,'[5]july-2025'!$C:$C,0,0)</f>
        <v>32500</v>
      </c>
      <c r="AY125">
        <f t="shared" si="234"/>
        <v>5850</v>
      </c>
      <c r="AZ125">
        <v>0</v>
      </c>
      <c r="BA125">
        <f t="shared" si="235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236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7"/>
        <v>200</v>
      </c>
      <c r="BH125">
        <f t="shared" si="238"/>
        <v>40550</v>
      </c>
      <c r="BI125">
        <f>_xlfn.XLOOKUP(B125,'[6]august-2025'!$A:$A,'[6]august-2025'!$C:$C,0,0)</f>
        <v>32500</v>
      </c>
      <c r="BJ125">
        <f t="shared" si="239"/>
        <v>5850</v>
      </c>
      <c r="BK125">
        <f t="shared" si="240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41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242"/>
        <v>200</v>
      </c>
      <c r="BR125">
        <f t="shared" si="243"/>
        <v>40550</v>
      </c>
      <c r="BS125">
        <f>_xlfn.XLOOKUP(B125,'[7]september-2025'!$A:$A,'[7]september-2025'!$C:$C,0,0)</f>
        <v>32500</v>
      </c>
      <c r="BT125">
        <f t="shared" si="244"/>
        <v>5850</v>
      </c>
      <c r="BU125">
        <f t="shared" si="245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246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47"/>
        <v>200</v>
      </c>
      <c r="CB125">
        <f t="shared" si="248"/>
        <v>40550</v>
      </c>
      <c r="CC125">
        <f>_xlfn.XLOOKUP(B125,'[8]october-2025'!$A:$A,'[8]october-2025'!$C:$C,0,0)</f>
        <v>32500</v>
      </c>
      <c r="CD125">
        <f t="shared" si="249"/>
        <v>5850</v>
      </c>
      <c r="CE125">
        <f t="shared" si="250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251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52"/>
        <v>200</v>
      </c>
      <c r="CL125">
        <f t="shared" si="253"/>
        <v>40550</v>
      </c>
      <c r="CM125">
        <f>_xlfn.XLOOKUP(B125,'[9]november-2025'!$A:$A,'[9]november-2025'!$C:$C,0,0)</f>
        <v>32500</v>
      </c>
      <c r="CN125">
        <f t="shared" si="254"/>
        <v>5850</v>
      </c>
      <c r="CO125">
        <f t="shared" si="25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56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57"/>
        <v>200</v>
      </c>
      <c r="CV125">
        <f t="shared" si="258"/>
        <v>40550</v>
      </c>
      <c r="CW125">
        <f>_xlfn.XLOOKUP(B125,'[10]december-2025'!$A:$A,'[10]december-2025'!$C:$C,0,0)</f>
        <v>32500</v>
      </c>
      <c r="CX125">
        <f t="shared" si="259"/>
        <v>5850</v>
      </c>
      <c r="CY125">
        <f t="shared" si="260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6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62"/>
        <v>200</v>
      </c>
      <c r="DF125">
        <f t="shared" si="263"/>
        <v>40550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513856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461456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437456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437456</v>
      </c>
      <c r="FD125">
        <f t="shared" si="285"/>
        <v>9373</v>
      </c>
      <c r="FE125">
        <f t="shared" si="286"/>
        <v>0</v>
      </c>
      <c r="FF125">
        <f t="shared" si="287"/>
        <v>9373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656</v>
      </c>
      <c r="FN125">
        <f t="shared" ca="1" si="294"/>
        <v>514512</v>
      </c>
      <c r="FO125">
        <f t="shared" si="295"/>
        <v>75000</v>
      </c>
      <c r="FP125">
        <f t="shared" ca="1" si="296"/>
        <v>439512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39512</v>
      </c>
      <c r="GB125">
        <f t="shared" ca="1" si="308"/>
        <v>1975.6000000000001</v>
      </c>
      <c r="GC125">
        <f t="shared" ca="1" si="309"/>
        <v>1976</v>
      </c>
      <c r="GD125">
        <f t="shared" ca="1" si="310"/>
        <v>0</v>
      </c>
      <c r="GE125">
        <f t="shared" ca="1" si="311"/>
        <v>0</v>
      </c>
      <c r="GF125">
        <f t="shared" ca="1" si="312"/>
        <v>1976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1976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321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5"/>
        <v>4298</v>
      </c>
      <c r="L126">
        <f t="shared" si="216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217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20"/>
        <v>150</v>
      </c>
      <c r="S126">
        <f t="shared" si="218"/>
        <v>37032</v>
      </c>
      <c r="T126">
        <f>_xlfn.XLOOKUP(B126,'[2]april-2025'!$A:$A,'[2]april-2025'!$C:$C,0,0)</f>
        <v>30700</v>
      </c>
      <c r="U126">
        <f t="shared" si="219"/>
        <v>5526</v>
      </c>
      <c r="V126">
        <f t="shared" si="220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21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22"/>
        <v>200</v>
      </c>
      <c r="AC126">
        <f t="shared" si="223"/>
        <v>38210</v>
      </c>
      <c r="AD126">
        <f>_xlfn.XLOOKUP(B126,'[3]may-2025'!$A:$A,'[3]may-2025'!$C:$C,0,0)</f>
        <v>30700</v>
      </c>
      <c r="AE126">
        <f t="shared" si="224"/>
        <v>5526</v>
      </c>
      <c r="AF126">
        <f t="shared" si="225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6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7"/>
        <v>200</v>
      </c>
      <c r="AM126">
        <f t="shared" si="228"/>
        <v>38210</v>
      </c>
      <c r="AN126">
        <f>_xlfn.XLOOKUP(B126,'[4]june-2025'!$A:$A,'[4]june-2025'!$C:$C,0,0)</f>
        <v>30700</v>
      </c>
      <c r="AO126">
        <f t="shared" si="229"/>
        <v>5526</v>
      </c>
      <c r="AP126">
        <f t="shared" si="230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31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32"/>
        <v>200</v>
      </c>
      <c r="AW126">
        <f t="shared" si="233"/>
        <v>38210</v>
      </c>
      <c r="AX126">
        <f>_xlfn.XLOOKUP(B126,'[5]july-2025'!$A:$A,'[5]july-2025'!$C:$C,0,0)</f>
        <v>34500</v>
      </c>
      <c r="AY126">
        <f t="shared" si="234"/>
        <v>6210</v>
      </c>
      <c r="AZ126">
        <v>0</v>
      </c>
      <c r="BA126">
        <f t="shared" si="235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236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7"/>
        <v>200</v>
      </c>
      <c r="BH126">
        <f t="shared" si="238"/>
        <v>43150</v>
      </c>
      <c r="BI126">
        <f>_xlfn.XLOOKUP(B126,'[6]august-2025'!$A:$A,'[6]august-2025'!$C:$C,0,0)</f>
        <v>34500</v>
      </c>
      <c r="BJ126">
        <f t="shared" si="239"/>
        <v>6210</v>
      </c>
      <c r="BK126">
        <f t="shared" si="240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41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242"/>
        <v>200</v>
      </c>
      <c r="BR126">
        <f t="shared" si="243"/>
        <v>42650</v>
      </c>
      <c r="BS126">
        <f>_xlfn.XLOOKUP(B126,'[7]september-2025'!$A:$A,'[7]september-2025'!$C:$C,0,0)</f>
        <v>34500</v>
      </c>
      <c r="BT126">
        <f t="shared" si="244"/>
        <v>6210</v>
      </c>
      <c r="BU126">
        <f t="shared" si="245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246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47"/>
        <v>200</v>
      </c>
      <c r="CB126">
        <f t="shared" si="248"/>
        <v>42650</v>
      </c>
      <c r="CC126">
        <f>_xlfn.XLOOKUP(B126,'[8]october-2025'!$A:$A,'[8]october-2025'!$C:$C,0,0)</f>
        <v>34500</v>
      </c>
      <c r="CD126">
        <f t="shared" si="249"/>
        <v>6210</v>
      </c>
      <c r="CE126">
        <f t="shared" si="250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251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52"/>
        <v>200</v>
      </c>
      <c r="CL126">
        <f t="shared" si="253"/>
        <v>42650</v>
      </c>
      <c r="CM126">
        <f>_xlfn.XLOOKUP(B126,'[9]november-2025'!$A:$A,'[9]november-2025'!$C:$C,0,0)</f>
        <v>34500</v>
      </c>
      <c r="CN126">
        <f t="shared" si="254"/>
        <v>6210</v>
      </c>
      <c r="CO126">
        <f t="shared" si="25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56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57"/>
        <v>200</v>
      </c>
      <c r="CV126">
        <f t="shared" si="258"/>
        <v>42650</v>
      </c>
      <c r="CW126">
        <f>_xlfn.XLOOKUP(B126,'[10]december-2025'!$A:$A,'[10]december-2025'!$C:$C,0,0)</f>
        <v>34500</v>
      </c>
      <c r="CX126">
        <f t="shared" si="259"/>
        <v>6210</v>
      </c>
      <c r="CY126">
        <f t="shared" si="260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6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62"/>
        <v>200</v>
      </c>
      <c r="DF126">
        <f t="shared" si="263"/>
        <v>42650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 t="shared" si="274"/>
        <v>530012</v>
      </c>
      <c r="EB126">
        <f t="shared" si="275"/>
        <v>2350</v>
      </c>
      <c r="EC126">
        <f t="shared" si="276"/>
        <v>50000</v>
      </c>
      <c r="ED126">
        <v>0</v>
      </c>
      <c r="EE126">
        <f t="shared" si="277"/>
        <v>477662</v>
      </c>
      <c r="EF126">
        <f t="shared" si="278"/>
        <v>27500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27500</v>
      </c>
      <c r="ES126">
        <f t="shared" si="281"/>
        <v>27500</v>
      </c>
      <c r="ET126">
        <f t="shared" si="282"/>
        <v>450162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450162</v>
      </c>
      <c r="FD126">
        <f t="shared" si="285"/>
        <v>10008</v>
      </c>
      <c r="FE126">
        <f t="shared" si="286"/>
        <v>0</v>
      </c>
      <c r="FF126">
        <f t="shared" si="287"/>
        <v>10008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710</v>
      </c>
      <c r="FN126">
        <f t="shared" ca="1" si="294"/>
        <v>530722</v>
      </c>
      <c r="FO126">
        <f t="shared" si="295"/>
        <v>75000</v>
      </c>
      <c r="FP126">
        <f t="shared" ca="1" si="296"/>
        <v>455722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55722</v>
      </c>
      <c r="GB126">
        <f t="shared" ca="1" si="308"/>
        <v>2786.1000000000004</v>
      </c>
      <c r="GC126">
        <f t="shared" ca="1" si="309"/>
        <v>2786</v>
      </c>
      <c r="GD126">
        <f t="shared" ca="1" si="310"/>
        <v>0</v>
      </c>
      <c r="GE126">
        <f t="shared" ca="1" si="311"/>
        <v>0</v>
      </c>
      <c r="GF126">
        <f t="shared" ca="1" si="312"/>
        <v>2786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2786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321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5"/>
        <v>4690</v>
      </c>
      <c r="L127">
        <f t="shared" si="216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217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20"/>
        <v>200</v>
      </c>
      <c r="S127">
        <f t="shared" si="218"/>
        <v>39910</v>
      </c>
      <c r="T127">
        <f>_xlfn.XLOOKUP(B127,'[2]april-2025'!$A:$A,'[2]april-2025'!$C:$C,0,0)</f>
        <v>33500</v>
      </c>
      <c r="U127">
        <f t="shared" si="219"/>
        <v>6030</v>
      </c>
      <c r="V127">
        <f t="shared" si="220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21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22"/>
        <v>200</v>
      </c>
      <c r="AC127">
        <f t="shared" si="223"/>
        <v>41250</v>
      </c>
      <c r="AD127">
        <f>_xlfn.XLOOKUP(B127,'[3]may-2025'!$A:$A,'[3]may-2025'!$C:$C,0,0)</f>
        <v>33500</v>
      </c>
      <c r="AE127">
        <f t="shared" si="224"/>
        <v>6030</v>
      </c>
      <c r="AF127">
        <f t="shared" si="225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6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7"/>
        <v>200</v>
      </c>
      <c r="AM127">
        <f t="shared" si="228"/>
        <v>41250</v>
      </c>
      <c r="AN127">
        <f>_xlfn.XLOOKUP(B127,'[4]june-2025'!$A:$A,'[4]june-2025'!$C:$C,0,0)</f>
        <v>33500</v>
      </c>
      <c r="AO127">
        <f t="shared" si="229"/>
        <v>6030</v>
      </c>
      <c r="AP127">
        <f t="shared" si="230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31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32"/>
        <v>200</v>
      </c>
      <c r="AW127">
        <f t="shared" si="233"/>
        <v>41250</v>
      </c>
      <c r="AX127">
        <f>_xlfn.XLOOKUP(B127,'[5]july-2025'!$A:$A,'[5]july-2025'!$C:$C,0,0)</f>
        <v>34500</v>
      </c>
      <c r="AY127">
        <f t="shared" si="234"/>
        <v>6210</v>
      </c>
      <c r="AZ127">
        <v>0</v>
      </c>
      <c r="BA127">
        <f t="shared" si="235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236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7"/>
        <v>200</v>
      </c>
      <c r="BH127">
        <f t="shared" si="238"/>
        <v>42550</v>
      </c>
      <c r="BI127">
        <f>_xlfn.XLOOKUP(B127,'[6]august-2025'!$A:$A,'[6]august-2025'!$C:$C,0,0)</f>
        <v>34500</v>
      </c>
      <c r="BJ127">
        <f t="shared" si="239"/>
        <v>6210</v>
      </c>
      <c r="BK127">
        <f t="shared" si="240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41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242"/>
        <v>200</v>
      </c>
      <c r="BR127">
        <f t="shared" si="243"/>
        <v>42550</v>
      </c>
      <c r="BS127">
        <f>_xlfn.XLOOKUP(B127,'[7]september-2025'!$A:$A,'[7]september-2025'!$C:$C,0,0)</f>
        <v>34500</v>
      </c>
      <c r="BT127">
        <f t="shared" si="244"/>
        <v>6210</v>
      </c>
      <c r="BU127">
        <f t="shared" si="245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246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47"/>
        <v>200</v>
      </c>
      <c r="CB127">
        <f t="shared" si="248"/>
        <v>42550</v>
      </c>
      <c r="CC127">
        <f>_xlfn.XLOOKUP(B127,'[8]october-2025'!$A:$A,'[8]october-2025'!$C:$C,0,0)</f>
        <v>34500</v>
      </c>
      <c r="CD127">
        <f t="shared" si="249"/>
        <v>6210</v>
      </c>
      <c r="CE127">
        <f t="shared" si="250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251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52"/>
        <v>200</v>
      </c>
      <c r="CL127">
        <f t="shared" si="253"/>
        <v>42550</v>
      </c>
      <c r="CM127">
        <f>_xlfn.XLOOKUP(B127,'[9]november-2025'!$A:$A,'[9]november-2025'!$C:$C,0,0)</f>
        <v>34500</v>
      </c>
      <c r="CN127">
        <f t="shared" si="254"/>
        <v>6210</v>
      </c>
      <c r="CO127">
        <f t="shared" si="25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56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57"/>
        <v>200</v>
      </c>
      <c r="CV127">
        <f t="shared" si="258"/>
        <v>42550</v>
      </c>
      <c r="CW127">
        <f>_xlfn.XLOOKUP(B127,'[10]december-2025'!$A:$A,'[10]december-2025'!$C:$C,0,0)</f>
        <v>34500</v>
      </c>
      <c r="CX127">
        <f t="shared" si="259"/>
        <v>6210</v>
      </c>
      <c r="CY127">
        <f t="shared" si="260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6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62"/>
        <v>200</v>
      </c>
      <c r="DF127">
        <f t="shared" si="263"/>
        <v>42550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543260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490860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460860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460860</v>
      </c>
      <c r="FD127">
        <f t="shared" si="285"/>
        <v>10543</v>
      </c>
      <c r="FE127">
        <f t="shared" si="286"/>
        <v>0</v>
      </c>
      <c r="FF127">
        <f t="shared" si="287"/>
        <v>10543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685</v>
      </c>
      <c r="FN127">
        <f t="shared" ca="1" si="294"/>
        <v>543945</v>
      </c>
      <c r="FO127">
        <f t="shared" si="295"/>
        <v>75000</v>
      </c>
      <c r="FP127">
        <f t="shared" ca="1" si="296"/>
        <v>468945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68945</v>
      </c>
      <c r="GB127">
        <f t="shared" ca="1" si="308"/>
        <v>3447.25</v>
      </c>
      <c r="GC127">
        <f t="shared" ca="1" si="309"/>
        <v>3447</v>
      </c>
      <c r="GD127">
        <f t="shared" ca="1" si="310"/>
        <v>0</v>
      </c>
      <c r="GE127">
        <f t="shared" ca="1" si="311"/>
        <v>0</v>
      </c>
      <c r="GF127">
        <f t="shared" ca="1" si="312"/>
        <v>3447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3447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321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5"/>
        <v>3780.0000000000005</v>
      </c>
      <c r="L128">
        <f t="shared" si="216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217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20"/>
        <v>150</v>
      </c>
      <c r="S128">
        <f t="shared" si="218"/>
        <v>31870</v>
      </c>
      <c r="T128">
        <f>_xlfn.XLOOKUP(B128,'[2]april-2025'!$A:$A,'[2]april-2025'!$C:$C,0,0)</f>
        <v>27000</v>
      </c>
      <c r="U128">
        <f t="shared" si="219"/>
        <v>4860</v>
      </c>
      <c r="V128">
        <f t="shared" si="220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21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22"/>
        <v>150</v>
      </c>
      <c r="AC128">
        <f t="shared" si="223"/>
        <v>32950</v>
      </c>
      <c r="AD128">
        <f>_xlfn.XLOOKUP(B128,'[3]may-2025'!$A:$A,'[3]may-2025'!$C:$C,0,0)</f>
        <v>31600</v>
      </c>
      <c r="AE128">
        <f t="shared" si="224"/>
        <v>5688</v>
      </c>
      <c r="AF128">
        <f t="shared" si="225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6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7"/>
        <v>200</v>
      </c>
      <c r="AM128">
        <f t="shared" si="228"/>
        <v>38880</v>
      </c>
      <c r="AN128">
        <f>_xlfn.XLOOKUP(B128,'[4]june-2025'!$A:$A,'[4]june-2025'!$C:$C,0,0)</f>
        <v>31600</v>
      </c>
      <c r="AO128">
        <f t="shared" si="229"/>
        <v>5688</v>
      </c>
      <c r="AP128">
        <f t="shared" si="230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31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32"/>
        <v>200</v>
      </c>
      <c r="AW128">
        <f t="shared" si="233"/>
        <v>38880</v>
      </c>
      <c r="AX128">
        <f>_xlfn.XLOOKUP(B128,'[5]july-2025'!$A:$A,'[5]july-2025'!$C:$C,0,0)</f>
        <v>32500</v>
      </c>
      <c r="AY128">
        <f t="shared" si="234"/>
        <v>5850</v>
      </c>
      <c r="AZ128">
        <v>0</v>
      </c>
      <c r="BA128">
        <f t="shared" si="235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236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7"/>
        <v>200</v>
      </c>
      <c r="BH128">
        <f t="shared" si="238"/>
        <v>40050</v>
      </c>
      <c r="BI128">
        <f>_xlfn.XLOOKUP(B128,'[6]august-2025'!$A:$A,'[6]august-2025'!$C:$C,0,0)</f>
        <v>32500</v>
      </c>
      <c r="BJ128">
        <f t="shared" si="239"/>
        <v>5850</v>
      </c>
      <c r="BK128">
        <f t="shared" si="240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41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242"/>
        <v>200</v>
      </c>
      <c r="BR128">
        <f t="shared" si="243"/>
        <v>40050</v>
      </c>
      <c r="BS128">
        <f>_xlfn.XLOOKUP(B128,'[7]september-2025'!$A:$A,'[7]september-2025'!$C:$C,0,0)</f>
        <v>32500</v>
      </c>
      <c r="BT128">
        <f t="shared" si="244"/>
        <v>5850</v>
      </c>
      <c r="BU128">
        <f t="shared" si="245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246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47"/>
        <v>200</v>
      </c>
      <c r="CB128">
        <f t="shared" si="248"/>
        <v>40050</v>
      </c>
      <c r="CC128">
        <f>_xlfn.XLOOKUP(B128,'[8]october-2025'!$A:$A,'[8]october-2025'!$C:$C,0,0)</f>
        <v>32500</v>
      </c>
      <c r="CD128">
        <f t="shared" si="249"/>
        <v>5850</v>
      </c>
      <c r="CE128">
        <f t="shared" si="250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251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52"/>
        <v>200</v>
      </c>
      <c r="CL128">
        <f t="shared" si="253"/>
        <v>40050</v>
      </c>
      <c r="CM128">
        <f>_xlfn.XLOOKUP(B128,'[9]november-2025'!$A:$A,'[9]november-2025'!$C:$C,0,0)</f>
        <v>32500</v>
      </c>
      <c r="CN128">
        <f t="shared" si="254"/>
        <v>5850</v>
      </c>
      <c r="CO128">
        <f t="shared" si="25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56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57"/>
        <v>200</v>
      </c>
      <c r="CV128">
        <f t="shared" si="258"/>
        <v>40050</v>
      </c>
      <c r="CW128">
        <f>_xlfn.XLOOKUP(B128,'[10]december-2025'!$A:$A,'[10]december-2025'!$C:$C,0,0)</f>
        <v>32500</v>
      </c>
      <c r="CX128">
        <f t="shared" si="259"/>
        <v>5850</v>
      </c>
      <c r="CY128">
        <f t="shared" si="260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6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62"/>
        <v>200</v>
      </c>
      <c r="DF128">
        <f t="shared" si="263"/>
        <v>40050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496080</v>
      </c>
      <c r="EB128">
        <f t="shared" si="275"/>
        <v>2300</v>
      </c>
      <c r="EC128">
        <f t="shared" si="276"/>
        <v>50000</v>
      </c>
      <c r="ED128">
        <v>0</v>
      </c>
      <c r="EE128">
        <f t="shared" si="277"/>
        <v>443780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419780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419780</v>
      </c>
      <c r="FD128">
        <f t="shared" si="285"/>
        <v>8489</v>
      </c>
      <c r="FE128">
        <f t="shared" si="286"/>
        <v>0</v>
      </c>
      <c r="FF128">
        <f t="shared" si="287"/>
        <v>8489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0</v>
      </c>
      <c r="FM128">
        <f t="shared" ca="1" si="293"/>
        <v>2596</v>
      </c>
      <c r="FN128">
        <f t="shared" ca="1" si="294"/>
        <v>498676</v>
      </c>
      <c r="FO128">
        <f t="shared" si="295"/>
        <v>75000</v>
      </c>
      <c r="FP128">
        <f t="shared" ca="1" si="296"/>
        <v>423676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23676</v>
      </c>
      <c r="GB128">
        <f t="shared" ca="1" si="308"/>
        <v>1183.8</v>
      </c>
      <c r="GC128">
        <f t="shared" ca="1" si="309"/>
        <v>1184</v>
      </c>
      <c r="GD128">
        <f t="shared" ca="1" si="310"/>
        <v>0</v>
      </c>
      <c r="GE128">
        <f t="shared" ca="1" si="311"/>
        <v>0</v>
      </c>
      <c r="GF128">
        <f t="shared" ca="1" si="312"/>
        <v>1184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1184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321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5"/>
        <v>4046.0000000000005</v>
      </c>
      <c r="L129">
        <f t="shared" si="216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217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20"/>
        <v>150</v>
      </c>
      <c r="S129">
        <f t="shared" si="218"/>
        <v>34764</v>
      </c>
      <c r="T129">
        <f>_xlfn.XLOOKUP(B129,'[2]april-2025'!$A:$A,'[2]april-2025'!$C:$C,0,0)</f>
        <v>28900</v>
      </c>
      <c r="U129">
        <f t="shared" si="219"/>
        <v>5202</v>
      </c>
      <c r="V129">
        <f t="shared" si="220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21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22"/>
        <v>150</v>
      </c>
      <c r="AC129">
        <f t="shared" si="223"/>
        <v>35920</v>
      </c>
      <c r="AD129">
        <f>_xlfn.XLOOKUP(B129,'[3]may-2025'!$A:$A,'[3]may-2025'!$C:$C,0,0)</f>
        <v>28900</v>
      </c>
      <c r="AE129">
        <f t="shared" si="224"/>
        <v>5202</v>
      </c>
      <c r="AF129">
        <f t="shared" si="225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6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7"/>
        <v>150</v>
      </c>
      <c r="AM129">
        <f t="shared" si="228"/>
        <v>35920</v>
      </c>
      <c r="AN129">
        <f>_xlfn.XLOOKUP(B129,'[4]june-2025'!$A:$A,'[4]june-2025'!$C:$C,0,0)</f>
        <v>28900</v>
      </c>
      <c r="AO129">
        <f t="shared" si="229"/>
        <v>5202</v>
      </c>
      <c r="AP129">
        <f t="shared" si="230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31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32"/>
        <v>150</v>
      </c>
      <c r="AW129">
        <f t="shared" si="233"/>
        <v>35920</v>
      </c>
      <c r="AX129">
        <f>_xlfn.XLOOKUP(B129,'[5]july-2025'!$A:$A,'[5]july-2025'!$C:$C,0,0)</f>
        <v>29800</v>
      </c>
      <c r="AY129">
        <f t="shared" si="234"/>
        <v>5364</v>
      </c>
      <c r="AZ129">
        <v>0</v>
      </c>
      <c r="BA129">
        <f t="shared" si="235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236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7"/>
        <v>150</v>
      </c>
      <c r="BH129">
        <f t="shared" si="238"/>
        <v>37090</v>
      </c>
      <c r="BI129">
        <f>_xlfn.XLOOKUP(B129,'[6]august-2025'!$A:$A,'[6]august-2025'!$C:$C,0,0)</f>
        <v>29800</v>
      </c>
      <c r="BJ129">
        <f t="shared" si="239"/>
        <v>5364</v>
      </c>
      <c r="BK129">
        <f t="shared" si="240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41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242"/>
        <v>150</v>
      </c>
      <c r="BR129">
        <f t="shared" si="243"/>
        <v>37090</v>
      </c>
      <c r="BS129">
        <f>_xlfn.XLOOKUP(B129,'[7]september-2025'!$A:$A,'[7]september-2025'!$C:$C,0,0)</f>
        <v>29800</v>
      </c>
      <c r="BT129">
        <f t="shared" si="244"/>
        <v>5364</v>
      </c>
      <c r="BU129">
        <f t="shared" si="245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246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47"/>
        <v>150</v>
      </c>
      <c r="CB129">
        <f t="shared" si="248"/>
        <v>37090</v>
      </c>
      <c r="CC129">
        <f>_xlfn.XLOOKUP(B129,'[8]october-2025'!$A:$A,'[8]october-2025'!$C:$C,0,0)</f>
        <v>29800</v>
      </c>
      <c r="CD129">
        <f t="shared" si="249"/>
        <v>5364</v>
      </c>
      <c r="CE129">
        <f t="shared" si="250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251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52"/>
        <v>150</v>
      </c>
      <c r="CL129">
        <f t="shared" si="253"/>
        <v>37090</v>
      </c>
      <c r="CM129">
        <f>_xlfn.XLOOKUP(B129,'[9]november-2025'!$A:$A,'[9]november-2025'!$C:$C,0,0)</f>
        <v>29800</v>
      </c>
      <c r="CN129">
        <f t="shared" si="254"/>
        <v>5364</v>
      </c>
      <c r="CO129">
        <f t="shared" si="25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56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57"/>
        <v>150</v>
      </c>
      <c r="CV129">
        <f t="shared" si="258"/>
        <v>37090</v>
      </c>
      <c r="CW129">
        <f>_xlfn.XLOOKUP(B129,'[10]december-2025'!$A:$A,'[10]december-2025'!$C:$C,0,0)</f>
        <v>29800</v>
      </c>
      <c r="CX129">
        <f t="shared" si="259"/>
        <v>5364</v>
      </c>
      <c r="CY129">
        <f t="shared" si="260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6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62"/>
        <v>150</v>
      </c>
      <c r="DF129">
        <f t="shared" si="263"/>
        <v>37090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471844</v>
      </c>
      <c r="EB129">
        <f t="shared" si="275"/>
        <v>1800</v>
      </c>
      <c r="EC129">
        <f t="shared" si="276"/>
        <v>50000</v>
      </c>
      <c r="ED129">
        <v>0</v>
      </c>
      <c r="EE129">
        <f t="shared" si="277"/>
        <v>420044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396044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396044</v>
      </c>
      <c r="FD129">
        <f t="shared" si="285"/>
        <v>7302</v>
      </c>
      <c r="FE129">
        <f t="shared" si="286"/>
        <v>0</v>
      </c>
      <c r="FF129">
        <f t="shared" si="287"/>
        <v>7302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1030</v>
      </c>
      <c r="FN129">
        <f t="shared" ca="1" si="294"/>
        <v>472874</v>
      </c>
      <c r="FO129">
        <f t="shared" si="295"/>
        <v>75000</v>
      </c>
      <c r="FP129">
        <f t="shared" ca="1" si="296"/>
        <v>397874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0</v>
      </c>
      <c r="GB129">
        <f t="shared" ca="1" si="308"/>
        <v>0</v>
      </c>
      <c r="GC129">
        <f t="shared" ca="1" si="309"/>
        <v>0</v>
      </c>
      <c r="GD129">
        <f t="shared" ca="1" si="310"/>
        <v>0</v>
      </c>
      <c r="GE129">
        <f t="shared" ca="1" si="311"/>
        <v>0</v>
      </c>
      <c r="GF129">
        <f t="shared" ca="1" si="312"/>
        <v>0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0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321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5"/>
        <v>7238.0000000000009</v>
      </c>
      <c r="L130">
        <f t="shared" si="216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si="217"/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20"/>
        <v>200</v>
      </c>
      <c r="S130">
        <f t="shared" si="218"/>
        <v>60842</v>
      </c>
      <c r="T130">
        <f>_xlfn.XLOOKUP(B130,'[2]april-2025'!$A:$A,'[2]april-2025'!$C:$C,0,0)</f>
        <v>51700</v>
      </c>
      <c r="U130">
        <f t="shared" si="219"/>
        <v>9306</v>
      </c>
      <c r="V130">
        <f t="shared" si="220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21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22"/>
        <v>200</v>
      </c>
      <c r="AC130">
        <f t="shared" si="223"/>
        <v>62910</v>
      </c>
      <c r="AD130">
        <f>_xlfn.XLOOKUP(B130,'[3]may-2025'!$A:$A,'[3]may-2025'!$C:$C,0,0)</f>
        <v>51700</v>
      </c>
      <c r="AE130">
        <f t="shared" si="224"/>
        <v>9306</v>
      </c>
      <c r="AF130">
        <f t="shared" si="225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6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7"/>
        <v>200</v>
      </c>
      <c r="AM130">
        <f t="shared" si="228"/>
        <v>62910</v>
      </c>
      <c r="AN130">
        <f>_xlfn.XLOOKUP(B130,'[4]june-2025'!$A:$A,'[4]june-2025'!$C:$C,0,0)</f>
        <v>51700</v>
      </c>
      <c r="AO130">
        <f t="shared" si="229"/>
        <v>9306</v>
      </c>
      <c r="AP130">
        <f t="shared" si="230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31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32"/>
        <v>200</v>
      </c>
      <c r="AW130">
        <f t="shared" si="233"/>
        <v>62910</v>
      </c>
      <c r="AX130">
        <f>_xlfn.XLOOKUP(B130,'[5]july-2025'!$A:$A,'[5]july-2025'!$C:$C,0,0)</f>
        <v>53300</v>
      </c>
      <c r="AY130">
        <f t="shared" si="234"/>
        <v>9594</v>
      </c>
      <c r="AZ130">
        <v>0</v>
      </c>
      <c r="BA130">
        <f t="shared" si="235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si="236"/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7"/>
        <v>200</v>
      </c>
      <c r="BH130">
        <f t="shared" si="238"/>
        <v>64990</v>
      </c>
      <c r="BI130">
        <f>_xlfn.XLOOKUP(B130,'[6]august-2025'!$A:$A,'[6]august-2025'!$C:$C,0,0)</f>
        <v>53300</v>
      </c>
      <c r="BJ130">
        <f t="shared" si="239"/>
        <v>9594</v>
      </c>
      <c r="BK130">
        <f t="shared" si="240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41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si="242"/>
        <v>200</v>
      </c>
      <c r="BR130">
        <f t="shared" si="243"/>
        <v>64990</v>
      </c>
      <c r="BS130">
        <f>_xlfn.XLOOKUP(B130,'[7]september-2025'!$A:$A,'[7]september-2025'!$C:$C,0,0)</f>
        <v>53300</v>
      </c>
      <c r="BT130">
        <f t="shared" si="244"/>
        <v>9594</v>
      </c>
      <c r="BU130">
        <f t="shared" si="245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si="246"/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47"/>
        <v>200</v>
      </c>
      <c r="CB130">
        <f t="shared" si="248"/>
        <v>64990</v>
      </c>
      <c r="CC130">
        <f>_xlfn.XLOOKUP(B130,'[8]october-2025'!$A:$A,'[8]october-2025'!$C:$C,0,0)</f>
        <v>53300</v>
      </c>
      <c r="CD130">
        <f t="shared" si="249"/>
        <v>9594</v>
      </c>
      <c r="CE130">
        <f t="shared" si="250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si="251"/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52"/>
        <v>200</v>
      </c>
      <c r="CL130">
        <f t="shared" si="253"/>
        <v>64990</v>
      </c>
      <c r="CM130">
        <f>_xlfn.XLOOKUP(B130,'[9]november-2025'!$A:$A,'[9]november-2025'!$C:$C,0,0)</f>
        <v>53300</v>
      </c>
      <c r="CN130">
        <f t="shared" si="254"/>
        <v>9594</v>
      </c>
      <c r="CO130">
        <f t="shared" si="25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si="256"/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57"/>
        <v>200</v>
      </c>
      <c r="CV130">
        <f t="shared" si="258"/>
        <v>64990</v>
      </c>
      <c r="CW130">
        <f>_xlfn.XLOOKUP(B130,'[10]december-2025'!$A:$A,'[10]december-2025'!$C:$C,0,0)</f>
        <v>53300</v>
      </c>
      <c r="CX130">
        <f t="shared" si="259"/>
        <v>9594</v>
      </c>
      <c r="CY130">
        <f t="shared" si="260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si="261"/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62"/>
        <v>200</v>
      </c>
      <c r="DF130">
        <f t="shared" si="263"/>
        <v>64990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838692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786292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726292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726292</v>
      </c>
      <c r="FD130">
        <f t="shared" si="285"/>
        <v>12500</v>
      </c>
      <c r="FE130">
        <f t="shared" si="286"/>
        <v>45258</v>
      </c>
      <c r="FF130">
        <f t="shared" si="287"/>
        <v>57758</v>
      </c>
      <c r="FG130">
        <f t="shared" si="288"/>
        <v>57758</v>
      </c>
      <c r="FH130">
        <f t="shared" si="289"/>
        <v>2310.3200000000002</v>
      </c>
      <c r="FI130">
        <f t="shared" si="290"/>
        <v>60068</v>
      </c>
      <c r="FJ130">
        <v>0</v>
      </c>
      <c r="FK130">
        <f t="shared" si="291"/>
        <v>60068</v>
      </c>
      <c r="FL130" t="b">
        <f t="shared" si="292"/>
        <v>1</v>
      </c>
      <c r="FM130">
        <f t="shared" ca="1" si="293"/>
        <v>759</v>
      </c>
      <c r="FN130">
        <f t="shared" ca="1" si="294"/>
        <v>839451</v>
      </c>
      <c r="FO130">
        <f t="shared" si="295"/>
        <v>75000</v>
      </c>
      <c r="FP130">
        <f t="shared" ca="1" si="296"/>
        <v>764451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364451</v>
      </c>
      <c r="GB130">
        <f t="shared" ca="1" si="308"/>
        <v>18222.55</v>
      </c>
      <c r="GC130">
        <f t="shared" ca="1" si="309"/>
        <v>18223</v>
      </c>
      <c r="GD130">
        <f t="shared" ca="1" si="310"/>
        <v>0</v>
      </c>
      <c r="GE130">
        <f t="shared" ca="1" si="311"/>
        <v>0</v>
      </c>
      <c r="GF130">
        <f t="shared" ca="1" si="312"/>
        <v>18223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18223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321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5"/>
        <v>4424</v>
      </c>
      <c r="L131">
        <f t="shared" si="216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7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20"/>
        <v>200</v>
      </c>
      <c r="S131">
        <f t="shared" si="218"/>
        <v>37116</v>
      </c>
      <c r="T131">
        <f>_xlfn.XLOOKUP(B131,'[2]april-2025'!$A:$A,'[2]april-2025'!$C:$C,0,0)</f>
        <v>31600</v>
      </c>
      <c r="U131">
        <f t="shared" si="219"/>
        <v>5688</v>
      </c>
      <c r="V131">
        <f t="shared" si="220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si="221"/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22"/>
        <v>200</v>
      </c>
      <c r="AC131">
        <f t="shared" si="223"/>
        <v>38380</v>
      </c>
      <c r="AD131">
        <f>_xlfn.XLOOKUP(B131,'[3]may-2025'!$A:$A,'[3]may-2025'!$C:$C,0,0)</f>
        <v>31600</v>
      </c>
      <c r="AE131">
        <f t="shared" si="224"/>
        <v>5688</v>
      </c>
      <c r="AF131">
        <f t="shared" si="225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si="226"/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7"/>
        <v>200</v>
      </c>
      <c r="AM131">
        <f t="shared" si="228"/>
        <v>38380</v>
      </c>
      <c r="AN131">
        <f>_xlfn.XLOOKUP(B131,'[4]june-2025'!$A:$A,'[4]june-2025'!$C:$C,0,0)</f>
        <v>31600</v>
      </c>
      <c r="AO131">
        <f t="shared" si="229"/>
        <v>5688</v>
      </c>
      <c r="AP131">
        <f t="shared" si="230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si="231"/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32"/>
        <v>200</v>
      </c>
      <c r="AW131">
        <f t="shared" si="233"/>
        <v>38380</v>
      </c>
      <c r="AX131">
        <f>_xlfn.XLOOKUP(B131,'[5]july-2025'!$A:$A,'[5]july-2025'!$C:$C,0,0)</f>
        <v>32500</v>
      </c>
      <c r="AY131">
        <f t="shared" si="234"/>
        <v>5850</v>
      </c>
      <c r="AZ131">
        <v>0</v>
      </c>
      <c r="BA131">
        <f t="shared" si="235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236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7"/>
        <v>200</v>
      </c>
      <c r="BH131">
        <f t="shared" si="238"/>
        <v>39550</v>
      </c>
      <c r="BI131">
        <f>_xlfn.XLOOKUP(B131,'[6]august-2025'!$A:$A,'[6]august-2025'!$C:$C,0,0)</f>
        <v>32500</v>
      </c>
      <c r="BJ131">
        <f t="shared" si="239"/>
        <v>5850</v>
      </c>
      <c r="BK131">
        <f t="shared" si="240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41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242"/>
        <v>200</v>
      </c>
      <c r="BR131">
        <f t="shared" si="243"/>
        <v>39550</v>
      </c>
      <c r="BS131">
        <f>_xlfn.XLOOKUP(B131,'[7]september-2025'!$A:$A,'[7]september-2025'!$C:$C,0,0)</f>
        <v>32500</v>
      </c>
      <c r="BT131">
        <f t="shared" si="244"/>
        <v>5850</v>
      </c>
      <c r="BU131">
        <f t="shared" si="245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246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47"/>
        <v>200</v>
      </c>
      <c r="CB131">
        <f t="shared" si="248"/>
        <v>39550</v>
      </c>
      <c r="CC131">
        <f>_xlfn.XLOOKUP(B131,'[8]october-2025'!$A:$A,'[8]october-2025'!$C:$C,0,0)</f>
        <v>32500</v>
      </c>
      <c r="CD131">
        <f t="shared" si="249"/>
        <v>5850</v>
      </c>
      <c r="CE131">
        <f t="shared" si="250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251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52"/>
        <v>200</v>
      </c>
      <c r="CL131">
        <f t="shared" si="253"/>
        <v>39550</v>
      </c>
      <c r="CM131">
        <f>_xlfn.XLOOKUP(B131,'[9]november-2025'!$A:$A,'[9]november-2025'!$C:$C,0,0)</f>
        <v>32500</v>
      </c>
      <c r="CN131">
        <f t="shared" si="254"/>
        <v>5850</v>
      </c>
      <c r="CO131">
        <f t="shared" si="25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256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57"/>
        <v>200</v>
      </c>
      <c r="CV131">
        <f t="shared" si="258"/>
        <v>39550</v>
      </c>
      <c r="CW131">
        <f>_xlfn.XLOOKUP(B131,'[10]december-2025'!$A:$A,'[10]december-2025'!$C:$C,0,0)</f>
        <v>32500</v>
      </c>
      <c r="CX131">
        <f t="shared" si="259"/>
        <v>5850</v>
      </c>
      <c r="CY131">
        <f t="shared" si="260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261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62"/>
        <v>200</v>
      </c>
      <c r="DF131">
        <f t="shared" si="263"/>
        <v>39550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513856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461456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425456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425456</v>
      </c>
      <c r="FD131">
        <f t="shared" si="285"/>
        <v>8773</v>
      </c>
      <c r="FE131">
        <f t="shared" si="286"/>
        <v>0</v>
      </c>
      <c r="FF131">
        <f t="shared" si="287"/>
        <v>8773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512</v>
      </c>
      <c r="FN131">
        <f t="shared" ca="1" si="294"/>
        <v>514368</v>
      </c>
      <c r="FO131">
        <f t="shared" si="295"/>
        <v>75000</v>
      </c>
      <c r="FP131">
        <f t="shared" ca="1" si="296"/>
        <v>439368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39368</v>
      </c>
      <c r="GB131">
        <f t="shared" ca="1" si="308"/>
        <v>1968.4</v>
      </c>
      <c r="GC131">
        <f t="shared" ca="1" si="309"/>
        <v>1968</v>
      </c>
      <c r="GD131">
        <f t="shared" ca="1" si="310"/>
        <v>0</v>
      </c>
      <c r="GE131">
        <f t="shared" ca="1" si="311"/>
        <v>0</v>
      </c>
      <c r="GF131">
        <f t="shared" ca="1" si="312"/>
        <v>1968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1968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429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30">J132*0.14</f>
        <v>0</v>
      </c>
      <c r="L132">
        <f t="shared" ref="L132:L195" si="431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ref="O132:O195" si="432"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20"/>
        <v>0</v>
      </c>
      <c r="S132">
        <f t="shared" ref="S132:S195" si="433">O132-P132-Q132-R132</f>
        <v>0</v>
      </c>
      <c r="T132">
        <f>_xlfn.XLOOKUP(B132,'[2]april-2025'!$A:$A,'[2]april-2025'!$C:$C,0,0)</f>
        <v>0</v>
      </c>
      <c r="U132">
        <f t="shared" ref="U132:U195" si="434">T132*0.18</f>
        <v>0</v>
      </c>
      <c r="V132">
        <f t="shared" ref="V132:V195" si="43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ref="Y132:Y195" si="436">IF(T132&gt;0,SUM(T132:X132),0)</f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37">IF($F132="YES",0,IF(Y132&gt;40000,200,IF(Y132&gt;25000,150,IF(Y132&gt;15000,130,IF(Y132&gt;10000,110,0)))))</f>
        <v>0</v>
      </c>
      <c r="AC132">
        <f t="shared" ref="AC132:AC195" si="438">Y132-Z132-AA132-AB132</f>
        <v>0</v>
      </c>
      <c r="AD132">
        <f>_xlfn.XLOOKUP(B132,'[3]may-2025'!$A:$A,'[3]may-2025'!$C:$C,0,0)</f>
        <v>24700</v>
      </c>
      <c r="AE132">
        <f t="shared" ref="AE132:AE195" si="439">AD132*0.18</f>
        <v>4446</v>
      </c>
      <c r="AF132">
        <f t="shared" ref="AF132:AF195" si="440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ref="AI132:AI195" si="441">IF(AD132&gt;0,SUM(AD132:AH132),0)</f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42">IF($F132="YES",0,IF(AI132&gt;40000,200,IF(AI132&gt;25000,150,IF(AI132&gt;15000,130,IF(AI132&gt;10000,110,0)))))</f>
        <v>150</v>
      </c>
      <c r="AM132">
        <f t="shared" ref="AM132:AM195" si="443">AI132-AJ132-AK132-AL132</f>
        <v>31960</v>
      </c>
      <c r="AN132">
        <f>_xlfn.XLOOKUP(B132,'[4]june-2025'!$A:$A,'[4]june-2025'!$C:$C,0,0)</f>
        <v>24700</v>
      </c>
      <c r="AO132">
        <f t="shared" ref="AO132:AO195" si="444">AN132*0.18</f>
        <v>4446</v>
      </c>
      <c r="AP132">
        <f t="shared" ref="AP132:AP195" si="445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ref="AS132:AS195" si="446">IF(AN132&gt;0,SUM(AN132:AR132),0)</f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47">IF($F132="YES",0,IF(AS132&gt;40000,200,IF(AS132&gt;25000,150,IF(AS132&gt;15000,130,IF(AS132&gt;10000,110,0)))))</f>
        <v>150</v>
      </c>
      <c r="AW132">
        <f t="shared" ref="AW132:AW195" si="448">AS132-AT132-AU132-AV132</f>
        <v>31960</v>
      </c>
      <c r="AX132">
        <f>_xlfn.XLOOKUP(B132,'[5]july-2025'!$A:$A,'[5]july-2025'!$C:$C,0,0)</f>
        <v>24700</v>
      </c>
      <c r="AY132">
        <f t="shared" ref="AY132:AY195" si="449">AX132*0.18</f>
        <v>4446</v>
      </c>
      <c r="AZ132">
        <v>0</v>
      </c>
      <c r="BA132">
        <f t="shared" ref="BA132:BA195" si="450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ref="BD132:BD195" si="451">IF(AX132&gt;0,SUM(AX132:BC132),0)</f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52">IF($F132="YES",0,IF(BD132&gt;40000,200,IF(BD132&gt;25000,150,IF(BD132&gt;15000,130,IF(BD132&gt;10000,110,0)))))</f>
        <v>150</v>
      </c>
      <c r="BH132">
        <f t="shared" ref="BH132:BH195" si="453">BD132-BE132-BF132-BG132</f>
        <v>31960</v>
      </c>
      <c r="BI132">
        <f>_xlfn.XLOOKUP(B132,'[6]august-2025'!$A:$A,'[6]august-2025'!$C:$C,0,0)</f>
        <v>24700</v>
      </c>
      <c r="BJ132">
        <f t="shared" ref="BJ132:BJ195" si="454">BI132*0.18</f>
        <v>4446</v>
      </c>
      <c r="BK132">
        <f t="shared" ref="BK132:BK195" si="455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56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ref="BQ132:BQ195" si="457">IF($F132="YES",0,IF(BN132&gt;40000,200,IF(BN132&gt;25000,150,IF(BN132&gt;15000,130,IF(BN132&gt;10000,110,0)))))</f>
        <v>150</v>
      </c>
      <c r="BR132">
        <f t="shared" ref="BR132:BR195" si="458">BN132-BO132-BP132-BQ132</f>
        <v>31960</v>
      </c>
      <c r="BS132">
        <f>_xlfn.XLOOKUP(B132,'[7]september-2025'!$A:$A,'[7]september-2025'!$C:$C,0,0)</f>
        <v>24700</v>
      </c>
      <c r="BT132">
        <f t="shared" ref="BT132:BT195" si="459">BS132*0.18</f>
        <v>4446</v>
      </c>
      <c r="BU132">
        <f t="shared" ref="BU132:BU195" si="460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ref="BX132:BX195" si="461">IF(BS132&gt;0,SUM(BS132:BW132),0)</f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62">IF($F132="YES",0,IF(BX132&gt;40000,200,IF(BX132&gt;25000,150,IF(BX132&gt;15000,130,IF(BX132&gt;10000,110,0)))))</f>
        <v>150</v>
      </c>
      <c r="CB132">
        <f t="shared" ref="CB132:CB195" si="463">BX132-BY132-BZ132-CA132</f>
        <v>31960</v>
      </c>
      <c r="CC132">
        <f>_xlfn.XLOOKUP(B132,'[8]october-2025'!$A:$A,'[8]october-2025'!$C:$C,0,0)</f>
        <v>24700</v>
      </c>
      <c r="CD132">
        <f t="shared" ref="CD132:CD195" si="464">CC132*0.18</f>
        <v>4446</v>
      </c>
      <c r="CE132">
        <f t="shared" ref="CE132:CE195" si="465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ref="CH132:CH195" si="466">IF(CC132&gt;0,SUM(CC132:CG132),0)</f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67">IF($F132="YES",0,IF(CH132&gt;40000,200,IF(CH132&gt;25000,150,IF(CH132&gt;15000,130,IF(CH132&gt;10000,110,0)))))</f>
        <v>150</v>
      </c>
      <c r="CL132">
        <f t="shared" ref="CL132:CL195" si="468">CH132-CI132-CJ132-CK132</f>
        <v>31960</v>
      </c>
      <c r="CM132">
        <f>_xlfn.XLOOKUP(B132,'[9]november-2025'!$A:$A,'[9]november-2025'!$C:$C,0,0)</f>
        <v>24700</v>
      </c>
      <c r="CN132">
        <f t="shared" ref="CN132:CN195" si="469">CM132*0.18</f>
        <v>4446</v>
      </c>
      <c r="CO132">
        <f t="shared" ref="CO132:CO195" si="470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ref="CR132:CR195" si="471">IF(CM132&gt;0,SUM(CM132:CQ132),0)</f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72">IF($F132="YES",0,IF(CR132&gt;40000,200,IF(CR132&gt;25000,150,IF(CR132&gt;15000,130,IF(CR132&gt;10000,110,0)))))</f>
        <v>150</v>
      </c>
      <c r="CV132">
        <f t="shared" ref="CV132:CV195" si="473">CR132-CS132-CT132-CU132</f>
        <v>31960</v>
      </c>
      <c r="CW132">
        <f>_xlfn.XLOOKUP(B132,'[10]december-2025'!$A:$A,'[10]december-2025'!$C:$C,0,0)</f>
        <v>24700</v>
      </c>
      <c r="CX132">
        <f t="shared" ref="CX132:CX195" si="474">ROUND(CW132*0.18,0)</f>
        <v>4446</v>
      </c>
      <c r="CY132">
        <f t="shared" ref="CY132:CY195" si="475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ref="DB132:DB195" si="476">IF(CW132&gt;0,SUM(CW132:DA132),0)</f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77">IF($F132="YES",0,IF(DB132&gt;40000,200,IF(DB132&gt;25000,150,IF(DB132&gt;15000,130,IF(DB132&gt;10000,110,0)))))</f>
        <v>150</v>
      </c>
      <c r="DF132">
        <f t="shared" ref="DF132:DF195" si="478">DB132-DC132-DD132-DE132</f>
        <v>31960</v>
      </c>
      <c r="DG132">
        <f>_xlfn.XLOOKUP(B132,'[11]january-2026'!$A:$A,'[11]january-2026'!$C:$C,0,0)</f>
        <v>24700</v>
      </c>
      <c r="DH132">
        <f t="shared" ref="DH132:DH195" si="479">DG132*0.18</f>
        <v>4446</v>
      </c>
      <c r="DI132">
        <f t="shared" ref="DI132:DI195" si="48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1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2">IF($F132="YES",0,IF(DL132&gt;40000,200,IF(DL132&gt;25000,150,IF(DL132&gt;15000,130,IF(DL132&gt;10000,110,0)))))</f>
        <v>150</v>
      </c>
      <c r="DP132">
        <f t="shared" ref="DP132:DP195" si="483">DL132-DM132-DN132-DO132</f>
        <v>29960</v>
      </c>
      <c r="DQ132">
        <f>_xlfn.XLOOKUP(B132,'[12]february-2026'!$A:$A,'[12]february-2026'!$C:$C,0,0)</f>
        <v>24700</v>
      </c>
      <c r="DR132">
        <f t="shared" ref="DR132:DR195" si="484">DQ132*0.18</f>
        <v>4446</v>
      </c>
      <c r="DS132">
        <f t="shared" ref="DS132:DS195" si="485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6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7">IF($F132="YES",0,IF(DV132&gt;40000,200,IF(DV132&gt;25000,150,IF(DV132&gt;15000,130,IF(DV132&gt;10000,110,0)))))</f>
        <v>150</v>
      </c>
      <c r="DZ132">
        <f t="shared" ref="DZ132:DZ195" si="488">DV132-DW132-DX132-DY132</f>
        <v>29960</v>
      </c>
      <c r="EA132">
        <f t="shared" ref="EA132:EA195" si="489">DV132+DL132+DB132+CR132+CH132+BX132+BN132+BD132+AS132+AI132+Y132+O132+H132+I132</f>
        <v>321100</v>
      </c>
      <c r="EB132">
        <f t="shared" ref="EB132:EB195" si="490">DY132+DO132+DE132+CU132+CK132+CA132+BQ132+BG132+AV132+AL132+AB132+R132</f>
        <v>1500</v>
      </c>
      <c r="EC132">
        <f t="shared" ref="EC132:EC195" si="491">IF(EA132&gt;0,50000,0)</f>
        <v>50000</v>
      </c>
      <c r="ED132">
        <v>0</v>
      </c>
      <c r="EE132">
        <f t="shared" ref="EE132:EE195" si="492">EA132-EB132-EC132</f>
        <v>269600</v>
      </c>
      <c r="EF132">
        <f t="shared" ref="EF132:EF195" si="493">DW132+DM132+DC132+CS132+CI132+BY132+BO132+BE132+AT132+AJ132+Z132+P132</f>
        <v>4000</v>
      </c>
      <c r="EG132">
        <f t="shared" ref="EG132:EG195" si="494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5">SUM(EF132:EQ132)</f>
        <v>4000</v>
      </c>
      <c r="ES132">
        <f t="shared" ref="ES132:ES195" si="496">IF(ER132&gt;=150000,150000,ER132)</f>
        <v>4000</v>
      </c>
      <c r="ET132">
        <f t="shared" ref="ET132:ET195" si="497">EE132-ES132</f>
        <v>265600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8">SUM(EU132:FA132)+(IF(F132="YES",50000,0))</f>
        <v>0</v>
      </c>
      <c r="FC132">
        <f t="shared" ref="FC132:FC195" si="499">ET132-FB132</f>
        <v>265600</v>
      </c>
      <c r="FD132">
        <f t="shared" ref="FD132:FD195" si="500">ROUND(IF(FC132&gt;0,IF(FC132&gt;500000,12500,(FC132-250000)*0.05),0),0)</f>
        <v>780</v>
      </c>
      <c r="FE132">
        <f t="shared" ref="FE132:FE195" si="501">IF(ROUND(IF(FC132&gt;0,IF(FC132&gt;1000000,25000,(FC132-500000)*0.2),0),0)&lt;0,0,ROUND(IF(FC132&gt;0,IF(FC132&gt;1000000,25000,(FC132-500000)*0.2),0),0))</f>
        <v>0</v>
      </c>
      <c r="FF132">
        <f t="shared" ref="FF132:FF195" si="502">FD132+FE132</f>
        <v>780</v>
      </c>
      <c r="FG132">
        <f t="shared" ref="FG132:FG195" si="503">IF(FF132&lt;12500,0,FF132)</f>
        <v>0</v>
      </c>
      <c r="FH132">
        <f t="shared" ref="FH132:FH195" si="504">FG132*0.04</f>
        <v>0</v>
      </c>
      <c r="FI132">
        <f t="shared" ref="FI132:FI195" si="505">ROUND(FH132+FG132,0)</f>
        <v>0</v>
      </c>
      <c r="FJ132">
        <v>0</v>
      </c>
      <c r="FK132">
        <f t="shared" ref="FK132:FK195" si="506">FI132-FJ132</f>
        <v>0</v>
      </c>
      <c r="FL132" t="b">
        <f t="shared" ref="FL132:FL195" si="507">IF(EA132&gt;500000,TRUE,FALSE)</f>
        <v>0</v>
      </c>
      <c r="FM132">
        <f t="shared" ref="FM132:FM195" ca="1" si="508">IF(FL132,RANDBETWEEN(500,1000),RANDBETWEEN(1000,3000))</f>
        <v>2838</v>
      </c>
      <c r="FN132">
        <f t="shared" ref="FN132:FN195" ca="1" si="509">EA132+FM132</f>
        <v>323938</v>
      </c>
      <c r="FO132">
        <f t="shared" ref="FO132:FO195" si="510">IF(EA132&gt;0,75000,0)</f>
        <v>75000</v>
      </c>
      <c r="FP132">
        <f t="shared" ref="FP132:FP195" ca="1" si="511">FN132-FO132</f>
        <v>248938</v>
      </c>
      <c r="FQ132">
        <f t="shared" ref="FQ132:FQ195" ca="1" si="512">IF(FP132&gt;2400000,FP132-2400000,0)</f>
        <v>0</v>
      </c>
      <c r="FR132">
        <f t="shared" ref="FR132:FR195" ca="1" si="513">FQ132*0.3</f>
        <v>0</v>
      </c>
      <c r="FS132">
        <f t="shared" ref="FS132:FS195" ca="1" si="514">IF(FP132&gt;2000000,FP132-2000000,0)</f>
        <v>0</v>
      </c>
      <c r="FT132">
        <f t="shared" ref="FT132:FT195" ca="1" si="515">FS132*0.25</f>
        <v>0</v>
      </c>
      <c r="FU132">
        <f t="shared" ref="FU132:FU195" ca="1" si="516">IF(FP132&gt;1600000,FP132-1600000-FQ132,0)</f>
        <v>0</v>
      </c>
      <c r="FV132">
        <f t="shared" ref="FV132:FV195" ca="1" si="517">FU132*0.2</f>
        <v>0</v>
      </c>
      <c r="FW132">
        <f t="shared" ref="FW132:FW195" ca="1" si="518">IF(FP132&gt;1200000,FP132-1200000-IF(F132="YES",50000,0)-FU132,0)</f>
        <v>0</v>
      </c>
      <c r="FX132">
        <f t="shared" ref="FX132:FX195" ca="1" si="519">FW132*0.15</f>
        <v>0</v>
      </c>
      <c r="FY132">
        <f t="shared" ref="FY132:FY195" ca="1" si="520">IF(FP132&gt;800000,FP132-800000-FQ132-FU132-FW132,0)</f>
        <v>0</v>
      </c>
      <c r="FZ132">
        <f t="shared" ref="FZ132:FZ195" ca="1" si="521">FY132*0.1</f>
        <v>0</v>
      </c>
      <c r="GA132">
        <f t="shared" ref="GA132:GA195" ca="1" si="522">IF(FP132&gt;400000,FP132-400000-FQ132-FU132-FW132-FY132,0)</f>
        <v>0</v>
      </c>
      <c r="GB132">
        <f t="shared" ref="GB132:GB195" ca="1" si="523">GA132*0.05</f>
        <v>0</v>
      </c>
      <c r="GC132">
        <f t="shared" ref="GC132:GC195" ca="1" si="524">ROUND(FR132+FT132+FV132+FX132+FZ132+GB132,0)</f>
        <v>0</v>
      </c>
      <c r="GD132">
        <f t="shared" ref="GD132:GD195" ca="1" si="525">IF(FP132&gt;1200000,FP132,0)</f>
        <v>0</v>
      </c>
      <c r="GE132">
        <f t="shared" ref="GE132:GE195" ca="1" si="526">IF(FP132&gt;1200000,GD132-1200000,0)</f>
        <v>0</v>
      </c>
      <c r="GF132">
        <f t="shared" ref="GF132:GF195" ca="1" si="527">IF(FP132&lt;1200001,MIN(GC132,60000),0)</f>
        <v>0</v>
      </c>
      <c r="GG132">
        <f t="shared" ref="GG132:GG195" ca="1" si="528">IF(FP132&gt;1200000,GC132-GE132,0)</f>
        <v>0</v>
      </c>
      <c r="GH132" t="b">
        <f t="shared" ref="GH132:GH195" ca="1" si="529">IF(GG132&gt;0,TRUE,FALSE)</f>
        <v>0</v>
      </c>
      <c r="GI132">
        <f t="shared" ref="GI132:GI195" ca="1" si="530">IF(GH132,GG132,0)</f>
        <v>0</v>
      </c>
      <c r="GJ132">
        <f t="shared" ref="GJ132:GJ195" ca="1" si="531">GF132+GI132</f>
        <v>0</v>
      </c>
      <c r="GK132">
        <f t="shared" ref="GK132:GK195" ca="1" si="532">ROUND(GC132-GJ132,0)</f>
        <v>0</v>
      </c>
      <c r="GL132">
        <f t="shared" ref="GL132:GL195" ca="1" si="533">GK132*0.04</f>
        <v>0</v>
      </c>
      <c r="GM132">
        <f t="shared" ref="GM132:GM195" ca="1" si="534">ROUNDUP(GK132+GL132,0)</f>
        <v>0</v>
      </c>
    </row>
    <row r="133" spans="1:195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429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30"/>
        <v>4690</v>
      </c>
      <c r="L133">
        <f t="shared" si="431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432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535">IF($F133="YES",0,IF(O133&gt;40000,200,IF(O133&gt;25000,150,IF(O133&gt;15000,130,IF(O133&gt;10000,110,0)))))</f>
        <v>200</v>
      </c>
      <c r="S133">
        <f t="shared" si="433"/>
        <v>40010</v>
      </c>
      <c r="T133">
        <f>_xlfn.XLOOKUP(B133,'[2]april-2025'!$A:$A,'[2]april-2025'!$C:$C,0,0)</f>
        <v>33500</v>
      </c>
      <c r="U133">
        <f t="shared" si="434"/>
        <v>6030</v>
      </c>
      <c r="V133">
        <f t="shared" si="43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3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37"/>
        <v>200</v>
      </c>
      <c r="AC133">
        <f t="shared" si="438"/>
        <v>41350</v>
      </c>
      <c r="AD133">
        <f>_xlfn.XLOOKUP(B133,'[3]may-2025'!$A:$A,'[3]may-2025'!$C:$C,0,0)</f>
        <v>33500</v>
      </c>
      <c r="AE133">
        <f t="shared" si="439"/>
        <v>6030</v>
      </c>
      <c r="AF133">
        <f t="shared" si="440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41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42"/>
        <v>200</v>
      </c>
      <c r="AM133">
        <f t="shared" si="443"/>
        <v>41350</v>
      </c>
      <c r="AN133">
        <f>_xlfn.XLOOKUP(B133,'[4]june-2025'!$A:$A,'[4]june-2025'!$C:$C,0,0)</f>
        <v>33500</v>
      </c>
      <c r="AO133">
        <f t="shared" si="444"/>
        <v>6030</v>
      </c>
      <c r="AP133">
        <f t="shared" si="445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46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47"/>
        <v>200</v>
      </c>
      <c r="AW133">
        <f t="shared" si="448"/>
        <v>41350</v>
      </c>
      <c r="AX133">
        <f>_xlfn.XLOOKUP(B133,'[5]july-2025'!$A:$A,'[5]july-2025'!$C:$C,0,0)</f>
        <v>34500</v>
      </c>
      <c r="AY133">
        <f t="shared" si="449"/>
        <v>6210</v>
      </c>
      <c r="AZ133">
        <v>0</v>
      </c>
      <c r="BA133">
        <f t="shared" si="450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451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52"/>
        <v>200</v>
      </c>
      <c r="BH133">
        <f t="shared" si="453"/>
        <v>42650</v>
      </c>
      <c r="BI133">
        <f>_xlfn.XLOOKUP(B133,'[6]august-2025'!$A:$A,'[6]august-2025'!$C:$C,0,0)</f>
        <v>34500</v>
      </c>
      <c r="BJ133">
        <f t="shared" si="454"/>
        <v>6210</v>
      </c>
      <c r="BK133">
        <f t="shared" si="455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56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457"/>
        <v>200</v>
      </c>
      <c r="BR133">
        <f t="shared" si="458"/>
        <v>42650</v>
      </c>
      <c r="BS133">
        <f>_xlfn.XLOOKUP(B133,'[7]september-2025'!$A:$A,'[7]september-2025'!$C:$C,0,0)</f>
        <v>34500</v>
      </c>
      <c r="BT133">
        <f t="shared" si="459"/>
        <v>6210</v>
      </c>
      <c r="BU133">
        <f t="shared" si="460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461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62"/>
        <v>200</v>
      </c>
      <c r="CB133">
        <f t="shared" si="463"/>
        <v>42650</v>
      </c>
      <c r="CC133">
        <f>_xlfn.XLOOKUP(B133,'[8]october-2025'!$A:$A,'[8]october-2025'!$C:$C,0,0)</f>
        <v>34500</v>
      </c>
      <c r="CD133">
        <f t="shared" si="464"/>
        <v>6210</v>
      </c>
      <c r="CE133">
        <f t="shared" si="465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466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67"/>
        <v>200</v>
      </c>
      <c r="CL133">
        <f t="shared" si="468"/>
        <v>42650</v>
      </c>
      <c r="CM133">
        <f>_xlfn.XLOOKUP(B133,'[9]november-2025'!$A:$A,'[9]november-2025'!$C:$C,0,0)</f>
        <v>34500</v>
      </c>
      <c r="CN133">
        <f t="shared" si="469"/>
        <v>6210</v>
      </c>
      <c r="CO133">
        <f t="shared" si="470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471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72"/>
        <v>200</v>
      </c>
      <c r="CV133">
        <f t="shared" si="473"/>
        <v>42650</v>
      </c>
      <c r="CW133">
        <f>_xlfn.XLOOKUP(B133,'[10]december-2025'!$A:$A,'[10]december-2025'!$C:$C,0,0)</f>
        <v>34500</v>
      </c>
      <c r="CX133">
        <f t="shared" si="474"/>
        <v>6210</v>
      </c>
      <c r="CY133">
        <f t="shared" si="475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47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77"/>
        <v>200</v>
      </c>
      <c r="DF133">
        <f t="shared" si="478"/>
        <v>42650</v>
      </c>
      <c r="DG133">
        <f>_xlfn.XLOOKUP(B133,'[11]january-2026'!$A:$A,'[11]january-2026'!$C:$C,0,0)</f>
        <v>34500</v>
      </c>
      <c r="DH133">
        <f t="shared" si="479"/>
        <v>6210</v>
      </c>
      <c r="DI133">
        <f t="shared" si="48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1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2"/>
        <v>200</v>
      </c>
      <c r="DP133">
        <f t="shared" si="483"/>
        <v>42650</v>
      </c>
      <c r="DQ133">
        <f>_xlfn.XLOOKUP(B133,'[12]february-2026'!$A:$A,'[12]february-2026'!$C:$C,0,0)</f>
        <v>34500</v>
      </c>
      <c r="DR133">
        <f t="shared" si="484"/>
        <v>6210</v>
      </c>
      <c r="DS133">
        <f t="shared" si="485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6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7"/>
        <v>200</v>
      </c>
      <c r="DZ133">
        <f t="shared" si="488"/>
        <v>42650</v>
      </c>
      <c r="EA133">
        <f t="shared" si="489"/>
        <v>544460</v>
      </c>
      <c r="EB133">
        <f t="shared" si="490"/>
        <v>2400</v>
      </c>
      <c r="EC133">
        <f t="shared" si="491"/>
        <v>50000</v>
      </c>
      <c r="ED133">
        <v>0</v>
      </c>
      <c r="EE133">
        <f t="shared" si="492"/>
        <v>492060</v>
      </c>
      <c r="EF133">
        <f t="shared" si="493"/>
        <v>30000</v>
      </c>
      <c r="EG133">
        <f t="shared" si="494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5"/>
        <v>30000</v>
      </c>
      <c r="ES133">
        <f t="shared" si="496"/>
        <v>30000</v>
      </c>
      <c r="ET133">
        <f t="shared" si="497"/>
        <v>462060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8"/>
        <v>0</v>
      </c>
      <c r="FC133">
        <f t="shared" si="499"/>
        <v>462060</v>
      </c>
      <c r="FD133">
        <f t="shared" si="500"/>
        <v>10603</v>
      </c>
      <c r="FE133">
        <f t="shared" si="501"/>
        <v>0</v>
      </c>
      <c r="FF133">
        <f t="shared" si="502"/>
        <v>10603</v>
      </c>
      <c r="FG133">
        <f t="shared" si="503"/>
        <v>0</v>
      </c>
      <c r="FH133">
        <f t="shared" si="504"/>
        <v>0</v>
      </c>
      <c r="FI133">
        <f t="shared" si="505"/>
        <v>0</v>
      </c>
      <c r="FJ133">
        <v>0</v>
      </c>
      <c r="FK133">
        <f t="shared" si="506"/>
        <v>0</v>
      </c>
      <c r="FL133" t="b">
        <f t="shared" si="507"/>
        <v>1</v>
      </c>
      <c r="FM133">
        <f t="shared" ca="1" si="508"/>
        <v>848</v>
      </c>
      <c r="FN133">
        <f t="shared" ca="1" si="509"/>
        <v>545308</v>
      </c>
      <c r="FO133">
        <f t="shared" si="510"/>
        <v>75000</v>
      </c>
      <c r="FP133">
        <f t="shared" ca="1" si="511"/>
        <v>470308</v>
      </c>
      <c r="FQ133">
        <f t="shared" ca="1" si="512"/>
        <v>0</v>
      </c>
      <c r="FR133">
        <f t="shared" ca="1" si="513"/>
        <v>0</v>
      </c>
      <c r="FS133">
        <f t="shared" ca="1" si="514"/>
        <v>0</v>
      </c>
      <c r="FT133">
        <f t="shared" ca="1" si="515"/>
        <v>0</v>
      </c>
      <c r="FU133">
        <f t="shared" ca="1" si="516"/>
        <v>0</v>
      </c>
      <c r="FV133">
        <f t="shared" ca="1" si="517"/>
        <v>0</v>
      </c>
      <c r="FW133">
        <f t="shared" ca="1" si="518"/>
        <v>0</v>
      </c>
      <c r="FX133">
        <f t="shared" ca="1" si="519"/>
        <v>0</v>
      </c>
      <c r="FY133">
        <f t="shared" ca="1" si="520"/>
        <v>0</v>
      </c>
      <c r="FZ133">
        <f t="shared" ca="1" si="521"/>
        <v>0</v>
      </c>
      <c r="GA133">
        <f t="shared" ca="1" si="522"/>
        <v>70308</v>
      </c>
      <c r="GB133">
        <f t="shared" ca="1" si="523"/>
        <v>3515.4</v>
      </c>
      <c r="GC133">
        <f t="shared" ca="1" si="524"/>
        <v>3515</v>
      </c>
      <c r="GD133">
        <f t="shared" ca="1" si="525"/>
        <v>0</v>
      </c>
      <c r="GE133">
        <f t="shared" ca="1" si="526"/>
        <v>0</v>
      </c>
      <c r="GF133">
        <f t="shared" ca="1" si="527"/>
        <v>3515</v>
      </c>
      <c r="GG133">
        <f t="shared" ca="1" si="528"/>
        <v>0</v>
      </c>
      <c r="GH133" t="b">
        <f t="shared" ca="1" si="529"/>
        <v>0</v>
      </c>
      <c r="GI133">
        <f t="shared" ca="1" si="530"/>
        <v>0</v>
      </c>
      <c r="GJ133">
        <f t="shared" ca="1" si="531"/>
        <v>3515</v>
      </c>
      <c r="GK133">
        <f t="shared" ca="1" si="532"/>
        <v>0</v>
      </c>
      <c r="GL133">
        <f t="shared" ca="1" si="533"/>
        <v>0</v>
      </c>
      <c r="GM133">
        <f t="shared" ca="1" si="534"/>
        <v>0</v>
      </c>
    </row>
    <row r="134" spans="1:195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30"/>
        <v>0</v>
      </c>
      <c r="L134">
        <f t="shared" si="431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432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535"/>
        <v>0</v>
      </c>
      <c r="S134">
        <f t="shared" si="433"/>
        <v>0</v>
      </c>
      <c r="T134">
        <f>_xlfn.XLOOKUP(B134,'[2]april-2025'!$A:$A,'[2]april-2025'!$C:$C,0,0)</f>
        <v>0</v>
      </c>
      <c r="U134">
        <f t="shared" si="434"/>
        <v>0</v>
      </c>
      <c r="V134">
        <f t="shared" si="43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3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37"/>
        <v>0</v>
      </c>
      <c r="AC134">
        <f t="shared" si="438"/>
        <v>0</v>
      </c>
      <c r="AD134">
        <f>_xlfn.XLOOKUP(B134,'[3]may-2025'!$A:$A,'[3]may-2025'!$C:$C,0,0)</f>
        <v>0</v>
      </c>
      <c r="AE134">
        <f t="shared" si="439"/>
        <v>0</v>
      </c>
      <c r="AF134">
        <f t="shared" si="440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41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42"/>
        <v>0</v>
      </c>
      <c r="AM134">
        <f t="shared" si="443"/>
        <v>0</v>
      </c>
      <c r="AN134">
        <f>_xlfn.XLOOKUP(B134,'[4]june-2025'!$A:$A,'[4]june-2025'!$C:$C,0,0)</f>
        <v>0</v>
      </c>
      <c r="AO134">
        <f t="shared" si="444"/>
        <v>0</v>
      </c>
      <c r="AP134">
        <f t="shared" si="445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46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47"/>
        <v>0</v>
      </c>
      <c r="AW134">
        <f t="shared" si="448"/>
        <v>0</v>
      </c>
      <c r="AX134">
        <f>_xlfn.XLOOKUP(B134,'[5]july-2025'!$A:$A,'[5]july-2025'!$C:$C,0,0)</f>
        <v>0</v>
      </c>
      <c r="AY134">
        <f t="shared" si="449"/>
        <v>0</v>
      </c>
      <c r="AZ134">
        <v>1</v>
      </c>
      <c r="BA134">
        <f t="shared" si="450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451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52"/>
        <v>0</v>
      </c>
      <c r="BH134">
        <f t="shared" si="453"/>
        <v>0</v>
      </c>
      <c r="BI134">
        <f>_xlfn.XLOOKUP(B134,'[6]august-2025'!$A:$A,'[6]august-2025'!$C:$C,0,0)</f>
        <v>0</v>
      </c>
      <c r="BJ134">
        <f t="shared" si="454"/>
        <v>0</v>
      </c>
      <c r="BK134">
        <f t="shared" si="455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56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457"/>
        <v>0</v>
      </c>
      <c r="BR134">
        <f t="shared" si="458"/>
        <v>0</v>
      </c>
      <c r="BS134">
        <f>_xlfn.XLOOKUP(B134,'[7]september-2025'!$A:$A,'[7]september-2025'!$C:$C,0,0)</f>
        <v>0</v>
      </c>
      <c r="BT134">
        <f t="shared" si="459"/>
        <v>0</v>
      </c>
      <c r="BU134">
        <f t="shared" si="460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461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62"/>
        <v>0</v>
      </c>
      <c r="CB134">
        <f t="shared" si="463"/>
        <v>0</v>
      </c>
      <c r="CC134">
        <f>_xlfn.XLOOKUP(B134,'[8]october-2025'!$A:$A,'[8]october-2025'!$C:$C,0,0)</f>
        <v>0</v>
      </c>
      <c r="CD134">
        <f t="shared" si="464"/>
        <v>0</v>
      </c>
      <c r="CE134">
        <f t="shared" si="465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466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67"/>
        <v>0</v>
      </c>
      <c r="CL134">
        <f t="shared" si="468"/>
        <v>0</v>
      </c>
      <c r="CM134">
        <f>_xlfn.XLOOKUP(B134,'[9]november-2025'!$A:$A,'[9]november-2025'!$C:$C,0,0)</f>
        <v>24700</v>
      </c>
      <c r="CN134">
        <f t="shared" si="469"/>
        <v>4446</v>
      </c>
      <c r="CO134">
        <f t="shared" si="470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471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72"/>
        <v>150</v>
      </c>
      <c r="CV134">
        <f t="shared" si="473"/>
        <v>32460</v>
      </c>
      <c r="CW134">
        <f>_xlfn.XLOOKUP(B134,'[10]december-2025'!$A:$A,'[10]december-2025'!$C:$C,0,0)</f>
        <v>24700</v>
      </c>
      <c r="CX134">
        <f t="shared" si="474"/>
        <v>4446</v>
      </c>
      <c r="CY134">
        <f t="shared" si="475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47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77"/>
        <v>150</v>
      </c>
      <c r="DF134">
        <f t="shared" si="478"/>
        <v>32460</v>
      </c>
      <c r="DG134">
        <f>_xlfn.XLOOKUP(B134,'[11]january-2026'!$A:$A,'[11]january-2026'!$C:$C,0,0)</f>
        <v>24700</v>
      </c>
      <c r="DH134">
        <f t="shared" si="479"/>
        <v>4446</v>
      </c>
      <c r="DI134">
        <f t="shared" si="48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1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2"/>
        <v>150</v>
      </c>
      <c r="DP134">
        <f t="shared" si="483"/>
        <v>32460</v>
      </c>
      <c r="DQ134">
        <f>_xlfn.XLOOKUP(B134,'[12]february-2026'!$A:$A,'[12]february-2026'!$C:$C,0,0)</f>
        <v>24700</v>
      </c>
      <c r="DR134">
        <f t="shared" si="484"/>
        <v>4446</v>
      </c>
      <c r="DS134">
        <f t="shared" si="485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6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7"/>
        <v>150</v>
      </c>
      <c r="DZ134">
        <f t="shared" si="488"/>
        <v>32460</v>
      </c>
      <c r="EA134">
        <f t="shared" si="489"/>
        <v>130440</v>
      </c>
      <c r="EB134">
        <f t="shared" si="490"/>
        <v>600</v>
      </c>
      <c r="EC134">
        <f t="shared" si="491"/>
        <v>50000</v>
      </c>
      <c r="ED134">
        <v>1</v>
      </c>
      <c r="EE134">
        <f t="shared" si="492"/>
        <v>79840</v>
      </c>
      <c r="EF134">
        <f t="shared" si="493"/>
        <v>0</v>
      </c>
      <c r="EG134">
        <f t="shared" si="494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5"/>
        <v>0</v>
      </c>
      <c r="ES134">
        <f t="shared" si="496"/>
        <v>0</v>
      </c>
      <c r="ET134">
        <f t="shared" si="497"/>
        <v>79840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8"/>
        <v>0</v>
      </c>
      <c r="FC134">
        <f t="shared" si="499"/>
        <v>79840</v>
      </c>
      <c r="FD134">
        <f t="shared" si="500"/>
        <v>-8508</v>
      </c>
      <c r="FE134">
        <f t="shared" si="501"/>
        <v>0</v>
      </c>
      <c r="FF134">
        <f t="shared" si="502"/>
        <v>-8508</v>
      </c>
      <c r="FG134">
        <f t="shared" si="503"/>
        <v>0</v>
      </c>
      <c r="FH134">
        <f t="shared" si="504"/>
        <v>0</v>
      </c>
      <c r="FI134">
        <f t="shared" si="505"/>
        <v>0</v>
      </c>
      <c r="FJ134">
        <v>1</v>
      </c>
      <c r="FK134">
        <f t="shared" si="506"/>
        <v>-1</v>
      </c>
      <c r="FL134" t="b">
        <f t="shared" si="507"/>
        <v>0</v>
      </c>
      <c r="FM134">
        <f t="shared" ca="1" si="508"/>
        <v>1842</v>
      </c>
      <c r="FN134">
        <f t="shared" ca="1" si="509"/>
        <v>132282</v>
      </c>
      <c r="FO134">
        <f t="shared" si="510"/>
        <v>75000</v>
      </c>
      <c r="FP134">
        <f t="shared" ca="1" si="511"/>
        <v>57282</v>
      </c>
      <c r="FQ134">
        <f t="shared" ca="1" si="512"/>
        <v>0</v>
      </c>
      <c r="FR134">
        <f t="shared" ca="1" si="513"/>
        <v>0</v>
      </c>
      <c r="FS134">
        <f t="shared" ca="1" si="514"/>
        <v>0</v>
      </c>
      <c r="FT134">
        <f t="shared" ca="1" si="515"/>
        <v>0</v>
      </c>
      <c r="FU134">
        <f t="shared" ca="1" si="516"/>
        <v>0</v>
      </c>
      <c r="FV134">
        <f t="shared" ca="1" si="517"/>
        <v>0</v>
      </c>
      <c r="FW134">
        <f t="shared" ca="1" si="518"/>
        <v>0</v>
      </c>
      <c r="FX134">
        <f t="shared" ca="1" si="519"/>
        <v>0</v>
      </c>
      <c r="FY134">
        <f t="shared" ca="1" si="520"/>
        <v>0</v>
      </c>
      <c r="FZ134">
        <f t="shared" ca="1" si="521"/>
        <v>0</v>
      </c>
      <c r="GA134">
        <f t="shared" ca="1" si="522"/>
        <v>0</v>
      </c>
      <c r="GB134">
        <f t="shared" ca="1" si="523"/>
        <v>0</v>
      </c>
      <c r="GC134">
        <f t="shared" ca="1" si="524"/>
        <v>0</v>
      </c>
      <c r="GD134">
        <f t="shared" ca="1" si="525"/>
        <v>0</v>
      </c>
      <c r="GE134">
        <f t="shared" ca="1" si="526"/>
        <v>0</v>
      </c>
      <c r="GF134">
        <f t="shared" ca="1" si="527"/>
        <v>0</v>
      </c>
      <c r="GG134">
        <f t="shared" ca="1" si="528"/>
        <v>0</v>
      </c>
      <c r="GH134" t="b">
        <f t="shared" ca="1" si="529"/>
        <v>0</v>
      </c>
      <c r="GI134">
        <f t="shared" ca="1" si="530"/>
        <v>0</v>
      </c>
      <c r="GJ134">
        <f t="shared" ca="1" si="531"/>
        <v>0</v>
      </c>
      <c r="GK134">
        <f t="shared" ca="1" si="532"/>
        <v>0</v>
      </c>
      <c r="GL134">
        <f t="shared" ca="1" si="533"/>
        <v>0</v>
      </c>
      <c r="GM134">
        <f t="shared" ca="1" si="534"/>
        <v>0</v>
      </c>
    </row>
    <row r="135" spans="1:195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536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30"/>
        <v>4970.0000000000009</v>
      </c>
      <c r="L135">
        <f t="shared" si="431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432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535"/>
        <v>200</v>
      </c>
      <c r="S135">
        <f t="shared" si="433"/>
        <v>40430</v>
      </c>
      <c r="T135">
        <f>_xlfn.XLOOKUP(B135,'[2]april-2025'!$A:$A,'[2]april-2025'!$C:$C,0,0)</f>
        <v>35500</v>
      </c>
      <c r="U135">
        <f t="shared" si="434"/>
        <v>6390</v>
      </c>
      <c r="V135">
        <f t="shared" si="43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3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37"/>
        <v>200</v>
      </c>
      <c r="AC135">
        <f t="shared" si="438"/>
        <v>41850</v>
      </c>
      <c r="AD135">
        <f>_xlfn.XLOOKUP(B135,'[3]may-2025'!$A:$A,'[3]may-2025'!$C:$C,0,0)</f>
        <v>35500</v>
      </c>
      <c r="AE135">
        <f t="shared" si="439"/>
        <v>6390</v>
      </c>
      <c r="AF135">
        <f t="shared" si="440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41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42"/>
        <v>200</v>
      </c>
      <c r="AM135">
        <f t="shared" si="443"/>
        <v>41850</v>
      </c>
      <c r="AN135">
        <f>_xlfn.XLOOKUP(B135,'[4]june-2025'!$A:$A,'[4]june-2025'!$C:$C,0,0)</f>
        <v>35500</v>
      </c>
      <c r="AO135">
        <f t="shared" si="444"/>
        <v>6390</v>
      </c>
      <c r="AP135">
        <f t="shared" si="445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46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47"/>
        <v>200</v>
      </c>
      <c r="AW135">
        <f t="shared" si="448"/>
        <v>41850</v>
      </c>
      <c r="AX135">
        <f>_xlfn.XLOOKUP(B135,'[5]july-2025'!$A:$A,'[5]july-2025'!$C:$C,0,0)</f>
        <v>36600</v>
      </c>
      <c r="AY135">
        <f t="shared" si="449"/>
        <v>6588</v>
      </c>
      <c r="AZ135">
        <v>0</v>
      </c>
      <c r="BA135">
        <f t="shared" si="450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451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52"/>
        <v>200</v>
      </c>
      <c r="BH135">
        <f t="shared" si="453"/>
        <v>43280</v>
      </c>
      <c r="BI135">
        <f>_xlfn.XLOOKUP(B135,'[6]august-2025'!$A:$A,'[6]august-2025'!$C:$C,0,0)</f>
        <v>36600</v>
      </c>
      <c r="BJ135">
        <f t="shared" si="454"/>
        <v>6588</v>
      </c>
      <c r="BK135">
        <f t="shared" si="455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56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457"/>
        <v>200</v>
      </c>
      <c r="BR135">
        <f t="shared" si="458"/>
        <v>43280</v>
      </c>
      <c r="BS135">
        <f>_xlfn.XLOOKUP(B135,'[7]september-2025'!$A:$A,'[7]september-2025'!$C:$C,0,0)</f>
        <v>36600</v>
      </c>
      <c r="BT135">
        <f t="shared" si="459"/>
        <v>6588</v>
      </c>
      <c r="BU135">
        <f t="shared" si="460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461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62"/>
        <v>200</v>
      </c>
      <c r="CB135">
        <f t="shared" si="463"/>
        <v>43280</v>
      </c>
      <c r="CC135">
        <f>_xlfn.XLOOKUP(B135,'[8]october-2025'!$A:$A,'[8]october-2025'!$C:$C,0,0)</f>
        <v>36600</v>
      </c>
      <c r="CD135">
        <f t="shared" si="464"/>
        <v>6588</v>
      </c>
      <c r="CE135">
        <f t="shared" si="465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466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67"/>
        <v>200</v>
      </c>
      <c r="CL135">
        <f t="shared" si="468"/>
        <v>43280</v>
      </c>
      <c r="CM135">
        <f>_xlfn.XLOOKUP(B135,'[9]november-2025'!$A:$A,'[9]november-2025'!$C:$C,0,0)</f>
        <v>36600</v>
      </c>
      <c r="CN135">
        <f t="shared" si="469"/>
        <v>6588</v>
      </c>
      <c r="CO135">
        <f t="shared" si="470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471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72"/>
        <v>200</v>
      </c>
      <c r="CV135">
        <f t="shared" si="473"/>
        <v>43280</v>
      </c>
      <c r="CW135">
        <f>_xlfn.XLOOKUP(B135,'[10]december-2025'!$A:$A,'[10]december-2025'!$C:$C,0,0)</f>
        <v>36600</v>
      </c>
      <c r="CX135">
        <f t="shared" si="474"/>
        <v>6588</v>
      </c>
      <c r="CY135">
        <f t="shared" si="475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47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77"/>
        <v>200</v>
      </c>
      <c r="DF135">
        <f t="shared" si="478"/>
        <v>43280</v>
      </c>
      <c r="DG135">
        <f>_xlfn.XLOOKUP(B135,'[11]january-2026'!$A:$A,'[11]january-2026'!$C:$C,0,0)</f>
        <v>36600</v>
      </c>
      <c r="DH135">
        <f t="shared" si="479"/>
        <v>6588</v>
      </c>
      <c r="DI135">
        <f t="shared" si="48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1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2"/>
        <v>200</v>
      </c>
      <c r="DP135">
        <f t="shared" si="483"/>
        <v>43280</v>
      </c>
      <c r="DQ135">
        <f>_xlfn.XLOOKUP(B135,'[12]february-2026'!$A:$A,'[12]february-2026'!$C:$C,0,0)</f>
        <v>36600</v>
      </c>
      <c r="DR135">
        <f t="shared" si="484"/>
        <v>6588</v>
      </c>
      <c r="DS135">
        <f t="shared" si="485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6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7"/>
        <v>200</v>
      </c>
      <c r="DZ135">
        <f t="shared" si="488"/>
        <v>43280</v>
      </c>
      <c r="EA135">
        <f t="shared" si="489"/>
        <v>581420</v>
      </c>
      <c r="EB135">
        <f t="shared" si="490"/>
        <v>2400</v>
      </c>
      <c r="EC135">
        <f t="shared" si="491"/>
        <v>50000</v>
      </c>
      <c r="ED135">
        <v>0</v>
      </c>
      <c r="EE135">
        <f t="shared" si="492"/>
        <v>529020</v>
      </c>
      <c r="EF135">
        <f t="shared" si="493"/>
        <v>60000</v>
      </c>
      <c r="EG135">
        <f t="shared" si="494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5"/>
        <v>60000</v>
      </c>
      <c r="ES135">
        <f t="shared" si="496"/>
        <v>60000</v>
      </c>
      <c r="ET135">
        <f t="shared" si="497"/>
        <v>469020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8"/>
        <v>0</v>
      </c>
      <c r="FC135">
        <f t="shared" si="499"/>
        <v>469020</v>
      </c>
      <c r="FD135">
        <f t="shared" si="500"/>
        <v>10951</v>
      </c>
      <c r="FE135">
        <f t="shared" si="501"/>
        <v>0</v>
      </c>
      <c r="FF135">
        <f t="shared" si="502"/>
        <v>10951</v>
      </c>
      <c r="FG135">
        <f t="shared" si="503"/>
        <v>0</v>
      </c>
      <c r="FH135">
        <f t="shared" si="504"/>
        <v>0</v>
      </c>
      <c r="FI135">
        <f t="shared" si="505"/>
        <v>0</v>
      </c>
      <c r="FJ135">
        <v>0</v>
      </c>
      <c r="FK135">
        <f t="shared" si="506"/>
        <v>0</v>
      </c>
      <c r="FL135" t="b">
        <f t="shared" si="507"/>
        <v>1</v>
      </c>
      <c r="FM135">
        <f t="shared" ca="1" si="508"/>
        <v>555</v>
      </c>
      <c r="FN135">
        <f t="shared" ca="1" si="509"/>
        <v>581975</v>
      </c>
      <c r="FO135">
        <f t="shared" si="510"/>
        <v>75000</v>
      </c>
      <c r="FP135">
        <f t="shared" ca="1" si="511"/>
        <v>506975</v>
      </c>
      <c r="FQ135">
        <f t="shared" ca="1" si="512"/>
        <v>0</v>
      </c>
      <c r="FR135">
        <f t="shared" ca="1" si="513"/>
        <v>0</v>
      </c>
      <c r="FS135">
        <f t="shared" ca="1" si="514"/>
        <v>0</v>
      </c>
      <c r="FT135">
        <f t="shared" ca="1" si="515"/>
        <v>0</v>
      </c>
      <c r="FU135">
        <f t="shared" ca="1" si="516"/>
        <v>0</v>
      </c>
      <c r="FV135">
        <f t="shared" ca="1" si="517"/>
        <v>0</v>
      </c>
      <c r="FW135">
        <f t="shared" ca="1" si="518"/>
        <v>0</v>
      </c>
      <c r="FX135">
        <f t="shared" ca="1" si="519"/>
        <v>0</v>
      </c>
      <c r="FY135">
        <f t="shared" ca="1" si="520"/>
        <v>0</v>
      </c>
      <c r="FZ135">
        <f t="shared" ca="1" si="521"/>
        <v>0</v>
      </c>
      <c r="GA135">
        <f t="shared" ca="1" si="522"/>
        <v>106975</v>
      </c>
      <c r="GB135">
        <f t="shared" ca="1" si="523"/>
        <v>5348.75</v>
      </c>
      <c r="GC135">
        <f t="shared" ca="1" si="524"/>
        <v>5349</v>
      </c>
      <c r="GD135">
        <f t="shared" ca="1" si="525"/>
        <v>0</v>
      </c>
      <c r="GE135">
        <f t="shared" ca="1" si="526"/>
        <v>0</v>
      </c>
      <c r="GF135">
        <f t="shared" ca="1" si="527"/>
        <v>5349</v>
      </c>
      <c r="GG135">
        <f t="shared" ca="1" si="528"/>
        <v>0</v>
      </c>
      <c r="GH135" t="b">
        <f t="shared" ca="1" si="529"/>
        <v>0</v>
      </c>
      <c r="GI135">
        <f t="shared" ca="1" si="530"/>
        <v>0</v>
      </c>
      <c r="GJ135">
        <f t="shared" ca="1" si="531"/>
        <v>5349</v>
      </c>
      <c r="GK135">
        <f t="shared" ca="1" si="532"/>
        <v>0</v>
      </c>
      <c r="GL135">
        <f t="shared" ca="1" si="533"/>
        <v>0</v>
      </c>
      <c r="GM135">
        <f t="shared" ca="1" si="534"/>
        <v>0</v>
      </c>
    </row>
    <row r="136" spans="1:195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536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30"/>
        <v>4046.0000000000005</v>
      </c>
      <c r="L136">
        <f t="shared" si="431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432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535"/>
        <v>150</v>
      </c>
      <c r="S136">
        <f t="shared" si="433"/>
        <v>34764</v>
      </c>
      <c r="T136">
        <f>_xlfn.XLOOKUP(B136,'[2]april-2025'!$A:$A,'[2]april-2025'!$C:$C,0,0)</f>
        <v>28900</v>
      </c>
      <c r="U136">
        <f t="shared" si="434"/>
        <v>5202</v>
      </c>
      <c r="V136">
        <f t="shared" si="43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3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37"/>
        <v>150</v>
      </c>
      <c r="AC136">
        <f t="shared" si="438"/>
        <v>35920</v>
      </c>
      <c r="AD136">
        <f>_xlfn.XLOOKUP(B136,'[3]may-2025'!$A:$A,'[3]may-2025'!$C:$C,0,0)</f>
        <v>28900</v>
      </c>
      <c r="AE136">
        <f t="shared" si="439"/>
        <v>5202</v>
      </c>
      <c r="AF136">
        <f t="shared" si="440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41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42"/>
        <v>150</v>
      </c>
      <c r="AM136">
        <f t="shared" si="443"/>
        <v>35920</v>
      </c>
      <c r="AN136">
        <f>_xlfn.XLOOKUP(B136,'[4]june-2025'!$A:$A,'[4]june-2025'!$C:$C,0,0)</f>
        <v>28900</v>
      </c>
      <c r="AO136">
        <f t="shared" si="444"/>
        <v>5202</v>
      </c>
      <c r="AP136">
        <f t="shared" si="445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46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47"/>
        <v>150</v>
      </c>
      <c r="AW136">
        <f t="shared" si="448"/>
        <v>35920</v>
      </c>
      <c r="AX136">
        <f>_xlfn.XLOOKUP(B136,'[5]july-2025'!$A:$A,'[5]july-2025'!$C:$C,0,0)</f>
        <v>29800</v>
      </c>
      <c r="AY136">
        <f t="shared" si="449"/>
        <v>5364</v>
      </c>
      <c r="AZ136">
        <v>0</v>
      </c>
      <c r="BA136">
        <f t="shared" si="450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451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52"/>
        <v>150</v>
      </c>
      <c r="BH136">
        <f t="shared" si="453"/>
        <v>37090</v>
      </c>
      <c r="BI136">
        <f>_xlfn.XLOOKUP(B136,'[6]august-2025'!$A:$A,'[6]august-2025'!$C:$C,0,0)</f>
        <v>29800</v>
      </c>
      <c r="BJ136">
        <f t="shared" si="454"/>
        <v>5364</v>
      </c>
      <c r="BK136">
        <f t="shared" si="455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56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457"/>
        <v>150</v>
      </c>
      <c r="BR136">
        <f t="shared" si="458"/>
        <v>37090</v>
      </c>
      <c r="BS136">
        <f>_xlfn.XLOOKUP(B136,'[7]september-2025'!$A:$A,'[7]september-2025'!$C:$C,0,0)</f>
        <v>29800</v>
      </c>
      <c r="BT136">
        <f t="shared" si="459"/>
        <v>5364</v>
      </c>
      <c r="BU136">
        <f t="shared" si="460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461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62"/>
        <v>150</v>
      </c>
      <c r="CB136">
        <f t="shared" si="463"/>
        <v>37090</v>
      </c>
      <c r="CC136">
        <f>_xlfn.XLOOKUP(B136,'[8]october-2025'!$A:$A,'[8]october-2025'!$C:$C,0,0)</f>
        <v>29800</v>
      </c>
      <c r="CD136">
        <f t="shared" si="464"/>
        <v>5364</v>
      </c>
      <c r="CE136">
        <f t="shared" si="465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466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67"/>
        <v>150</v>
      </c>
      <c r="CL136">
        <f t="shared" si="468"/>
        <v>37090</v>
      </c>
      <c r="CM136">
        <f>_xlfn.XLOOKUP(B136,'[9]november-2025'!$A:$A,'[9]november-2025'!$C:$C,0,0)</f>
        <v>29800</v>
      </c>
      <c r="CN136">
        <f t="shared" si="469"/>
        <v>5364</v>
      </c>
      <c r="CO136">
        <f t="shared" si="470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471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72"/>
        <v>150</v>
      </c>
      <c r="CV136">
        <f t="shared" si="473"/>
        <v>37090</v>
      </c>
      <c r="CW136">
        <f>_xlfn.XLOOKUP(B136,'[10]december-2025'!$A:$A,'[10]december-2025'!$C:$C,0,0)</f>
        <v>29800</v>
      </c>
      <c r="CX136">
        <f t="shared" si="474"/>
        <v>5364</v>
      </c>
      <c r="CY136">
        <f t="shared" si="475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47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77"/>
        <v>150</v>
      </c>
      <c r="DF136">
        <f t="shared" si="478"/>
        <v>37090</v>
      </c>
      <c r="DG136">
        <f>_xlfn.XLOOKUP(B136,'[11]january-2026'!$A:$A,'[11]january-2026'!$C:$C,0,0)</f>
        <v>29800</v>
      </c>
      <c r="DH136">
        <f t="shared" si="479"/>
        <v>5364</v>
      </c>
      <c r="DI136">
        <f t="shared" si="48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1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2"/>
        <v>150</v>
      </c>
      <c r="DP136">
        <f t="shared" si="483"/>
        <v>37090</v>
      </c>
      <c r="DQ136">
        <f>_xlfn.XLOOKUP(B136,'[12]february-2026'!$A:$A,'[12]february-2026'!$C:$C,0,0)</f>
        <v>29800</v>
      </c>
      <c r="DR136">
        <f t="shared" si="484"/>
        <v>5364</v>
      </c>
      <c r="DS136">
        <f t="shared" si="485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6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7"/>
        <v>150</v>
      </c>
      <c r="DZ136">
        <f t="shared" si="488"/>
        <v>37090</v>
      </c>
      <c r="EA136">
        <f t="shared" si="489"/>
        <v>471844</v>
      </c>
      <c r="EB136">
        <f t="shared" si="490"/>
        <v>1800</v>
      </c>
      <c r="EC136">
        <f t="shared" si="491"/>
        <v>50000</v>
      </c>
      <c r="ED136">
        <v>0</v>
      </c>
      <c r="EE136">
        <f t="shared" si="492"/>
        <v>420044</v>
      </c>
      <c r="EF136">
        <f t="shared" si="493"/>
        <v>24000</v>
      </c>
      <c r="EG136">
        <f t="shared" si="494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5"/>
        <v>24000</v>
      </c>
      <c r="ES136">
        <f t="shared" si="496"/>
        <v>24000</v>
      </c>
      <c r="ET136">
        <f t="shared" si="497"/>
        <v>396044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8"/>
        <v>0</v>
      </c>
      <c r="FC136">
        <f t="shared" si="499"/>
        <v>396044</v>
      </c>
      <c r="FD136">
        <f t="shared" si="500"/>
        <v>7302</v>
      </c>
      <c r="FE136">
        <f t="shared" si="501"/>
        <v>0</v>
      </c>
      <c r="FF136">
        <f t="shared" si="502"/>
        <v>7302</v>
      </c>
      <c r="FG136">
        <f t="shared" si="503"/>
        <v>0</v>
      </c>
      <c r="FH136">
        <f t="shared" si="504"/>
        <v>0</v>
      </c>
      <c r="FI136">
        <f t="shared" si="505"/>
        <v>0</v>
      </c>
      <c r="FJ136">
        <v>0</v>
      </c>
      <c r="FK136">
        <f t="shared" si="506"/>
        <v>0</v>
      </c>
      <c r="FL136" t="b">
        <f t="shared" si="507"/>
        <v>0</v>
      </c>
      <c r="FM136">
        <f t="shared" ca="1" si="508"/>
        <v>2852</v>
      </c>
      <c r="FN136">
        <f t="shared" ca="1" si="509"/>
        <v>474696</v>
      </c>
      <c r="FO136">
        <f t="shared" si="510"/>
        <v>75000</v>
      </c>
      <c r="FP136">
        <f t="shared" ca="1" si="511"/>
        <v>399696</v>
      </c>
      <c r="FQ136">
        <f t="shared" ca="1" si="512"/>
        <v>0</v>
      </c>
      <c r="FR136">
        <f t="shared" ca="1" si="513"/>
        <v>0</v>
      </c>
      <c r="FS136">
        <f t="shared" ca="1" si="514"/>
        <v>0</v>
      </c>
      <c r="FT136">
        <f t="shared" ca="1" si="515"/>
        <v>0</v>
      </c>
      <c r="FU136">
        <f t="shared" ca="1" si="516"/>
        <v>0</v>
      </c>
      <c r="FV136">
        <f t="shared" ca="1" si="517"/>
        <v>0</v>
      </c>
      <c r="FW136">
        <f t="shared" ca="1" si="518"/>
        <v>0</v>
      </c>
      <c r="FX136">
        <f t="shared" ca="1" si="519"/>
        <v>0</v>
      </c>
      <c r="FY136">
        <f t="shared" ca="1" si="520"/>
        <v>0</v>
      </c>
      <c r="FZ136">
        <f t="shared" ca="1" si="521"/>
        <v>0</v>
      </c>
      <c r="GA136">
        <f t="shared" ca="1" si="522"/>
        <v>0</v>
      </c>
      <c r="GB136">
        <f t="shared" ca="1" si="523"/>
        <v>0</v>
      </c>
      <c r="GC136">
        <f t="shared" ca="1" si="524"/>
        <v>0</v>
      </c>
      <c r="GD136">
        <f t="shared" ca="1" si="525"/>
        <v>0</v>
      </c>
      <c r="GE136">
        <f t="shared" ca="1" si="526"/>
        <v>0</v>
      </c>
      <c r="GF136">
        <f t="shared" ca="1" si="527"/>
        <v>0</v>
      </c>
      <c r="GG136">
        <f t="shared" ca="1" si="528"/>
        <v>0</v>
      </c>
      <c r="GH136" t="b">
        <f t="shared" ca="1" si="529"/>
        <v>0</v>
      </c>
      <c r="GI136">
        <f t="shared" ca="1" si="530"/>
        <v>0</v>
      </c>
      <c r="GJ136">
        <f t="shared" ca="1" si="531"/>
        <v>0</v>
      </c>
      <c r="GK136">
        <f t="shared" ca="1" si="532"/>
        <v>0</v>
      </c>
      <c r="GL136">
        <f t="shared" ca="1" si="533"/>
        <v>0</v>
      </c>
      <c r="GM136">
        <f t="shared" ca="1" si="534"/>
        <v>0</v>
      </c>
    </row>
    <row r="137" spans="1:195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536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30"/>
        <v>0</v>
      </c>
      <c r="L137">
        <f t="shared" si="431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432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535"/>
        <v>0</v>
      </c>
      <c r="S137">
        <f t="shared" si="433"/>
        <v>0</v>
      </c>
      <c r="T137">
        <f>_xlfn.XLOOKUP(B137,'[2]april-2025'!$A:$A,'[2]april-2025'!$C:$C,0,0)</f>
        <v>0</v>
      </c>
      <c r="U137">
        <f t="shared" si="434"/>
        <v>0</v>
      </c>
      <c r="V137">
        <f t="shared" si="43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3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37"/>
        <v>0</v>
      </c>
      <c r="AC137">
        <f t="shared" si="438"/>
        <v>0</v>
      </c>
      <c r="AD137">
        <f>_xlfn.XLOOKUP(B137,'[3]may-2025'!$A:$A,'[3]may-2025'!$C:$C,0,0)</f>
        <v>24700</v>
      </c>
      <c r="AE137">
        <f t="shared" si="439"/>
        <v>4446</v>
      </c>
      <c r="AF137">
        <f t="shared" si="440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41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42"/>
        <v>150</v>
      </c>
      <c r="AM137">
        <f t="shared" si="443"/>
        <v>32460</v>
      </c>
      <c r="AN137">
        <f>_xlfn.XLOOKUP(B137,'[4]june-2025'!$A:$A,'[4]june-2025'!$C:$C,0,0)</f>
        <v>24700</v>
      </c>
      <c r="AO137">
        <f t="shared" si="444"/>
        <v>4446</v>
      </c>
      <c r="AP137">
        <f t="shared" si="445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46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47"/>
        <v>150</v>
      </c>
      <c r="AW137">
        <f t="shared" si="448"/>
        <v>32460</v>
      </c>
      <c r="AX137">
        <f>_xlfn.XLOOKUP(B137,'[5]july-2025'!$A:$A,'[5]july-2025'!$C:$C,0,0)</f>
        <v>24700</v>
      </c>
      <c r="AY137">
        <f t="shared" si="449"/>
        <v>4446</v>
      </c>
      <c r="AZ137">
        <v>0</v>
      </c>
      <c r="BA137">
        <f t="shared" si="450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451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52"/>
        <v>150</v>
      </c>
      <c r="BH137">
        <f t="shared" si="453"/>
        <v>32460</v>
      </c>
      <c r="BI137">
        <f>_xlfn.XLOOKUP(B137,'[6]august-2025'!$A:$A,'[6]august-2025'!$C:$C,0,0)</f>
        <v>24700</v>
      </c>
      <c r="BJ137">
        <f t="shared" si="454"/>
        <v>4446</v>
      </c>
      <c r="BK137">
        <f t="shared" si="455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56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457"/>
        <v>150</v>
      </c>
      <c r="BR137">
        <f t="shared" si="458"/>
        <v>32460</v>
      </c>
      <c r="BS137">
        <f>_xlfn.XLOOKUP(B137,'[7]september-2025'!$A:$A,'[7]september-2025'!$C:$C,0,0)</f>
        <v>24700</v>
      </c>
      <c r="BT137">
        <f t="shared" si="459"/>
        <v>4446</v>
      </c>
      <c r="BU137">
        <f t="shared" si="460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461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62"/>
        <v>150</v>
      </c>
      <c r="CB137">
        <f t="shared" si="463"/>
        <v>32460</v>
      </c>
      <c r="CC137">
        <f>_xlfn.XLOOKUP(B137,'[8]october-2025'!$A:$A,'[8]october-2025'!$C:$C,0,0)</f>
        <v>24700</v>
      </c>
      <c r="CD137">
        <f t="shared" si="464"/>
        <v>4446</v>
      </c>
      <c r="CE137">
        <f t="shared" si="465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466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67"/>
        <v>150</v>
      </c>
      <c r="CL137">
        <f t="shared" si="468"/>
        <v>32460</v>
      </c>
      <c r="CM137">
        <f>_xlfn.XLOOKUP(B137,'[9]november-2025'!$A:$A,'[9]november-2025'!$C:$C,0,0)</f>
        <v>24700</v>
      </c>
      <c r="CN137">
        <f t="shared" si="469"/>
        <v>4446</v>
      </c>
      <c r="CO137">
        <f t="shared" si="470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471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72"/>
        <v>150</v>
      </c>
      <c r="CV137">
        <f t="shared" si="473"/>
        <v>32460</v>
      </c>
      <c r="CW137">
        <f>_xlfn.XLOOKUP(B137,'[10]december-2025'!$A:$A,'[10]december-2025'!$C:$C,0,0)</f>
        <v>24700</v>
      </c>
      <c r="CX137">
        <f t="shared" si="474"/>
        <v>4446</v>
      </c>
      <c r="CY137">
        <f t="shared" si="475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47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77"/>
        <v>150</v>
      </c>
      <c r="DF137">
        <f t="shared" si="478"/>
        <v>32460</v>
      </c>
      <c r="DG137">
        <f>_xlfn.XLOOKUP(B137,'[11]january-2026'!$A:$A,'[11]january-2026'!$C:$C,0,0)</f>
        <v>24700</v>
      </c>
      <c r="DH137">
        <f t="shared" si="479"/>
        <v>4446</v>
      </c>
      <c r="DI137">
        <f t="shared" si="48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1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2"/>
        <v>150</v>
      </c>
      <c r="DP137">
        <f t="shared" si="483"/>
        <v>30460</v>
      </c>
      <c r="DQ137">
        <f>_xlfn.XLOOKUP(B137,'[12]february-2026'!$A:$A,'[12]february-2026'!$C:$C,0,0)</f>
        <v>24700</v>
      </c>
      <c r="DR137">
        <f t="shared" si="484"/>
        <v>4446</v>
      </c>
      <c r="DS137">
        <f t="shared" si="485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6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7"/>
        <v>150</v>
      </c>
      <c r="DZ137">
        <f t="shared" si="488"/>
        <v>30460</v>
      </c>
      <c r="EA137">
        <f t="shared" si="489"/>
        <v>326100</v>
      </c>
      <c r="EB137">
        <f t="shared" si="490"/>
        <v>1500</v>
      </c>
      <c r="EC137">
        <f t="shared" si="491"/>
        <v>50000</v>
      </c>
      <c r="ED137">
        <v>0</v>
      </c>
      <c r="EE137">
        <f t="shared" si="492"/>
        <v>274600</v>
      </c>
      <c r="EF137">
        <f t="shared" si="493"/>
        <v>4000</v>
      </c>
      <c r="EG137">
        <f t="shared" si="494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5"/>
        <v>4000</v>
      </c>
      <c r="ES137">
        <f t="shared" si="496"/>
        <v>4000</v>
      </c>
      <c r="ET137">
        <f t="shared" si="497"/>
        <v>270600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8"/>
        <v>0</v>
      </c>
      <c r="FC137">
        <f t="shared" si="499"/>
        <v>270600</v>
      </c>
      <c r="FD137">
        <f t="shared" si="500"/>
        <v>1030</v>
      </c>
      <c r="FE137">
        <f t="shared" si="501"/>
        <v>0</v>
      </c>
      <c r="FF137">
        <f t="shared" si="502"/>
        <v>1030</v>
      </c>
      <c r="FG137">
        <f t="shared" si="503"/>
        <v>0</v>
      </c>
      <c r="FH137">
        <f t="shared" si="504"/>
        <v>0</v>
      </c>
      <c r="FI137">
        <f t="shared" si="505"/>
        <v>0</v>
      </c>
      <c r="FJ137">
        <v>0</v>
      </c>
      <c r="FK137">
        <f t="shared" si="506"/>
        <v>0</v>
      </c>
      <c r="FL137" t="b">
        <f t="shared" si="507"/>
        <v>0</v>
      </c>
      <c r="FM137">
        <f t="shared" ca="1" si="508"/>
        <v>1679</v>
      </c>
      <c r="FN137">
        <f t="shared" ca="1" si="509"/>
        <v>327779</v>
      </c>
      <c r="FO137">
        <f t="shared" si="510"/>
        <v>75000</v>
      </c>
      <c r="FP137">
        <f t="shared" ca="1" si="511"/>
        <v>252779</v>
      </c>
      <c r="FQ137">
        <f t="shared" ca="1" si="512"/>
        <v>0</v>
      </c>
      <c r="FR137">
        <f t="shared" ca="1" si="513"/>
        <v>0</v>
      </c>
      <c r="FS137">
        <f t="shared" ca="1" si="514"/>
        <v>0</v>
      </c>
      <c r="FT137">
        <f t="shared" ca="1" si="515"/>
        <v>0</v>
      </c>
      <c r="FU137">
        <f t="shared" ca="1" si="516"/>
        <v>0</v>
      </c>
      <c r="FV137">
        <f t="shared" ca="1" si="517"/>
        <v>0</v>
      </c>
      <c r="FW137">
        <f t="shared" ca="1" si="518"/>
        <v>0</v>
      </c>
      <c r="FX137">
        <f t="shared" ca="1" si="519"/>
        <v>0</v>
      </c>
      <c r="FY137">
        <f t="shared" ca="1" si="520"/>
        <v>0</v>
      </c>
      <c r="FZ137">
        <f t="shared" ca="1" si="521"/>
        <v>0</v>
      </c>
      <c r="GA137">
        <f t="shared" ca="1" si="522"/>
        <v>0</v>
      </c>
      <c r="GB137">
        <f t="shared" ca="1" si="523"/>
        <v>0</v>
      </c>
      <c r="GC137">
        <f t="shared" ca="1" si="524"/>
        <v>0</v>
      </c>
      <c r="GD137">
        <f t="shared" ca="1" si="525"/>
        <v>0</v>
      </c>
      <c r="GE137">
        <f t="shared" ca="1" si="526"/>
        <v>0</v>
      </c>
      <c r="GF137">
        <f t="shared" ca="1" si="527"/>
        <v>0</v>
      </c>
      <c r="GG137">
        <f t="shared" ca="1" si="528"/>
        <v>0</v>
      </c>
      <c r="GH137" t="b">
        <f t="shared" ca="1" si="529"/>
        <v>0</v>
      </c>
      <c r="GI137">
        <f t="shared" ca="1" si="530"/>
        <v>0</v>
      </c>
      <c r="GJ137">
        <f t="shared" ca="1" si="531"/>
        <v>0</v>
      </c>
      <c r="GK137">
        <f t="shared" ca="1" si="532"/>
        <v>0</v>
      </c>
      <c r="GL137">
        <f t="shared" ca="1" si="533"/>
        <v>0</v>
      </c>
      <c r="GM137">
        <f t="shared" ca="1" si="534"/>
        <v>0</v>
      </c>
    </row>
    <row r="138" spans="1:195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536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30"/>
        <v>6622.0000000000009</v>
      </c>
      <c r="L138">
        <f t="shared" si="431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432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535"/>
        <v>0</v>
      </c>
      <c r="S138">
        <f t="shared" si="433"/>
        <v>55438</v>
      </c>
      <c r="T138">
        <f>_xlfn.XLOOKUP(B138,'[2]april-2025'!$A:$A,'[2]april-2025'!$C:$C,0,0)</f>
        <v>47300</v>
      </c>
      <c r="U138">
        <f t="shared" si="434"/>
        <v>8514</v>
      </c>
      <c r="V138">
        <f t="shared" si="43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3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37"/>
        <v>0</v>
      </c>
      <c r="AC138">
        <f t="shared" si="438"/>
        <v>57330</v>
      </c>
      <c r="AD138">
        <f>_xlfn.XLOOKUP(B138,'[3]may-2025'!$A:$A,'[3]may-2025'!$C:$C,0,0)</f>
        <v>47300</v>
      </c>
      <c r="AE138">
        <f t="shared" si="439"/>
        <v>8514</v>
      </c>
      <c r="AF138">
        <f t="shared" si="440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41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42"/>
        <v>0</v>
      </c>
      <c r="AM138">
        <f t="shared" si="443"/>
        <v>57330</v>
      </c>
      <c r="AN138">
        <f>_xlfn.XLOOKUP(B138,'[4]june-2025'!$A:$A,'[4]june-2025'!$C:$C,0,0)</f>
        <v>47300</v>
      </c>
      <c r="AO138">
        <f t="shared" si="444"/>
        <v>8514</v>
      </c>
      <c r="AP138">
        <f t="shared" si="445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46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47"/>
        <v>0</v>
      </c>
      <c r="AW138">
        <f t="shared" si="448"/>
        <v>57330</v>
      </c>
      <c r="AX138">
        <f>_xlfn.XLOOKUP(B138,'[5]july-2025'!$A:$A,'[5]july-2025'!$C:$C,0,0)</f>
        <v>48700</v>
      </c>
      <c r="AY138">
        <f t="shared" si="449"/>
        <v>8766</v>
      </c>
      <c r="AZ138">
        <v>0</v>
      </c>
      <c r="BA138">
        <f t="shared" si="450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451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52"/>
        <v>0</v>
      </c>
      <c r="BH138">
        <f t="shared" si="453"/>
        <v>59150</v>
      </c>
      <c r="BI138">
        <f>_xlfn.XLOOKUP(B138,'[6]august-2025'!$A:$A,'[6]august-2025'!$C:$C,0,0)</f>
        <v>48700</v>
      </c>
      <c r="BJ138">
        <f t="shared" si="454"/>
        <v>8766</v>
      </c>
      <c r="BK138">
        <f t="shared" si="455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56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457"/>
        <v>0</v>
      </c>
      <c r="BR138">
        <f t="shared" si="458"/>
        <v>59150</v>
      </c>
      <c r="BS138">
        <f>_xlfn.XLOOKUP(B138,'[7]september-2025'!$A:$A,'[7]september-2025'!$C:$C,0,0)</f>
        <v>48700</v>
      </c>
      <c r="BT138">
        <f t="shared" si="459"/>
        <v>8766</v>
      </c>
      <c r="BU138">
        <f t="shared" si="460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461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62"/>
        <v>0</v>
      </c>
      <c r="CB138">
        <f t="shared" si="463"/>
        <v>59150</v>
      </c>
      <c r="CC138">
        <f>_xlfn.XLOOKUP(B138,'[8]october-2025'!$A:$A,'[8]october-2025'!$C:$C,0,0)</f>
        <v>48700</v>
      </c>
      <c r="CD138">
        <f t="shared" si="464"/>
        <v>8766</v>
      </c>
      <c r="CE138">
        <f t="shared" si="465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466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67"/>
        <v>0</v>
      </c>
      <c r="CL138">
        <f t="shared" si="468"/>
        <v>59150</v>
      </c>
      <c r="CM138">
        <f>_xlfn.XLOOKUP(B138,'[9]november-2025'!$A:$A,'[9]november-2025'!$C:$C,0,0)</f>
        <v>48700</v>
      </c>
      <c r="CN138">
        <f t="shared" si="469"/>
        <v>8766</v>
      </c>
      <c r="CO138">
        <f t="shared" si="470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471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72"/>
        <v>0</v>
      </c>
      <c r="CV138">
        <f t="shared" si="473"/>
        <v>59150</v>
      </c>
      <c r="CW138">
        <f>_xlfn.XLOOKUP(B138,'[10]december-2025'!$A:$A,'[10]december-2025'!$C:$C,0,0)</f>
        <v>48700</v>
      </c>
      <c r="CX138">
        <f t="shared" si="474"/>
        <v>8766</v>
      </c>
      <c r="CY138">
        <f t="shared" si="475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47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77"/>
        <v>0</v>
      </c>
      <c r="DF138">
        <f t="shared" si="478"/>
        <v>59150</v>
      </c>
      <c r="DG138">
        <f>_xlfn.XLOOKUP(B138,'[11]january-2026'!$A:$A,'[11]january-2026'!$C:$C,0,0)</f>
        <v>48700</v>
      </c>
      <c r="DH138">
        <f t="shared" si="479"/>
        <v>8766</v>
      </c>
      <c r="DI138">
        <f t="shared" si="48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1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2"/>
        <v>0</v>
      </c>
      <c r="DP138">
        <f t="shared" si="483"/>
        <v>59150</v>
      </c>
      <c r="DQ138">
        <f>_xlfn.XLOOKUP(B138,'[12]february-2026'!$A:$A,'[12]february-2026'!$C:$C,0,0)</f>
        <v>48700</v>
      </c>
      <c r="DR138">
        <f t="shared" si="484"/>
        <v>8766</v>
      </c>
      <c r="DS138">
        <f t="shared" si="485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6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7"/>
        <v>0</v>
      </c>
      <c r="DZ138">
        <f t="shared" si="488"/>
        <v>59150</v>
      </c>
      <c r="EA138">
        <f t="shared" si="489"/>
        <v>768148</v>
      </c>
      <c r="EB138">
        <f t="shared" si="490"/>
        <v>0</v>
      </c>
      <c r="EC138">
        <f t="shared" si="491"/>
        <v>50000</v>
      </c>
      <c r="ED138">
        <v>0</v>
      </c>
      <c r="EE138">
        <f t="shared" si="492"/>
        <v>718148</v>
      </c>
      <c r="EF138">
        <f t="shared" si="493"/>
        <v>60000</v>
      </c>
      <c r="EG138">
        <f t="shared" si="494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5"/>
        <v>60720</v>
      </c>
      <c r="ES138">
        <f t="shared" si="496"/>
        <v>60720</v>
      </c>
      <c r="ET138">
        <f t="shared" si="497"/>
        <v>657428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8"/>
        <v>50000</v>
      </c>
      <c r="FC138">
        <f t="shared" si="499"/>
        <v>607428</v>
      </c>
      <c r="FD138">
        <f t="shared" si="500"/>
        <v>12500</v>
      </c>
      <c r="FE138">
        <f t="shared" si="501"/>
        <v>21486</v>
      </c>
      <c r="FF138">
        <f t="shared" si="502"/>
        <v>33986</v>
      </c>
      <c r="FG138">
        <f t="shared" si="503"/>
        <v>33986</v>
      </c>
      <c r="FH138">
        <f t="shared" si="504"/>
        <v>1359.44</v>
      </c>
      <c r="FI138">
        <f t="shared" si="505"/>
        <v>35345</v>
      </c>
      <c r="FJ138">
        <v>0</v>
      </c>
      <c r="FK138">
        <f t="shared" si="506"/>
        <v>35345</v>
      </c>
      <c r="FL138" t="b">
        <f t="shared" si="507"/>
        <v>1</v>
      </c>
      <c r="FM138">
        <f t="shared" ca="1" si="508"/>
        <v>987</v>
      </c>
      <c r="FN138">
        <f t="shared" ca="1" si="509"/>
        <v>769135</v>
      </c>
      <c r="FO138">
        <f t="shared" si="510"/>
        <v>75000</v>
      </c>
      <c r="FP138">
        <f t="shared" ca="1" si="511"/>
        <v>694135</v>
      </c>
      <c r="FQ138">
        <f t="shared" ca="1" si="512"/>
        <v>0</v>
      </c>
      <c r="FR138">
        <f t="shared" ca="1" si="513"/>
        <v>0</v>
      </c>
      <c r="FS138">
        <f t="shared" ca="1" si="514"/>
        <v>0</v>
      </c>
      <c r="FT138">
        <f t="shared" ca="1" si="515"/>
        <v>0</v>
      </c>
      <c r="FU138">
        <f t="shared" ca="1" si="516"/>
        <v>0</v>
      </c>
      <c r="FV138">
        <f t="shared" ca="1" si="517"/>
        <v>0</v>
      </c>
      <c r="FW138">
        <f t="shared" ca="1" si="518"/>
        <v>0</v>
      </c>
      <c r="FX138">
        <f t="shared" ca="1" si="519"/>
        <v>0</v>
      </c>
      <c r="FY138">
        <f t="shared" ca="1" si="520"/>
        <v>0</v>
      </c>
      <c r="FZ138">
        <f t="shared" ca="1" si="521"/>
        <v>0</v>
      </c>
      <c r="GA138">
        <f t="shared" ca="1" si="522"/>
        <v>294135</v>
      </c>
      <c r="GB138">
        <f t="shared" ca="1" si="523"/>
        <v>14706.75</v>
      </c>
      <c r="GC138">
        <f t="shared" ca="1" si="524"/>
        <v>14707</v>
      </c>
      <c r="GD138">
        <f t="shared" ca="1" si="525"/>
        <v>0</v>
      </c>
      <c r="GE138">
        <f t="shared" ca="1" si="526"/>
        <v>0</v>
      </c>
      <c r="GF138">
        <f t="shared" ca="1" si="527"/>
        <v>14707</v>
      </c>
      <c r="GG138">
        <f t="shared" ca="1" si="528"/>
        <v>0</v>
      </c>
      <c r="GH138" t="b">
        <f t="shared" ca="1" si="529"/>
        <v>0</v>
      </c>
      <c r="GI138">
        <f t="shared" ca="1" si="530"/>
        <v>0</v>
      </c>
      <c r="GJ138">
        <f t="shared" ca="1" si="531"/>
        <v>14707</v>
      </c>
      <c r="GK138">
        <f t="shared" ca="1" si="532"/>
        <v>0</v>
      </c>
      <c r="GL138">
        <f t="shared" ca="1" si="533"/>
        <v>0</v>
      </c>
      <c r="GM138">
        <f t="shared" ca="1" si="534"/>
        <v>0</v>
      </c>
    </row>
    <row r="139" spans="1:195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536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30"/>
        <v>4830.0000000000009</v>
      </c>
      <c r="L139">
        <f t="shared" si="431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432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535"/>
        <v>200</v>
      </c>
      <c r="S139">
        <f t="shared" si="433"/>
        <v>40770</v>
      </c>
      <c r="T139">
        <f>_xlfn.XLOOKUP(B139,'[2]april-2025'!$A:$A,'[2]april-2025'!$C:$C,0,0)</f>
        <v>34500</v>
      </c>
      <c r="U139">
        <f t="shared" si="434"/>
        <v>6210</v>
      </c>
      <c r="V139">
        <f t="shared" si="43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3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37"/>
        <v>200</v>
      </c>
      <c r="AC139">
        <f t="shared" si="438"/>
        <v>42150</v>
      </c>
      <c r="AD139">
        <f>_xlfn.XLOOKUP(B139,'[3]may-2025'!$A:$A,'[3]may-2025'!$C:$C,0,0)</f>
        <v>34500</v>
      </c>
      <c r="AE139">
        <f t="shared" si="439"/>
        <v>6210</v>
      </c>
      <c r="AF139">
        <f t="shared" si="440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41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42"/>
        <v>200</v>
      </c>
      <c r="AM139">
        <f t="shared" si="443"/>
        <v>42150</v>
      </c>
      <c r="AN139">
        <f>_xlfn.XLOOKUP(B139,'[4]june-2025'!$A:$A,'[4]june-2025'!$C:$C,0,0)</f>
        <v>34500</v>
      </c>
      <c r="AO139">
        <f t="shared" si="444"/>
        <v>6210</v>
      </c>
      <c r="AP139">
        <f t="shared" si="445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46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47"/>
        <v>200</v>
      </c>
      <c r="AW139">
        <f t="shared" si="448"/>
        <v>42150</v>
      </c>
      <c r="AX139">
        <f>_xlfn.XLOOKUP(B139,'[5]july-2025'!$A:$A,'[5]july-2025'!$C:$C,0,0)</f>
        <v>35500</v>
      </c>
      <c r="AY139">
        <f t="shared" si="449"/>
        <v>6390</v>
      </c>
      <c r="AZ139">
        <v>0</v>
      </c>
      <c r="BA139">
        <f t="shared" si="450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451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52"/>
        <v>200</v>
      </c>
      <c r="BH139">
        <f t="shared" si="453"/>
        <v>43450</v>
      </c>
      <c r="BI139">
        <f>_xlfn.XLOOKUP(B139,'[6]august-2025'!$A:$A,'[6]august-2025'!$C:$C,0,0)</f>
        <v>35500</v>
      </c>
      <c r="BJ139">
        <f t="shared" si="454"/>
        <v>6390</v>
      </c>
      <c r="BK139">
        <f t="shared" si="455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56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457"/>
        <v>200</v>
      </c>
      <c r="BR139">
        <f t="shared" si="458"/>
        <v>43450</v>
      </c>
      <c r="BS139">
        <f>_xlfn.XLOOKUP(B139,'[7]september-2025'!$A:$A,'[7]september-2025'!$C:$C,0,0)</f>
        <v>35500</v>
      </c>
      <c r="BT139">
        <f t="shared" si="459"/>
        <v>6390</v>
      </c>
      <c r="BU139">
        <f t="shared" si="460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461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62"/>
        <v>200</v>
      </c>
      <c r="CB139">
        <f t="shared" si="463"/>
        <v>43450</v>
      </c>
      <c r="CC139">
        <f>_xlfn.XLOOKUP(B139,'[8]october-2025'!$A:$A,'[8]october-2025'!$C:$C,0,0)</f>
        <v>35500</v>
      </c>
      <c r="CD139">
        <f t="shared" si="464"/>
        <v>6390</v>
      </c>
      <c r="CE139">
        <f t="shared" si="465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466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67"/>
        <v>200</v>
      </c>
      <c r="CL139">
        <f t="shared" si="468"/>
        <v>43450</v>
      </c>
      <c r="CM139">
        <f>_xlfn.XLOOKUP(B139,'[9]november-2025'!$A:$A,'[9]november-2025'!$C:$C,0,0)</f>
        <v>35500</v>
      </c>
      <c r="CN139">
        <f t="shared" si="469"/>
        <v>6390</v>
      </c>
      <c r="CO139">
        <f t="shared" si="470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471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72"/>
        <v>200</v>
      </c>
      <c r="CV139">
        <f t="shared" si="473"/>
        <v>43450</v>
      </c>
      <c r="CW139">
        <f>_xlfn.XLOOKUP(B139,'[10]december-2025'!$A:$A,'[10]december-2025'!$C:$C,0,0)</f>
        <v>35500</v>
      </c>
      <c r="CX139">
        <f t="shared" si="474"/>
        <v>6390</v>
      </c>
      <c r="CY139">
        <f t="shared" si="475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47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77"/>
        <v>200</v>
      </c>
      <c r="DF139">
        <f t="shared" si="478"/>
        <v>43450</v>
      </c>
      <c r="DG139">
        <f>_xlfn.XLOOKUP(B139,'[11]january-2026'!$A:$A,'[11]january-2026'!$C:$C,0,0)</f>
        <v>35500</v>
      </c>
      <c r="DH139">
        <f t="shared" si="479"/>
        <v>6390</v>
      </c>
      <c r="DI139">
        <f t="shared" si="48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1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2"/>
        <v>200</v>
      </c>
      <c r="DP139">
        <f t="shared" si="483"/>
        <v>43450</v>
      </c>
      <c r="DQ139">
        <f>_xlfn.XLOOKUP(B139,'[12]february-2026'!$A:$A,'[12]february-2026'!$C:$C,0,0)</f>
        <v>35500</v>
      </c>
      <c r="DR139">
        <f t="shared" si="484"/>
        <v>6390</v>
      </c>
      <c r="DS139">
        <f t="shared" si="485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6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7"/>
        <v>200</v>
      </c>
      <c r="DZ139">
        <f t="shared" si="488"/>
        <v>43450</v>
      </c>
      <c r="EA139">
        <f t="shared" si="489"/>
        <v>560020</v>
      </c>
      <c r="EB139">
        <f t="shared" si="490"/>
        <v>2400</v>
      </c>
      <c r="EC139">
        <f t="shared" si="491"/>
        <v>50000</v>
      </c>
      <c r="ED139">
        <v>0</v>
      </c>
      <c r="EE139">
        <f t="shared" si="492"/>
        <v>507620</v>
      </c>
      <c r="EF139">
        <f t="shared" si="493"/>
        <v>36000</v>
      </c>
      <c r="EG139">
        <f t="shared" si="494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5"/>
        <v>36000</v>
      </c>
      <c r="ES139">
        <f t="shared" si="496"/>
        <v>36000</v>
      </c>
      <c r="ET139">
        <f t="shared" si="497"/>
        <v>471620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8"/>
        <v>0</v>
      </c>
      <c r="FC139">
        <f t="shared" si="499"/>
        <v>471620</v>
      </c>
      <c r="FD139">
        <f t="shared" si="500"/>
        <v>11081</v>
      </c>
      <c r="FE139">
        <f t="shared" si="501"/>
        <v>0</v>
      </c>
      <c r="FF139">
        <f t="shared" si="502"/>
        <v>11081</v>
      </c>
      <c r="FG139">
        <f t="shared" si="503"/>
        <v>0</v>
      </c>
      <c r="FH139">
        <f t="shared" si="504"/>
        <v>0</v>
      </c>
      <c r="FI139">
        <f t="shared" si="505"/>
        <v>0</v>
      </c>
      <c r="FJ139">
        <v>0</v>
      </c>
      <c r="FK139">
        <f t="shared" si="506"/>
        <v>0</v>
      </c>
      <c r="FL139" t="b">
        <f t="shared" si="507"/>
        <v>1</v>
      </c>
      <c r="FM139">
        <f t="shared" ca="1" si="508"/>
        <v>707</v>
      </c>
      <c r="FN139">
        <f t="shared" ca="1" si="509"/>
        <v>560727</v>
      </c>
      <c r="FO139">
        <f t="shared" si="510"/>
        <v>75000</v>
      </c>
      <c r="FP139">
        <f t="shared" ca="1" si="511"/>
        <v>485727</v>
      </c>
      <c r="FQ139">
        <f t="shared" ca="1" si="512"/>
        <v>0</v>
      </c>
      <c r="FR139">
        <f t="shared" ca="1" si="513"/>
        <v>0</v>
      </c>
      <c r="FS139">
        <f t="shared" ca="1" si="514"/>
        <v>0</v>
      </c>
      <c r="FT139">
        <f t="shared" ca="1" si="515"/>
        <v>0</v>
      </c>
      <c r="FU139">
        <f t="shared" ca="1" si="516"/>
        <v>0</v>
      </c>
      <c r="FV139">
        <f t="shared" ca="1" si="517"/>
        <v>0</v>
      </c>
      <c r="FW139">
        <f t="shared" ca="1" si="518"/>
        <v>0</v>
      </c>
      <c r="FX139">
        <f t="shared" ca="1" si="519"/>
        <v>0</v>
      </c>
      <c r="FY139">
        <f t="shared" ca="1" si="520"/>
        <v>0</v>
      </c>
      <c r="FZ139">
        <f t="shared" ca="1" si="521"/>
        <v>0</v>
      </c>
      <c r="GA139">
        <f t="shared" ca="1" si="522"/>
        <v>85727</v>
      </c>
      <c r="GB139">
        <f t="shared" ca="1" si="523"/>
        <v>4286.3500000000004</v>
      </c>
      <c r="GC139">
        <f t="shared" ca="1" si="524"/>
        <v>4286</v>
      </c>
      <c r="GD139">
        <f t="shared" ca="1" si="525"/>
        <v>0</v>
      </c>
      <c r="GE139">
        <f t="shared" ca="1" si="526"/>
        <v>0</v>
      </c>
      <c r="GF139">
        <f t="shared" ca="1" si="527"/>
        <v>4286</v>
      </c>
      <c r="GG139">
        <f t="shared" ca="1" si="528"/>
        <v>0</v>
      </c>
      <c r="GH139" t="b">
        <f t="shared" ca="1" si="529"/>
        <v>0</v>
      </c>
      <c r="GI139">
        <f t="shared" ca="1" si="530"/>
        <v>0</v>
      </c>
      <c r="GJ139">
        <f t="shared" ca="1" si="531"/>
        <v>4286</v>
      </c>
      <c r="GK139">
        <f t="shared" ca="1" si="532"/>
        <v>0</v>
      </c>
      <c r="GL139">
        <f t="shared" ca="1" si="533"/>
        <v>0</v>
      </c>
      <c r="GM139">
        <f t="shared" ca="1" si="534"/>
        <v>0</v>
      </c>
    </row>
    <row r="140" spans="1:195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536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30"/>
        <v>4690</v>
      </c>
      <c r="L140">
        <f t="shared" si="431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432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535"/>
        <v>200</v>
      </c>
      <c r="S140">
        <f t="shared" si="433"/>
        <v>39010</v>
      </c>
      <c r="T140">
        <f>_xlfn.XLOOKUP(B140,'[2]april-2025'!$A:$A,'[2]april-2025'!$C:$C,0,0)</f>
        <v>33500</v>
      </c>
      <c r="U140">
        <f t="shared" si="434"/>
        <v>6030</v>
      </c>
      <c r="V140">
        <f t="shared" si="43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3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37"/>
        <v>200</v>
      </c>
      <c r="AC140">
        <f t="shared" si="438"/>
        <v>40350</v>
      </c>
      <c r="AD140">
        <f>_xlfn.XLOOKUP(B140,'[3]may-2025'!$A:$A,'[3]may-2025'!$C:$C,0,0)</f>
        <v>33500</v>
      </c>
      <c r="AE140">
        <f t="shared" si="439"/>
        <v>6030</v>
      </c>
      <c r="AF140">
        <f t="shared" si="440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41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42"/>
        <v>200</v>
      </c>
      <c r="AM140">
        <f t="shared" si="443"/>
        <v>40350</v>
      </c>
      <c r="AN140">
        <f>_xlfn.XLOOKUP(B140,'[4]june-2025'!$A:$A,'[4]june-2025'!$C:$C,0,0)</f>
        <v>33500</v>
      </c>
      <c r="AO140">
        <f t="shared" si="444"/>
        <v>6030</v>
      </c>
      <c r="AP140">
        <f t="shared" si="445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46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47"/>
        <v>200</v>
      </c>
      <c r="AW140">
        <f t="shared" si="448"/>
        <v>40350</v>
      </c>
      <c r="AX140">
        <f>_xlfn.XLOOKUP(B140,'[5]july-2025'!$A:$A,'[5]july-2025'!$C:$C,0,0)</f>
        <v>34500</v>
      </c>
      <c r="AY140">
        <f t="shared" si="449"/>
        <v>6210</v>
      </c>
      <c r="AZ140">
        <v>0</v>
      </c>
      <c r="BA140">
        <f t="shared" si="450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451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52"/>
        <v>200</v>
      </c>
      <c r="BH140">
        <f t="shared" si="453"/>
        <v>41650</v>
      </c>
      <c r="BI140">
        <f>_xlfn.XLOOKUP(B140,'[6]august-2025'!$A:$A,'[6]august-2025'!$C:$C,0,0)</f>
        <v>34500</v>
      </c>
      <c r="BJ140">
        <f t="shared" si="454"/>
        <v>6210</v>
      </c>
      <c r="BK140">
        <f t="shared" si="455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56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457"/>
        <v>200</v>
      </c>
      <c r="BR140">
        <f t="shared" si="458"/>
        <v>41650</v>
      </c>
      <c r="BS140">
        <f>_xlfn.XLOOKUP(B140,'[7]september-2025'!$A:$A,'[7]september-2025'!$C:$C,0,0)</f>
        <v>34500</v>
      </c>
      <c r="BT140">
        <f t="shared" si="459"/>
        <v>6210</v>
      </c>
      <c r="BU140">
        <f t="shared" si="460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461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62"/>
        <v>200</v>
      </c>
      <c r="CB140">
        <f t="shared" si="463"/>
        <v>41650</v>
      </c>
      <c r="CC140">
        <f>_xlfn.XLOOKUP(B140,'[8]october-2025'!$A:$A,'[8]october-2025'!$C:$C,0,0)</f>
        <v>34500</v>
      </c>
      <c r="CD140">
        <f t="shared" si="464"/>
        <v>6210</v>
      </c>
      <c r="CE140">
        <f t="shared" si="465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466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67"/>
        <v>200</v>
      </c>
      <c r="CL140">
        <f t="shared" si="468"/>
        <v>41650</v>
      </c>
      <c r="CM140">
        <f>_xlfn.XLOOKUP(B140,'[9]november-2025'!$A:$A,'[9]november-2025'!$C:$C,0,0)</f>
        <v>34500</v>
      </c>
      <c r="CN140">
        <f t="shared" si="469"/>
        <v>6210</v>
      </c>
      <c r="CO140">
        <f t="shared" si="470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471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72"/>
        <v>200</v>
      </c>
      <c r="CV140">
        <f t="shared" si="473"/>
        <v>41650</v>
      </c>
      <c r="CW140">
        <f>_xlfn.XLOOKUP(B140,'[10]december-2025'!$A:$A,'[10]december-2025'!$C:$C,0,0)</f>
        <v>34500</v>
      </c>
      <c r="CX140">
        <f t="shared" si="474"/>
        <v>6210</v>
      </c>
      <c r="CY140">
        <f t="shared" si="475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47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77"/>
        <v>200</v>
      </c>
      <c r="DF140">
        <f t="shared" si="478"/>
        <v>41650</v>
      </c>
      <c r="DG140">
        <f>_xlfn.XLOOKUP(B140,'[11]january-2026'!$A:$A,'[11]january-2026'!$C:$C,0,0)</f>
        <v>34500</v>
      </c>
      <c r="DH140">
        <f t="shared" si="479"/>
        <v>6210</v>
      </c>
      <c r="DI140">
        <f t="shared" si="48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1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2"/>
        <v>200</v>
      </c>
      <c r="DP140">
        <f t="shared" si="483"/>
        <v>41650</v>
      </c>
      <c r="DQ140">
        <f>_xlfn.XLOOKUP(B140,'[12]february-2026'!$A:$A,'[12]february-2026'!$C:$C,0,0)</f>
        <v>34500</v>
      </c>
      <c r="DR140">
        <f t="shared" si="484"/>
        <v>6210</v>
      </c>
      <c r="DS140">
        <f t="shared" si="485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6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7"/>
        <v>200</v>
      </c>
      <c r="DZ140">
        <f t="shared" si="488"/>
        <v>41650</v>
      </c>
      <c r="EA140">
        <f t="shared" si="489"/>
        <v>538460</v>
      </c>
      <c r="EB140">
        <f t="shared" si="490"/>
        <v>2400</v>
      </c>
      <c r="EC140">
        <f t="shared" si="491"/>
        <v>50000</v>
      </c>
      <c r="ED140">
        <v>0</v>
      </c>
      <c r="EE140">
        <f t="shared" si="492"/>
        <v>486060</v>
      </c>
      <c r="EF140">
        <f t="shared" si="493"/>
        <v>36000</v>
      </c>
      <c r="EG140">
        <f t="shared" si="494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5"/>
        <v>36000</v>
      </c>
      <c r="ES140">
        <f t="shared" si="496"/>
        <v>36000</v>
      </c>
      <c r="ET140">
        <f t="shared" si="497"/>
        <v>450060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8"/>
        <v>0</v>
      </c>
      <c r="FC140">
        <f t="shared" si="499"/>
        <v>450060</v>
      </c>
      <c r="FD140">
        <f t="shared" si="500"/>
        <v>10003</v>
      </c>
      <c r="FE140">
        <f t="shared" si="501"/>
        <v>0</v>
      </c>
      <c r="FF140">
        <f t="shared" si="502"/>
        <v>10003</v>
      </c>
      <c r="FG140">
        <f t="shared" si="503"/>
        <v>0</v>
      </c>
      <c r="FH140">
        <f t="shared" si="504"/>
        <v>0</v>
      </c>
      <c r="FI140">
        <f t="shared" si="505"/>
        <v>0</v>
      </c>
      <c r="FJ140">
        <v>0</v>
      </c>
      <c r="FK140">
        <f t="shared" si="506"/>
        <v>0</v>
      </c>
      <c r="FL140" t="b">
        <f t="shared" si="507"/>
        <v>1</v>
      </c>
      <c r="FM140">
        <f t="shared" ca="1" si="508"/>
        <v>526</v>
      </c>
      <c r="FN140">
        <f t="shared" ca="1" si="509"/>
        <v>538986</v>
      </c>
      <c r="FO140">
        <f t="shared" si="510"/>
        <v>75000</v>
      </c>
      <c r="FP140">
        <f t="shared" ca="1" si="511"/>
        <v>463986</v>
      </c>
      <c r="FQ140">
        <f t="shared" ca="1" si="512"/>
        <v>0</v>
      </c>
      <c r="FR140">
        <f t="shared" ca="1" si="513"/>
        <v>0</v>
      </c>
      <c r="FS140">
        <f t="shared" ca="1" si="514"/>
        <v>0</v>
      </c>
      <c r="FT140">
        <f t="shared" ca="1" si="515"/>
        <v>0</v>
      </c>
      <c r="FU140">
        <f t="shared" ca="1" si="516"/>
        <v>0</v>
      </c>
      <c r="FV140">
        <f t="shared" ca="1" si="517"/>
        <v>0</v>
      </c>
      <c r="FW140">
        <f t="shared" ca="1" si="518"/>
        <v>0</v>
      </c>
      <c r="FX140">
        <f t="shared" ca="1" si="519"/>
        <v>0</v>
      </c>
      <c r="FY140">
        <f t="shared" ca="1" si="520"/>
        <v>0</v>
      </c>
      <c r="FZ140">
        <f t="shared" ca="1" si="521"/>
        <v>0</v>
      </c>
      <c r="GA140">
        <f t="shared" ca="1" si="522"/>
        <v>63986</v>
      </c>
      <c r="GB140">
        <f t="shared" ca="1" si="523"/>
        <v>3199.3</v>
      </c>
      <c r="GC140">
        <f t="shared" ca="1" si="524"/>
        <v>3199</v>
      </c>
      <c r="GD140">
        <f t="shared" ca="1" si="525"/>
        <v>0</v>
      </c>
      <c r="GE140">
        <f t="shared" ca="1" si="526"/>
        <v>0</v>
      </c>
      <c r="GF140">
        <f t="shared" ca="1" si="527"/>
        <v>3199</v>
      </c>
      <c r="GG140">
        <f t="shared" ca="1" si="528"/>
        <v>0</v>
      </c>
      <c r="GH140" t="b">
        <f t="shared" ca="1" si="529"/>
        <v>0</v>
      </c>
      <c r="GI140">
        <f t="shared" ca="1" si="530"/>
        <v>0</v>
      </c>
      <c r="GJ140">
        <f t="shared" ca="1" si="531"/>
        <v>3199</v>
      </c>
      <c r="GK140">
        <f t="shared" ca="1" si="532"/>
        <v>0</v>
      </c>
      <c r="GL140">
        <f t="shared" ca="1" si="533"/>
        <v>0</v>
      </c>
      <c r="GM140">
        <f t="shared" ca="1" si="534"/>
        <v>0</v>
      </c>
    </row>
    <row r="141" spans="1:195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536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30"/>
        <v>4046.0000000000005</v>
      </c>
      <c r="L141">
        <f t="shared" si="431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432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535"/>
        <v>150</v>
      </c>
      <c r="S141">
        <f t="shared" si="433"/>
        <v>32764</v>
      </c>
      <c r="T141">
        <f>_xlfn.XLOOKUP(B141,'[2]april-2025'!$A:$A,'[2]april-2025'!$C:$C,0,0)</f>
        <v>28900</v>
      </c>
      <c r="U141">
        <f t="shared" si="434"/>
        <v>5202</v>
      </c>
      <c r="V141">
        <f t="shared" si="43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3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37"/>
        <v>150</v>
      </c>
      <c r="AC141">
        <f t="shared" si="438"/>
        <v>33920</v>
      </c>
      <c r="AD141">
        <f>_xlfn.XLOOKUP(B141,'[3]may-2025'!$A:$A,'[3]may-2025'!$C:$C,0,0)</f>
        <v>28900</v>
      </c>
      <c r="AE141">
        <f t="shared" si="439"/>
        <v>5202</v>
      </c>
      <c r="AF141">
        <f t="shared" si="440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41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42"/>
        <v>150</v>
      </c>
      <c r="AM141">
        <f t="shared" si="443"/>
        <v>33920</v>
      </c>
      <c r="AN141">
        <f>_xlfn.XLOOKUP(B141,'[4]june-2025'!$A:$A,'[4]june-2025'!$C:$C,0,0)</f>
        <v>28900</v>
      </c>
      <c r="AO141">
        <f t="shared" si="444"/>
        <v>5202</v>
      </c>
      <c r="AP141">
        <f t="shared" si="445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46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47"/>
        <v>150</v>
      </c>
      <c r="AW141">
        <f t="shared" si="448"/>
        <v>33920</v>
      </c>
      <c r="AX141">
        <f>_xlfn.XLOOKUP(B141,'[5]july-2025'!$A:$A,'[5]july-2025'!$C:$C,0,0)</f>
        <v>29800</v>
      </c>
      <c r="AY141">
        <f t="shared" si="449"/>
        <v>5364</v>
      </c>
      <c r="AZ141">
        <v>0</v>
      </c>
      <c r="BA141">
        <f t="shared" si="450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451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52"/>
        <v>150</v>
      </c>
      <c r="BH141">
        <f t="shared" si="453"/>
        <v>35090</v>
      </c>
      <c r="BI141">
        <f>_xlfn.XLOOKUP(B141,'[6]august-2025'!$A:$A,'[6]august-2025'!$C:$C,0,0)</f>
        <v>29800</v>
      </c>
      <c r="BJ141">
        <f t="shared" si="454"/>
        <v>5364</v>
      </c>
      <c r="BK141">
        <f t="shared" si="455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56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457"/>
        <v>150</v>
      </c>
      <c r="BR141">
        <f t="shared" si="458"/>
        <v>35090</v>
      </c>
      <c r="BS141">
        <f>_xlfn.XLOOKUP(B141,'[7]september-2025'!$A:$A,'[7]september-2025'!$C:$C,0,0)</f>
        <v>29800</v>
      </c>
      <c r="BT141">
        <f t="shared" si="459"/>
        <v>5364</v>
      </c>
      <c r="BU141">
        <f t="shared" si="460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461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62"/>
        <v>150</v>
      </c>
      <c r="CB141">
        <f t="shared" si="463"/>
        <v>35090</v>
      </c>
      <c r="CC141">
        <f>_xlfn.XLOOKUP(B141,'[8]october-2025'!$A:$A,'[8]october-2025'!$C:$C,0,0)</f>
        <v>29800</v>
      </c>
      <c r="CD141">
        <f t="shared" si="464"/>
        <v>5364</v>
      </c>
      <c r="CE141">
        <f t="shared" si="465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466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67"/>
        <v>150</v>
      </c>
      <c r="CL141">
        <f t="shared" si="468"/>
        <v>35090</v>
      </c>
      <c r="CM141">
        <f>_xlfn.XLOOKUP(B141,'[9]november-2025'!$A:$A,'[9]november-2025'!$C:$C,0,0)</f>
        <v>29800</v>
      </c>
      <c r="CN141">
        <f t="shared" si="469"/>
        <v>5364</v>
      </c>
      <c r="CO141">
        <f t="shared" si="470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471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72"/>
        <v>150</v>
      </c>
      <c r="CV141">
        <f t="shared" si="473"/>
        <v>35090</v>
      </c>
      <c r="CW141">
        <f>_xlfn.XLOOKUP(B141,'[10]december-2025'!$A:$A,'[10]december-2025'!$C:$C,0,0)</f>
        <v>29800</v>
      </c>
      <c r="CX141">
        <f t="shared" si="474"/>
        <v>5364</v>
      </c>
      <c r="CY141">
        <f t="shared" si="475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47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77"/>
        <v>150</v>
      </c>
      <c r="DF141">
        <f t="shared" si="478"/>
        <v>35090</v>
      </c>
      <c r="DG141">
        <f>_xlfn.XLOOKUP(B141,'[11]january-2026'!$A:$A,'[11]january-2026'!$C:$C,0,0)</f>
        <v>29800</v>
      </c>
      <c r="DH141">
        <f t="shared" si="479"/>
        <v>5364</v>
      </c>
      <c r="DI141">
        <f t="shared" si="48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1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2"/>
        <v>150</v>
      </c>
      <c r="DP141">
        <f t="shared" si="483"/>
        <v>35090</v>
      </c>
      <c r="DQ141">
        <f>_xlfn.XLOOKUP(B141,'[12]february-2026'!$A:$A,'[12]february-2026'!$C:$C,0,0)</f>
        <v>29800</v>
      </c>
      <c r="DR141">
        <f t="shared" si="484"/>
        <v>5364</v>
      </c>
      <c r="DS141">
        <f t="shared" si="485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6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7"/>
        <v>150</v>
      </c>
      <c r="DZ141">
        <f t="shared" si="488"/>
        <v>35090</v>
      </c>
      <c r="EA141">
        <f t="shared" si="489"/>
        <v>471844</v>
      </c>
      <c r="EB141">
        <f t="shared" si="490"/>
        <v>1800</v>
      </c>
      <c r="EC141">
        <f t="shared" si="491"/>
        <v>50000</v>
      </c>
      <c r="ED141">
        <v>0</v>
      </c>
      <c r="EE141">
        <f t="shared" si="492"/>
        <v>420044</v>
      </c>
      <c r="EF141">
        <f t="shared" si="493"/>
        <v>48000</v>
      </c>
      <c r="EG141">
        <f t="shared" si="494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5"/>
        <v>48000</v>
      </c>
      <c r="ES141">
        <f t="shared" si="496"/>
        <v>48000</v>
      </c>
      <c r="ET141">
        <f t="shared" si="497"/>
        <v>372044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8"/>
        <v>0</v>
      </c>
      <c r="FC141">
        <f t="shared" si="499"/>
        <v>372044</v>
      </c>
      <c r="FD141">
        <f t="shared" si="500"/>
        <v>6102</v>
      </c>
      <c r="FE141">
        <f t="shared" si="501"/>
        <v>0</v>
      </c>
      <c r="FF141">
        <f t="shared" si="502"/>
        <v>6102</v>
      </c>
      <c r="FG141">
        <f t="shared" si="503"/>
        <v>0</v>
      </c>
      <c r="FH141">
        <f t="shared" si="504"/>
        <v>0</v>
      </c>
      <c r="FI141">
        <f t="shared" si="505"/>
        <v>0</v>
      </c>
      <c r="FJ141">
        <v>0</v>
      </c>
      <c r="FK141">
        <f t="shared" si="506"/>
        <v>0</v>
      </c>
      <c r="FL141" t="b">
        <f t="shared" si="507"/>
        <v>0</v>
      </c>
      <c r="FM141">
        <f t="shared" ca="1" si="508"/>
        <v>1708</v>
      </c>
      <c r="FN141">
        <f t="shared" ca="1" si="509"/>
        <v>473552</v>
      </c>
      <c r="FO141">
        <f t="shared" si="510"/>
        <v>75000</v>
      </c>
      <c r="FP141">
        <f t="shared" ca="1" si="511"/>
        <v>398552</v>
      </c>
      <c r="FQ141">
        <f t="shared" ca="1" si="512"/>
        <v>0</v>
      </c>
      <c r="FR141">
        <f t="shared" ca="1" si="513"/>
        <v>0</v>
      </c>
      <c r="FS141">
        <f t="shared" ca="1" si="514"/>
        <v>0</v>
      </c>
      <c r="FT141">
        <f t="shared" ca="1" si="515"/>
        <v>0</v>
      </c>
      <c r="FU141">
        <f t="shared" ca="1" si="516"/>
        <v>0</v>
      </c>
      <c r="FV141">
        <f t="shared" ca="1" si="517"/>
        <v>0</v>
      </c>
      <c r="FW141">
        <f t="shared" ca="1" si="518"/>
        <v>0</v>
      </c>
      <c r="FX141">
        <f t="shared" ca="1" si="519"/>
        <v>0</v>
      </c>
      <c r="FY141">
        <f t="shared" ca="1" si="520"/>
        <v>0</v>
      </c>
      <c r="FZ141">
        <f t="shared" ca="1" si="521"/>
        <v>0</v>
      </c>
      <c r="GA141">
        <f t="shared" ca="1" si="522"/>
        <v>0</v>
      </c>
      <c r="GB141">
        <f t="shared" ca="1" si="523"/>
        <v>0</v>
      </c>
      <c r="GC141">
        <f t="shared" ca="1" si="524"/>
        <v>0</v>
      </c>
      <c r="GD141">
        <f t="shared" ca="1" si="525"/>
        <v>0</v>
      </c>
      <c r="GE141">
        <f t="shared" ca="1" si="526"/>
        <v>0</v>
      </c>
      <c r="GF141">
        <f t="shared" ca="1" si="527"/>
        <v>0</v>
      </c>
      <c r="GG141">
        <f t="shared" ca="1" si="528"/>
        <v>0</v>
      </c>
      <c r="GH141" t="b">
        <f t="shared" ca="1" si="529"/>
        <v>0</v>
      </c>
      <c r="GI141">
        <f t="shared" ca="1" si="530"/>
        <v>0</v>
      </c>
      <c r="GJ141">
        <f t="shared" ca="1" si="531"/>
        <v>0</v>
      </c>
      <c r="GK141">
        <f t="shared" ca="1" si="532"/>
        <v>0</v>
      </c>
      <c r="GL141">
        <f t="shared" ca="1" si="533"/>
        <v>0</v>
      </c>
      <c r="GM141">
        <f t="shared" ca="1" si="534"/>
        <v>0</v>
      </c>
    </row>
    <row r="142" spans="1:195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536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30"/>
        <v>4046.0000000000005</v>
      </c>
      <c r="L142">
        <f t="shared" si="431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432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535"/>
        <v>150</v>
      </c>
      <c r="S142">
        <f t="shared" si="433"/>
        <v>36264</v>
      </c>
      <c r="T142">
        <f>_xlfn.XLOOKUP(B142,'[2]april-2025'!$A:$A,'[2]april-2025'!$C:$C,0,0)</f>
        <v>28900</v>
      </c>
      <c r="U142">
        <f t="shared" si="434"/>
        <v>5202</v>
      </c>
      <c r="V142">
        <f t="shared" si="43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3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37"/>
        <v>150</v>
      </c>
      <c r="AC142">
        <f t="shared" si="438"/>
        <v>37420</v>
      </c>
      <c r="AD142">
        <f>_xlfn.XLOOKUP(B142,'[3]may-2025'!$A:$A,'[3]may-2025'!$C:$C,0,0)</f>
        <v>28900</v>
      </c>
      <c r="AE142">
        <f t="shared" si="439"/>
        <v>5202</v>
      </c>
      <c r="AF142">
        <f t="shared" si="440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41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42"/>
        <v>150</v>
      </c>
      <c r="AM142">
        <f t="shared" si="443"/>
        <v>37420</v>
      </c>
      <c r="AN142">
        <f>_xlfn.XLOOKUP(B142,'[4]june-2025'!$A:$A,'[4]june-2025'!$C:$C,0,0)</f>
        <v>28900</v>
      </c>
      <c r="AO142">
        <f t="shared" si="444"/>
        <v>5202</v>
      </c>
      <c r="AP142">
        <f t="shared" si="445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46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47"/>
        <v>150</v>
      </c>
      <c r="AW142">
        <f t="shared" si="448"/>
        <v>37420</v>
      </c>
      <c r="AX142">
        <f>_xlfn.XLOOKUP(B142,'[5]july-2025'!$A:$A,'[5]july-2025'!$C:$C,0,0)</f>
        <v>29800</v>
      </c>
      <c r="AY142">
        <f t="shared" si="449"/>
        <v>5364</v>
      </c>
      <c r="AZ142">
        <v>0</v>
      </c>
      <c r="BA142">
        <f t="shared" si="450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451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52"/>
        <v>150</v>
      </c>
      <c r="BH142">
        <f t="shared" si="453"/>
        <v>38590</v>
      </c>
      <c r="BI142">
        <f>_xlfn.XLOOKUP(B142,'[6]august-2025'!$A:$A,'[6]august-2025'!$C:$C,0,0)</f>
        <v>29800</v>
      </c>
      <c r="BJ142">
        <f t="shared" si="454"/>
        <v>5364</v>
      </c>
      <c r="BK142">
        <f t="shared" si="455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56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457"/>
        <v>150</v>
      </c>
      <c r="BR142">
        <f t="shared" si="458"/>
        <v>38590</v>
      </c>
      <c r="BS142">
        <f>_xlfn.XLOOKUP(B142,'[7]september-2025'!$A:$A,'[7]september-2025'!$C:$C,0,0)</f>
        <v>29800</v>
      </c>
      <c r="BT142">
        <f t="shared" si="459"/>
        <v>5364</v>
      </c>
      <c r="BU142">
        <f t="shared" si="460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461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62"/>
        <v>150</v>
      </c>
      <c r="CB142">
        <f t="shared" si="463"/>
        <v>36590</v>
      </c>
      <c r="CC142">
        <f>_xlfn.XLOOKUP(B142,'[8]october-2025'!$A:$A,'[8]october-2025'!$C:$C,0,0)</f>
        <v>29800</v>
      </c>
      <c r="CD142">
        <f t="shared" si="464"/>
        <v>5364</v>
      </c>
      <c r="CE142">
        <f t="shared" si="465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466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67"/>
        <v>150</v>
      </c>
      <c r="CL142">
        <f t="shared" si="468"/>
        <v>36590</v>
      </c>
      <c r="CM142">
        <f>_xlfn.XLOOKUP(B142,'[9]november-2025'!$A:$A,'[9]november-2025'!$C:$C,0,0)</f>
        <v>29800</v>
      </c>
      <c r="CN142">
        <f t="shared" si="469"/>
        <v>5364</v>
      </c>
      <c r="CO142">
        <f t="shared" si="470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471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72"/>
        <v>150</v>
      </c>
      <c r="CV142">
        <f t="shared" si="473"/>
        <v>36590</v>
      </c>
      <c r="CW142">
        <f>_xlfn.XLOOKUP(B142,'[10]december-2025'!$A:$A,'[10]december-2025'!$C:$C,0,0)</f>
        <v>29800</v>
      </c>
      <c r="CX142">
        <f t="shared" si="474"/>
        <v>5364</v>
      </c>
      <c r="CY142">
        <f t="shared" si="475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47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77"/>
        <v>150</v>
      </c>
      <c r="DF142">
        <f t="shared" si="478"/>
        <v>36590</v>
      </c>
      <c r="DG142">
        <f>_xlfn.XLOOKUP(B142,'[11]january-2026'!$A:$A,'[11]january-2026'!$C:$C,0,0)</f>
        <v>29800</v>
      </c>
      <c r="DH142">
        <f t="shared" si="479"/>
        <v>5364</v>
      </c>
      <c r="DI142">
        <f t="shared" si="48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1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2"/>
        <v>150</v>
      </c>
      <c r="DP142">
        <f t="shared" si="483"/>
        <v>36590</v>
      </c>
      <c r="DQ142">
        <f>_xlfn.XLOOKUP(B142,'[12]february-2026'!$A:$A,'[12]february-2026'!$C:$C,0,0)</f>
        <v>29800</v>
      </c>
      <c r="DR142">
        <f t="shared" si="484"/>
        <v>5364</v>
      </c>
      <c r="DS142">
        <f t="shared" si="485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6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7"/>
        <v>150</v>
      </c>
      <c r="DZ142">
        <f t="shared" si="488"/>
        <v>36590</v>
      </c>
      <c r="EA142">
        <f t="shared" si="489"/>
        <v>465844</v>
      </c>
      <c r="EB142">
        <f t="shared" si="490"/>
        <v>1800</v>
      </c>
      <c r="EC142">
        <f t="shared" si="491"/>
        <v>50000</v>
      </c>
      <c r="ED142">
        <v>0</v>
      </c>
      <c r="EE142">
        <f t="shared" si="492"/>
        <v>414044</v>
      </c>
      <c r="EF142">
        <f t="shared" si="493"/>
        <v>12000</v>
      </c>
      <c r="EG142">
        <f t="shared" si="494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5"/>
        <v>12000</v>
      </c>
      <c r="ES142">
        <f t="shared" si="496"/>
        <v>12000</v>
      </c>
      <c r="ET142">
        <f t="shared" si="497"/>
        <v>402044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8"/>
        <v>0</v>
      </c>
      <c r="FC142">
        <f t="shared" si="499"/>
        <v>402044</v>
      </c>
      <c r="FD142">
        <f t="shared" si="500"/>
        <v>7602</v>
      </c>
      <c r="FE142">
        <f t="shared" si="501"/>
        <v>0</v>
      </c>
      <c r="FF142">
        <f t="shared" si="502"/>
        <v>7602</v>
      </c>
      <c r="FG142">
        <f t="shared" si="503"/>
        <v>0</v>
      </c>
      <c r="FH142">
        <f t="shared" si="504"/>
        <v>0</v>
      </c>
      <c r="FI142">
        <f t="shared" si="505"/>
        <v>0</v>
      </c>
      <c r="FJ142">
        <v>0</v>
      </c>
      <c r="FK142">
        <f t="shared" si="506"/>
        <v>0</v>
      </c>
      <c r="FL142" t="b">
        <f t="shared" si="507"/>
        <v>0</v>
      </c>
      <c r="FM142">
        <f t="shared" ca="1" si="508"/>
        <v>1805</v>
      </c>
      <c r="FN142">
        <f t="shared" ca="1" si="509"/>
        <v>467649</v>
      </c>
      <c r="FO142">
        <f t="shared" si="510"/>
        <v>75000</v>
      </c>
      <c r="FP142">
        <f t="shared" ca="1" si="511"/>
        <v>392649</v>
      </c>
      <c r="FQ142">
        <f t="shared" ca="1" si="512"/>
        <v>0</v>
      </c>
      <c r="FR142">
        <f t="shared" ca="1" si="513"/>
        <v>0</v>
      </c>
      <c r="FS142">
        <f t="shared" ca="1" si="514"/>
        <v>0</v>
      </c>
      <c r="FT142">
        <f t="shared" ca="1" si="515"/>
        <v>0</v>
      </c>
      <c r="FU142">
        <f t="shared" ca="1" si="516"/>
        <v>0</v>
      </c>
      <c r="FV142">
        <f t="shared" ca="1" si="517"/>
        <v>0</v>
      </c>
      <c r="FW142">
        <f t="shared" ca="1" si="518"/>
        <v>0</v>
      </c>
      <c r="FX142">
        <f t="shared" ca="1" si="519"/>
        <v>0</v>
      </c>
      <c r="FY142">
        <f t="shared" ca="1" si="520"/>
        <v>0</v>
      </c>
      <c r="FZ142">
        <f t="shared" ca="1" si="521"/>
        <v>0</v>
      </c>
      <c r="GA142">
        <f t="shared" ca="1" si="522"/>
        <v>0</v>
      </c>
      <c r="GB142">
        <f t="shared" ca="1" si="523"/>
        <v>0</v>
      </c>
      <c r="GC142">
        <f t="shared" ca="1" si="524"/>
        <v>0</v>
      </c>
      <c r="GD142">
        <f t="shared" ca="1" si="525"/>
        <v>0</v>
      </c>
      <c r="GE142">
        <f t="shared" ca="1" si="526"/>
        <v>0</v>
      </c>
      <c r="GF142">
        <f t="shared" ca="1" si="527"/>
        <v>0</v>
      </c>
      <c r="GG142">
        <f t="shared" ca="1" si="528"/>
        <v>0</v>
      </c>
      <c r="GH142" t="b">
        <f t="shared" ca="1" si="529"/>
        <v>0</v>
      </c>
      <c r="GI142">
        <f t="shared" ca="1" si="530"/>
        <v>0</v>
      </c>
      <c r="GJ142">
        <f t="shared" ca="1" si="531"/>
        <v>0</v>
      </c>
      <c r="GK142">
        <f t="shared" ca="1" si="532"/>
        <v>0</v>
      </c>
      <c r="GL142">
        <f t="shared" ca="1" si="533"/>
        <v>0</v>
      </c>
      <c r="GM142">
        <f t="shared" ca="1" si="534"/>
        <v>0</v>
      </c>
    </row>
    <row r="143" spans="1:195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536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30"/>
        <v>4830.0000000000009</v>
      </c>
      <c r="L143">
        <f t="shared" si="431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432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535"/>
        <v>200</v>
      </c>
      <c r="S143">
        <f t="shared" si="433"/>
        <v>37170</v>
      </c>
      <c r="T143">
        <f>_xlfn.XLOOKUP(B143,'[2]april-2025'!$A:$A,'[2]april-2025'!$C:$C,0,0)</f>
        <v>34500</v>
      </c>
      <c r="U143">
        <f t="shared" si="434"/>
        <v>6210</v>
      </c>
      <c r="V143">
        <f t="shared" si="43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3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37"/>
        <v>200</v>
      </c>
      <c r="AC143">
        <f t="shared" si="438"/>
        <v>38550</v>
      </c>
      <c r="AD143">
        <f>_xlfn.XLOOKUP(B143,'[3]may-2025'!$A:$A,'[3]may-2025'!$C:$C,0,0)</f>
        <v>34500</v>
      </c>
      <c r="AE143">
        <f t="shared" si="439"/>
        <v>6210</v>
      </c>
      <c r="AF143">
        <f t="shared" si="440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41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42"/>
        <v>200</v>
      </c>
      <c r="AM143">
        <f t="shared" si="443"/>
        <v>38550</v>
      </c>
      <c r="AN143">
        <f>_xlfn.XLOOKUP(B143,'[4]june-2025'!$A:$A,'[4]june-2025'!$C:$C,0,0)</f>
        <v>34500</v>
      </c>
      <c r="AO143">
        <f t="shared" si="444"/>
        <v>6210</v>
      </c>
      <c r="AP143">
        <f t="shared" si="445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46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47"/>
        <v>200</v>
      </c>
      <c r="AW143">
        <f t="shared" si="448"/>
        <v>38550</v>
      </c>
      <c r="AX143">
        <f>_xlfn.XLOOKUP(B143,'[5]july-2025'!$A:$A,'[5]july-2025'!$C:$C,0,0)</f>
        <v>35500</v>
      </c>
      <c r="AY143">
        <f t="shared" si="449"/>
        <v>6390</v>
      </c>
      <c r="AZ143">
        <v>0</v>
      </c>
      <c r="BA143">
        <f t="shared" si="450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451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52"/>
        <v>200</v>
      </c>
      <c r="BH143">
        <f t="shared" si="453"/>
        <v>39850</v>
      </c>
      <c r="BI143">
        <f>_xlfn.XLOOKUP(B143,'[6]august-2025'!$A:$A,'[6]august-2025'!$C:$C,0,0)</f>
        <v>35500</v>
      </c>
      <c r="BJ143">
        <f t="shared" si="454"/>
        <v>6390</v>
      </c>
      <c r="BK143">
        <f t="shared" si="455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56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457"/>
        <v>200</v>
      </c>
      <c r="BR143">
        <f t="shared" si="458"/>
        <v>39850</v>
      </c>
      <c r="BS143">
        <f>_xlfn.XLOOKUP(B143,'[7]september-2025'!$A:$A,'[7]september-2025'!$C:$C,0,0)</f>
        <v>35500</v>
      </c>
      <c r="BT143">
        <f t="shared" si="459"/>
        <v>6390</v>
      </c>
      <c r="BU143">
        <f t="shared" si="460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461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62"/>
        <v>200</v>
      </c>
      <c r="CB143">
        <f t="shared" si="463"/>
        <v>39850</v>
      </c>
      <c r="CC143">
        <f>_xlfn.XLOOKUP(B143,'[8]october-2025'!$A:$A,'[8]october-2025'!$C:$C,0,0)</f>
        <v>35500</v>
      </c>
      <c r="CD143">
        <f t="shared" si="464"/>
        <v>6390</v>
      </c>
      <c r="CE143">
        <f t="shared" si="465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466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67"/>
        <v>200</v>
      </c>
      <c r="CL143">
        <f t="shared" si="468"/>
        <v>39850</v>
      </c>
      <c r="CM143">
        <f>_xlfn.XLOOKUP(B143,'[9]november-2025'!$A:$A,'[9]november-2025'!$C:$C,0,0)</f>
        <v>35500</v>
      </c>
      <c r="CN143">
        <f t="shared" si="469"/>
        <v>6390</v>
      </c>
      <c r="CO143">
        <f t="shared" si="470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471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72"/>
        <v>200</v>
      </c>
      <c r="CV143">
        <f t="shared" si="473"/>
        <v>39850</v>
      </c>
      <c r="CW143">
        <f>_xlfn.XLOOKUP(B143,'[10]december-2025'!$A:$A,'[10]december-2025'!$C:$C,0,0)</f>
        <v>35500</v>
      </c>
      <c r="CX143">
        <f t="shared" si="474"/>
        <v>6390</v>
      </c>
      <c r="CY143">
        <f t="shared" si="475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47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77"/>
        <v>200</v>
      </c>
      <c r="DF143">
        <f t="shared" si="478"/>
        <v>39850</v>
      </c>
      <c r="DG143">
        <f>_xlfn.XLOOKUP(B143,'[11]january-2026'!$A:$A,'[11]january-2026'!$C:$C,0,0)</f>
        <v>35500</v>
      </c>
      <c r="DH143">
        <f t="shared" si="479"/>
        <v>6390</v>
      </c>
      <c r="DI143">
        <f t="shared" si="48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1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2"/>
        <v>200</v>
      </c>
      <c r="DP143">
        <f t="shared" si="483"/>
        <v>39850</v>
      </c>
      <c r="DQ143">
        <f>_xlfn.XLOOKUP(B143,'[12]february-2026'!$A:$A,'[12]february-2026'!$C:$C,0,0)</f>
        <v>35500</v>
      </c>
      <c r="DR143">
        <f t="shared" si="484"/>
        <v>6390</v>
      </c>
      <c r="DS143">
        <f t="shared" si="485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6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7"/>
        <v>200</v>
      </c>
      <c r="DZ143">
        <f t="shared" si="488"/>
        <v>39850</v>
      </c>
      <c r="EA143">
        <f t="shared" si="489"/>
        <v>564820</v>
      </c>
      <c r="EB143">
        <f t="shared" si="490"/>
        <v>2400</v>
      </c>
      <c r="EC143">
        <f t="shared" si="491"/>
        <v>50000</v>
      </c>
      <c r="ED143">
        <v>0</v>
      </c>
      <c r="EE143">
        <f t="shared" si="492"/>
        <v>512420</v>
      </c>
      <c r="EF143">
        <f t="shared" si="493"/>
        <v>84000</v>
      </c>
      <c r="EG143">
        <f t="shared" si="494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5"/>
        <v>84000</v>
      </c>
      <c r="ES143">
        <f t="shared" si="496"/>
        <v>84000</v>
      </c>
      <c r="ET143">
        <f t="shared" si="497"/>
        <v>428420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8"/>
        <v>0</v>
      </c>
      <c r="FC143">
        <f t="shared" si="499"/>
        <v>428420</v>
      </c>
      <c r="FD143">
        <f t="shared" si="500"/>
        <v>8921</v>
      </c>
      <c r="FE143">
        <f t="shared" si="501"/>
        <v>0</v>
      </c>
      <c r="FF143">
        <f t="shared" si="502"/>
        <v>8921</v>
      </c>
      <c r="FG143">
        <f t="shared" si="503"/>
        <v>0</v>
      </c>
      <c r="FH143">
        <f t="shared" si="504"/>
        <v>0</v>
      </c>
      <c r="FI143">
        <f t="shared" si="505"/>
        <v>0</v>
      </c>
      <c r="FJ143">
        <v>0</v>
      </c>
      <c r="FK143">
        <f t="shared" si="506"/>
        <v>0</v>
      </c>
      <c r="FL143" t="b">
        <f t="shared" si="507"/>
        <v>1</v>
      </c>
      <c r="FM143">
        <f t="shared" ca="1" si="508"/>
        <v>661</v>
      </c>
      <c r="FN143">
        <f t="shared" ca="1" si="509"/>
        <v>565481</v>
      </c>
      <c r="FO143">
        <f t="shared" si="510"/>
        <v>75000</v>
      </c>
      <c r="FP143">
        <f t="shared" ca="1" si="511"/>
        <v>490481</v>
      </c>
      <c r="FQ143">
        <f t="shared" ca="1" si="512"/>
        <v>0</v>
      </c>
      <c r="FR143">
        <f t="shared" ca="1" si="513"/>
        <v>0</v>
      </c>
      <c r="FS143">
        <f t="shared" ca="1" si="514"/>
        <v>0</v>
      </c>
      <c r="FT143">
        <f t="shared" ca="1" si="515"/>
        <v>0</v>
      </c>
      <c r="FU143">
        <f t="shared" ca="1" si="516"/>
        <v>0</v>
      </c>
      <c r="FV143">
        <f t="shared" ca="1" si="517"/>
        <v>0</v>
      </c>
      <c r="FW143">
        <f t="shared" ca="1" si="518"/>
        <v>0</v>
      </c>
      <c r="FX143">
        <f t="shared" ca="1" si="519"/>
        <v>0</v>
      </c>
      <c r="FY143">
        <f t="shared" ca="1" si="520"/>
        <v>0</v>
      </c>
      <c r="FZ143">
        <f t="shared" ca="1" si="521"/>
        <v>0</v>
      </c>
      <c r="GA143">
        <f t="shared" ca="1" si="522"/>
        <v>90481</v>
      </c>
      <c r="GB143">
        <f t="shared" ca="1" si="523"/>
        <v>4524.05</v>
      </c>
      <c r="GC143">
        <f t="shared" ca="1" si="524"/>
        <v>4524</v>
      </c>
      <c r="GD143">
        <f t="shared" ca="1" si="525"/>
        <v>0</v>
      </c>
      <c r="GE143">
        <f t="shared" ca="1" si="526"/>
        <v>0</v>
      </c>
      <c r="GF143">
        <f t="shared" ca="1" si="527"/>
        <v>4524</v>
      </c>
      <c r="GG143">
        <f t="shared" ca="1" si="528"/>
        <v>0</v>
      </c>
      <c r="GH143" t="b">
        <f t="shared" ca="1" si="529"/>
        <v>0</v>
      </c>
      <c r="GI143">
        <f t="shared" ca="1" si="530"/>
        <v>0</v>
      </c>
      <c r="GJ143">
        <f t="shared" ca="1" si="531"/>
        <v>4524</v>
      </c>
      <c r="GK143">
        <f t="shared" ca="1" si="532"/>
        <v>0</v>
      </c>
      <c r="GL143">
        <f t="shared" ca="1" si="533"/>
        <v>0</v>
      </c>
      <c r="GM143">
        <f t="shared" ca="1" si="534"/>
        <v>0</v>
      </c>
    </row>
    <row r="144" spans="1:195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536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30"/>
        <v>4298</v>
      </c>
      <c r="L144">
        <f t="shared" si="431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432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535"/>
        <v>150</v>
      </c>
      <c r="S144">
        <f t="shared" si="433"/>
        <v>35032</v>
      </c>
      <c r="T144">
        <f>_xlfn.XLOOKUP(B144,'[2]april-2025'!$A:$A,'[2]april-2025'!$C:$C,0,0)</f>
        <v>30700</v>
      </c>
      <c r="U144">
        <f t="shared" si="434"/>
        <v>5526</v>
      </c>
      <c r="V144">
        <f t="shared" si="43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3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37"/>
        <v>200</v>
      </c>
      <c r="AC144">
        <f t="shared" si="438"/>
        <v>36210</v>
      </c>
      <c r="AD144">
        <f>_xlfn.XLOOKUP(B144,'[3]may-2025'!$A:$A,'[3]may-2025'!$C:$C,0,0)</f>
        <v>30700</v>
      </c>
      <c r="AE144">
        <f t="shared" si="439"/>
        <v>5526</v>
      </c>
      <c r="AF144">
        <f t="shared" si="440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41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42"/>
        <v>200</v>
      </c>
      <c r="AM144">
        <f t="shared" si="443"/>
        <v>36210</v>
      </c>
      <c r="AN144">
        <f>_xlfn.XLOOKUP(B144,'[4]june-2025'!$A:$A,'[4]june-2025'!$C:$C,0,0)</f>
        <v>30700</v>
      </c>
      <c r="AO144">
        <f t="shared" si="444"/>
        <v>5526</v>
      </c>
      <c r="AP144">
        <f t="shared" si="445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46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47"/>
        <v>200</v>
      </c>
      <c r="AW144">
        <f t="shared" si="448"/>
        <v>36210</v>
      </c>
      <c r="AX144">
        <f>_xlfn.XLOOKUP(B144,'[5]july-2025'!$A:$A,'[5]july-2025'!$C:$C,0,0)</f>
        <v>31600</v>
      </c>
      <c r="AY144">
        <f t="shared" si="449"/>
        <v>5688</v>
      </c>
      <c r="AZ144">
        <v>0</v>
      </c>
      <c r="BA144">
        <f t="shared" si="450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451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52"/>
        <v>200</v>
      </c>
      <c r="BH144">
        <f t="shared" si="453"/>
        <v>37380</v>
      </c>
      <c r="BI144">
        <f>_xlfn.XLOOKUP(B144,'[6]august-2025'!$A:$A,'[6]august-2025'!$C:$C,0,0)</f>
        <v>31600</v>
      </c>
      <c r="BJ144">
        <f t="shared" si="454"/>
        <v>5688</v>
      </c>
      <c r="BK144">
        <f t="shared" si="455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56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457"/>
        <v>200</v>
      </c>
      <c r="BR144">
        <f t="shared" si="458"/>
        <v>37380</v>
      </c>
      <c r="BS144">
        <f>_xlfn.XLOOKUP(B144,'[7]september-2025'!$A:$A,'[7]september-2025'!$C:$C,0,0)</f>
        <v>31600</v>
      </c>
      <c r="BT144">
        <f t="shared" si="459"/>
        <v>5688</v>
      </c>
      <c r="BU144">
        <f t="shared" si="460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461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62"/>
        <v>200</v>
      </c>
      <c r="CB144">
        <f t="shared" si="463"/>
        <v>37380</v>
      </c>
      <c r="CC144">
        <f>_xlfn.XLOOKUP(B144,'[8]october-2025'!$A:$A,'[8]october-2025'!$C:$C,0,0)</f>
        <v>31600</v>
      </c>
      <c r="CD144">
        <f t="shared" si="464"/>
        <v>5688</v>
      </c>
      <c r="CE144">
        <f t="shared" si="465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466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67"/>
        <v>200</v>
      </c>
      <c r="CL144">
        <f t="shared" si="468"/>
        <v>37380</v>
      </c>
      <c r="CM144">
        <f>_xlfn.XLOOKUP(B144,'[9]november-2025'!$A:$A,'[9]november-2025'!$C:$C,0,0)</f>
        <v>31600</v>
      </c>
      <c r="CN144">
        <f t="shared" si="469"/>
        <v>5688</v>
      </c>
      <c r="CO144">
        <f t="shared" si="470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471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72"/>
        <v>200</v>
      </c>
      <c r="CV144">
        <f t="shared" si="473"/>
        <v>37380</v>
      </c>
      <c r="CW144">
        <f>_xlfn.XLOOKUP(B144,'[10]december-2025'!$A:$A,'[10]december-2025'!$C:$C,0,0)</f>
        <v>31600</v>
      </c>
      <c r="CX144">
        <f t="shared" si="474"/>
        <v>5688</v>
      </c>
      <c r="CY144">
        <f t="shared" si="475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47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77"/>
        <v>200</v>
      </c>
      <c r="DF144">
        <f t="shared" si="478"/>
        <v>37380</v>
      </c>
      <c r="DG144">
        <f>_xlfn.XLOOKUP(B144,'[11]january-2026'!$A:$A,'[11]january-2026'!$C:$C,0,0)</f>
        <v>31600</v>
      </c>
      <c r="DH144">
        <f t="shared" si="479"/>
        <v>5688</v>
      </c>
      <c r="DI144">
        <f t="shared" si="48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1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2"/>
        <v>200</v>
      </c>
      <c r="DP144">
        <f t="shared" si="483"/>
        <v>37380</v>
      </c>
      <c r="DQ144">
        <f>_xlfn.XLOOKUP(B144,'[12]february-2026'!$A:$A,'[12]february-2026'!$C:$C,0,0)</f>
        <v>31600</v>
      </c>
      <c r="DR144">
        <f t="shared" si="484"/>
        <v>5688</v>
      </c>
      <c r="DS144">
        <f t="shared" si="485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6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7"/>
        <v>200</v>
      </c>
      <c r="DZ144">
        <f t="shared" si="488"/>
        <v>37380</v>
      </c>
      <c r="EA144">
        <f t="shared" si="489"/>
        <v>499852</v>
      </c>
      <c r="EB144">
        <f t="shared" si="490"/>
        <v>2350</v>
      </c>
      <c r="EC144">
        <f t="shared" si="491"/>
        <v>50000</v>
      </c>
      <c r="ED144">
        <v>0</v>
      </c>
      <c r="EE144">
        <f t="shared" si="492"/>
        <v>447502</v>
      </c>
      <c r="EF144">
        <f t="shared" si="493"/>
        <v>48000</v>
      </c>
      <c r="EG144">
        <f t="shared" si="494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5"/>
        <v>48000</v>
      </c>
      <c r="ES144">
        <f t="shared" si="496"/>
        <v>48000</v>
      </c>
      <c r="ET144">
        <f t="shared" si="497"/>
        <v>399502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8"/>
        <v>0</v>
      </c>
      <c r="FC144">
        <f t="shared" si="499"/>
        <v>399502</v>
      </c>
      <c r="FD144">
        <f t="shared" si="500"/>
        <v>7475</v>
      </c>
      <c r="FE144">
        <f t="shared" si="501"/>
        <v>0</v>
      </c>
      <c r="FF144">
        <f t="shared" si="502"/>
        <v>7475</v>
      </c>
      <c r="FG144">
        <f t="shared" si="503"/>
        <v>0</v>
      </c>
      <c r="FH144">
        <f t="shared" si="504"/>
        <v>0</v>
      </c>
      <c r="FI144">
        <f t="shared" si="505"/>
        <v>0</v>
      </c>
      <c r="FJ144">
        <v>0</v>
      </c>
      <c r="FK144">
        <f t="shared" si="506"/>
        <v>0</v>
      </c>
      <c r="FL144" t="b">
        <f t="shared" si="507"/>
        <v>0</v>
      </c>
      <c r="FM144">
        <f t="shared" ca="1" si="508"/>
        <v>1194</v>
      </c>
      <c r="FN144">
        <f t="shared" ca="1" si="509"/>
        <v>501046</v>
      </c>
      <c r="FO144">
        <f t="shared" si="510"/>
        <v>75000</v>
      </c>
      <c r="FP144">
        <f t="shared" ca="1" si="511"/>
        <v>426046</v>
      </c>
      <c r="FQ144">
        <f t="shared" ca="1" si="512"/>
        <v>0</v>
      </c>
      <c r="FR144">
        <f t="shared" ca="1" si="513"/>
        <v>0</v>
      </c>
      <c r="FS144">
        <f t="shared" ca="1" si="514"/>
        <v>0</v>
      </c>
      <c r="FT144">
        <f t="shared" ca="1" si="515"/>
        <v>0</v>
      </c>
      <c r="FU144">
        <f t="shared" ca="1" si="516"/>
        <v>0</v>
      </c>
      <c r="FV144">
        <f t="shared" ca="1" si="517"/>
        <v>0</v>
      </c>
      <c r="FW144">
        <f t="shared" ca="1" si="518"/>
        <v>0</v>
      </c>
      <c r="FX144">
        <f t="shared" ca="1" si="519"/>
        <v>0</v>
      </c>
      <c r="FY144">
        <f t="shared" ca="1" si="520"/>
        <v>0</v>
      </c>
      <c r="FZ144">
        <f t="shared" ca="1" si="521"/>
        <v>0</v>
      </c>
      <c r="GA144">
        <f t="shared" ca="1" si="522"/>
        <v>26046</v>
      </c>
      <c r="GB144">
        <f t="shared" ca="1" si="523"/>
        <v>1302.3000000000002</v>
      </c>
      <c r="GC144">
        <f t="shared" ca="1" si="524"/>
        <v>1302</v>
      </c>
      <c r="GD144">
        <f t="shared" ca="1" si="525"/>
        <v>0</v>
      </c>
      <c r="GE144">
        <f t="shared" ca="1" si="526"/>
        <v>0</v>
      </c>
      <c r="GF144">
        <f t="shared" ca="1" si="527"/>
        <v>1302</v>
      </c>
      <c r="GG144">
        <f t="shared" ca="1" si="528"/>
        <v>0</v>
      </c>
      <c r="GH144" t="b">
        <f t="shared" ca="1" si="529"/>
        <v>0</v>
      </c>
      <c r="GI144">
        <f t="shared" ca="1" si="530"/>
        <v>0</v>
      </c>
      <c r="GJ144">
        <f t="shared" ca="1" si="531"/>
        <v>1302</v>
      </c>
      <c r="GK144">
        <f t="shared" ca="1" si="532"/>
        <v>0</v>
      </c>
      <c r="GL144">
        <f t="shared" ca="1" si="533"/>
        <v>0</v>
      </c>
      <c r="GM144">
        <f t="shared" ca="1" si="534"/>
        <v>0</v>
      </c>
    </row>
    <row r="145" spans="1:195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536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30"/>
        <v>4046.0000000000005</v>
      </c>
      <c r="L145">
        <f t="shared" si="431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432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535"/>
        <v>150</v>
      </c>
      <c r="S145">
        <f t="shared" si="433"/>
        <v>34264</v>
      </c>
      <c r="T145">
        <f>_xlfn.XLOOKUP(B145,'[2]april-2025'!$A:$A,'[2]april-2025'!$C:$C,0,0)</f>
        <v>28900</v>
      </c>
      <c r="U145">
        <f t="shared" si="434"/>
        <v>5202</v>
      </c>
      <c r="V145">
        <f t="shared" si="43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3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37"/>
        <v>150</v>
      </c>
      <c r="AC145">
        <f t="shared" si="438"/>
        <v>35420</v>
      </c>
      <c r="AD145">
        <f>_xlfn.XLOOKUP(B145,'[3]may-2025'!$A:$A,'[3]may-2025'!$C:$C,0,0)</f>
        <v>28900</v>
      </c>
      <c r="AE145">
        <f t="shared" si="439"/>
        <v>5202</v>
      </c>
      <c r="AF145">
        <f t="shared" si="440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41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42"/>
        <v>150</v>
      </c>
      <c r="AM145">
        <f t="shared" si="443"/>
        <v>35420</v>
      </c>
      <c r="AN145">
        <f>_xlfn.XLOOKUP(B145,'[4]june-2025'!$A:$A,'[4]june-2025'!$C:$C,0,0)</f>
        <v>28900</v>
      </c>
      <c r="AO145">
        <f t="shared" si="444"/>
        <v>5202</v>
      </c>
      <c r="AP145">
        <f t="shared" si="445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46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47"/>
        <v>150</v>
      </c>
      <c r="AW145">
        <f t="shared" si="448"/>
        <v>35420</v>
      </c>
      <c r="AX145">
        <f>_xlfn.XLOOKUP(B145,'[5]july-2025'!$A:$A,'[5]july-2025'!$C:$C,0,0)</f>
        <v>29800</v>
      </c>
      <c r="AY145">
        <f t="shared" si="449"/>
        <v>5364</v>
      </c>
      <c r="AZ145">
        <v>0</v>
      </c>
      <c r="BA145">
        <f t="shared" si="450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451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52"/>
        <v>150</v>
      </c>
      <c r="BH145">
        <f t="shared" si="453"/>
        <v>36590</v>
      </c>
      <c r="BI145">
        <f>_xlfn.XLOOKUP(B145,'[6]august-2025'!$A:$A,'[6]august-2025'!$C:$C,0,0)</f>
        <v>29800</v>
      </c>
      <c r="BJ145">
        <f t="shared" si="454"/>
        <v>5364</v>
      </c>
      <c r="BK145">
        <f t="shared" si="455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56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457"/>
        <v>150</v>
      </c>
      <c r="BR145">
        <f t="shared" si="458"/>
        <v>36590</v>
      </c>
      <c r="BS145">
        <f>_xlfn.XLOOKUP(B145,'[7]september-2025'!$A:$A,'[7]september-2025'!$C:$C,0,0)</f>
        <v>29800</v>
      </c>
      <c r="BT145">
        <f t="shared" si="459"/>
        <v>5364</v>
      </c>
      <c r="BU145">
        <f t="shared" si="460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461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62"/>
        <v>150</v>
      </c>
      <c r="CB145">
        <f t="shared" si="463"/>
        <v>36590</v>
      </c>
      <c r="CC145">
        <f>_xlfn.XLOOKUP(B145,'[8]october-2025'!$A:$A,'[8]october-2025'!$C:$C,0,0)</f>
        <v>29800</v>
      </c>
      <c r="CD145">
        <f t="shared" si="464"/>
        <v>5364</v>
      </c>
      <c r="CE145">
        <f t="shared" si="465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466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67"/>
        <v>150</v>
      </c>
      <c r="CL145">
        <f t="shared" si="468"/>
        <v>36590</v>
      </c>
      <c r="CM145">
        <f>_xlfn.XLOOKUP(B145,'[9]november-2025'!$A:$A,'[9]november-2025'!$C:$C,0,0)</f>
        <v>29800</v>
      </c>
      <c r="CN145">
        <f t="shared" si="469"/>
        <v>5364</v>
      </c>
      <c r="CO145">
        <f t="shared" si="470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471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72"/>
        <v>150</v>
      </c>
      <c r="CV145">
        <f t="shared" si="473"/>
        <v>36590</v>
      </c>
      <c r="CW145">
        <f>_xlfn.XLOOKUP(B145,'[10]december-2025'!$A:$A,'[10]december-2025'!$C:$C,0,0)</f>
        <v>29800</v>
      </c>
      <c r="CX145">
        <f t="shared" si="474"/>
        <v>5364</v>
      </c>
      <c r="CY145">
        <f t="shared" si="475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47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77"/>
        <v>150</v>
      </c>
      <c r="DF145">
        <f t="shared" si="478"/>
        <v>36590</v>
      </c>
      <c r="DG145">
        <f>_xlfn.XLOOKUP(B145,'[11]january-2026'!$A:$A,'[11]january-2026'!$C:$C,0,0)</f>
        <v>29800</v>
      </c>
      <c r="DH145">
        <f t="shared" si="479"/>
        <v>5364</v>
      </c>
      <c r="DI145">
        <f t="shared" si="48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1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2"/>
        <v>150</v>
      </c>
      <c r="DP145">
        <f t="shared" si="483"/>
        <v>36590</v>
      </c>
      <c r="DQ145">
        <f>_xlfn.XLOOKUP(B145,'[12]february-2026'!$A:$A,'[12]february-2026'!$C:$C,0,0)</f>
        <v>29800</v>
      </c>
      <c r="DR145">
        <f t="shared" si="484"/>
        <v>5364</v>
      </c>
      <c r="DS145">
        <f t="shared" si="485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6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7"/>
        <v>150</v>
      </c>
      <c r="DZ145">
        <f t="shared" si="488"/>
        <v>36590</v>
      </c>
      <c r="EA145">
        <f t="shared" si="489"/>
        <v>465844</v>
      </c>
      <c r="EB145">
        <f t="shared" si="490"/>
        <v>1800</v>
      </c>
      <c r="EC145">
        <f t="shared" si="491"/>
        <v>50000</v>
      </c>
      <c r="ED145">
        <v>0</v>
      </c>
      <c r="EE145">
        <f t="shared" si="492"/>
        <v>414044</v>
      </c>
      <c r="EF145">
        <f t="shared" si="493"/>
        <v>24000</v>
      </c>
      <c r="EG145">
        <f t="shared" si="494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5"/>
        <v>24000</v>
      </c>
      <c r="ES145">
        <f t="shared" si="496"/>
        <v>24000</v>
      </c>
      <c r="ET145">
        <f t="shared" si="497"/>
        <v>390044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8"/>
        <v>0</v>
      </c>
      <c r="FC145">
        <f t="shared" si="499"/>
        <v>390044</v>
      </c>
      <c r="FD145">
        <f t="shared" si="500"/>
        <v>7002</v>
      </c>
      <c r="FE145">
        <f t="shared" si="501"/>
        <v>0</v>
      </c>
      <c r="FF145">
        <f t="shared" si="502"/>
        <v>7002</v>
      </c>
      <c r="FG145">
        <f t="shared" si="503"/>
        <v>0</v>
      </c>
      <c r="FH145">
        <f t="shared" si="504"/>
        <v>0</v>
      </c>
      <c r="FI145">
        <f t="shared" si="505"/>
        <v>0</v>
      </c>
      <c r="FJ145">
        <v>0</v>
      </c>
      <c r="FK145">
        <f t="shared" si="506"/>
        <v>0</v>
      </c>
      <c r="FL145" t="b">
        <f t="shared" si="507"/>
        <v>0</v>
      </c>
      <c r="FM145">
        <f t="shared" ca="1" si="508"/>
        <v>1061</v>
      </c>
      <c r="FN145">
        <f t="shared" ca="1" si="509"/>
        <v>466905</v>
      </c>
      <c r="FO145">
        <f t="shared" si="510"/>
        <v>75000</v>
      </c>
      <c r="FP145">
        <f t="shared" ca="1" si="511"/>
        <v>391905</v>
      </c>
      <c r="FQ145">
        <f t="shared" ca="1" si="512"/>
        <v>0</v>
      </c>
      <c r="FR145">
        <f t="shared" ca="1" si="513"/>
        <v>0</v>
      </c>
      <c r="FS145">
        <f t="shared" ca="1" si="514"/>
        <v>0</v>
      </c>
      <c r="FT145">
        <f t="shared" ca="1" si="515"/>
        <v>0</v>
      </c>
      <c r="FU145">
        <f t="shared" ca="1" si="516"/>
        <v>0</v>
      </c>
      <c r="FV145">
        <f t="shared" ca="1" si="517"/>
        <v>0</v>
      </c>
      <c r="FW145">
        <f t="shared" ca="1" si="518"/>
        <v>0</v>
      </c>
      <c r="FX145">
        <f t="shared" ca="1" si="519"/>
        <v>0</v>
      </c>
      <c r="FY145">
        <f t="shared" ca="1" si="520"/>
        <v>0</v>
      </c>
      <c r="FZ145">
        <f t="shared" ca="1" si="521"/>
        <v>0</v>
      </c>
      <c r="GA145">
        <f t="shared" ca="1" si="522"/>
        <v>0</v>
      </c>
      <c r="GB145">
        <f t="shared" ca="1" si="523"/>
        <v>0</v>
      </c>
      <c r="GC145">
        <f t="shared" ca="1" si="524"/>
        <v>0</v>
      </c>
      <c r="GD145">
        <f t="shared" ca="1" si="525"/>
        <v>0</v>
      </c>
      <c r="GE145">
        <f t="shared" ca="1" si="526"/>
        <v>0</v>
      </c>
      <c r="GF145">
        <f t="shared" ca="1" si="527"/>
        <v>0</v>
      </c>
      <c r="GG145">
        <f t="shared" ca="1" si="528"/>
        <v>0</v>
      </c>
      <c r="GH145" t="b">
        <f t="shared" ca="1" si="529"/>
        <v>0</v>
      </c>
      <c r="GI145">
        <f t="shared" ca="1" si="530"/>
        <v>0</v>
      </c>
      <c r="GJ145">
        <f t="shared" ca="1" si="531"/>
        <v>0</v>
      </c>
      <c r="GK145">
        <f t="shared" ca="1" si="532"/>
        <v>0</v>
      </c>
      <c r="GL145">
        <f t="shared" ca="1" si="533"/>
        <v>0</v>
      </c>
      <c r="GM145">
        <f t="shared" ca="1" si="534"/>
        <v>0</v>
      </c>
    </row>
    <row r="146" spans="1:195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536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30"/>
        <v>6818.0000000000009</v>
      </c>
      <c r="L146">
        <f t="shared" si="431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432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535"/>
        <v>200</v>
      </c>
      <c r="S146">
        <f t="shared" si="433"/>
        <v>55062</v>
      </c>
      <c r="T146">
        <f>_xlfn.XLOOKUP(B146,'[2]april-2025'!$A:$A,'[2]april-2025'!$C:$C,0,0)</f>
        <v>48700</v>
      </c>
      <c r="U146">
        <f t="shared" si="434"/>
        <v>8766</v>
      </c>
      <c r="V146">
        <f t="shared" si="43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3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37"/>
        <v>200</v>
      </c>
      <c r="AC146">
        <f t="shared" si="438"/>
        <v>57010</v>
      </c>
      <c r="AD146">
        <f>_xlfn.XLOOKUP(B146,'[3]may-2025'!$A:$A,'[3]may-2025'!$C:$C,0,0)</f>
        <v>48700</v>
      </c>
      <c r="AE146">
        <f t="shared" si="439"/>
        <v>8766</v>
      </c>
      <c r="AF146">
        <f t="shared" si="440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41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42"/>
        <v>200</v>
      </c>
      <c r="AM146">
        <f t="shared" si="443"/>
        <v>57010</v>
      </c>
      <c r="AN146">
        <f>_xlfn.XLOOKUP(B146,'[4]june-2025'!$A:$A,'[4]june-2025'!$C:$C,0,0)</f>
        <v>48700</v>
      </c>
      <c r="AO146">
        <f t="shared" si="444"/>
        <v>8766</v>
      </c>
      <c r="AP146">
        <f t="shared" si="445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46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47"/>
        <v>200</v>
      </c>
      <c r="AW146">
        <f t="shared" si="448"/>
        <v>57010</v>
      </c>
      <c r="AX146">
        <f>_xlfn.XLOOKUP(B146,'[5]july-2025'!$A:$A,'[5]july-2025'!$C:$C,0,0)</f>
        <v>51700</v>
      </c>
      <c r="AY146">
        <f t="shared" si="449"/>
        <v>9306</v>
      </c>
      <c r="AZ146">
        <v>0</v>
      </c>
      <c r="BA146">
        <f t="shared" si="450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451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52"/>
        <v>200</v>
      </c>
      <c r="BH146">
        <f t="shared" si="453"/>
        <v>60910</v>
      </c>
      <c r="BI146">
        <f>_xlfn.XLOOKUP(B146,'[6]august-2025'!$A:$A,'[6]august-2025'!$C:$C,0,0)</f>
        <v>51700</v>
      </c>
      <c r="BJ146">
        <f t="shared" si="454"/>
        <v>9306</v>
      </c>
      <c r="BK146">
        <f t="shared" si="455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56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457"/>
        <v>200</v>
      </c>
      <c r="BR146">
        <f t="shared" si="458"/>
        <v>60910</v>
      </c>
      <c r="BS146">
        <f>_xlfn.XLOOKUP(B146,'[7]september-2025'!$A:$A,'[7]september-2025'!$C:$C,0,0)</f>
        <v>51700</v>
      </c>
      <c r="BT146">
        <f t="shared" si="459"/>
        <v>9306</v>
      </c>
      <c r="BU146">
        <f t="shared" si="460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461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62"/>
        <v>200</v>
      </c>
      <c r="CB146">
        <f t="shared" si="463"/>
        <v>60910</v>
      </c>
      <c r="CC146">
        <f>_xlfn.XLOOKUP(B146,'[8]october-2025'!$A:$A,'[8]october-2025'!$C:$C,0,0)</f>
        <v>51700</v>
      </c>
      <c r="CD146">
        <f t="shared" si="464"/>
        <v>9306</v>
      </c>
      <c r="CE146">
        <f t="shared" si="465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466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67"/>
        <v>200</v>
      </c>
      <c r="CL146">
        <f t="shared" si="468"/>
        <v>60910</v>
      </c>
      <c r="CM146">
        <f>_xlfn.XLOOKUP(B146,'[9]november-2025'!$A:$A,'[9]november-2025'!$C:$C,0,0)</f>
        <v>51700</v>
      </c>
      <c r="CN146">
        <f t="shared" si="469"/>
        <v>9306</v>
      </c>
      <c r="CO146">
        <f t="shared" si="470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471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72"/>
        <v>200</v>
      </c>
      <c r="CV146">
        <f t="shared" si="473"/>
        <v>60910</v>
      </c>
      <c r="CW146">
        <f>_xlfn.XLOOKUP(B146,'[10]december-2025'!$A:$A,'[10]december-2025'!$C:$C,0,0)</f>
        <v>51700</v>
      </c>
      <c r="CX146">
        <f t="shared" si="474"/>
        <v>9306</v>
      </c>
      <c r="CY146">
        <f t="shared" si="475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47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77"/>
        <v>200</v>
      </c>
      <c r="DF146">
        <f t="shared" si="478"/>
        <v>60910</v>
      </c>
      <c r="DG146">
        <f>_xlfn.XLOOKUP(B146,'[11]january-2026'!$A:$A,'[11]january-2026'!$C:$C,0,0)</f>
        <v>51700</v>
      </c>
      <c r="DH146">
        <f t="shared" si="479"/>
        <v>9306</v>
      </c>
      <c r="DI146">
        <f t="shared" si="48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1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2"/>
        <v>200</v>
      </c>
      <c r="DP146">
        <f t="shared" si="483"/>
        <v>60910</v>
      </c>
      <c r="DQ146">
        <f>_xlfn.XLOOKUP(B146,'[12]february-2026'!$A:$A,'[12]february-2026'!$C:$C,0,0)</f>
        <v>51700</v>
      </c>
      <c r="DR146">
        <f t="shared" si="484"/>
        <v>9306</v>
      </c>
      <c r="DS146">
        <f t="shared" si="485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6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7"/>
        <v>200</v>
      </c>
      <c r="DZ146">
        <f t="shared" si="488"/>
        <v>60910</v>
      </c>
      <c r="EA146">
        <f t="shared" si="489"/>
        <v>806572</v>
      </c>
      <c r="EB146">
        <f t="shared" si="490"/>
        <v>2400</v>
      </c>
      <c r="EC146">
        <f t="shared" si="491"/>
        <v>50000</v>
      </c>
      <c r="ED146">
        <v>0</v>
      </c>
      <c r="EE146">
        <f t="shared" si="492"/>
        <v>754172</v>
      </c>
      <c r="EF146">
        <f t="shared" si="493"/>
        <v>84000</v>
      </c>
      <c r="EG146">
        <f t="shared" si="494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5"/>
        <v>84000</v>
      </c>
      <c r="ES146">
        <f t="shared" si="496"/>
        <v>84000</v>
      </c>
      <c r="ET146">
        <f t="shared" si="497"/>
        <v>670172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8"/>
        <v>0</v>
      </c>
      <c r="FC146">
        <f t="shared" si="499"/>
        <v>670172</v>
      </c>
      <c r="FD146">
        <f t="shared" si="500"/>
        <v>12500</v>
      </c>
      <c r="FE146">
        <f t="shared" si="501"/>
        <v>34034</v>
      </c>
      <c r="FF146">
        <f t="shared" si="502"/>
        <v>46534</v>
      </c>
      <c r="FG146">
        <f t="shared" si="503"/>
        <v>46534</v>
      </c>
      <c r="FH146">
        <f t="shared" si="504"/>
        <v>1861.3600000000001</v>
      </c>
      <c r="FI146">
        <f t="shared" si="505"/>
        <v>48395</v>
      </c>
      <c r="FJ146">
        <v>0</v>
      </c>
      <c r="FK146">
        <f t="shared" si="506"/>
        <v>48395</v>
      </c>
      <c r="FL146" t="b">
        <f t="shared" si="507"/>
        <v>1</v>
      </c>
      <c r="FM146">
        <f t="shared" ca="1" si="508"/>
        <v>590</v>
      </c>
      <c r="FN146">
        <f t="shared" ca="1" si="509"/>
        <v>807162</v>
      </c>
      <c r="FO146">
        <f t="shared" si="510"/>
        <v>75000</v>
      </c>
      <c r="FP146">
        <f t="shared" ca="1" si="511"/>
        <v>732162</v>
      </c>
      <c r="FQ146">
        <f t="shared" ca="1" si="512"/>
        <v>0</v>
      </c>
      <c r="FR146">
        <f t="shared" ca="1" si="513"/>
        <v>0</v>
      </c>
      <c r="FS146">
        <f t="shared" ca="1" si="514"/>
        <v>0</v>
      </c>
      <c r="FT146">
        <f t="shared" ca="1" si="515"/>
        <v>0</v>
      </c>
      <c r="FU146">
        <f t="shared" ca="1" si="516"/>
        <v>0</v>
      </c>
      <c r="FV146">
        <f t="shared" ca="1" si="517"/>
        <v>0</v>
      </c>
      <c r="FW146">
        <f t="shared" ca="1" si="518"/>
        <v>0</v>
      </c>
      <c r="FX146">
        <f t="shared" ca="1" si="519"/>
        <v>0</v>
      </c>
      <c r="FY146">
        <f t="shared" ca="1" si="520"/>
        <v>0</v>
      </c>
      <c r="FZ146">
        <f t="shared" ca="1" si="521"/>
        <v>0</v>
      </c>
      <c r="GA146">
        <f t="shared" ca="1" si="522"/>
        <v>332162</v>
      </c>
      <c r="GB146">
        <f t="shared" ca="1" si="523"/>
        <v>16608.100000000002</v>
      </c>
      <c r="GC146">
        <f t="shared" ca="1" si="524"/>
        <v>16608</v>
      </c>
      <c r="GD146">
        <f t="shared" ca="1" si="525"/>
        <v>0</v>
      </c>
      <c r="GE146">
        <f t="shared" ca="1" si="526"/>
        <v>0</v>
      </c>
      <c r="GF146">
        <f t="shared" ca="1" si="527"/>
        <v>16608</v>
      </c>
      <c r="GG146">
        <f t="shared" ca="1" si="528"/>
        <v>0</v>
      </c>
      <c r="GH146" t="b">
        <f t="shared" ca="1" si="529"/>
        <v>0</v>
      </c>
      <c r="GI146">
        <f t="shared" ca="1" si="530"/>
        <v>0</v>
      </c>
      <c r="GJ146">
        <f t="shared" ca="1" si="531"/>
        <v>16608</v>
      </c>
      <c r="GK146">
        <f t="shared" ca="1" si="532"/>
        <v>0</v>
      </c>
      <c r="GL146">
        <f t="shared" ca="1" si="533"/>
        <v>0</v>
      </c>
      <c r="GM146">
        <f t="shared" ca="1" si="534"/>
        <v>0</v>
      </c>
    </row>
    <row r="147" spans="1:195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536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30"/>
        <v>5278.0000000000009</v>
      </c>
      <c r="L147">
        <f t="shared" si="431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432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535"/>
        <v>0</v>
      </c>
      <c r="S147">
        <f t="shared" si="433"/>
        <v>45002</v>
      </c>
      <c r="T147">
        <f>_xlfn.XLOOKUP(B147,'[2]april-2025'!$A:$A,'[2]april-2025'!$C:$C,0,0)</f>
        <v>37700</v>
      </c>
      <c r="U147">
        <f t="shared" si="434"/>
        <v>6786</v>
      </c>
      <c r="V147">
        <f t="shared" si="43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3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37"/>
        <v>0</v>
      </c>
      <c r="AC147">
        <f t="shared" si="438"/>
        <v>46510</v>
      </c>
      <c r="AD147">
        <f>_xlfn.XLOOKUP(B147,'[3]may-2025'!$A:$A,'[3]may-2025'!$C:$C,0,0)</f>
        <v>37700</v>
      </c>
      <c r="AE147">
        <f t="shared" si="439"/>
        <v>6786</v>
      </c>
      <c r="AF147">
        <f t="shared" si="440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41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42"/>
        <v>0</v>
      </c>
      <c r="AM147">
        <f t="shared" si="443"/>
        <v>46510</v>
      </c>
      <c r="AN147">
        <f>_xlfn.XLOOKUP(B147,'[4]june-2025'!$A:$A,'[4]june-2025'!$C:$C,0,0)</f>
        <v>37700</v>
      </c>
      <c r="AO147">
        <f t="shared" si="444"/>
        <v>6786</v>
      </c>
      <c r="AP147">
        <f t="shared" si="445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46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47"/>
        <v>0</v>
      </c>
      <c r="AW147">
        <f t="shared" si="448"/>
        <v>46510</v>
      </c>
      <c r="AX147">
        <f>_xlfn.XLOOKUP(B147,'[5]july-2025'!$A:$A,'[5]july-2025'!$C:$C,0,0)</f>
        <v>38800</v>
      </c>
      <c r="AY147">
        <f t="shared" si="449"/>
        <v>6984</v>
      </c>
      <c r="AZ147">
        <v>0</v>
      </c>
      <c r="BA147">
        <f t="shared" si="450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451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52"/>
        <v>0</v>
      </c>
      <c r="BH147">
        <f t="shared" si="453"/>
        <v>47940</v>
      </c>
      <c r="BI147">
        <f>_xlfn.XLOOKUP(B147,'[6]august-2025'!$A:$A,'[6]august-2025'!$C:$C,0,0)</f>
        <v>38800</v>
      </c>
      <c r="BJ147">
        <f t="shared" si="454"/>
        <v>6984</v>
      </c>
      <c r="BK147">
        <f t="shared" si="455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56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457"/>
        <v>0</v>
      </c>
      <c r="BR147">
        <f t="shared" si="458"/>
        <v>47940</v>
      </c>
      <c r="BS147">
        <f>_xlfn.XLOOKUP(B147,'[7]september-2025'!$A:$A,'[7]september-2025'!$C:$C,0,0)</f>
        <v>38800</v>
      </c>
      <c r="BT147">
        <f t="shared" si="459"/>
        <v>6984</v>
      </c>
      <c r="BU147">
        <f t="shared" si="460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461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62"/>
        <v>0</v>
      </c>
      <c r="CB147">
        <f t="shared" si="463"/>
        <v>47940</v>
      </c>
      <c r="CC147">
        <f>_xlfn.XLOOKUP(B147,'[8]october-2025'!$A:$A,'[8]october-2025'!$C:$C,0,0)</f>
        <v>38800</v>
      </c>
      <c r="CD147">
        <f t="shared" si="464"/>
        <v>6984</v>
      </c>
      <c r="CE147">
        <f t="shared" si="465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466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67"/>
        <v>0</v>
      </c>
      <c r="CL147">
        <f t="shared" si="468"/>
        <v>47940</v>
      </c>
      <c r="CM147">
        <f>_xlfn.XLOOKUP(B147,'[9]november-2025'!$A:$A,'[9]november-2025'!$C:$C,0,0)</f>
        <v>38800</v>
      </c>
      <c r="CN147">
        <f t="shared" si="469"/>
        <v>6984</v>
      </c>
      <c r="CO147">
        <f t="shared" si="470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471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72"/>
        <v>0</v>
      </c>
      <c r="CV147">
        <f t="shared" si="473"/>
        <v>47940</v>
      </c>
      <c r="CW147">
        <f>_xlfn.XLOOKUP(B147,'[10]december-2025'!$A:$A,'[10]december-2025'!$C:$C,0,0)</f>
        <v>38800</v>
      </c>
      <c r="CX147">
        <f t="shared" si="474"/>
        <v>6984</v>
      </c>
      <c r="CY147">
        <f t="shared" si="475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47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77"/>
        <v>0</v>
      </c>
      <c r="DF147">
        <f t="shared" si="478"/>
        <v>47940</v>
      </c>
      <c r="DG147">
        <f>_xlfn.XLOOKUP(B147,'[11]january-2026'!$A:$A,'[11]january-2026'!$C:$C,0,0)</f>
        <v>38800</v>
      </c>
      <c r="DH147">
        <f t="shared" si="479"/>
        <v>6984</v>
      </c>
      <c r="DI147">
        <f t="shared" si="48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1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2"/>
        <v>0</v>
      </c>
      <c r="DP147">
        <f t="shared" si="483"/>
        <v>47940</v>
      </c>
      <c r="DQ147">
        <f>_xlfn.XLOOKUP(B147,'[12]february-2026'!$A:$A,'[12]february-2026'!$C:$C,0,0)</f>
        <v>38800</v>
      </c>
      <c r="DR147">
        <f t="shared" si="484"/>
        <v>6984</v>
      </c>
      <c r="DS147">
        <f t="shared" si="485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6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7"/>
        <v>0</v>
      </c>
      <c r="DZ147">
        <f t="shared" si="488"/>
        <v>47940</v>
      </c>
      <c r="EA147">
        <f t="shared" si="489"/>
        <v>604852</v>
      </c>
      <c r="EB147">
        <f t="shared" si="490"/>
        <v>0</v>
      </c>
      <c r="EC147">
        <f t="shared" si="491"/>
        <v>50000</v>
      </c>
      <c r="ED147">
        <v>0</v>
      </c>
      <c r="EE147">
        <f t="shared" si="492"/>
        <v>554852</v>
      </c>
      <c r="EF147">
        <f t="shared" si="493"/>
        <v>30000</v>
      </c>
      <c r="EG147">
        <f t="shared" si="494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5"/>
        <v>30000</v>
      </c>
      <c r="ES147">
        <f t="shared" si="496"/>
        <v>30000</v>
      </c>
      <c r="ET147">
        <f t="shared" si="497"/>
        <v>524852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8"/>
        <v>50000</v>
      </c>
      <c r="FC147">
        <f t="shared" si="499"/>
        <v>474852</v>
      </c>
      <c r="FD147">
        <f t="shared" si="500"/>
        <v>11243</v>
      </c>
      <c r="FE147">
        <f t="shared" si="501"/>
        <v>0</v>
      </c>
      <c r="FF147">
        <f t="shared" si="502"/>
        <v>11243</v>
      </c>
      <c r="FG147">
        <f t="shared" si="503"/>
        <v>0</v>
      </c>
      <c r="FH147">
        <f t="shared" si="504"/>
        <v>0</v>
      </c>
      <c r="FI147">
        <f t="shared" si="505"/>
        <v>0</v>
      </c>
      <c r="FJ147">
        <v>0</v>
      </c>
      <c r="FK147">
        <f t="shared" si="506"/>
        <v>0</v>
      </c>
      <c r="FL147" t="b">
        <f t="shared" si="507"/>
        <v>1</v>
      </c>
      <c r="FM147">
        <f t="shared" ca="1" si="508"/>
        <v>888</v>
      </c>
      <c r="FN147">
        <f t="shared" ca="1" si="509"/>
        <v>605740</v>
      </c>
      <c r="FO147">
        <f t="shared" si="510"/>
        <v>75000</v>
      </c>
      <c r="FP147">
        <f t="shared" ca="1" si="511"/>
        <v>530740</v>
      </c>
      <c r="FQ147">
        <f t="shared" ca="1" si="512"/>
        <v>0</v>
      </c>
      <c r="FR147">
        <f t="shared" ca="1" si="513"/>
        <v>0</v>
      </c>
      <c r="FS147">
        <f t="shared" ca="1" si="514"/>
        <v>0</v>
      </c>
      <c r="FT147">
        <f t="shared" ca="1" si="515"/>
        <v>0</v>
      </c>
      <c r="FU147">
        <f t="shared" ca="1" si="516"/>
        <v>0</v>
      </c>
      <c r="FV147">
        <f t="shared" ca="1" si="517"/>
        <v>0</v>
      </c>
      <c r="FW147">
        <f t="shared" ca="1" si="518"/>
        <v>0</v>
      </c>
      <c r="FX147">
        <f t="shared" ca="1" si="519"/>
        <v>0</v>
      </c>
      <c r="FY147">
        <f t="shared" ca="1" si="520"/>
        <v>0</v>
      </c>
      <c r="FZ147">
        <f t="shared" ca="1" si="521"/>
        <v>0</v>
      </c>
      <c r="GA147">
        <f t="shared" ca="1" si="522"/>
        <v>130740</v>
      </c>
      <c r="GB147">
        <f t="shared" ca="1" si="523"/>
        <v>6537</v>
      </c>
      <c r="GC147">
        <f t="shared" ca="1" si="524"/>
        <v>6537</v>
      </c>
      <c r="GD147">
        <f t="shared" ca="1" si="525"/>
        <v>0</v>
      </c>
      <c r="GE147">
        <f t="shared" ca="1" si="526"/>
        <v>0</v>
      </c>
      <c r="GF147">
        <f t="shared" ca="1" si="527"/>
        <v>6537</v>
      </c>
      <c r="GG147">
        <f t="shared" ca="1" si="528"/>
        <v>0</v>
      </c>
      <c r="GH147" t="b">
        <f t="shared" ca="1" si="529"/>
        <v>0</v>
      </c>
      <c r="GI147">
        <f t="shared" ca="1" si="530"/>
        <v>0</v>
      </c>
      <c r="GJ147">
        <f t="shared" ca="1" si="531"/>
        <v>6537</v>
      </c>
      <c r="GK147">
        <f t="shared" ca="1" si="532"/>
        <v>0</v>
      </c>
      <c r="GL147">
        <f t="shared" ca="1" si="533"/>
        <v>0</v>
      </c>
      <c r="GM147">
        <f t="shared" ca="1" si="534"/>
        <v>0</v>
      </c>
    </row>
    <row r="148" spans="1:195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536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30"/>
        <v>5278.0000000000009</v>
      </c>
      <c r="L148">
        <f t="shared" si="431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432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535"/>
        <v>200</v>
      </c>
      <c r="S148">
        <f t="shared" si="433"/>
        <v>45302</v>
      </c>
      <c r="T148">
        <f>_xlfn.XLOOKUP(B148,'[2]april-2025'!$A:$A,'[2]april-2025'!$C:$C,0,0)</f>
        <v>37700</v>
      </c>
      <c r="U148">
        <f t="shared" si="434"/>
        <v>6786</v>
      </c>
      <c r="V148">
        <f t="shared" si="43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3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37"/>
        <v>200</v>
      </c>
      <c r="AC148">
        <f t="shared" si="438"/>
        <v>46810</v>
      </c>
      <c r="AD148">
        <f>_xlfn.XLOOKUP(B148,'[3]may-2025'!$A:$A,'[3]may-2025'!$C:$C,0,0)</f>
        <v>37700</v>
      </c>
      <c r="AE148">
        <f t="shared" si="439"/>
        <v>6786</v>
      </c>
      <c r="AF148">
        <f t="shared" si="440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41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42"/>
        <v>200</v>
      </c>
      <c r="AM148">
        <f t="shared" si="443"/>
        <v>46810</v>
      </c>
      <c r="AN148">
        <f>_xlfn.XLOOKUP(B148,'[4]june-2025'!$A:$A,'[4]june-2025'!$C:$C,0,0)</f>
        <v>37700</v>
      </c>
      <c r="AO148">
        <f t="shared" si="444"/>
        <v>6786</v>
      </c>
      <c r="AP148">
        <f t="shared" si="445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46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47"/>
        <v>200</v>
      </c>
      <c r="AW148">
        <f t="shared" si="448"/>
        <v>46810</v>
      </c>
      <c r="AX148">
        <f>_xlfn.XLOOKUP(B148,'[5]july-2025'!$A:$A,'[5]july-2025'!$C:$C,0,0)</f>
        <v>38800</v>
      </c>
      <c r="AY148">
        <f t="shared" si="449"/>
        <v>6984</v>
      </c>
      <c r="AZ148">
        <v>0</v>
      </c>
      <c r="BA148">
        <f t="shared" si="450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451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52"/>
        <v>200</v>
      </c>
      <c r="BH148">
        <f t="shared" si="453"/>
        <v>48240</v>
      </c>
      <c r="BI148">
        <f>_xlfn.XLOOKUP(B148,'[6]august-2025'!$A:$A,'[6]august-2025'!$C:$C,0,0)</f>
        <v>38800</v>
      </c>
      <c r="BJ148">
        <f t="shared" si="454"/>
        <v>6984</v>
      </c>
      <c r="BK148">
        <f t="shared" si="455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56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457"/>
        <v>200</v>
      </c>
      <c r="BR148">
        <f t="shared" si="458"/>
        <v>48240</v>
      </c>
      <c r="BS148">
        <f>_xlfn.XLOOKUP(B148,'[7]september-2025'!$A:$A,'[7]september-2025'!$C:$C,0,0)</f>
        <v>38800</v>
      </c>
      <c r="BT148">
        <f t="shared" si="459"/>
        <v>6984</v>
      </c>
      <c r="BU148">
        <f t="shared" si="460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461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62"/>
        <v>200</v>
      </c>
      <c r="CB148">
        <f t="shared" si="463"/>
        <v>48240</v>
      </c>
      <c r="CC148">
        <f>_xlfn.XLOOKUP(B148,'[8]october-2025'!$A:$A,'[8]october-2025'!$C:$C,0,0)</f>
        <v>38800</v>
      </c>
      <c r="CD148">
        <f t="shared" si="464"/>
        <v>6984</v>
      </c>
      <c r="CE148">
        <f t="shared" si="465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466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67"/>
        <v>200</v>
      </c>
      <c r="CL148">
        <f t="shared" si="468"/>
        <v>48240</v>
      </c>
      <c r="CM148">
        <f>_xlfn.XLOOKUP(B148,'[9]november-2025'!$A:$A,'[9]november-2025'!$C:$C,0,0)</f>
        <v>38800</v>
      </c>
      <c r="CN148">
        <f t="shared" si="469"/>
        <v>6984</v>
      </c>
      <c r="CO148">
        <f t="shared" si="470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471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72"/>
        <v>200</v>
      </c>
      <c r="CV148">
        <f t="shared" si="473"/>
        <v>48240</v>
      </c>
      <c r="CW148">
        <f>_xlfn.XLOOKUP(B148,'[10]december-2025'!$A:$A,'[10]december-2025'!$C:$C,0,0)</f>
        <v>38800</v>
      </c>
      <c r="CX148">
        <f t="shared" si="474"/>
        <v>6984</v>
      </c>
      <c r="CY148">
        <f t="shared" si="475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47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77"/>
        <v>200</v>
      </c>
      <c r="DF148">
        <f t="shared" si="478"/>
        <v>48240</v>
      </c>
      <c r="DG148">
        <f>_xlfn.XLOOKUP(B148,'[11]january-2026'!$A:$A,'[11]january-2026'!$C:$C,0,0)</f>
        <v>38800</v>
      </c>
      <c r="DH148">
        <f t="shared" si="479"/>
        <v>6984</v>
      </c>
      <c r="DI148">
        <f t="shared" si="48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1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2"/>
        <v>200</v>
      </c>
      <c r="DP148">
        <f t="shared" si="483"/>
        <v>48240</v>
      </c>
      <c r="DQ148">
        <f>_xlfn.XLOOKUP(B148,'[12]february-2026'!$A:$A,'[12]february-2026'!$C:$C,0,0)</f>
        <v>38800</v>
      </c>
      <c r="DR148">
        <f t="shared" si="484"/>
        <v>6984</v>
      </c>
      <c r="DS148">
        <f t="shared" si="485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6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7"/>
        <v>200</v>
      </c>
      <c r="DZ148">
        <f t="shared" si="488"/>
        <v>48240</v>
      </c>
      <c r="EA148">
        <f t="shared" si="489"/>
        <v>610852</v>
      </c>
      <c r="EB148">
        <f t="shared" si="490"/>
        <v>2400</v>
      </c>
      <c r="EC148">
        <f t="shared" si="491"/>
        <v>50000</v>
      </c>
      <c r="ED148">
        <v>0</v>
      </c>
      <c r="EE148">
        <f t="shared" si="492"/>
        <v>558452</v>
      </c>
      <c r="EF148">
        <f t="shared" si="493"/>
        <v>30000</v>
      </c>
      <c r="EG148">
        <f t="shared" si="494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5"/>
        <v>30000</v>
      </c>
      <c r="ES148">
        <f t="shared" si="496"/>
        <v>30000</v>
      </c>
      <c r="ET148">
        <f t="shared" si="497"/>
        <v>528452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8"/>
        <v>0</v>
      </c>
      <c r="FC148">
        <f t="shared" si="499"/>
        <v>528452</v>
      </c>
      <c r="FD148">
        <f t="shared" si="500"/>
        <v>12500</v>
      </c>
      <c r="FE148">
        <f t="shared" si="501"/>
        <v>5690</v>
      </c>
      <c r="FF148">
        <f t="shared" si="502"/>
        <v>18190</v>
      </c>
      <c r="FG148">
        <f t="shared" si="503"/>
        <v>18190</v>
      </c>
      <c r="FH148">
        <f t="shared" si="504"/>
        <v>727.6</v>
      </c>
      <c r="FI148">
        <f t="shared" si="505"/>
        <v>18918</v>
      </c>
      <c r="FJ148">
        <v>0</v>
      </c>
      <c r="FK148">
        <f t="shared" si="506"/>
        <v>18918</v>
      </c>
      <c r="FL148" t="b">
        <f t="shared" si="507"/>
        <v>1</v>
      </c>
      <c r="FM148">
        <f t="shared" ca="1" si="508"/>
        <v>859</v>
      </c>
      <c r="FN148">
        <f t="shared" ca="1" si="509"/>
        <v>611711</v>
      </c>
      <c r="FO148">
        <f t="shared" si="510"/>
        <v>75000</v>
      </c>
      <c r="FP148">
        <f t="shared" ca="1" si="511"/>
        <v>536711</v>
      </c>
      <c r="FQ148">
        <f t="shared" ca="1" si="512"/>
        <v>0</v>
      </c>
      <c r="FR148">
        <f t="shared" ca="1" si="513"/>
        <v>0</v>
      </c>
      <c r="FS148">
        <f t="shared" ca="1" si="514"/>
        <v>0</v>
      </c>
      <c r="FT148">
        <f t="shared" ca="1" si="515"/>
        <v>0</v>
      </c>
      <c r="FU148">
        <f t="shared" ca="1" si="516"/>
        <v>0</v>
      </c>
      <c r="FV148">
        <f t="shared" ca="1" si="517"/>
        <v>0</v>
      </c>
      <c r="FW148">
        <f t="shared" ca="1" si="518"/>
        <v>0</v>
      </c>
      <c r="FX148">
        <f t="shared" ca="1" si="519"/>
        <v>0</v>
      </c>
      <c r="FY148">
        <f t="shared" ca="1" si="520"/>
        <v>0</v>
      </c>
      <c r="FZ148">
        <f t="shared" ca="1" si="521"/>
        <v>0</v>
      </c>
      <c r="GA148">
        <f t="shared" ca="1" si="522"/>
        <v>136711</v>
      </c>
      <c r="GB148">
        <f t="shared" ca="1" si="523"/>
        <v>6835.55</v>
      </c>
      <c r="GC148">
        <f t="shared" ca="1" si="524"/>
        <v>6836</v>
      </c>
      <c r="GD148">
        <f t="shared" ca="1" si="525"/>
        <v>0</v>
      </c>
      <c r="GE148">
        <f t="shared" ca="1" si="526"/>
        <v>0</v>
      </c>
      <c r="GF148">
        <f t="shared" ca="1" si="527"/>
        <v>6836</v>
      </c>
      <c r="GG148">
        <f t="shared" ca="1" si="528"/>
        <v>0</v>
      </c>
      <c r="GH148" t="b">
        <f t="shared" ca="1" si="529"/>
        <v>0</v>
      </c>
      <c r="GI148">
        <f t="shared" ca="1" si="530"/>
        <v>0</v>
      </c>
      <c r="GJ148">
        <f t="shared" ca="1" si="531"/>
        <v>6836</v>
      </c>
      <c r="GK148">
        <f t="shared" ca="1" si="532"/>
        <v>0</v>
      </c>
      <c r="GL148">
        <f t="shared" ca="1" si="533"/>
        <v>0</v>
      </c>
      <c r="GM148">
        <f t="shared" ca="1" si="534"/>
        <v>0</v>
      </c>
    </row>
    <row r="149" spans="1:195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536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30"/>
        <v>6622.0000000000009</v>
      </c>
      <c r="L149">
        <f t="shared" si="431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432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535"/>
        <v>200</v>
      </c>
      <c r="S149">
        <f t="shared" si="433"/>
        <v>56738</v>
      </c>
      <c r="T149">
        <f>_xlfn.XLOOKUP(B149,'[2]april-2025'!$A:$A,'[2]april-2025'!$C:$C,0,0)</f>
        <v>47300</v>
      </c>
      <c r="U149">
        <f t="shared" si="434"/>
        <v>8514</v>
      </c>
      <c r="V149">
        <f t="shared" si="43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3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37"/>
        <v>200</v>
      </c>
      <c r="AC149">
        <f t="shared" si="438"/>
        <v>58630</v>
      </c>
      <c r="AD149">
        <f>_xlfn.XLOOKUP(B149,'[3]may-2025'!$A:$A,'[3]may-2025'!$C:$C,0,0)</f>
        <v>47300</v>
      </c>
      <c r="AE149">
        <f t="shared" si="439"/>
        <v>8514</v>
      </c>
      <c r="AF149">
        <f t="shared" si="440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41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42"/>
        <v>200</v>
      </c>
      <c r="AM149">
        <f t="shared" si="443"/>
        <v>58630</v>
      </c>
      <c r="AN149">
        <f>_xlfn.XLOOKUP(B149,'[4]june-2025'!$A:$A,'[4]june-2025'!$C:$C,0,0)</f>
        <v>47300</v>
      </c>
      <c r="AO149">
        <f t="shared" si="444"/>
        <v>8514</v>
      </c>
      <c r="AP149">
        <f t="shared" si="445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46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47"/>
        <v>200</v>
      </c>
      <c r="AW149">
        <f t="shared" si="448"/>
        <v>58630</v>
      </c>
      <c r="AX149">
        <f>_xlfn.XLOOKUP(B149,'[5]july-2025'!$A:$A,'[5]july-2025'!$C:$C,0,0)</f>
        <v>48700</v>
      </c>
      <c r="AY149">
        <f t="shared" si="449"/>
        <v>8766</v>
      </c>
      <c r="AZ149">
        <v>0</v>
      </c>
      <c r="BA149">
        <f t="shared" si="450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451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52"/>
        <v>200</v>
      </c>
      <c r="BH149">
        <f t="shared" si="453"/>
        <v>60450</v>
      </c>
      <c r="BI149">
        <f>_xlfn.XLOOKUP(B149,'[6]august-2025'!$A:$A,'[6]august-2025'!$C:$C,0,0)</f>
        <v>48700</v>
      </c>
      <c r="BJ149">
        <f t="shared" si="454"/>
        <v>8766</v>
      </c>
      <c r="BK149">
        <f t="shared" si="455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56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457"/>
        <v>200</v>
      </c>
      <c r="BR149">
        <f t="shared" si="458"/>
        <v>60450</v>
      </c>
      <c r="BS149">
        <f>_xlfn.XLOOKUP(B149,'[7]september-2025'!$A:$A,'[7]september-2025'!$C:$C,0,0)</f>
        <v>48700</v>
      </c>
      <c r="BT149">
        <f t="shared" si="459"/>
        <v>8766</v>
      </c>
      <c r="BU149">
        <f t="shared" si="460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461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62"/>
        <v>200</v>
      </c>
      <c r="CB149">
        <f t="shared" si="463"/>
        <v>60450</v>
      </c>
      <c r="CC149">
        <f>_xlfn.XLOOKUP(B149,'[8]october-2025'!$A:$A,'[8]october-2025'!$C:$C,0,0)</f>
        <v>48700</v>
      </c>
      <c r="CD149">
        <f t="shared" si="464"/>
        <v>8766</v>
      </c>
      <c r="CE149">
        <f t="shared" si="465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466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67"/>
        <v>200</v>
      </c>
      <c r="CL149">
        <f t="shared" si="468"/>
        <v>60450</v>
      </c>
      <c r="CM149">
        <f>_xlfn.XLOOKUP(B149,'[9]november-2025'!$A:$A,'[9]november-2025'!$C:$C,0,0)</f>
        <v>48700</v>
      </c>
      <c r="CN149">
        <f t="shared" si="469"/>
        <v>8766</v>
      </c>
      <c r="CO149">
        <f t="shared" si="470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471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72"/>
        <v>200</v>
      </c>
      <c r="CV149">
        <f t="shared" si="473"/>
        <v>60450</v>
      </c>
      <c r="CW149">
        <f>_xlfn.XLOOKUP(B149,'[10]december-2025'!$A:$A,'[10]december-2025'!$C:$C,0,0)</f>
        <v>48700</v>
      </c>
      <c r="CX149">
        <f t="shared" si="474"/>
        <v>8766</v>
      </c>
      <c r="CY149">
        <f t="shared" si="475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47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77"/>
        <v>200</v>
      </c>
      <c r="DF149">
        <f t="shared" si="478"/>
        <v>60450</v>
      </c>
      <c r="DG149">
        <f>_xlfn.XLOOKUP(B149,'[11]january-2026'!$A:$A,'[11]january-2026'!$C:$C,0,0)</f>
        <v>48700</v>
      </c>
      <c r="DH149">
        <f t="shared" si="479"/>
        <v>8766</v>
      </c>
      <c r="DI149">
        <f t="shared" si="48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1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2"/>
        <v>200</v>
      </c>
      <c r="DP149">
        <f t="shared" si="483"/>
        <v>60450</v>
      </c>
      <c r="DQ149">
        <f>_xlfn.XLOOKUP(B149,'[12]february-2026'!$A:$A,'[12]february-2026'!$C:$C,0,0)</f>
        <v>48700</v>
      </c>
      <c r="DR149">
        <f t="shared" si="484"/>
        <v>8766</v>
      </c>
      <c r="DS149">
        <f t="shared" si="485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6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7"/>
        <v>200</v>
      </c>
      <c r="DZ149">
        <f t="shared" si="488"/>
        <v>60450</v>
      </c>
      <c r="EA149">
        <f t="shared" si="489"/>
        <v>762148</v>
      </c>
      <c r="EB149">
        <f t="shared" si="490"/>
        <v>2400</v>
      </c>
      <c r="EC149">
        <f t="shared" si="491"/>
        <v>50000</v>
      </c>
      <c r="ED149">
        <v>0</v>
      </c>
      <c r="EE149">
        <f t="shared" si="492"/>
        <v>709748</v>
      </c>
      <c r="EF149">
        <f t="shared" si="493"/>
        <v>36000</v>
      </c>
      <c r="EG149">
        <f t="shared" si="494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5"/>
        <v>36720</v>
      </c>
      <c r="ES149">
        <f t="shared" si="496"/>
        <v>36720</v>
      </c>
      <c r="ET149">
        <f t="shared" si="497"/>
        <v>673028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8"/>
        <v>0</v>
      </c>
      <c r="FC149">
        <f t="shared" si="499"/>
        <v>673028</v>
      </c>
      <c r="FD149">
        <f t="shared" si="500"/>
        <v>12500</v>
      </c>
      <c r="FE149">
        <f t="shared" si="501"/>
        <v>34606</v>
      </c>
      <c r="FF149">
        <f t="shared" si="502"/>
        <v>47106</v>
      </c>
      <c r="FG149">
        <f t="shared" si="503"/>
        <v>47106</v>
      </c>
      <c r="FH149">
        <f t="shared" si="504"/>
        <v>1884.24</v>
      </c>
      <c r="FI149">
        <f t="shared" si="505"/>
        <v>48990</v>
      </c>
      <c r="FJ149">
        <v>0</v>
      </c>
      <c r="FK149">
        <f t="shared" si="506"/>
        <v>48990</v>
      </c>
      <c r="FL149" t="b">
        <f t="shared" si="507"/>
        <v>1</v>
      </c>
      <c r="FM149">
        <f t="shared" ca="1" si="508"/>
        <v>820</v>
      </c>
      <c r="FN149">
        <f t="shared" ca="1" si="509"/>
        <v>762968</v>
      </c>
      <c r="FO149">
        <f t="shared" si="510"/>
        <v>75000</v>
      </c>
      <c r="FP149">
        <f t="shared" ca="1" si="511"/>
        <v>687968</v>
      </c>
      <c r="FQ149">
        <f t="shared" ca="1" si="512"/>
        <v>0</v>
      </c>
      <c r="FR149">
        <f t="shared" ca="1" si="513"/>
        <v>0</v>
      </c>
      <c r="FS149">
        <f t="shared" ca="1" si="514"/>
        <v>0</v>
      </c>
      <c r="FT149">
        <f t="shared" ca="1" si="515"/>
        <v>0</v>
      </c>
      <c r="FU149">
        <f t="shared" ca="1" si="516"/>
        <v>0</v>
      </c>
      <c r="FV149">
        <f t="shared" ca="1" si="517"/>
        <v>0</v>
      </c>
      <c r="FW149">
        <f t="shared" ca="1" si="518"/>
        <v>0</v>
      </c>
      <c r="FX149">
        <f t="shared" ca="1" si="519"/>
        <v>0</v>
      </c>
      <c r="FY149">
        <f t="shared" ca="1" si="520"/>
        <v>0</v>
      </c>
      <c r="FZ149">
        <f t="shared" ca="1" si="521"/>
        <v>0</v>
      </c>
      <c r="GA149">
        <f t="shared" ca="1" si="522"/>
        <v>287968</v>
      </c>
      <c r="GB149">
        <f t="shared" ca="1" si="523"/>
        <v>14398.400000000001</v>
      </c>
      <c r="GC149">
        <f t="shared" ca="1" si="524"/>
        <v>14398</v>
      </c>
      <c r="GD149">
        <f t="shared" ca="1" si="525"/>
        <v>0</v>
      </c>
      <c r="GE149">
        <f t="shared" ca="1" si="526"/>
        <v>0</v>
      </c>
      <c r="GF149">
        <f t="shared" ca="1" si="527"/>
        <v>14398</v>
      </c>
      <c r="GG149">
        <f t="shared" ca="1" si="528"/>
        <v>0</v>
      </c>
      <c r="GH149" t="b">
        <f t="shared" ca="1" si="529"/>
        <v>0</v>
      </c>
      <c r="GI149">
        <f t="shared" ca="1" si="530"/>
        <v>0</v>
      </c>
      <c r="GJ149">
        <f t="shared" ca="1" si="531"/>
        <v>14398</v>
      </c>
      <c r="GK149">
        <f t="shared" ca="1" si="532"/>
        <v>0</v>
      </c>
      <c r="GL149">
        <f t="shared" ca="1" si="533"/>
        <v>0</v>
      </c>
      <c r="GM149">
        <f t="shared" ca="1" si="534"/>
        <v>0</v>
      </c>
    </row>
    <row r="150" spans="1:195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536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30"/>
        <v>3780.0000000000005</v>
      </c>
      <c r="L150">
        <f t="shared" si="431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432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535"/>
        <v>150</v>
      </c>
      <c r="S150">
        <f t="shared" si="433"/>
        <v>32370</v>
      </c>
      <c r="T150">
        <f>_xlfn.XLOOKUP(B150,'[2]april-2025'!$A:$A,'[2]april-2025'!$C:$C,0,0)</f>
        <v>27000</v>
      </c>
      <c r="U150">
        <f t="shared" si="434"/>
        <v>4860</v>
      </c>
      <c r="V150">
        <f t="shared" si="43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3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37"/>
        <v>150</v>
      </c>
      <c r="AC150">
        <f t="shared" si="438"/>
        <v>33450</v>
      </c>
      <c r="AD150">
        <f>_xlfn.XLOOKUP(B150,'[3]may-2025'!$A:$A,'[3]may-2025'!$C:$C,0,0)</f>
        <v>31600</v>
      </c>
      <c r="AE150">
        <f t="shared" si="439"/>
        <v>5688</v>
      </c>
      <c r="AF150">
        <f t="shared" si="440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41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42"/>
        <v>200</v>
      </c>
      <c r="AM150">
        <f t="shared" si="443"/>
        <v>39380</v>
      </c>
      <c r="AN150">
        <f>_xlfn.XLOOKUP(B150,'[4]june-2025'!$A:$A,'[4]june-2025'!$C:$C,0,0)</f>
        <v>31600</v>
      </c>
      <c r="AO150">
        <f t="shared" si="444"/>
        <v>5688</v>
      </c>
      <c r="AP150">
        <f t="shared" si="445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46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47"/>
        <v>200</v>
      </c>
      <c r="AW150">
        <f t="shared" si="448"/>
        <v>39380</v>
      </c>
      <c r="AX150">
        <f>_xlfn.XLOOKUP(B150,'[5]july-2025'!$A:$A,'[5]july-2025'!$C:$C,0,0)</f>
        <v>32500</v>
      </c>
      <c r="AY150">
        <f t="shared" si="449"/>
        <v>5850</v>
      </c>
      <c r="AZ150">
        <v>0</v>
      </c>
      <c r="BA150">
        <f t="shared" si="450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451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52"/>
        <v>200</v>
      </c>
      <c r="BH150">
        <f t="shared" si="453"/>
        <v>40550</v>
      </c>
      <c r="BI150">
        <f>_xlfn.XLOOKUP(B150,'[6]august-2025'!$A:$A,'[6]august-2025'!$C:$C,0,0)</f>
        <v>32500</v>
      </c>
      <c r="BJ150">
        <f t="shared" si="454"/>
        <v>5850</v>
      </c>
      <c r="BK150">
        <f t="shared" si="455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56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457"/>
        <v>200</v>
      </c>
      <c r="BR150">
        <f t="shared" si="458"/>
        <v>40550</v>
      </c>
      <c r="BS150">
        <f>_xlfn.XLOOKUP(B150,'[7]september-2025'!$A:$A,'[7]september-2025'!$C:$C,0,0)</f>
        <v>32500</v>
      </c>
      <c r="BT150">
        <f t="shared" si="459"/>
        <v>5850</v>
      </c>
      <c r="BU150">
        <f t="shared" si="460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461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62"/>
        <v>200</v>
      </c>
      <c r="CB150">
        <f t="shared" si="463"/>
        <v>40550</v>
      </c>
      <c r="CC150">
        <f>_xlfn.XLOOKUP(B150,'[8]october-2025'!$A:$A,'[8]october-2025'!$C:$C,0,0)</f>
        <v>32500</v>
      </c>
      <c r="CD150">
        <f t="shared" si="464"/>
        <v>5850</v>
      </c>
      <c r="CE150">
        <f t="shared" si="465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466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67"/>
        <v>200</v>
      </c>
      <c r="CL150">
        <f t="shared" si="468"/>
        <v>40550</v>
      </c>
      <c r="CM150">
        <f>_xlfn.XLOOKUP(B150,'[9]november-2025'!$A:$A,'[9]november-2025'!$C:$C,0,0)</f>
        <v>32500</v>
      </c>
      <c r="CN150">
        <f t="shared" si="469"/>
        <v>5850</v>
      </c>
      <c r="CO150">
        <f t="shared" si="470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471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72"/>
        <v>200</v>
      </c>
      <c r="CV150">
        <f t="shared" si="473"/>
        <v>40550</v>
      </c>
      <c r="CW150">
        <f>_xlfn.XLOOKUP(B150,'[10]december-2025'!$A:$A,'[10]december-2025'!$C:$C,0,0)</f>
        <v>32500</v>
      </c>
      <c r="CX150">
        <f t="shared" si="474"/>
        <v>5850</v>
      </c>
      <c r="CY150">
        <f t="shared" si="475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47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77"/>
        <v>200</v>
      </c>
      <c r="DF150">
        <f t="shared" si="478"/>
        <v>40550</v>
      </c>
      <c r="DG150">
        <f>_xlfn.XLOOKUP(B150,'[11]january-2026'!$A:$A,'[11]january-2026'!$C:$C,0,0)</f>
        <v>32500</v>
      </c>
      <c r="DH150">
        <f t="shared" si="479"/>
        <v>5850</v>
      </c>
      <c r="DI150">
        <f t="shared" si="48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1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2"/>
        <v>200</v>
      </c>
      <c r="DP150">
        <f t="shared" si="483"/>
        <v>40550</v>
      </c>
      <c r="DQ150">
        <f>_xlfn.XLOOKUP(B150,'[12]february-2026'!$A:$A,'[12]february-2026'!$C:$C,0,0)</f>
        <v>32500</v>
      </c>
      <c r="DR150">
        <f t="shared" si="484"/>
        <v>5850</v>
      </c>
      <c r="DS150">
        <f t="shared" si="485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6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7"/>
        <v>200</v>
      </c>
      <c r="DZ150">
        <f t="shared" si="488"/>
        <v>40550</v>
      </c>
      <c r="EA150">
        <f t="shared" si="489"/>
        <v>502080</v>
      </c>
      <c r="EB150">
        <f t="shared" si="490"/>
        <v>2300</v>
      </c>
      <c r="EC150">
        <f t="shared" si="491"/>
        <v>50000</v>
      </c>
      <c r="ED150">
        <v>0</v>
      </c>
      <c r="EE150">
        <f t="shared" si="492"/>
        <v>449780</v>
      </c>
      <c r="EF150">
        <f t="shared" si="493"/>
        <v>24000</v>
      </c>
      <c r="EG150">
        <f t="shared" si="494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5"/>
        <v>24000</v>
      </c>
      <c r="ES150">
        <f t="shared" si="496"/>
        <v>24000</v>
      </c>
      <c r="ET150">
        <f t="shared" si="497"/>
        <v>425780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8"/>
        <v>0</v>
      </c>
      <c r="FC150">
        <f t="shared" si="499"/>
        <v>425780</v>
      </c>
      <c r="FD150">
        <f t="shared" si="500"/>
        <v>8789</v>
      </c>
      <c r="FE150">
        <f t="shared" si="501"/>
        <v>0</v>
      </c>
      <c r="FF150">
        <f t="shared" si="502"/>
        <v>8789</v>
      </c>
      <c r="FG150">
        <f t="shared" si="503"/>
        <v>0</v>
      </c>
      <c r="FH150">
        <f t="shared" si="504"/>
        <v>0</v>
      </c>
      <c r="FI150">
        <f t="shared" si="505"/>
        <v>0</v>
      </c>
      <c r="FJ150">
        <v>0</v>
      </c>
      <c r="FK150">
        <f t="shared" si="506"/>
        <v>0</v>
      </c>
      <c r="FL150" t="b">
        <f t="shared" si="507"/>
        <v>1</v>
      </c>
      <c r="FM150">
        <f t="shared" ca="1" si="508"/>
        <v>675</v>
      </c>
      <c r="FN150">
        <f t="shared" ca="1" si="509"/>
        <v>502755</v>
      </c>
      <c r="FO150">
        <f t="shared" si="510"/>
        <v>75000</v>
      </c>
      <c r="FP150">
        <f t="shared" ca="1" si="511"/>
        <v>427755</v>
      </c>
      <c r="FQ150">
        <f t="shared" ca="1" si="512"/>
        <v>0</v>
      </c>
      <c r="FR150">
        <f t="shared" ca="1" si="513"/>
        <v>0</v>
      </c>
      <c r="FS150">
        <f t="shared" ca="1" si="514"/>
        <v>0</v>
      </c>
      <c r="FT150">
        <f t="shared" ca="1" si="515"/>
        <v>0</v>
      </c>
      <c r="FU150">
        <f t="shared" ca="1" si="516"/>
        <v>0</v>
      </c>
      <c r="FV150">
        <f t="shared" ca="1" si="517"/>
        <v>0</v>
      </c>
      <c r="FW150">
        <f t="shared" ca="1" si="518"/>
        <v>0</v>
      </c>
      <c r="FX150">
        <f t="shared" ca="1" si="519"/>
        <v>0</v>
      </c>
      <c r="FY150">
        <f t="shared" ca="1" si="520"/>
        <v>0</v>
      </c>
      <c r="FZ150">
        <f t="shared" ca="1" si="521"/>
        <v>0</v>
      </c>
      <c r="GA150">
        <f t="shared" ca="1" si="522"/>
        <v>27755</v>
      </c>
      <c r="GB150">
        <f t="shared" ca="1" si="523"/>
        <v>1387.75</v>
      </c>
      <c r="GC150">
        <f t="shared" ca="1" si="524"/>
        <v>1388</v>
      </c>
      <c r="GD150">
        <f t="shared" ca="1" si="525"/>
        <v>0</v>
      </c>
      <c r="GE150">
        <f t="shared" ca="1" si="526"/>
        <v>0</v>
      </c>
      <c r="GF150">
        <f t="shared" ca="1" si="527"/>
        <v>1388</v>
      </c>
      <c r="GG150">
        <f t="shared" ca="1" si="528"/>
        <v>0</v>
      </c>
      <c r="GH150" t="b">
        <f t="shared" ca="1" si="529"/>
        <v>0</v>
      </c>
      <c r="GI150">
        <f t="shared" ca="1" si="530"/>
        <v>0</v>
      </c>
      <c r="GJ150">
        <f t="shared" ca="1" si="531"/>
        <v>1388</v>
      </c>
      <c r="GK150">
        <f t="shared" ca="1" si="532"/>
        <v>0</v>
      </c>
      <c r="GL150">
        <f t="shared" ca="1" si="533"/>
        <v>0</v>
      </c>
      <c r="GM150">
        <f t="shared" ca="1" si="534"/>
        <v>0</v>
      </c>
    </row>
    <row r="151" spans="1:195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536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30"/>
        <v>3780.0000000000005</v>
      </c>
      <c r="L151">
        <f t="shared" si="431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432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535"/>
        <v>150</v>
      </c>
      <c r="S151">
        <f t="shared" si="433"/>
        <v>32370</v>
      </c>
      <c r="T151">
        <f>_xlfn.XLOOKUP(B151,'[2]april-2025'!$A:$A,'[2]april-2025'!$C:$C,0,0)</f>
        <v>27000</v>
      </c>
      <c r="U151">
        <f t="shared" si="434"/>
        <v>4860</v>
      </c>
      <c r="V151">
        <f t="shared" si="43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3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37"/>
        <v>150</v>
      </c>
      <c r="AC151">
        <f t="shared" si="438"/>
        <v>33450</v>
      </c>
      <c r="AD151">
        <f>_xlfn.XLOOKUP(B151,'[3]may-2025'!$A:$A,'[3]may-2025'!$C:$C,0,0)</f>
        <v>31600</v>
      </c>
      <c r="AE151">
        <f t="shared" si="439"/>
        <v>5688</v>
      </c>
      <c r="AF151">
        <f t="shared" si="440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41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42"/>
        <v>200</v>
      </c>
      <c r="AM151">
        <f t="shared" si="443"/>
        <v>39380</v>
      </c>
      <c r="AN151">
        <f>_xlfn.XLOOKUP(B151,'[4]june-2025'!$A:$A,'[4]june-2025'!$C:$C,0,0)</f>
        <v>31600</v>
      </c>
      <c r="AO151">
        <f t="shared" si="444"/>
        <v>5688</v>
      </c>
      <c r="AP151">
        <f t="shared" si="445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46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47"/>
        <v>200</v>
      </c>
      <c r="AW151">
        <f t="shared" si="448"/>
        <v>39380</v>
      </c>
      <c r="AX151">
        <f>_xlfn.XLOOKUP(B151,'[5]july-2025'!$A:$A,'[5]july-2025'!$C:$C,0,0)</f>
        <v>32500</v>
      </c>
      <c r="AY151">
        <f t="shared" si="449"/>
        <v>5850</v>
      </c>
      <c r="AZ151">
        <v>0</v>
      </c>
      <c r="BA151">
        <f t="shared" si="450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451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52"/>
        <v>200</v>
      </c>
      <c r="BH151">
        <f t="shared" si="453"/>
        <v>40550</v>
      </c>
      <c r="BI151">
        <f>_xlfn.XLOOKUP(B151,'[6]august-2025'!$A:$A,'[6]august-2025'!$C:$C,0,0)</f>
        <v>32500</v>
      </c>
      <c r="BJ151">
        <f t="shared" si="454"/>
        <v>5850</v>
      </c>
      <c r="BK151">
        <f t="shared" si="455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56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457"/>
        <v>200</v>
      </c>
      <c r="BR151">
        <f t="shared" si="458"/>
        <v>40550</v>
      </c>
      <c r="BS151">
        <f>_xlfn.XLOOKUP(B151,'[7]september-2025'!$A:$A,'[7]september-2025'!$C:$C,0,0)</f>
        <v>32500</v>
      </c>
      <c r="BT151">
        <f t="shared" si="459"/>
        <v>5850</v>
      </c>
      <c r="BU151">
        <f t="shared" si="460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461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62"/>
        <v>200</v>
      </c>
      <c r="CB151">
        <f t="shared" si="463"/>
        <v>40550</v>
      </c>
      <c r="CC151">
        <f>_xlfn.XLOOKUP(B151,'[8]october-2025'!$A:$A,'[8]october-2025'!$C:$C,0,0)</f>
        <v>32500</v>
      </c>
      <c r="CD151">
        <f t="shared" si="464"/>
        <v>5850</v>
      </c>
      <c r="CE151">
        <f t="shared" si="465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466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67"/>
        <v>200</v>
      </c>
      <c r="CL151">
        <f t="shared" si="468"/>
        <v>40550</v>
      </c>
      <c r="CM151">
        <f>_xlfn.XLOOKUP(B151,'[9]november-2025'!$A:$A,'[9]november-2025'!$C:$C,0,0)</f>
        <v>32500</v>
      </c>
      <c r="CN151">
        <f t="shared" si="469"/>
        <v>5850</v>
      </c>
      <c r="CO151">
        <f t="shared" si="470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471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72"/>
        <v>200</v>
      </c>
      <c r="CV151">
        <f t="shared" si="473"/>
        <v>40550</v>
      </c>
      <c r="CW151">
        <f>_xlfn.XLOOKUP(B151,'[10]december-2025'!$A:$A,'[10]december-2025'!$C:$C,0,0)</f>
        <v>32500</v>
      </c>
      <c r="CX151">
        <f t="shared" si="474"/>
        <v>5850</v>
      </c>
      <c r="CY151">
        <f t="shared" si="475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47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77"/>
        <v>200</v>
      </c>
      <c r="DF151">
        <f t="shared" si="478"/>
        <v>40550</v>
      </c>
      <c r="DG151">
        <f>_xlfn.XLOOKUP(B151,'[11]january-2026'!$A:$A,'[11]january-2026'!$C:$C,0,0)</f>
        <v>32500</v>
      </c>
      <c r="DH151">
        <f t="shared" si="479"/>
        <v>5850</v>
      </c>
      <c r="DI151">
        <f t="shared" si="48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1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2"/>
        <v>200</v>
      </c>
      <c r="DP151">
        <f t="shared" si="483"/>
        <v>40550</v>
      </c>
      <c r="DQ151">
        <f>_xlfn.XLOOKUP(B151,'[12]february-2026'!$A:$A,'[12]february-2026'!$C:$C,0,0)</f>
        <v>32500</v>
      </c>
      <c r="DR151">
        <f t="shared" si="484"/>
        <v>5850</v>
      </c>
      <c r="DS151">
        <f t="shared" si="485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6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7"/>
        <v>200</v>
      </c>
      <c r="DZ151">
        <f t="shared" si="488"/>
        <v>40550</v>
      </c>
      <c r="EA151">
        <f t="shared" si="489"/>
        <v>502080</v>
      </c>
      <c r="EB151">
        <f t="shared" si="490"/>
        <v>2300</v>
      </c>
      <c r="EC151">
        <f t="shared" si="491"/>
        <v>50000</v>
      </c>
      <c r="ED151">
        <v>0</v>
      </c>
      <c r="EE151">
        <f t="shared" si="492"/>
        <v>449780</v>
      </c>
      <c r="EF151">
        <f t="shared" si="493"/>
        <v>24000</v>
      </c>
      <c r="EG151">
        <f t="shared" si="494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5"/>
        <v>24000</v>
      </c>
      <c r="ES151">
        <f t="shared" si="496"/>
        <v>24000</v>
      </c>
      <c r="ET151">
        <f t="shared" si="497"/>
        <v>425780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8"/>
        <v>0</v>
      </c>
      <c r="FC151">
        <f t="shared" si="499"/>
        <v>425780</v>
      </c>
      <c r="FD151">
        <f t="shared" si="500"/>
        <v>8789</v>
      </c>
      <c r="FE151">
        <f t="shared" si="501"/>
        <v>0</v>
      </c>
      <c r="FF151">
        <f t="shared" si="502"/>
        <v>8789</v>
      </c>
      <c r="FG151">
        <f t="shared" si="503"/>
        <v>0</v>
      </c>
      <c r="FH151">
        <f t="shared" si="504"/>
        <v>0</v>
      </c>
      <c r="FI151">
        <f t="shared" si="505"/>
        <v>0</v>
      </c>
      <c r="FJ151">
        <v>0</v>
      </c>
      <c r="FK151">
        <f t="shared" si="506"/>
        <v>0</v>
      </c>
      <c r="FL151" t="b">
        <f t="shared" si="507"/>
        <v>1</v>
      </c>
      <c r="FM151">
        <f t="shared" ca="1" si="508"/>
        <v>582</v>
      </c>
      <c r="FN151">
        <f t="shared" ca="1" si="509"/>
        <v>502662</v>
      </c>
      <c r="FO151">
        <f t="shared" si="510"/>
        <v>75000</v>
      </c>
      <c r="FP151">
        <f t="shared" ca="1" si="511"/>
        <v>427662</v>
      </c>
      <c r="FQ151">
        <f t="shared" ca="1" si="512"/>
        <v>0</v>
      </c>
      <c r="FR151">
        <f t="shared" ca="1" si="513"/>
        <v>0</v>
      </c>
      <c r="FS151">
        <f t="shared" ca="1" si="514"/>
        <v>0</v>
      </c>
      <c r="FT151">
        <f t="shared" ca="1" si="515"/>
        <v>0</v>
      </c>
      <c r="FU151">
        <f t="shared" ca="1" si="516"/>
        <v>0</v>
      </c>
      <c r="FV151">
        <f t="shared" ca="1" si="517"/>
        <v>0</v>
      </c>
      <c r="FW151">
        <f t="shared" ca="1" si="518"/>
        <v>0</v>
      </c>
      <c r="FX151">
        <f t="shared" ca="1" si="519"/>
        <v>0</v>
      </c>
      <c r="FY151">
        <f t="shared" ca="1" si="520"/>
        <v>0</v>
      </c>
      <c r="FZ151">
        <f t="shared" ca="1" si="521"/>
        <v>0</v>
      </c>
      <c r="GA151">
        <f t="shared" ca="1" si="522"/>
        <v>27662</v>
      </c>
      <c r="GB151">
        <f t="shared" ca="1" si="523"/>
        <v>1383.1000000000001</v>
      </c>
      <c r="GC151">
        <f t="shared" ca="1" si="524"/>
        <v>1383</v>
      </c>
      <c r="GD151">
        <f t="shared" ca="1" si="525"/>
        <v>0</v>
      </c>
      <c r="GE151">
        <f t="shared" ca="1" si="526"/>
        <v>0</v>
      </c>
      <c r="GF151">
        <f t="shared" ca="1" si="527"/>
        <v>1383</v>
      </c>
      <c r="GG151">
        <f t="shared" ca="1" si="528"/>
        <v>0</v>
      </c>
      <c r="GH151" t="b">
        <f t="shared" ca="1" si="529"/>
        <v>0</v>
      </c>
      <c r="GI151">
        <f t="shared" ca="1" si="530"/>
        <v>0</v>
      </c>
      <c r="GJ151">
        <f t="shared" ca="1" si="531"/>
        <v>1383</v>
      </c>
      <c r="GK151">
        <f t="shared" ca="1" si="532"/>
        <v>0</v>
      </c>
      <c r="GL151">
        <f t="shared" ca="1" si="533"/>
        <v>0</v>
      </c>
      <c r="GM151">
        <f t="shared" ca="1" si="534"/>
        <v>0</v>
      </c>
    </row>
    <row r="152" spans="1:195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536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30"/>
        <v>4046.0000000000005</v>
      </c>
      <c r="L152">
        <f t="shared" si="431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432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535"/>
        <v>150</v>
      </c>
      <c r="S152">
        <f t="shared" si="433"/>
        <v>36264</v>
      </c>
      <c r="T152">
        <f>_xlfn.XLOOKUP(B152,'[2]april-2025'!$A:$A,'[2]april-2025'!$C:$C,0,0)</f>
        <v>28900</v>
      </c>
      <c r="U152">
        <f t="shared" si="434"/>
        <v>5202</v>
      </c>
      <c r="V152">
        <f t="shared" si="43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3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37"/>
        <v>150</v>
      </c>
      <c r="AC152">
        <f t="shared" si="438"/>
        <v>37420</v>
      </c>
      <c r="AD152">
        <f>_xlfn.XLOOKUP(B152,'[3]may-2025'!$A:$A,'[3]may-2025'!$C:$C,0,0)</f>
        <v>28900</v>
      </c>
      <c r="AE152">
        <f t="shared" si="439"/>
        <v>5202</v>
      </c>
      <c r="AF152">
        <f t="shared" si="440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41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42"/>
        <v>150</v>
      </c>
      <c r="AM152">
        <f t="shared" si="443"/>
        <v>37420</v>
      </c>
      <c r="AN152">
        <f>_xlfn.XLOOKUP(B152,'[4]june-2025'!$A:$A,'[4]june-2025'!$C:$C,0,0)</f>
        <v>28900</v>
      </c>
      <c r="AO152">
        <f t="shared" si="444"/>
        <v>5202</v>
      </c>
      <c r="AP152">
        <f t="shared" si="445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46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47"/>
        <v>150</v>
      </c>
      <c r="AW152">
        <f t="shared" si="448"/>
        <v>37420</v>
      </c>
      <c r="AX152">
        <f>_xlfn.XLOOKUP(B152,'[5]july-2025'!$A:$A,'[5]july-2025'!$C:$C,0,0)</f>
        <v>29800</v>
      </c>
      <c r="AY152">
        <f t="shared" si="449"/>
        <v>5364</v>
      </c>
      <c r="AZ152">
        <v>0</v>
      </c>
      <c r="BA152">
        <f t="shared" si="450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451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52"/>
        <v>150</v>
      </c>
      <c r="BH152">
        <f t="shared" si="453"/>
        <v>38590</v>
      </c>
      <c r="BI152">
        <f>_xlfn.XLOOKUP(B152,'[6]august-2025'!$A:$A,'[6]august-2025'!$C:$C,0,0)</f>
        <v>29800</v>
      </c>
      <c r="BJ152">
        <f t="shared" si="454"/>
        <v>5364</v>
      </c>
      <c r="BK152">
        <f t="shared" si="455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56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457"/>
        <v>150</v>
      </c>
      <c r="BR152">
        <f t="shared" si="458"/>
        <v>38590</v>
      </c>
      <c r="BS152">
        <f>_xlfn.XLOOKUP(B152,'[7]september-2025'!$A:$A,'[7]september-2025'!$C:$C,0,0)</f>
        <v>29800</v>
      </c>
      <c r="BT152">
        <f t="shared" si="459"/>
        <v>5364</v>
      </c>
      <c r="BU152">
        <f t="shared" si="460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461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62"/>
        <v>150</v>
      </c>
      <c r="CB152">
        <f t="shared" si="463"/>
        <v>36590</v>
      </c>
      <c r="CC152">
        <f>_xlfn.XLOOKUP(B152,'[8]october-2025'!$A:$A,'[8]october-2025'!$C:$C,0,0)</f>
        <v>29800</v>
      </c>
      <c r="CD152">
        <f t="shared" si="464"/>
        <v>5364</v>
      </c>
      <c r="CE152">
        <f t="shared" si="465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466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67"/>
        <v>150</v>
      </c>
      <c r="CL152">
        <f t="shared" si="468"/>
        <v>36590</v>
      </c>
      <c r="CM152">
        <f>_xlfn.XLOOKUP(B152,'[9]november-2025'!$A:$A,'[9]november-2025'!$C:$C,0,0)</f>
        <v>29800</v>
      </c>
      <c r="CN152">
        <f t="shared" si="469"/>
        <v>5364</v>
      </c>
      <c r="CO152">
        <f t="shared" si="470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471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72"/>
        <v>150</v>
      </c>
      <c r="CV152">
        <f t="shared" si="473"/>
        <v>36590</v>
      </c>
      <c r="CW152">
        <f>_xlfn.XLOOKUP(B152,'[10]december-2025'!$A:$A,'[10]december-2025'!$C:$C,0,0)</f>
        <v>29800</v>
      </c>
      <c r="CX152">
        <f t="shared" si="474"/>
        <v>5364</v>
      </c>
      <c r="CY152">
        <f t="shared" si="475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47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77"/>
        <v>150</v>
      </c>
      <c r="DF152">
        <f t="shared" si="478"/>
        <v>36590</v>
      </c>
      <c r="DG152">
        <f>_xlfn.XLOOKUP(B152,'[11]january-2026'!$A:$A,'[11]january-2026'!$C:$C,0,0)</f>
        <v>29800</v>
      </c>
      <c r="DH152">
        <f t="shared" si="479"/>
        <v>5364</v>
      </c>
      <c r="DI152">
        <f t="shared" si="48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1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2"/>
        <v>150</v>
      </c>
      <c r="DP152">
        <f t="shared" si="483"/>
        <v>36590</v>
      </c>
      <c r="DQ152">
        <f>_xlfn.XLOOKUP(B152,'[12]february-2026'!$A:$A,'[12]february-2026'!$C:$C,0,0)</f>
        <v>29800</v>
      </c>
      <c r="DR152">
        <f t="shared" si="484"/>
        <v>5364</v>
      </c>
      <c r="DS152">
        <f t="shared" si="485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6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7"/>
        <v>150</v>
      </c>
      <c r="DZ152">
        <f t="shared" si="488"/>
        <v>36590</v>
      </c>
      <c r="EA152">
        <f t="shared" si="489"/>
        <v>465844</v>
      </c>
      <c r="EB152">
        <f t="shared" si="490"/>
        <v>1800</v>
      </c>
      <c r="EC152">
        <f t="shared" si="491"/>
        <v>50000</v>
      </c>
      <c r="ED152">
        <v>0</v>
      </c>
      <c r="EE152">
        <f t="shared" si="492"/>
        <v>414044</v>
      </c>
      <c r="EF152">
        <f t="shared" si="493"/>
        <v>12000</v>
      </c>
      <c r="EG152">
        <f t="shared" si="494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5"/>
        <v>12000</v>
      </c>
      <c r="ES152">
        <f t="shared" si="496"/>
        <v>12000</v>
      </c>
      <c r="ET152">
        <f t="shared" si="497"/>
        <v>402044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8"/>
        <v>0</v>
      </c>
      <c r="FC152">
        <f t="shared" si="499"/>
        <v>402044</v>
      </c>
      <c r="FD152">
        <f t="shared" si="500"/>
        <v>7602</v>
      </c>
      <c r="FE152">
        <f t="shared" si="501"/>
        <v>0</v>
      </c>
      <c r="FF152">
        <f t="shared" si="502"/>
        <v>7602</v>
      </c>
      <c r="FG152">
        <f t="shared" si="503"/>
        <v>0</v>
      </c>
      <c r="FH152">
        <f t="shared" si="504"/>
        <v>0</v>
      </c>
      <c r="FI152">
        <f t="shared" si="505"/>
        <v>0</v>
      </c>
      <c r="FJ152">
        <v>0</v>
      </c>
      <c r="FK152">
        <f t="shared" si="506"/>
        <v>0</v>
      </c>
      <c r="FL152" t="b">
        <f t="shared" si="507"/>
        <v>0</v>
      </c>
      <c r="FM152">
        <f t="shared" ca="1" si="508"/>
        <v>2537</v>
      </c>
      <c r="FN152">
        <f t="shared" ca="1" si="509"/>
        <v>468381</v>
      </c>
      <c r="FO152">
        <f t="shared" si="510"/>
        <v>75000</v>
      </c>
      <c r="FP152">
        <f t="shared" ca="1" si="511"/>
        <v>393381</v>
      </c>
      <c r="FQ152">
        <f t="shared" ca="1" si="512"/>
        <v>0</v>
      </c>
      <c r="FR152">
        <f t="shared" ca="1" si="513"/>
        <v>0</v>
      </c>
      <c r="FS152">
        <f t="shared" ca="1" si="514"/>
        <v>0</v>
      </c>
      <c r="FT152">
        <f t="shared" ca="1" si="515"/>
        <v>0</v>
      </c>
      <c r="FU152">
        <f t="shared" ca="1" si="516"/>
        <v>0</v>
      </c>
      <c r="FV152">
        <f t="shared" ca="1" si="517"/>
        <v>0</v>
      </c>
      <c r="FW152">
        <f t="shared" ca="1" si="518"/>
        <v>0</v>
      </c>
      <c r="FX152">
        <f t="shared" ca="1" si="519"/>
        <v>0</v>
      </c>
      <c r="FY152">
        <f t="shared" ca="1" si="520"/>
        <v>0</v>
      </c>
      <c r="FZ152">
        <f t="shared" ca="1" si="521"/>
        <v>0</v>
      </c>
      <c r="GA152">
        <f t="shared" ca="1" si="522"/>
        <v>0</v>
      </c>
      <c r="GB152">
        <f t="shared" ca="1" si="523"/>
        <v>0</v>
      </c>
      <c r="GC152">
        <f t="shared" ca="1" si="524"/>
        <v>0</v>
      </c>
      <c r="GD152">
        <f t="shared" ca="1" si="525"/>
        <v>0</v>
      </c>
      <c r="GE152">
        <f t="shared" ca="1" si="526"/>
        <v>0</v>
      </c>
      <c r="GF152">
        <f t="shared" ca="1" si="527"/>
        <v>0</v>
      </c>
      <c r="GG152">
        <f t="shared" ca="1" si="528"/>
        <v>0</v>
      </c>
      <c r="GH152" t="b">
        <f t="shared" ca="1" si="529"/>
        <v>0</v>
      </c>
      <c r="GI152">
        <f t="shared" ca="1" si="530"/>
        <v>0</v>
      </c>
      <c r="GJ152">
        <f t="shared" ca="1" si="531"/>
        <v>0</v>
      </c>
      <c r="GK152">
        <f t="shared" ca="1" si="532"/>
        <v>0</v>
      </c>
      <c r="GL152">
        <f t="shared" ca="1" si="533"/>
        <v>0</v>
      </c>
      <c r="GM152">
        <f t="shared" ca="1" si="534"/>
        <v>0</v>
      </c>
    </row>
    <row r="153" spans="1:195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536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30"/>
        <v>6818.0000000000009</v>
      </c>
      <c r="L153">
        <f t="shared" si="431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432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535"/>
        <v>200</v>
      </c>
      <c r="S153">
        <f t="shared" si="433"/>
        <v>54062</v>
      </c>
      <c r="T153">
        <f>_xlfn.XLOOKUP(B153,'[2]april-2025'!$A:$A,'[2]april-2025'!$C:$C,0,0)</f>
        <v>48700</v>
      </c>
      <c r="U153">
        <f t="shared" si="434"/>
        <v>8766</v>
      </c>
      <c r="V153">
        <f t="shared" si="43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3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37"/>
        <v>200</v>
      </c>
      <c r="AC153">
        <f t="shared" si="438"/>
        <v>56010</v>
      </c>
      <c r="AD153">
        <f>_xlfn.XLOOKUP(B153,'[3]may-2025'!$A:$A,'[3]may-2025'!$C:$C,0,0)</f>
        <v>48700</v>
      </c>
      <c r="AE153">
        <f t="shared" si="439"/>
        <v>8766</v>
      </c>
      <c r="AF153">
        <f t="shared" si="440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41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42"/>
        <v>200</v>
      </c>
      <c r="AM153">
        <f t="shared" si="443"/>
        <v>56010</v>
      </c>
      <c r="AN153">
        <f>_xlfn.XLOOKUP(B153,'[4]june-2025'!$A:$A,'[4]june-2025'!$C:$C,0,0)</f>
        <v>48700</v>
      </c>
      <c r="AO153">
        <f t="shared" si="444"/>
        <v>8766</v>
      </c>
      <c r="AP153">
        <f t="shared" si="445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46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47"/>
        <v>200</v>
      </c>
      <c r="AW153">
        <f t="shared" si="448"/>
        <v>56010</v>
      </c>
      <c r="AX153">
        <f>_xlfn.XLOOKUP(B153,'[5]july-2025'!$A:$A,'[5]july-2025'!$C:$C,0,0)</f>
        <v>50200</v>
      </c>
      <c r="AY153">
        <f t="shared" si="449"/>
        <v>9036</v>
      </c>
      <c r="AZ153">
        <v>0</v>
      </c>
      <c r="BA153">
        <f t="shared" si="450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451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52"/>
        <v>200</v>
      </c>
      <c r="BH153">
        <f t="shared" si="453"/>
        <v>57960</v>
      </c>
      <c r="BI153">
        <f>_xlfn.XLOOKUP(B153,'[6]august-2025'!$A:$A,'[6]august-2025'!$C:$C,0,0)</f>
        <v>50200</v>
      </c>
      <c r="BJ153">
        <f t="shared" si="454"/>
        <v>9036</v>
      </c>
      <c r="BK153">
        <f t="shared" si="455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56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457"/>
        <v>200</v>
      </c>
      <c r="BR153">
        <f t="shared" si="458"/>
        <v>57960</v>
      </c>
      <c r="BS153">
        <f>_xlfn.XLOOKUP(B153,'[7]september-2025'!$A:$A,'[7]september-2025'!$C:$C,0,0)</f>
        <v>50200</v>
      </c>
      <c r="BT153">
        <f t="shared" si="459"/>
        <v>9036</v>
      </c>
      <c r="BU153">
        <f t="shared" si="460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461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62"/>
        <v>200</v>
      </c>
      <c r="CB153">
        <f t="shared" si="463"/>
        <v>57960</v>
      </c>
      <c r="CC153">
        <f>_xlfn.XLOOKUP(B153,'[8]october-2025'!$A:$A,'[8]october-2025'!$C:$C,0,0)</f>
        <v>50200</v>
      </c>
      <c r="CD153">
        <f t="shared" si="464"/>
        <v>9036</v>
      </c>
      <c r="CE153">
        <f t="shared" si="465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466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67"/>
        <v>200</v>
      </c>
      <c r="CL153">
        <f t="shared" si="468"/>
        <v>57960</v>
      </c>
      <c r="CM153">
        <f>_xlfn.XLOOKUP(B153,'[9]november-2025'!$A:$A,'[9]november-2025'!$C:$C,0,0)</f>
        <v>50200</v>
      </c>
      <c r="CN153">
        <f t="shared" si="469"/>
        <v>9036</v>
      </c>
      <c r="CO153">
        <f t="shared" si="470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471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72"/>
        <v>200</v>
      </c>
      <c r="CV153">
        <f t="shared" si="473"/>
        <v>57960</v>
      </c>
      <c r="CW153">
        <f>_xlfn.XLOOKUP(B153,'[10]december-2025'!$A:$A,'[10]december-2025'!$C:$C,0,0)</f>
        <v>50200</v>
      </c>
      <c r="CX153">
        <f t="shared" si="474"/>
        <v>9036</v>
      </c>
      <c r="CY153">
        <f t="shared" si="475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47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77"/>
        <v>200</v>
      </c>
      <c r="DF153">
        <f t="shared" si="478"/>
        <v>57960</v>
      </c>
      <c r="DG153">
        <f>_xlfn.XLOOKUP(B153,'[11]january-2026'!$A:$A,'[11]january-2026'!$C:$C,0,0)</f>
        <v>50200</v>
      </c>
      <c r="DH153">
        <f t="shared" si="479"/>
        <v>9036</v>
      </c>
      <c r="DI153">
        <f t="shared" si="48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1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2"/>
        <v>200</v>
      </c>
      <c r="DP153">
        <f t="shared" si="483"/>
        <v>57960</v>
      </c>
      <c r="DQ153">
        <f>_xlfn.XLOOKUP(B153,'[12]february-2026'!$A:$A,'[12]february-2026'!$C:$C,0,0)</f>
        <v>50200</v>
      </c>
      <c r="DR153">
        <f t="shared" si="484"/>
        <v>9036</v>
      </c>
      <c r="DS153">
        <f t="shared" si="485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6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7"/>
        <v>200</v>
      </c>
      <c r="DZ153">
        <f t="shared" si="488"/>
        <v>57960</v>
      </c>
      <c r="EA153">
        <f t="shared" si="489"/>
        <v>790972</v>
      </c>
      <c r="EB153">
        <f t="shared" si="490"/>
        <v>2400</v>
      </c>
      <c r="EC153">
        <f t="shared" si="491"/>
        <v>50000</v>
      </c>
      <c r="ED153">
        <v>0</v>
      </c>
      <c r="EE153">
        <f t="shared" si="492"/>
        <v>738572</v>
      </c>
      <c r="EF153">
        <f t="shared" si="493"/>
        <v>96000</v>
      </c>
      <c r="EG153">
        <f t="shared" si="494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5"/>
        <v>96000</v>
      </c>
      <c r="ES153">
        <f t="shared" si="496"/>
        <v>96000</v>
      </c>
      <c r="ET153">
        <f t="shared" si="497"/>
        <v>642572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8"/>
        <v>0</v>
      </c>
      <c r="FC153">
        <f t="shared" si="499"/>
        <v>642572</v>
      </c>
      <c r="FD153">
        <f t="shared" si="500"/>
        <v>12500</v>
      </c>
      <c r="FE153">
        <f t="shared" si="501"/>
        <v>28514</v>
      </c>
      <c r="FF153">
        <f t="shared" si="502"/>
        <v>41014</v>
      </c>
      <c r="FG153">
        <f t="shared" si="503"/>
        <v>41014</v>
      </c>
      <c r="FH153">
        <f t="shared" si="504"/>
        <v>1640.56</v>
      </c>
      <c r="FI153">
        <f t="shared" si="505"/>
        <v>42655</v>
      </c>
      <c r="FJ153">
        <v>0</v>
      </c>
      <c r="FK153">
        <f t="shared" si="506"/>
        <v>42655</v>
      </c>
      <c r="FL153" t="b">
        <f t="shared" si="507"/>
        <v>1</v>
      </c>
      <c r="FM153">
        <f t="shared" ca="1" si="508"/>
        <v>744</v>
      </c>
      <c r="FN153">
        <f t="shared" ca="1" si="509"/>
        <v>791716</v>
      </c>
      <c r="FO153">
        <f t="shared" si="510"/>
        <v>75000</v>
      </c>
      <c r="FP153">
        <f t="shared" ca="1" si="511"/>
        <v>716716</v>
      </c>
      <c r="FQ153">
        <f t="shared" ca="1" si="512"/>
        <v>0</v>
      </c>
      <c r="FR153">
        <f t="shared" ca="1" si="513"/>
        <v>0</v>
      </c>
      <c r="FS153">
        <f t="shared" ca="1" si="514"/>
        <v>0</v>
      </c>
      <c r="FT153">
        <f t="shared" ca="1" si="515"/>
        <v>0</v>
      </c>
      <c r="FU153">
        <f t="shared" ca="1" si="516"/>
        <v>0</v>
      </c>
      <c r="FV153">
        <f t="shared" ca="1" si="517"/>
        <v>0</v>
      </c>
      <c r="FW153">
        <f t="shared" ca="1" si="518"/>
        <v>0</v>
      </c>
      <c r="FX153">
        <f t="shared" ca="1" si="519"/>
        <v>0</v>
      </c>
      <c r="FY153">
        <f t="shared" ca="1" si="520"/>
        <v>0</v>
      </c>
      <c r="FZ153">
        <f t="shared" ca="1" si="521"/>
        <v>0</v>
      </c>
      <c r="GA153">
        <f t="shared" ca="1" si="522"/>
        <v>316716</v>
      </c>
      <c r="GB153">
        <f t="shared" ca="1" si="523"/>
        <v>15835.800000000001</v>
      </c>
      <c r="GC153">
        <f t="shared" ca="1" si="524"/>
        <v>15836</v>
      </c>
      <c r="GD153">
        <f t="shared" ca="1" si="525"/>
        <v>0</v>
      </c>
      <c r="GE153">
        <f t="shared" ca="1" si="526"/>
        <v>0</v>
      </c>
      <c r="GF153">
        <f t="shared" ca="1" si="527"/>
        <v>15836</v>
      </c>
      <c r="GG153">
        <f t="shared" ca="1" si="528"/>
        <v>0</v>
      </c>
      <c r="GH153" t="b">
        <f t="shared" ca="1" si="529"/>
        <v>0</v>
      </c>
      <c r="GI153">
        <f t="shared" ca="1" si="530"/>
        <v>0</v>
      </c>
      <c r="GJ153">
        <f t="shared" ca="1" si="531"/>
        <v>15836</v>
      </c>
      <c r="GK153">
        <f t="shared" ca="1" si="532"/>
        <v>0</v>
      </c>
      <c r="GL153">
        <f t="shared" ca="1" si="533"/>
        <v>0</v>
      </c>
      <c r="GM153">
        <f t="shared" ca="1" si="534"/>
        <v>0</v>
      </c>
    </row>
    <row r="154" spans="1:195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536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30"/>
        <v>6622.0000000000009</v>
      </c>
      <c r="L154">
        <f t="shared" si="431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432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535"/>
        <v>200</v>
      </c>
      <c r="S154">
        <f t="shared" si="433"/>
        <v>50398</v>
      </c>
      <c r="T154">
        <f>_xlfn.XLOOKUP(B154,'[2]april-2025'!$A:$A,'[2]april-2025'!$C:$C,0,0)</f>
        <v>47300</v>
      </c>
      <c r="U154">
        <f t="shared" si="434"/>
        <v>8514</v>
      </c>
      <c r="V154">
        <f t="shared" si="43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3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37"/>
        <v>200</v>
      </c>
      <c r="AC154">
        <f t="shared" si="438"/>
        <v>52290</v>
      </c>
      <c r="AD154">
        <f>_xlfn.XLOOKUP(B154,'[3]may-2025'!$A:$A,'[3]may-2025'!$C:$C,0,0)</f>
        <v>47300</v>
      </c>
      <c r="AE154">
        <f t="shared" si="439"/>
        <v>8514</v>
      </c>
      <c r="AF154">
        <f t="shared" si="440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41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42"/>
        <v>200</v>
      </c>
      <c r="AM154">
        <f t="shared" si="443"/>
        <v>52290</v>
      </c>
      <c r="AN154">
        <f>_xlfn.XLOOKUP(B154,'[4]june-2025'!$A:$A,'[4]june-2025'!$C:$C,0,0)</f>
        <v>47300</v>
      </c>
      <c r="AO154">
        <f t="shared" si="444"/>
        <v>8514</v>
      </c>
      <c r="AP154">
        <f t="shared" si="445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46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47"/>
        <v>200</v>
      </c>
      <c r="AW154">
        <f t="shared" si="448"/>
        <v>52290</v>
      </c>
      <c r="AX154">
        <f>_xlfn.XLOOKUP(B154,'[5]july-2025'!$A:$A,'[5]july-2025'!$C:$C,0,0)</f>
        <v>48700</v>
      </c>
      <c r="AY154">
        <f t="shared" si="449"/>
        <v>8766</v>
      </c>
      <c r="AZ154">
        <v>0</v>
      </c>
      <c r="BA154">
        <f t="shared" si="450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451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52"/>
        <v>200</v>
      </c>
      <c r="BH154">
        <f t="shared" si="453"/>
        <v>54110</v>
      </c>
      <c r="BI154">
        <f>_xlfn.XLOOKUP(B154,'[6]august-2025'!$A:$A,'[6]august-2025'!$C:$C,0,0)</f>
        <v>48700</v>
      </c>
      <c r="BJ154">
        <f t="shared" si="454"/>
        <v>8766</v>
      </c>
      <c r="BK154">
        <f t="shared" si="455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56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457"/>
        <v>200</v>
      </c>
      <c r="BR154">
        <f t="shared" si="458"/>
        <v>54110</v>
      </c>
      <c r="BS154">
        <f>_xlfn.XLOOKUP(B154,'[7]september-2025'!$A:$A,'[7]september-2025'!$C:$C,0,0)</f>
        <v>48700</v>
      </c>
      <c r="BT154">
        <f t="shared" si="459"/>
        <v>8766</v>
      </c>
      <c r="BU154">
        <f t="shared" si="460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461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62"/>
        <v>200</v>
      </c>
      <c r="CB154">
        <f t="shared" si="463"/>
        <v>54110</v>
      </c>
      <c r="CC154">
        <f>_xlfn.XLOOKUP(B154,'[8]october-2025'!$A:$A,'[8]october-2025'!$C:$C,0,0)</f>
        <v>48700</v>
      </c>
      <c r="CD154">
        <f t="shared" si="464"/>
        <v>8766</v>
      </c>
      <c r="CE154">
        <f t="shared" si="465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466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67"/>
        <v>200</v>
      </c>
      <c r="CL154">
        <f t="shared" si="468"/>
        <v>54110</v>
      </c>
      <c r="CM154">
        <f>_xlfn.XLOOKUP(B154,'[9]november-2025'!$A:$A,'[9]november-2025'!$C:$C,0,0)</f>
        <v>48700</v>
      </c>
      <c r="CN154">
        <f t="shared" si="469"/>
        <v>8766</v>
      </c>
      <c r="CO154">
        <f t="shared" si="470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471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72"/>
        <v>200</v>
      </c>
      <c r="CV154">
        <f t="shared" si="473"/>
        <v>54110</v>
      </c>
      <c r="CW154">
        <f>_xlfn.XLOOKUP(B154,'[10]december-2025'!$A:$A,'[10]december-2025'!$C:$C,0,0)</f>
        <v>48700</v>
      </c>
      <c r="CX154">
        <f t="shared" si="474"/>
        <v>8766</v>
      </c>
      <c r="CY154">
        <f t="shared" si="475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47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77"/>
        <v>200</v>
      </c>
      <c r="DF154">
        <f t="shared" si="478"/>
        <v>54110</v>
      </c>
      <c r="DG154">
        <f>_xlfn.XLOOKUP(B154,'[11]january-2026'!$A:$A,'[11]january-2026'!$C:$C,0,0)</f>
        <v>48700</v>
      </c>
      <c r="DH154">
        <f t="shared" si="479"/>
        <v>8766</v>
      </c>
      <c r="DI154">
        <f t="shared" si="48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1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2"/>
        <v>200</v>
      </c>
      <c r="DP154">
        <f t="shared" si="483"/>
        <v>54110</v>
      </c>
      <c r="DQ154">
        <f>_xlfn.XLOOKUP(B154,'[12]february-2026'!$A:$A,'[12]february-2026'!$C:$C,0,0)</f>
        <v>48700</v>
      </c>
      <c r="DR154">
        <f t="shared" si="484"/>
        <v>8766</v>
      </c>
      <c r="DS154">
        <f t="shared" si="485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6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7"/>
        <v>200</v>
      </c>
      <c r="DZ154">
        <f t="shared" si="488"/>
        <v>54110</v>
      </c>
      <c r="EA154">
        <f t="shared" si="489"/>
        <v>757348</v>
      </c>
      <c r="EB154">
        <f t="shared" si="490"/>
        <v>2400</v>
      </c>
      <c r="EC154">
        <f t="shared" si="491"/>
        <v>50000</v>
      </c>
      <c r="ED154">
        <v>0</v>
      </c>
      <c r="EE154">
        <f t="shared" si="492"/>
        <v>704948</v>
      </c>
      <c r="EF154">
        <f t="shared" si="493"/>
        <v>108000</v>
      </c>
      <c r="EG154">
        <f t="shared" si="494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5"/>
        <v>108000</v>
      </c>
      <c r="ES154">
        <f t="shared" si="496"/>
        <v>108000</v>
      </c>
      <c r="ET154">
        <f t="shared" si="497"/>
        <v>596948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8"/>
        <v>0</v>
      </c>
      <c r="FC154">
        <f t="shared" si="499"/>
        <v>596948</v>
      </c>
      <c r="FD154">
        <f t="shared" si="500"/>
        <v>12500</v>
      </c>
      <c r="FE154">
        <f t="shared" si="501"/>
        <v>19390</v>
      </c>
      <c r="FF154">
        <f t="shared" si="502"/>
        <v>31890</v>
      </c>
      <c r="FG154">
        <f t="shared" si="503"/>
        <v>31890</v>
      </c>
      <c r="FH154">
        <f t="shared" si="504"/>
        <v>1275.6000000000001</v>
      </c>
      <c r="FI154">
        <f t="shared" si="505"/>
        <v>33166</v>
      </c>
      <c r="FJ154">
        <v>0</v>
      </c>
      <c r="FK154">
        <f t="shared" si="506"/>
        <v>33166</v>
      </c>
      <c r="FL154" t="b">
        <f t="shared" si="507"/>
        <v>1</v>
      </c>
      <c r="FM154">
        <f t="shared" ca="1" si="508"/>
        <v>592</v>
      </c>
      <c r="FN154">
        <f t="shared" ca="1" si="509"/>
        <v>757940</v>
      </c>
      <c r="FO154">
        <f t="shared" si="510"/>
        <v>75000</v>
      </c>
      <c r="FP154">
        <f t="shared" ca="1" si="511"/>
        <v>682940</v>
      </c>
      <c r="FQ154">
        <f t="shared" ca="1" si="512"/>
        <v>0</v>
      </c>
      <c r="FR154">
        <f t="shared" ca="1" si="513"/>
        <v>0</v>
      </c>
      <c r="FS154">
        <f t="shared" ca="1" si="514"/>
        <v>0</v>
      </c>
      <c r="FT154">
        <f t="shared" ca="1" si="515"/>
        <v>0</v>
      </c>
      <c r="FU154">
        <f t="shared" ca="1" si="516"/>
        <v>0</v>
      </c>
      <c r="FV154">
        <f t="shared" ca="1" si="517"/>
        <v>0</v>
      </c>
      <c r="FW154">
        <f t="shared" ca="1" si="518"/>
        <v>0</v>
      </c>
      <c r="FX154">
        <f t="shared" ca="1" si="519"/>
        <v>0</v>
      </c>
      <c r="FY154">
        <f t="shared" ca="1" si="520"/>
        <v>0</v>
      </c>
      <c r="FZ154">
        <f t="shared" ca="1" si="521"/>
        <v>0</v>
      </c>
      <c r="GA154">
        <f t="shared" ca="1" si="522"/>
        <v>282940</v>
      </c>
      <c r="GB154">
        <f t="shared" ca="1" si="523"/>
        <v>14147</v>
      </c>
      <c r="GC154">
        <f t="shared" ca="1" si="524"/>
        <v>14147</v>
      </c>
      <c r="GD154">
        <f t="shared" ca="1" si="525"/>
        <v>0</v>
      </c>
      <c r="GE154">
        <f t="shared" ca="1" si="526"/>
        <v>0</v>
      </c>
      <c r="GF154">
        <f t="shared" ca="1" si="527"/>
        <v>14147</v>
      </c>
      <c r="GG154">
        <f t="shared" ca="1" si="528"/>
        <v>0</v>
      </c>
      <c r="GH154" t="b">
        <f t="shared" ca="1" si="529"/>
        <v>0</v>
      </c>
      <c r="GI154">
        <f t="shared" ca="1" si="530"/>
        <v>0</v>
      </c>
      <c r="GJ154">
        <f t="shared" ca="1" si="531"/>
        <v>14147</v>
      </c>
      <c r="GK154">
        <f t="shared" ca="1" si="532"/>
        <v>0</v>
      </c>
      <c r="GL154">
        <f t="shared" ca="1" si="533"/>
        <v>0</v>
      </c>
      <c r="GM154">
        <f t="shared" ca="1" si="534"/>
        <v>0</v>
      </c>
    </row>
    <row r="155" spans="1:195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536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30"/>
        <v>5278.0000000000009</v>
      </c>
      <c r="L155">
        <f t="shared" si="431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432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535"/>
        <v>200</v>
      </c>
      <c r="S155">
        <f t="shared" si="433"/>
        <v>44302</v>
      </c>
      <c r="T155">
        <f>_xlfn.XLOOKUP(B155,'[2]april-2025'!$A:$A,'[2]april-2025'!$C:$C,0,0)</f>
        <v>37700</v>
      </c>
      <c r="U155">
        <f t="shared" si="434"/>
        <v>6786</v>
      </c>
      <c r="V155">
        <f t="shared" si="43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3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37"/>
        <v>200</v>
      </c>
      <c r="AC155">
        <f t="shared" si="438"/>
        <v>45810</v>
      </c>
      <c r="AD155">
        <f>_xlfn.XLOOKUP(B155,'[3]may-2025'!$A:$A,'[3]may-2025'!$C:$C,0,0)</f>
        <v>37700</v>
      </c>
      <c r="AE155">
        <f t="shared" si="439"/>
        <v>6786</v>
      </c>
      <c r="AF155">
        <f t="shared" si="440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41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42"/>
        <v>200</v>
      </c>
      <c r="AM155">
        <f t="shared" si="443"/>
        <v>45810</v>
      </c>
      <c r="AN155">
        <f>_xlfn.XLOOKUP(B155,'[4]june-2025'!$A:$A,'[4]june-2025'!$C:$C,0,0)</f>
        <v>37700</v>
      </c>
      <c r="AO155">
        <f t="shared" si="444"/>
        <v>6786</v>
      </c>
      <c r="AP155">
        <f t="shared" si="445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46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47"/>
        <v>200</v>
      </c>
      <c r="AW155">
        <f t="shared" si="448"/>
        <v>45810</v>
      </c>
      <c r="AX155">
        <f>_xlfn.XLOOKUP(B155,'[5]july-2025'!$A:$A,'[5]july-2025'!$C:$C,0,0)</f>
        <v>38800</v>
      </c>
      <c r="AY155">
        <f t="shared" si="449"/>
        <v>6984</v>
      </c>
      <c r="AZ155">
        <v>0</v>
      </c>
      <c r="BA155">
        <f t="shared" si="450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451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52"/>
        <v>200</v>
      </c>
      <c r="BH155">
        <f t="shared" si="453"/>
        <v>47240</v>
      </c>
      <c r="BI155">
        <f>_xlfn.XLOOKUP(B155,'[6]august-2025'!$A:$A,'[6]august-2025'!$C:$C,0,0)</f>
        <v>38800</v>
      </c>
      <c r="BJ155">
        <f t="shared" si="454"/>
        <v>6984</v>
      </c>
      <c r="BK155">
        <f t="shared" si="455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56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457"/>
        <v>200</v>
      </c>
      <c r="BR155">
        <f t="shared" si="458"/>
        <v>47240</v>
      </c>
      <c r="BS155">
        <f>_xlfn.XLOOKUP(B155,'[7]september-2025'!$A:$A,'[7]september-2025'!$C:$C,0,0)</f>
        <v>38800</v>
      </c>
      <c r="BT155">
        <f t="shared" si="459"/>
        <v>6984</v>
      </c>
      <c r="BU155">
        <f t="shared" si="460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461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62"/>
        <v>200</v>
      </c>
      <c r="CB155">
        <f t="shared" si="463"/>
        <v>47240</v>
      </c>
      <c r="CC155">
        <f>_xlfn.XLOOKUP(B155,'[8]october-2025'!$A:$A,'[8]october-2025'!$C:$C,0,0)</f>
        <v>38800</v>
      </c>
      <c r="CD155">
        <f t="shared" si="464"/>
        <v>6984</v>
      </c>
      <c r="CE155">
        <f t="shared" si="465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466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67"/>
        <v>200</v>
      </c>
      <c r="CL155">
        <f t="shared" si="468"/>
        <v>47240</v>
      </c>
      <c r="CM155">
        <f>_xlfn.XLOOKUP(B155,'[9]november-2025'!$A:$A,'[9]november-2025'!$C:$C,0,0)</f>
        <v>38800</v>
      </c>
      <c r="CN155">
        <f t="shared" si="469"/>
        <v>6984</v>
      </c>
      <c r="CO155">
        <f t="shared" si="470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471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72"/>
        <v>200</v>
      </c>
      <c r="CV155">
        <f t="shared" si="473"/>
        <v>47240</v>
      </c>
      <c r="CW155">
        <f>_xlfn.XLOOKUP(B155,'[10]december-2025'!$A:$A,'[10]december-2025'!$C:$C,0,0)</f>
        <v>38800</v>
      </c>
      <c r="CX155">
        <f t="shared" si="474"/>
        <v>6984</v>
      </c>
      <c r="CY155">
        <f t="shared" si="475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47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77"/>
        <v>200</v>
      </c>
      <c r="DF155">
        <f t="shared" si="478"/>
        <v>47240</v>
      </c>
      <c r="DG155">
        <f>_xlfn.XLOOKUP(B155,'[11]january-2026'!$A:$A,'[11]january-2026'!$C:$C,0,0)</f>
        <v>38800</v>
      </c>
      <c r="DH155">
        <f t="shared" si="479"/>
        <v>6984</v>
      </c>
      <c r="DI155">
        <f t="shared" si="48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1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2"/>
        <v>200</v>
      </c>
      <c r="DP155">
        <f t="shared" si="483"/>
        <v>47240</v>
      </c>
      <c r="DQ155">
        <f>_xlfn.XLOOKUP(B155,'[12]february-2026'!$A:$A,'[12]february-2026'!$C:$C,0,0)</f>
        <v>38800</v>
      </c>
      <c r="DR155">
        <f t="shared" si="484"/>
        <v>6984</v>
      </c>
      <c r="DS155">
        <f t="shared" si="485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6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7"/>
        <v>200</v>
      </c>
      <c r="DZ155">
        <f t="shared" si="488"/>
        <v>47240</v>
      </c>
      <c r="EA155">
        <f t="shared" si="489"/>
        <v>604852</v>
      </c>
      <c r="EB155">
        <f t="shared" si="490"/>
        <v>2400</v>
      </c>
      <c r="EC155">
        <f t="shared" si="491"/>
        <v>50000</v>
      </c>
      <c r="ED155">
        <v>0</v>
      </c>
      <c r="EE155">
        <f t="shared" si="492"/>
        <v>552452</v>
      </c>
      <c r="EF155">
        <f t="shared" si="493"/>
        <v>36000</v>
      </c>
      <c r="EG155">
        <f t="shared" si="494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5"/>
        <v>36000</v>
      </c>
      <c r="ES155">
        <f t="shared" si="496"/>
        <v>36000</v>
      </c>
      <c r="ET155">
        <f t="shared" si="497"/>
        <v>516452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8"/>
        <v>0</v>
      </c>
      <c r="FC155">
        <f t="shared" si="499"/>
        <v>516452</v>
      </c>
      <c r="FD155">
        <f t="shared" si="500"/>
        <v>12500</v>
      </c>
      <c r="FE155">
        <f t="shared" si="501"/>
        <v>3290</v>
      </c>
      <c r="FF155">
        <f t="shared" si="502"/>
        <v>15790</v>
      </c>
      <c r="FG155">
        <f t="shared" si="503"/>
        <v>15790</v>
      </c>
      <c r="FH155">
        <f t="shared" si="504"/>
        <v>631.6</v>
      </c>
      <c r="FI155">
        <f t="shared" si="505"/>
        <v>16422</v>
      </c>
      <c r="FJ155">
        <v>0</v>
      </c>
      <c r="FK155">
        <f t="shared" si="506"/>
        <v>16422</v>
      </c>
      <c r="FL155" t="b">
        <f t="shared" si="507"/>
        <v>1</v>
      </c>
      <c r="FM155">
        <f t="shared" ca="1" si="508"/>
        <v>574</v>
      </c>
      <c r="FN155">
        <f t="shared" ca="1" si="509"/>
        <v>605426</v>
      </c>
      <c r="FO155">
        <f t="shared" si="510"/>
        <v>75000</v>
      </c>
      <c r="FP155">
        <f t="shared" ca="1" si="511"/>
        <v>530426</v>
      </c>
      <c r="FQ155">
        <f t="shared" ca="1" si="512"/>
        <v>0</v>
      </c>
      <c r="FR155">
        <f t="shared" ca="1" si="513"/>
        <v>0</v>
      </c>
      <c r="FS155">
        <f t="shared" ca="1" si="514"/>
        <v>0</v>
      </c>
      <c r="FT155">
        <f t="shared" ca="1" si="515"/>
        <v>0</v>
      </c>
      <c r="FU155">
        <f t="shared" ca="1" si="516"/>
        <v>0</v>
      </c>
      <c r="FV155">
        <f t="shared" ca="1" si="517"/>
        <v>0</v>
      </c>
      <c r="FW155">
        <f t="shared" ca="1" si="518"/>
        <v>0</v>
      </c>
      <c r="FX155">
        <f t="shared" ca="1" si="519"/>
        <v>0</v>
      </c>
      <c r="FY155">
        <f t="shared" ca="1" si="520"/>
        <v>0</v>
      </c>
      <c r="FZ155">
        <f t="shared" ca="1" si="521"/>
        <v>0</v>
      </c>
      <c r="GA155">
        <f t="shared" ca="1" si="522"/>
        <v>130426</v>
      </c>
      <c r="GB155">
        <f t="shared" ca="1" si="523"/>
        <v>6521.3</v>
      </c>
      <c r="GC155">
        <f t="shared" ca="1" si="524"/>
        <v>6521</v>
      </c>
      <c r="GD155">
        <f t="shared" ca="1" si="525"/>
        <v>0</v>
      </c>
      <c r="GE155">
        <f t="shared" ca="1" si="526"/>
        <v>0</v>
      </c>
      <c r="GF155">
        <f t="shared" ca="1" si="527"/>
        <v>6521</v>
      </c>
      <c r="GG155">
        <f t="shared" ca="1" si="528"/>
        <v>0</v>
      </c>
      <c r="GH155" t="b">
        <f t="shared" ca="1" si="529"/>
        <v>0</v>
      </c>
      <c r="GI155">
        <f t="shared" ca="1" si="530"/>
        <v>0</v>
      </c>
      <c r="GJ155">
        <f t="shared" ca="1" si="531"/>
        <v>6521</v>
      </c>
      <c r="GK155">
        <f t="shared" ca="1" si="532"/>
        <v>0</v>
      </c>
      <c r="GL155">
        <f t="shared" ca="1" si="533"/>
        <v>0</v>
      </c>
      <c r="GM155">
        <f t="shared" ca="1" si="534"/>
        <v>0</v>
      </c>
    </row>
    <row r="156" spans="1:195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536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30"/>
        <v>4690</v>
      </c>
      <c r="L156">
        <f t="shared" si="431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432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535"/>
        <v>200</v>
      </c>
      <c r="S156">
        <f t="shared" si="433"/>
        <v>39510</v>
      </c>
      <c r="T156">
        <f>_xlfn.XLOOKUP(B156,'[2]april-2025'!$A:$A,'[2]april-2025'!$C:$C,0,0)</f>
        <v>33500</v>
      </c>
      <c r="U156">
        <f t="shared" si="434"/>
        <v>6030</v>
      </c>
      <c r="V156">
        <f t="shared" si="43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3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37"/>
        <v>200</v>
      </c>
      <c r="AC156">
        <f t="shared" si="438"/>
        <v>40850</v>
      </c>
      <c r="AD156">
        <f>_xlfn.XLOOKUP(B156,'[3]may-2025'!$A:$A,'[3]may-2025'!$C:$C,0,0)</f>
        <v>33500</v>
      </c>
      <c r="AE156">
        <f t="shared" si="439"/>
        <v>6030</v>
      </c>
      <c r="AF156">
        <f t="shared" si="440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41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42"/>
        <v>200</v>
      </c>
      <c r="AM156">
        <f t="shared" si="443"/>
        <v>40850</v>
      </c>
      <c r="AN156">
        <f>_xlfn.XLOOKUP(B156,'[4]june-2025'!$A:$A,'[4]june-2025'!$C:$C,0,0)</f>
        <v>33500</v>
      </c>
      <c r="AO156">
        <f t="shared" si="444"/>
        <v>6030</v>
      </c>
      <c r="AP156">
        <f t="shared" si="445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46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47"/>
        <v>200</v>
      </c>
      <c r="AW156">
        <f t="shared" si="448"/>
        <v>40850</v>
      </c>
      <c r="AX156">
        <f>_xlfn.XLOOKUP(B156,'[5]july-2025'!$A:$A,'[5]july-2025'!$C:$C,0,0)</f>
        <v>34500</v>
      </c>
      <c r="AY156">
        <f t="shared" si="449"/>
        <v>6210</v>
      </c>
      <c r="AZ156">
        <v>0</v>
      </c>
      <c r="BA156">
        <f t="shared" si="450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451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52"/>
        <v>200</v>
      </c>
      <c r="BH156">
        <f t="shared" si="453"/>
        <v>42150</v>
      </c>
      <c r="BI156">
        <f>_xlfn.XLOOKUP(B156,'[6]august-2025'!$A:$A,'[6]august-2025'!$C:$C,0,0)</f>
        <v>34500</v>
      </c>
      <c r="BJ156">
        <f t="shared" si="454"/>
        <v>6210</v>
      </c>
      <c r="BK156">
        <f t="shared" si="455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56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457"/>
        <v>200</v>
      </c>
      <c r="BR156">
        <f t="shared" si="458"/>
        <v>42150</v>
      </c>
      <c r="BS156">
        <f>_xlfn.XLOOKUP(B156,'[7]september-2025'!$A:$A,'[7]september-2025'!$C:$C,0,0)</f>
        <v>34500</v>
      </c>
      <c r="BT156">
        <f t="shared" si="459"/>
        <v>6210</v>
      </c>
      <c r="BU156">
        <f t="shared" si="460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461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62"/>
        <v>200</v>
      </c>
      <c r="CB156">
        <f t="shared" si="463"/>
        <v>42150</v>
      </c>
      <c r="CC156">
        <f>_xlfn.XLOOKUP(B156,'[8]october-2025'!$A:$A,'[8]october-2025'!$C:$C,0,0)</f>
        <v>34500</v>
      </c>
      <c r="CD156">
        <f t="shared" si="464"/>
        <v>6210</v>
      </c>
      <c r="CE156">
        <f t="shared" si="465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466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67"/>
        <v>200</v>
      </c>
      <c r="CL156">
        <f t="shared" si="468"/>
        <v>42150</v>
      </c>
      <c r="CM156">
        <f>_xlfn.XLOOKUP(B156,'[9]november-2025'!$A:$A,'[9]november-2025'!$C:$C,0,0)</f>
        <v>34500</v>
      </c>
      <c r="CN156">
        <f t="shared" si="469"/>
        <v>6210</v>
      </c>
      <c r="CO156">
        <f t="shared" si="470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471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72"/>
        <v>200</v>
      </c>
      <c r="CV156">
        <f t="shared" si="473"/>
        <v>42150</v>
      </c>
      <c r="CW156">
        <f>_xlfn.XLOOKUP(B156,'[10]december-2025'!$A:$A,'[10]december-2025'!$C:$C,0,0)</f>
        <v>34500</v>
      </c>
      <c r="CX156">
        <f t="shared" si="474"/>
        <v>6210</v>
      </c>
      <c r="CY156">
        <f t="shared" si="475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47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77"/>
        <v>200</v>
      </c>
      <c r="DF156">
        <f t="shared" si="478"/>
        <v>42150</v>
      </c>
      <c r="DG156">
        <f>_xlfn.XLOOKUP(B156,'[11]january-2026'!$A:$A,'[11]january-2026'!$C:$C,0,0)</f>
        <v>34500</v>
      </c>
      <c r="DH156">
        <f t="shared" si="479"/>
        <v>6210</v>
      </c>
      <c r="DI156">
        <f t="shared" si="48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1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2"/>
        <v>200</v>
      </c>
      <c r="DP156">
        <f t="shared" si="483"/>
        <v>42150</v>
      </c>
      <c r="DQ156">
        <f>_xlfn.XLOOKUP(B156,'[12]february-2026'!$A:$A,'[12]february-2026'!$C:$C,0,0)</f>
        <v>34500</v>
      </c>
      <c r="DR156">
        <f t="shared" si="484"/>
        <v>6210</v>
      </c>
      <c r="DS156">
        <f t="shared" si="485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6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7"/>
        <v>200</v>
      </c>
      <c r="DZ156">
        <f t="shared" si="488"/>
        <v>42150</v>
      </c>
      <c r="EA156">
        <f t="shared" si="489"/>
        <v>544460</v>
      </c>
      <c r="EB156">
        <f t="shared" si="490"/>
        <v>2400</v>
      </c>
      <c r="EC156">
        <f t="shared" si="491"/>
        <v>50000</v>
      </c>
      <c r="ED156">
        <v>0</v>
      </c>
      <c r="EE156">
        <f t="shared" si="492"/>
        <v>492060</v>
      </c>
      <c r="EF156">
        <f t="shared" si="493"/>
        <v>36000</v>
      </c>
      <c r="EG156">
        <f t="shared" si="494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5"/>
        <v>36000</v>
      </c>
      <c r="ES156">
        <f t="shared" si="496"/>
        <v>36000</v>
      </c>
      <c r="ET156">
        <f t="shared" si="497"/>
        <v>456060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8"/>
        <v>0</v>
      </c>
      <c r="FC156">
        <f t="shared" si="499"/>
        <v>456060</v>
      </c>
      <c r="FD156">
        <f t="shared" si="500"/>
        <v>10303</v>
      </c>
      <c r="FE156">
        <f t="shared" si="501"/>
        <v>0</v>
      </c>
      <c r="FF156">
        <f t="shared" si="502"/>
        <v>10303</v>
      </c>
      <c r="FG156">
        <f t="shared" si="503"/>
        <v>0</v>
      </c>
      <c r="FH156">
        <f t="shared" si="504"/>
        <v>0</v>
      </c>
      <c r="FI156">
        <f t="shared" si="505"/>
        <v>0</v>
      </c>
      <c r="FJ156">
        <v>0</v>
      </c>
      <c r="FK156">
        <f t="shared" si="506"/>
        <v>0</v>
      </c>
      <c r="FL156" t="b">
        <f t="shared" si="507"/>
        <v>1</v>
      </c>
      <c r="FM156">
        <f t="shared" ca="1" si="508"/>
        <v>843</v>
      </c>
      <c r="FN156">
        <f t="shared" ca="1" si="509"/>
        <v>545303</v>
      </c>
      <c r="FO156">
        <f t="shared" si="510"/>
        <v>75000</v>
      </c>
      <c r="FP156">
        <f t="shared" ca="1" si="511"/>
        <v>470303</v>
      </c>
      <c r="FQ156">
        <f t="shared" ca="1" si="512"/>
        <v>0</v>
      </c>
      <c r="FR156">
        <f t="shared" ca="1" si="513"/>
        <v>0</v>
      </c>
      <c r="FS156">
        <f t="shared" ca="1" si="514"/>
        <v>0</v>
      </c>
      <c r="FT156">
        <f t="shared" ca="1" si="515"/>
        <v>0</v>
      </c>
      <c r="FU156">
        <f t="shared" ca="1" si="516"/>
        <v>0</v>
      </c>
      <c r="FV156">
        <f t="shared" ca="1" si="517"/>
        <v>0</v>
      </c>
      <c r="FW156">
        <f t="shared" ca="1" si="518"/>
        <v>0</v>
      </c>
      <c r="FX156">
        <f t="shared" ca="1" si="519"/>
        <v>0</v>
      </c>
      <c r="FY156">
        <f t="shared" ca="1" si="520"/>
        <v>0</v>
      </c>
      <c r="FZ156">
        <f t="shared" ca="1" si="521"/>
        <v>0</v>
      </c>
      <c r="GA156">
        <f t="shared" ca="1" si="522"/>
        <v>70303</v>
      </c>
      <c r="GB156">
        <f t="shared" ca="1" si="523"/>
        <v>3515.15</v>
      </c>
      <c r="GC156">
        <f t="shared" ca="1" si="524"/>
        <v>3515</v>
      </c>
      <c r="GD156">
        <f t="shared" ca="1" si="525"/>
        <v>0</v>
      </c>
      <c r="GE156">
        <f t="shared" ca="1" si="526"/>
        <v>0</v>
      </c>
      <c r="GF156">
        <f t="shared" ca="1" si="527"/>
        <v>3515</v>
      </c>
      <c r="GG156">
        <f t="shared" ca="1" si="528"/>
        <v>0</v>
      </c>
      <c r="GH156" t="b">
        <f t="shared" ca="1" si="529"/>
        <v>0</v>
      </c>
      <c r="GI156">
        <f t="shared" ca="1" si="530"/>
        <v>0</v>
      </c>
      <c r="GJ156">
        <f t="shared" ca="1" si="531"/>
        <v>3515</v>
      </c>
      <c r="GK156">
        <f t="shared" ca="1" si="532"/>
        <v>0</v>
      </c>
      <c r="GL156">
        <f t="shared" ca="1" si="533"/>
        <v>0</v>
      </c>
      <c r="GM156">
        <f t="shared" ca="1" si="534"/>
        <v>0</v>
      </c>
    </row>
    <row r="157" spans="1:195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536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30"/>
        <v>6622.0000000000009</v>
      </c>
      <c r="L157">
        <f t="shared" si="431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432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535"/>
        <v>200</v>
      </c>
      <c r="S157">
        <f t="shared" si="433"/>
        <v>52238</v>
      </c>
      <c r="T157">
        <f>_xlfn.XLOOKUP(B157,'[2]april-2025'!$A:$A,'[2]april-2025'!$C:$C,0,0)</f>
        <v>47300</v>
      </c>
      <c r="U157">
        <f t="shared" si="434"/>
        <v>8514</v>
      </c>
      <c r="V157">
        <f t="shared" si="43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3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37"/>
        <v>200</v>
      </c>
      <c r="AC157">
        <f t="shared" si="438"/>
        <v>54130</v>
      </c>
      <c r="AD157">
        <f>_xlfn.XLOOKUP(B157,'[3]may-2025'!$A:$A,'[3]may-2025'!$C:$C,0,0)</f>
        <v>47300</v>
      </c>
      <c r="AE157">
        <f t="shared" si="439"/>
        <v>8514</v>
      </c>
      <c r="AF157">
        <f t="shared" si="440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41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42"/>
        <v>200</v>
      </c>
      <c r="AM157">
        <f t="shared" si="443"/>
        <v>54130</v>
      </c>
      <c r="AN157">
        <f>_xlfn.XLOOKUP(B157,'[4]june-2025'!$A:$A,'[4]june-2025'!$C:$C,0,0)</f>
        <v>47300</v>
      </c>
      <c r="AO157">
        <f t="shared" si="444"/>
        <v>8514</v>
      </c>
      <c r="AP157">
        <f t="shared" si="445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46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47"/>
        <v>200</v>
      </c>
      <c r="AW157">
        <f t="shared" si="448"/>
        <v>54130</v>
      </c>
      <c r="AX157">
        <f>_xlfn.XLOOKUP(B157,'[5]july-2025'!$A:$A,'[5]july-2025'!$C:$C,0,0)</f>
        <v>48700</v>
      </c>
      <c r="AY157">
        <f t="shared" si="449"/>
        <v>8766</v>
      </c>
      <c r="AZ157">
        <v>0</v>
      </c>
      <c r="BA157">
        <f t="shared" si="450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451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52"/>
        <v>200</v>
      </c>
      <c r="BH157">
        <f t="shared" si="453"/>
        <v>55950</v>
      </c>
      <c r="BI157">
        <f>_xlfn.XLOOKUP(B157,'[6]august-2025'!$A:$A,'[6]august-2025'!$C:$C,0,0)</f>
        <v>48700</v>
      </c>
      <c r="BJ157">
        <f t="shared" si="454"/>
        <v>8766</v>
      </c>
      <c r="BK157">
        <f t="shared" si="455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56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457"/>
        <v>200</v>
      </c>
      <c r="BR157">
        <f t="shared" si="458"/>
        <v>55950</v>
      </c>
      <c r="BS157">
        <f>_xlfn.XLOOKUP(B157,'[7]september-2025'!$A:$A,'[7]september-2025'!$C:$C,0,0)</f>
        <v>48700</v>
      </c>
      <c r="BT157">
        <f t="shared" si="459"/>
        <v>8766</v>
      </c>
      <c r="BU157">
        <f t="shared" si="460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461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62"/>
        <v>200</v>
      </c>
      <c r="CB157">
        <f t="shared" si="463"/>
        <v>55950</v>
      </c>
      <c r="CC157">
        <f>_xlfn.XLOOKUP(B157,'[8]october-2025'!$A:$A,'[8]october-2025'!$C:$C,0,0)</f>
        <v>48700</v>
      </c>
      <c r="CD157">
        <f t="shared" si="464"/>
        <v>8766</v>
      </c>
      <c r="CE157">
        <f t="shared" si="465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466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67"/>
        <v>200</v>
      </c>
      <c r="CL157">
        <f t="shared" si="468"/>
        <v>55950</v>
      </c>
      <c r="CM157">
        <f>_xlfn.XLOOKUP(B157,'[9]november-2025'!$A:$A,'[9]november-2025'!$C:$C,0,0)</f>
        <v>48700</v>
      </c>
      <c r="CN157">
        <f t="shared" si="469"/>
        <v>8766</v>
      </c>
      <c r="CO157">
        <f t="shared" si="470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471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72"/>
        <v>200</v>
      </c>
      <c r="CV157">
        <f t="shared" si="473"/>
        <v>55950</v>
      </c>
      <c r="CW157">
        <f>_xlfn.XLOOKUP(B157,'[10]december-2025'!$A:$A,'[10]december-2025'!$C:$C,0,0)</f>
        <v>48700</v>
      </c>
      <c r="CX157">
        <f t="shared" si="474"/>
        <v>8766</v>
      </c>
      <c r="CY157">
        <f t="shared" si="475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47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77"/>
        <v>200</v>
      </c>
      <c r="DF157">
        <f t="shared" si="478"/>
        <v>55950</v>
      </c>
      <c r="DG157">
        <f>_xlfn.XLOOKUP(B157,'[11]january-2026'!$A:$A,'[11]january-2026'!$C:$C,0,0)</f>
        <v>48700</v>
      </c>
      <c r="DH157">
        <f t="shared" si="479"/>
        <v>8766</v>
      </c>
      <c r="DI157">
        <f t="shared" si="48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1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2"/>
        <v>200</v>
      </c>
      <c r="DP157">
        <f t="shared" si="483"/>
        <v>55950</v>
      </c>
      <c r="DQ157">
        <f>_xlfn.XLOOKUP(B157,'[12]february-2026'!$A:$A,'[12]february-2026'!$C:$C,0,0)</f>
        <v>48700</v>
      </c>
      <c r="DR157">
        <f t="shared" si="484"/>
        <v>8766</v>
      </c>
      <c r="DS157">
        <f t="shared" si="485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6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7"/>
        <v>200</v>
      </c>
      <c r="DZ157">
        <f t="shared" si="488"/>
        <v>55950</v>
      </c>
      <c r="EA157">
        <f t="shared" si="489"/>
        <v>768148</v>
      </c>
      <c r="EB157">
        <f t="shared" si="490"/>
        <v>2400</v>
      </c>
      <c r="EC157">
        <f t="shared" si="491"/>
        <v>50000</v>
      </c>
      <c r="ED157">
        <v>0</v>
      </c>
      <c r="EE157">
        <f t="shared" si="492"/>
        <v>715748</v>
      </c>
      <c r="EF157">
        <f t="shared" si="493"/>
        <v>96000</v>
      </c>
      <c r="EG157">
        <f t="shared" si="494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5"/>
        <v>96720</v>
      </c>
      <c r="ES157">
        <f t="shared" si="496"/>
        <v>96720</v>
      </c>
      <c r="ET157">
        <f t="shared" si="497"/>
        <v>619028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8"/>
        <v>0</v>
      </c>
      <c r="FC157">
        <f t="shared" si="499"/>
        <v>619028</v>
      </c>
      <c r="FD157">
        <f t="shared" si="500"/>
        <v>12500</v>
      </c>
      <c r="FE157">
        <f t="shared" si="501"/>
        <v>23806</v>
      </c>
      <c r="FF157">
        <f t="shared" si="502"/>
        <v>36306</v>
      </c>
      <c r="FG157">
        <f t="shared" si="503"/>
        <v>36306</v>
      </c>
      <c r="FH157">
        <f t="shared" si="504"/>
        <v>1452.24</v>
      </c>
      <c r="FI157">
        <f t="shared" si="505"/>
        <v>37758</v>
      </c>
      <c r="FJ157">
        <v>0</v>
      </c>
      <c r="FK157">
        <f t="shared" si="506"/>
        <v>37758</v>
      </c>
      <c r="FL157" t="b">
        <f t="shared" si="507"/>
        <v>1</v>
      </c>
      <c r="FM157">
        <f t="shared" ca="1" si="508"/>
        <v>681</v>
      </c>
      <c r="FN157">
        <f t="shared" ca="1" si="509"/>
        <v>768829</v>
      </c>
      <c r="FO157">
        <f t="shared" si="510"/>
        <v>75000</v>
      </c>
      <c r="FP157">
        <f t="shared" ca="1" si="511"/>
        <v>693829</v>
      </c>
      <c r="FQ157">
        <f t="shared" ca="1" si="512"/>
        <v>0</v>
      </c>
      <c r="FR157">
        <f t="shared" ca="1" si="513"/>
        <v>0</v>
      </c>
      <c r="FS157">
        <f t="shared" ca="1" si="514"/>
        <v>0</v>
      </c>
      <c r="FT157">
        <f t="shared" ca="1" si="515"/>
        <v>0</v>
      </c>
      <c r="FU157">
        <f t="shared" ca="1" si="516"/>
        <v>0</v>
      </c>
      <c r="FV157">
        <f t="shared" ca="1" si="517"/>
        <v>0</v>
      </c>
      <c r="FW157">
        <f t="shared" ca="1" si="518"/>
        <v>0</v>
      </c>
      <c r="FX157">
        <f t="shared" ca="1" si="519"/>
        <v>0</v>
      </c>
      <c r="FY157">
        <f t="shared" ca="1" si="520"/>
        <v>0</v>
      </c>
      <c r="FZ157">
        <f t="shared" ca="1" si="521"/>
        <v>0</v>
      </c>
      <c r="GA157">
        <f t="shared" ca="1" si="522"/>
        <v>293829</v>
      </c>
      <c r="GB157">
        <f t="shared" ca="1" si="523"/>
        <v>14691.45</v>
      </c>
      <c r="GC157">
        <f t="shared" ca="1" si="524"/>
        <v>14691</v>
      </c>
      <c r="GD157">
        <f t="shared" ca="1" si="525"/>
        <v>0</v>
      </c>
      <c r="GE157">
        <f t="shared" ca="1" si="526"/>
        <v>0</v>
      </c>
      <c r="GF157">
        <f t="shared" ca="1" si="527"/>
        <v>14691</v>
      </c>
      <c r="GG157">
        <f t="shared" ca="1" si="528"/>
        <v>0</v>
      </c>
      <c r="GH157" t="b">
        <f t="shared" ca="1" si="529"/>
        <v>0</v>
      </c>
      <c r="GI157">
        <f t="shared" ca="1" si="530"/>
        <v>0</v>
      </c>
      <c r="GJ157">
        <f t="shared" ca="1" si="531"/>
        <v>14691</v>
      </c>
      <c r="GK157">
        <f t="shared" ca="1" si="532"/>
        <v>0</v>
      </c>
      <c r="GL157">
        <f t="shared" ca="1" si="533"/>
        <v>0</v>
      </c>
      <c r="GM157">
        <f t="shared" ca="1" si="534"/>
        <v>0</v>
      </c>
    </row>
    <row r="158" spans="1:195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536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30"/>
        <v>4830.0000000000009</v>
      </c>
      <c r="L158">
        <f t="shared" si="431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432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535"/>
        <v>200</v>
      </c>
      <c r="S158">
        <f t="shared" si="433"/>
        <v>38770</v>
      </c>
      <c r="T158">
        <f>_xlfn.XLOOKUP(B158,'[2]april-2025'!$A:$A,'[2]april-2025'!$C:$C,0,0)</f>
        <v>34500</v>
      </c>
      <c r="U158">
        <f t="shared" si="434"/>
        <v>6210</v>
      </c>
      <c r="V158">
        <f t="shared" si="43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3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37"/>
        <v>200</v>
      </c>
      <c r="AC158">
        <f t="shared" si="438"/>
        <v>40150</v>
      </c>
      <c r="AD158">
        <f>_xlfn.XLOOKUP(B158,'[3]may-2025'!$A:$A,'[3]may-2025'!$C:$C,0,0)</f>
        <v>34500</v>
      </c>
      <c r="AE158">
        <f t="shared" si="439"/>
        <v>6210</v>
      </c>
      <c r="AF158">
        <f t="shared" si="440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41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42"/>
        <v>200</v>
      </c>
      <c r="AM158">
        <f t="shared" si="443"/>
        <v>40150</v>
      </c>
      <c r="AN158">
        <f>_xlfn.XLOOKUP(B158,'[4]june-2025'!$A:$A,'[4]june-2025'!$C:$C,0,0)</f>
        <v>34500</v>
      </c>
      <c r="AO158">
        <f t="shared" si="444"/>
        <v>6210</v>
      </c>
      <c r="AP158">
        <f t="shared" si="445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46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47"/>
        <v>200</v>
      </c>
      <c r="AW158">
        <f t="shared" si="448"/>
        <v>40150</v>
      </c>
      <c r="AX158">
        <f>_xlfn.XLOOKUP(B158,'[5]july-2025'!$A:$A,'[5]july-2025'!$C:$C,0,0)</f>
        <v>35500</v>
      </c>
      <c r="AY158">
        <f t="shared" si="449"/>
        <v>6390</v>
      </c>
      <c r="AZ158">
        <v>0</v>
      </c>
      <c r="BA158">
        <f t="shared" si="450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451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52"/>
        <v>200</v>
      </c>
      <c r="BH158">
        <f t="shared" si="453"/>
        <v>41450</v>
      </c>
      <c r="BI158">
        <f>_xlfn.XLOOKUP(B158,'[6]august-2025'!$A:$A,'[6]august-2025'!$C:$C,0,0)</f>
        <v>35500</v>
      </c>
      <c r="BJ158">
        <f t="shared" si="454"/>
        <v>6390</v>
      </c>
      <c r="BK158">
        <f t="shared" si="455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56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457"/>
        <v>200</v>
      </c>
      <c r="BR158">
        <f t="shared" si="458"/>
        <v>41450</v>
      </c>
      <c r="BS158">
        <f>_xlfn.XLOOKUP(B158,'[7]september-2025'!$A:$A,'[7]september-2025'!$C:$C,0,0)</f>
        <v>35500</v>
      </c>
      <c r="BT158">
        <f t="shared" si="459"/>
        <v>6390</v>
      </c>
      <c r="BU158">
        <f t="shared" si="460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461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62"/>
        <v>200</v>
      </c>
      <c r="CB158">
        <f t="shared" si="463"/>
        <v>41450</v>
      </c>
      <c r="CC158">
        <f>_xlfn.XLOOKUP(B158,'[8]october-2025'!$A:$A,'[8]october-2025'!$C:$C,0,0)</f>
        <v>35500</v>
      </c>
      <c r="CD158">
        <f t="shared" si="464"/>
        <v>6390</v>
      </c>
      <c r="CE158">
        <f t="shared" si="465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466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67"/>
        <v>200</v>
      </c>
      <c r="CL158">
        <f t="shared" si="468"/>
        <v>41450</v>
      </c>
      <c r="CM158">
        <f>_xlfn.XLOOKUP(B158,'[9]november-2025'!$A:$A,'[9]november-2025'!$C:$C,0,0)</f>
        <v>35500</v>
      </c>
      <c r="CN158">
        <f t="shared" si="469"/>
        <v>6390</v>
      </c>
      <c r="CO158">
        <f t="shared" si="470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471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72"/>
        <v>200</v>
      </c>
      <c r="CV158">
        <f t="shared" si="473"/>
        <v>41450</v>
      </c>
      <c r="CW158">
        <f>_xlfn.XLOOKUP(B158,'[10]december-2025'!$A:$A,'[10]december-2025'!$C:$C,0,0)</f>
        <v>35500</v>
      </c>
      <c r="CX158">
        <f t="shared" si="474"/>
        <v>6390</v>
      </c>
      <c r="CY158">
        <f t="shared" si="475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47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77"/>
        <v>200</v>
      </c>
      <c r="DF158">
        <f t="shared" si="478"/>
        <v>41450</v>
      </c>
      <c r="DG158">
        <f>_xlfn.XLOOKUP(B158,'[11]january-2026'!$A:$A,'[11]january-2026'!$C:$C,0,0)</f>
        <v>35500</v>
      </c>
      <c r="DH158">
        <f t="shared" si="479"/>
        <v>6390</v>
      </c>
      <c r="DI158">
        <f t="shared" si="48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1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2"/>
        <v>200</v>
      </c>
      <c r="DP158">
        <f t="shared" si="483"/>
        <v>41450</v>
      </c>
      <c r="DQ158">
        <f>_xlfn.XLOOKUP(B158,'[12]february-2026'!$A:$A,'[12]february-2026'!$C:$C,0,0)</f>
        <v>35500</v>
      </c>
      <c r="DR158">
        <f t="shared" si="484"/>
        <v>6390</v>
      </c>
      <c r="DS158">
        <f t="shared" si="485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6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7"/>
        <v>200</v>
      </c>
      <c r="DZ158">
        <f t="shared" si="488"/>
        <v>41450</v>
      </c>
      <c r="EA158">
        <f t="shared" si="489"/>
        <v>560020</v>
      </c>
      <c r="EB158">
        <f t="shared" si="490"/>
        <v>2400</v>
      </c>
      <c r="EC158">
        <f t="shared" si="491"/>
        <v>50000</v>
      </c>
      <c r="ED158">
        <v>0</v>
      </c>
      <c r="EE158">
        <f t="shared" si="492"/>
        <v>507620</v>
      </c>
      <c r="EF158">
        <f t="shared" si="493"/>
        <v>60000</v>
      </c>
      <c r="EG158">
        <f t="shared" si="494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5"/>
        <v>60000</v>
      </c>
      <c r="ES158">
        <f t="shared" si="496"/>
        <v>60000</v>
      </c>
      <c r="ET158">
        <f t="shared" si="497"/>
        <v>447620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8"/>
        <v>0</v>
      </c>
      <c r="FC158">
        <f t="shared" si="499"/>
        <v>447620</v>
      </c>
      <c r="FD158">
        <f t="shared" si="500"/>
        <v>9881</v>
      </c>
      <c r="FE158">
        <f t="shared" si="501"/>
        <v>0</v>
      </c>
      <c r="FF158">
        <f t="shared" si="502"/>
        <v>9881</v>
      </c>
      <c r="FG158">
        <f t="shared" si="503"/>
        <v>0</v>
      </c>
      <c r="FH158">
        <f t="shared" si="504"/>
        <v>0</v>
      </c>
      <c r="FI158">
        <f t="shared" si="505"/>
        <v>0</v>
      </c>
      <c r="FJ158">
        <v>0</v>
      </c>
      <c r="FK158">
        <f t="shared" si="506"/>
        <v>0</v>
      </c>
      <c r="FL158" t="b">
        <f t="shared" si="507"/>
        <v>1</v>
      </c>
      <c r="FM158">
        <f t="shared" ca="1" si="508"/>
        <v>659</v>
      </c>
      <c r="FN158">
        <f t="shared" ca="1" si="509"/>
        <v>560679</v>
      </c>
      <c r="FO158">
        <f t="shared" si="510"/>
        <v>75000</v>
      </c>
      <c r="FP158">
        <f t="shared" ca="1" si="511"/>
        <v>485679</v>
      </c>
      <c r="FQ158">
        <f t="shared" ca="1" si="512"/>
        <v>0</v>
      </c>
      <c r="FR158">
        <f t="shared" ca="1" si="513"/>
        <v>0</v>
      </c>
      <c r="FS158">
        <f t="shared" ca="1" si="514"/>
        <v>0</v>
      </c>
      <c r="FT158">
        <f t="shared" ca="1" si="515"/>
        <v>0</v>
      </c>
      <c r="FU158">
        <f t="shared" ca="1" si="516"/>
        <v>0</v>
      </c>
      <c r="FV158">
        <f t="shared" ca="1" si="517"/>
        <v>0</v>
      </c>
      <c r="FW158">
        <f t="shared" ca="1" si="518"/>
        <v>0</v>
      </c>
      <c r="FX158">
        <f t="shared" ca="1" si="519"/>
        <v>0</v>
      </c>
      <c r="FY158">
        <f t="shared" ca="1" si="520"/>
        <v>0</v>
      </c>
      <c r="FZ158">
        <f t="shared" ca="1" si="521"/>
        <v>0</v>
      </c>
      <c r="GA158">
        <f t="shared" ca="1" si="522"/>
        <v>85679</v>
      </c>
      <c r="GB158">
        <f t="shared" ca="1" si="523"/>
        <v>4283.95</v>
      </c>
      <c r="GC158">
        <f t="shared" ca="1" si="524"/>
        <v>4284</v>
      </c>
      <c r="GD158">
        <f t="shared" ca="1" si="525"/>
        <v>0</v>
      </c>
      <c r="GE158">
        <f t="shared" ca="1" si="526"/>
        <v>0</v>
      </c>
      <c r="GF158">
        <f t="shared" ca="1" si="527"/>
        <v>4284</v>
      </c>
      <c r="GG158">
        <f t="shared" ca="1" si="528"/>
        <v>0</v>
      </c>
      <c r="GH158" t="b">
        <f t="shared" ca="1" si="529"/>
        <v>0</v>
      </c>
      <c r="GI158">
        <f t="shared" ca="1" si="530"/>
        <v>0</v>
      </c>
      <c r="GJ158">
        <f t="shared" ca="1" si="531"/>
        <v>4284</v>
      </c>
      <c r="GK158">
        <f t="shared" ca="1" si="532"/>
        <v>0</v>
      </c>
      <c r="GL158">
        <f t="shared" ca="1" si="533"/>
        <v>0</v>
      </c>
      <c r="GM158">
        <f t="shared" ca="1" si="534"/>
        <v>0</v>
      </c>
    </row>
    <row r="159" spans="1:195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536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30"/>
        <v>4830.0000000000009</v>
      </c>
      <c r="L159">
        <f t="shared" si="431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432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535"/>
        <v>200</v>
      </c>
      <c r="S159">
        <f t="shared" si="433"/>
        <v>37270</v>
      </c>
      <c r="T159">
        <f>_xlfn.XLOOKUP(B159,'[2]april-2025'!$A:$A,'[2]april-2025'!$C:$C,0,0)</f>
        <v>34500</v>
      </c>
      <c r="U159">
        <f t="shared" si="434"/>
        <v>6210</v>
      </c>
      <c r="V159">
        <f t="shared" si="43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3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37"/>
        <v>200</v>
      </c>
      <c r="AC159">
        <f t="shared" si="438"/>
        <v>38650</v>
      </c>
      <c r="AD159">
        <f>_xlfn.XLOOKUP(B159,'[3]may-2025'!$A:$A,'[3]may-2025'!$C:$C,0,0)</f>
        <v>34500</v>
      </c>
      <c r="AE159">
        <f t="shared" si="439"/>
        <v>6210</v>
      </c>
      <c r="AF159">
        <f t="shared" si="440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41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42"/>
        <v>200</v>
      </c>
      <c r="AM159">
        <f t="shared" si="443"/>
        <v>38650</v>
      </c>
      <c r="AN159">
        <f>_xlfn.XLOOKUP(B159,'[4]june-2025'!$A:$A,'[4]june-2025'!$C:$C,0,0)</f>
        <v>34500</v>
      </c>
      <c r="AO159">
        <f t="shared" si="444"/>
        <v>6210</v>
      </c>
      <c r="AP159">
        <f t="shared" si="445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46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47"/>
        <v>200</v>
      </c>
      <c r="AW159">
        <f t="shared" si="448"/>
        <v>38650</v>
      </c>
      <c r="AX159">
        <f>_xlfn.XLOOKUP(B159,'[5]july-2025'!$A:$A,'[5]july-2025'!$C:$C,0,0)</f>
        <v>35500</v>
      </c>
      <c r="AY159">
        <f t="shared" si="449"/>
        <v>6390</v>
      </c>
      <c r="AZ159">
        <v>0</v>
      </c>
      <c r="BA159">
        <f t="shared" si="450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451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52"/>
        <v>200</v>
      </c>
      <c r="BH159">
        <f t="shared" si="453"/>
        <v>39950</v>
      </c>
      <c r="BI159">
        <f>_xlfn.XLOOKUP(B159,'[6]august-2025'!$A:$A,'[6]august-2025'!$C:$C,0,0)</f>
        <v>35500</v>
      </c>
      <c r="BJ159">
        <f t="shared" si="454"/>
        <v>6390</v>
      </c>
      <c r="BK159">
        <f t="shared" si="455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56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457"/>
        <v>200</v>
      </c>
      <c r="BR159">
        <f t="shared" si="458"/>
        <v>39950</v>
      </c>
      <c r="BS159">
        <f>_xlfn.XLOOKUP(B159,'[7]september-2025'!$A:$A,'[7]september-2025'!$C:$C,0,0)</f>
        <v>35500</v>
      </c>
      <c r="BT159">
        <f t="shared" si="459"/>
        <v>6390</v>
      </c>
      <c r="BU159">
        <f t="shared" si="460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461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62"/>
        <v>200</v>
      </c>
      <c r="CB159">
        <f t="shared" si="463"/>
        <v>39950</v>
      </c>
      <c r="CC159">
        <f>_xlfn.XLOOKUP(B159,'[8]october-2025'!$A:$A,'[8]october-2025'!$C:$C,0,0)</f>
        <v>35500</v>
      </c>
      <c r="CD159">
        <f t="shared" si="464"/>
        <v>6390</v>
      </c>
      <c r="CE159">
        <f t="shared" si="465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466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67"/>
        <v>200</v>
      </c>
      <c r="CL159">
        <f t="shared" si="468"/>
        <v>39950</v>
      </c>
      <c r="CM159">
        <f>_xlfn.XLOOKUP(B159,'[9]november-2025'!$A:$A,'[9]november-2025'!$C:$C,0,0)</f>
        <v>35500</v>
      </c>
      <c r="CN159">
        <f t="shared" si="469"/>
        <v>6390</v>
      </c>
      <c r="CO159">
        <f t="shared" si="470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471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72"/>
        <v>200</v>
      </c>
      <c r="CV159">
        <f t="shared" si="473"/>
        <v>39950</v>
      </c>
      <c r="CW159">
        <f>_xlfn.XLOOKUP(B159,'[10]december-2025'!$A:$A,'[10]december-2025'!$C:$C,0,0)</f>
        <v>35500</v>
      </c>
      <c r="CX159">
        <f t="shared" si="474"/>
        <v>6390</v>
      </c>
      <c r="CY159">
        <f t="shared" si="475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47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77"/>
        <v>200</v>
      </c>
      <c r="DF159">
        <f t="shared" si="478"/>
        <v>39950</v>
      </c>
      <c r="DG159">
        <f>_xlfn.XLOOKUP(B159,'[11]january-2026'!$A:$A,'[11]january-2026'!$C:$C,0,0)</f>
        <v>35500</v>
      </c>
      <c r="DH159">
        <f t="shared" si="479"/>
        <v>6390</v>
      </c>
      <c r="DI159">
        <f t="shared" si="48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1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2"/>
        <v>200</v>
      </c>
      <c r="DP159">
        <f t="shared" si="483"/>
        <v>39950</v>
      </c>
      <c r="DQ159">
        <f>_xlfn.XLOOKUP(B159,'[12]february-2026'!$A:$A,'[12]february-2026'!$C:$C,0,0)</f>
        <v>35500</v>
      </c>
      <c r="DR159">
        <f t="shared" si="484"/>
        <v>6390</v>
      </c>
      <c r="DS159">
        <f t="shared" si="485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6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7"/>
        <v>200</v>
      </c>
      <c r="DZ159">
        <f t="shared" si="488"/>
        <v>39950</v>
      </c>
      <c r="EA159">
        <f t="shared" si="489"/>
        <v>554020</v>
      </c>
      <c r="EB159">
        <f t="shared" si="490"/>
        <v>2400</v>
      </c>
      <c r="EC159">
        <f t="shared" si="491"/>
        <v>50000</v>
      </c>
      <c r="ED159">
        <v>0</v>
      </c>
      <c r="EE159">
        <f t="shared" si="492"/>
        <v>501620</v>
      </c>
      <c r="EF159">
        <f t="shared" si="493"/>
        <v>72000</v>
      </c>
      <c r="EG159">
        <f t="shared" si="494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5"/>
        <v>72000</v>
      </c>
      <c r="ES159">
        <f t="shared" si="496"/>
        <v>72000</v>
      </c>
      <c r="ET159">
        <f t="shared" si="497"/>
        <v>429620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8"/>
        <v>0</v>
      </c>
      <c r="FC159">
        <f t="shared" si="499"/>
        <v>429620</v>
      </c>
      <c r="FD159">
        <f t="shared" si="500"/>
        <v>8981</v>
      </c>
      <c r="FE159">
        <f t="shared" si="501"/>
        <v>0</v>
      </c>
      <c r="FF159">
        <f t="shared" si="502"/>
        <v>8981</v>
      </c>
      <c r="FG159">
        <f t="shared" si="503"/>
        <v>0</v>
      </c>
      <c r="FH159">
        <f t="shared" si="504"/>
        <v>0</v>
      </c>
      <c r="FI159">
        <f t="shared" si="505"/>
        <v>0</v>
      </c>
      <c r="FJ159">
        <v>0</v>
      </c>
      <c r="FK159">
        <f t="shared" si="506"/>
        <v>0</v>
      </c>
      <c r="FL159" t="b">
        <f t="shared" si="507"/>
        <v>1</v>
      </c>
      <c r="FM159">
        <f t="shared" ca="1" si="508"/>
        <v>620</v>
      </c>
      <c r="FN159">
        <f t="shared" ca="1" si="509"/>
        <v>554640</v>
      </c>
      <c r="FO159">
        <f t="shared" si="510"/>
        <v>75000</v>
      </c>
      <c r="FP159">
        <f t="shared" ca="1" si="511"/>
        <v>479640</v>
      </c>
      <c r="FQ159">
        <f t="shared" ca="1" si="512"/>
        <v>0</v>
      </c>
      <c r="FR159">
        <f t="shared" ca="1" si="513"/>
        <v>0</v>
      </c>
      <c r="FS159">
        <f t="shared" ca="1" si="514"/>
        <v>0</v>
      </c>
      <c r="FT159">
        <f t="shared" ca="1" si="515"/>
        <v>0</v>
      </c>
      <c r="FU159">
        <f t="shared" ca="1" si="516"/>
        <v>0</v>
      </c>
      <c r="FV159">
        <f t="shared" ca="1" si="517"/>
        <v>0</v>
      </c>
      <c r="FW159">
        <f t="shared" ca="1" si="518"/>
        <v>0</v>
      </c>
      <c r="FX159">
        <f t="shared" ca="1" si="519"/>
        <v>0</v>
      </c>
      <c r="FY159">
        <f t="shared" ca="1" si="520"/>
        <v>0</v>
      </c>
      <c r="FZ159">
        <f t="shared" ca="1" si="521"/>
        <v>0</v>
      </c>
      <c r="GA159">
        <f t="shared" ca="1" si="522"/>
        <v>79640</v>
      </c>
      <c r="GB159">
        <f t="shared" ca="1" si="523"/>
        <v>3982</v>
      </c>
      <c r="GC159">
        <f t="shared" ca="1" si="524"/>
        <v>3982</v>
      </c>
      <c r="GD159">
        <f t="shared" ca="1" si="525"/>
        <v>0</v>
      </c>
      <c r="GE159">
        <f t="shared" ca="1" si="526"/>
        <v>0</v>
      </c>
      <c r="GF159">
        <f t="shared" ca="1" si="527"/>
        <v>3982</v>
      </c>
      <c r="GG159">
        <f t="shared" ca="1" si="528"/>
        <v>0</v>
      </c>
      <c r="GH159" t="b">
        <f t="shared" ca="1" si="529"/>
        <v>0</v>
      </c>
      <c r="GI159">
        <f t="shared" ca="1" si="530"/>
        <v>0</v>
      </c>
      <c r="GJ159">
        <f t="shared" ca="1" si="531"/>
        <v>3982</v>
      </c>
      <c r="GK159">
        <f t="shared" ca="1" si="532"/>
        <v>0</v>
      </c>
      <c r="GL159">
        <f t="shared" ca="1" si="533"/>
        <v>0</v>
      </c>
      <c r="GM159">
        <f t="shared" ca="1" si="534"/>
        <v>0</v>
      </c>
    </row>
    <row r="160" spans="1:195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536"/>
        <v>6800</v>
      </c>
      <c r="I160">
        <f>_xlfn.XLOOKUP(B160,'[1]march-2025'!$A:$A,'[1]march-2025'!$J:$J,0,0)</f>
        <v>61490</v>
      </c>
      <c r="J160">
        <f>_xlfn.XLOOKUP(B160,'[1]march-2025'!$A:$A,'[1]march-2025'!$C:$C,0,0)</f>
        <v>28900</v>
      </c>
      <c r="K160">
        <f t="shared" si="430"/>
        <v>4046.0000000000005</v>
      </c>
      <c r="L160">
        <f t="shared" si="431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432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535"/>
        <v>150</v>
      </c>
      <c r="S160">
        <f t="shared" si="433"/>
        <v>34764</v>
      </c>
      <c r="T160">
        <f>_xlfn.XLOOKUP(B160,'[2]april-2025'!$A:$A,'[2]april-2025'!$C:$C,0,0)</f>
        <v>28900</v>
      </c>
      <c r="U160">
        <f t="shared" si="434"/>
        <v>5202</v>
      </c>
      <c r="V160">
        <f t="shared" si="43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3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37"/>
        <v>150</v>
      </c>
      <c r="AC160">
        <f t="shared" si="438"/>
        <v>35920</v>
      </c>
      <c r="AD160">
        <f>_xlfn.XLOOKUP(B160,'[3]may-2025'!$A:$A,'[3]may-2025'!$C:$C,0,0)</f>
        <v>28900</v>
      </c>
      <c r="AE160">
        <f t="shared" si="439"/>
        <v>5202</v>
      </c>
      <c r="AF160">
        <f t="shared" si="440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41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42"/>
        <v>150</v>
      </c>
      <c r="AM160">
        <f t="shared" si="443"/>
        <v>35920</v>
      </c>
      <c r="AN160">
        <f>_xlfn.XLOOKUP(B160,'[4]june-2025'!$A:$A,'[4]june-2025'!$C:$C,0,0)</f>
        <v>28900</v>
      </c>
      <c r="AO160">
        <f t="shared" si="444"/>
        <v>5202</v>
      </c>
      <c r="AP160">
        <f t="shared" si="445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46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47"/>
        <v>150</v>
      </c>
      <c r="AW160">
        <f t="shared" si="448"/>
        <v>35920</v>
      </c>
      <c r="AX160">
        <f>_xlfn.XLOOKUP(B160,'[5]july-2025'!$A:$A,'[5]july-2025'!$C:$C,0,0)</f>
        <v>29800</v>
      </c>
      <c r="AY160">
        <f t="shared" si="449"/>
        <v>5364</v>
      </c>
      <c r="AZ160">
        <v>0</v>
      </c>
      <c r="BA160">
        <f t="shared" si="450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451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52"/>
        <v>150</v>
      </c>
      <c r="BH160">
        <f t="shared" si="453"/>
        <v>37090</v>
      </c>
      <c r="BI160">
        <f>_xlfn.XLOOKUP(B160,'[6]august-2025'!$A:$A,'[6]august-2025'!$C:$C,0,0)</f>
        <v>29800</v>
      </c>
      <c r="BJ160">
        <f t="shared" si="454"/>
        <v>5364</v>
      </c>
      <c r="BK160">
        <f t="shared" si="455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56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457"/>
        <v>150</v>
      </c>
      <c r="BR160">
        <f t="shared" si="458"/>
        <v>35090</v>
      </c>
      <c r="BS160">
        <f>_xlfn.XLOOKUP(B160,'[7]september-2025'!$A:$A,'[7]september-2025'!$C:$C,0,0)</f>
        <v>29800</v>
      </c>
      <c r="BT160">
        <f t="shared" si="459"/>
        <v>5364</v>
      </c>
      <c r="BU160">
        <f t="shared" si="460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461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62"/>
        <v>150</v>
      </c>
      <c r="CB160">
        <f t="shared" si="463"/>
        <v>35090</v>
      </c>
      <c r="CC160">
        <f>_xlfn.XLOOKUP(B160,'[8]october-2025'!$A:$A,'[8]october-2025'!$C:$C,0,0)</f>
        <v>29800</v>
      </c>
      <c r="CD160">
        <f t="shared" si="464"/>
        <v>5364</v>
      </c>
      <c r="CE160">
        <f t="shared" si="465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466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67"/>
        <v>150</v>
      </c>
      <c r="CL160">
        <f t="shared" si="468"/>
        <v>35090</v>
      </c>
      <c r="CM160">
        <f>_xlfn.XLOOKUP(B160,'[9]november-2025'!$A:$A,'[9]november-2025'!$C:$C,0,0)</f>
        <v>29800</v>
      </c>
      <c r="CN160">
        <f t="shared" si="469"/>
        <v>5364</v>
      </c>
      <c r="CO160">
        <f t="shared" si="470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471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72"/>
        <v>150</v>
      </c>
      <c r="CV160">
        <f t="shared" si="473"/>
        <v>35090</v>
      </c>
      <c r="CW160">
        <f>_xlfn.XLOOKUP(B160,'[10]december-2025'!$A:$A,'[10]december-2025'!$C:$C,0,0)</f>
        <v>29800</v>
      </c>
      <c r="CX160">
        <f t="shared" si="474"/>
        <v>5364</v>
      </c>
      <c r="CY160">
        <f t="shared" si="475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47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77"/>
        <v>150</v>
      </c>
      <c r="DF160">
        <f t="shared" si="478"/>
        <v>35090</v>
      </c>
      <c r="DG160">
        <f>_xlfn.XLOOKUP(B160,'[11]january-2026'!$A:$A,'[11]january-2026'!$C:$C,0,0)</f>
        <v>29800</v>
      </c>
      <c r="DH160">
        <f t="shared" si="479"/>
        <v>5364</v>
      </c>
      <c r="DI160">
        <f t="shared" si="48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1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2"/>
        <v>150</v>
      </c>
      <c r="DP160">
        <f t="shared" si="483"/>
        <v>35090</v>
      </c>
      <c r="DQ160">
        <f>_xlfn.XLOOKUP(B160,'[12]february-2026'!$A:$A,'[12]february-2026'!$C:$C,0,0)</f>
        <v>29800</v>
      </c>
      <c r="DR160">
        <f t="shared" si="484"/>
        <v>5364</v>
      </c>
      <c r="DS160">
        <f t="shared" si="485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6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7"/>
        <v>150</v>
      </c>
      <c r="DZ160">
        <f t="shared" si="488"/>
        <v>35090</v>
      </c>
      <c r="EA160">
        <f t="shared" si="489"/>
        <v>533334</v>
      </c>
      <c r="EB160">
        <f t="shared" si="490"/>
        <v>1800</v>
      </c>
      <c r="EC160">
        <f t="shared" si="491"/>
        <v>50000</v>
      </c>
      <c r="ED160">
        <v>0</v>
      </c>
      <c r="EE160">
        <f t="shared" si="492"/>
        <v>481534</v>
      </c>
      <c r="EF160">
        <f t="shared" si="493"/>
        <v>38000</v>
      </c>
      <c r="EG160">
        <f t="shared" si="494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5"/>
        <v>38000</v>
      </c>
      <c r="ES160">
        <f t="shared" si="496"/>
        <v>38000</v>
      </c>
      <c r="ET160">
        <f t="shared" si="497"/>
        <v>443534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8"/>
        <v>0</v>
      </c>
      <c r="FC160">
        <f t="shared" si="499"/>
        <v>443534</v>
      </c>
      <c r="FD160">
        <f t="shared" si="500"/>
        <v>9677</v>
      </c>
      <c r="FE160">
        <f t="shared" si="501"/>
        <v>0</v>
      </c>
      <c r="FF160">
        <f t="shared" si="502"/>
        <v>9677</v>
      </c>
      <c r="FG160">
        <f t="shared" si="503"/>
        <v>0</v>
      </c>
      <c r="FH160">
        <f t="shared" si="504"/>
        <v>0</v>
      </c>
      <c r="FI160">
        <f t="shared" si="505"/>
        <v>0</v>
      </c>
      <c r="FJ160">
        <v>0</v>
      </c>
      <c r="FK160">
        <f t="shared" si="506"/>
        <v>0</v>
      </c>
      <c r="FL160" t="b">
        <f t="shared" si="507"/>
        <v>1</v>
      </c>
      <c r="FM160">
        <f t="shared" ca="1" si="508"/>
        <v>768</v>
      </c>
      <c r="FN160">
        <f t="shared" ca="1" si="509"/>
        <v>534102</v>
      </c>
      <c r="FO160">
        <f t="shared" si="510"/>
        <v>75000</v>
      </c>
      <c r="FP160">
        <f t="shared" ca="1" si="511"/>
        <v>459102</v>
      </c>
      <c r="FQ160">
        <f t="shared" ca="1" si="512"/>
        <v>0</v>
      </c>
      <c r="FR160">
        <f t="shared" ca="1" si="513"/>
        <v>0</v>
      </c>
      <c r="FS160">
        <f t="shared" ca="1" si="514"/>
        <v>0</v>
      </c>
      <c r="FT160">
        <f t="shared" ca="1" si="515"/>
        <v>0</v>
      </c>
      <c r="FU160">
        <f t="shared" ca="1" si="516"/>
        <v>0</v>
      </c>
      <c r="FV160">
        <f t="shared" ca="1" si="517"/>
        <v>0</v>
      </c>
      <c r="FW160">
        <f t="shared" ca="1" si="518"/>
        <v>0</v>
      </c>
      <c r="FX160">
        <f t="shared" ca="1" si="519"/>
        <v>0</v>
      </c>
      <c r="FY160">
        <f t="shared" ca="1" si="520"/>
        <v>0</v>
      </c>
      <c r="FZ160">
        <f t="shared" ca="1" si="521"/>
        <v>0</v>
      </c>
      <c r="GA160">
        <f t="shared" ca="1" si="522"/>
        <v>59102</v>
      </c>
      <c r="GB160">
        <f t="shared" ca="1" si="523"/>
        <v>2955.1000000000004</v>
      </c>
      <c r="GC160">
        <f t="shared" ca="1" si="524"/>
        <v>2955</v>
      </c>
      <c r="GD160">
        <f t="shared" ca="1" si="525"/>
        <v>0</v>
      </c>
      <c r="GE160">
        <f t="shared" ca="1" si="526"/>
        <v>0</v>
      </c>
      <c r="GF160">
        <f t="shared" ca="1" si="527"/>
        <v>2955</v>
      </c>
      <c r="GG160">
        <f t="shared" ca="1" si="528"/>
        <v>0</v>
      </c>
      <c r="GH160" t="b">
        <f t="shared" ca="1" si="529"/>
        <v>0</v>
      </c>
      <c r="GI160">
        <f t="shared" ca="1" si="530"/>
        <v>0</v>
      </c>
      <c r="GJ160">
        <f t="shared" ca="1" si="531"/>
        <v>2955</v>
      </c>
      <c r="GK160">
        <f t="shared" ca="1" si="532"/>
        <v>0</v>
      </c>
      <c r="GL160">
        <f t="shared" ca="1" si="533"/>
        <v>0</v>
      </c>
      <c r="GM160">
        <f t="shared" ca="1" si="534"/>
        <v>0</v>
      </c>
    </row>
    <row r="161" spans="1:195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536"/>
        <v>6800</v>
      </c>
      <c r="I161">
        <f>_xlfn.XLOOKUP(B161,'[1]march-2025'!$A:$A,'[1]march-2025'!$J:$J,0,0)</f>
        <v>71100</v>
      </c>
      <c r="J161">
        <f>_xlfn.XLOOKUP(B161,'[1]march-2025'!$A:$A,'[1]march-2025'!$C:$C,0,0)</f>
        <v>28900</v>
      </c>
      <c r="K161">
        <f t="shared" si="430"/>
        <v>4046.0000000000005</v>
      </c>
      <c r="L161">
        <f t="shared" si="431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432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535"/>
        <v>150</v>
      </c>
      <c r="S161">
        <f t="shared" si="433"/>
        <v>36764</v>
      </c>
      <c r="T161">
        <f>_xlfn.XLOOKUP(B161,'[2]april-2025'!$A:$A,'[2]april-2025'!$C:$C,0,0)</f>
        <v>28900</v>
      </c>
      <c r="U161">
        <f t="shared" si="434"/>
        <v>5202</v>
      </c>
      <c r="V161">
        <f t="shared" si="43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3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37"/>
        <v>150</v>
      </c>
      <c r="AC161">
        <f t="shared" si="438"/>
        <v>37920</v>
      </c>
      <c r="AD161">
        <f>_xlfn.XLOOKUP(B161,'[3]may-2025'!$A:$A,'[3]may-2025'!$C:$C,0,0)</f>
        <v>28900</v>
      </c>
      <c r="AE161">
        <f t="shared" si="439"/>
        <v>5202</v>
      </c>
      <c r="AF161">
        <f t="shared" si="440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41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42"/>
        <v>150</v>
      </c>
      <c r="AM161">
        <f t="shared" si="443"/>
        <v>37920</v>
      </c>
      <c r="AN161">
        <f>_xlfn.XLOOKUP(B161,'[4]june-2025'!$A:$A,'[4]june-2025'!$C:$C,0,0)</f>
        <v>28900</v>
      </c>
      <c r="AO161">
        <f t="shared" si="444"/>
        <v>5202</v>
      </c>
      <c r="AP161">
        <f t="shared" si="445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46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47"/>
        <v>150</v>
      </c>
      <c r="AW161">
        <f t="shared" si="448"/>
        <v>37920</v>
      </c>
      <c r="AX161">
        <f>_xlfn.XLOOKUP(B161,'[5]july-2025'!$A:$A,'[5]july-2025'!$C:$C,0,0)</f>
        <v>29800</v>
      </c>
      <c r="AY161">
        <f t="shared" si="449"/>
        <v>5364</v>
      </c>
      <c r="AZ161">
        <v>0</v>
      </c>
      <c r="BA161">
        <f t="shared" si="450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451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52"/>
        <v>150</v>
      </c>
      <c r="BH161">
        <f t="shared" si="453"/>
        <v>39090</v>
      </c>
      <c r="BI161">
        <f>_xlfn.XLOOKUP(B161,'[6]august-2025'!$A:$A,'[6]august-2025'!$C:$C,0,0)</f>
        <v>29800</v>
      </c>
      <c r="BJ161">
        <f t="shared" si="454"/>
        <v>5364</v>
      </c>
      <c r="BK161">
        <f t="shared" si="455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56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457"/>
        <v>150</v>
      </c>
      <c r="BR161">
        <f t="shared" si="458"/>
        <v>39090</v>
      </c>
      <c r="BS161">
        <f>_xlfn.XLOOKUP(B161,'[7]september-2025'!$A:$A,'[7]september-2025'!$C:$C,0,0)</f>
        <v>29800</v>
      </c>
      <c r="BT161">
        <f t="shared" si="459"/>
        <v>5364</v>
      </c>
      <c r="BU161">
        <f t="shared" si="460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461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62"/>
        <v>150</v>
      </c>
      <c r="CB161">
        <f t="shared" si="463"/>
        <v>37090</v>
      </c>
      <c r="CC161">
        <f>_xlfn.XLOOKUP(B161,'[8]october-2025'!$A:$A,'[8]october-2025'!$C:$C,0,0)</f>
        <v>29800</v>
      </c>
      <c r="CD161">
        <f t="shared" si="464"/>
        <v>5364</v>
      </c>
      <c r="CE161">
        <f t="shared" si="465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466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67"/>
        <v>150</v>
      </c>
      <c r="CL161">
        <f t="shared" si="468"/>
        <v>37090</v>
      </c>
      <c r="CM161">
        <f>_xlfn.XLOOKUP(B161,'[9]november-2025'!$A:$A,'[9]november-2025'!$C:$C,0,0)</f>
        <v>29800</v>
      </c>
      <c r="CN161">
        <f t="shared" si="469"/>
        <v>5364</v>
      </c>
      <c r="CO161">
        <f t="shared" si="470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471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72"/>
        <v>150</v>
      </c>
      <c r="CV161">
        <f t="shared" si="473"/>
        <v>37090</v>
      </c>
      <c r="CW161">
        <f>_xlfn.XLOOKUP(B161,'[10]december-2025'!$A:$A,'[10]december-2025'!$C:$C,0,0)</f>
        <v>29800</v>
      </c>
      <c r="CX161">
        <f t="shared" si="474"/>
        <v>5364</v>
      </c>
      <c r="CY161">
        <f t="shared" si="475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47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77"/>
        <v>150</v>
      </c>
      <c r="DF161">
        <f t="shared" si="478"/>
        <v>37090</v>
      </c>
      <c r="DG161">
        <f>_xlfn.XLOOKUP(B161,'[11]january-2026'!$A:$A,'[11]january-2026'!$C:$C,0,0)</f>
        <v>29800</v>
      </c>
      <c r="DH161">
        <f t="shared" si="479"/>
        <v>5364</v>
      </c>
      <c r="DI161">
        <f t="shared" si="48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1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2"/>
        <v>150</v>
      </c>
      <c r="DP161">
        <f t="shared" si="483"/>
        <v>37090</v>
      </c>
      <c r="DQ161">
        <f>_xlfn.XLOOKUP(B161,'[12]february-2026'!$A:$A,'[12]february-2026'!$C:$C,0,0)</f>
        <v>29800</v>
      </c>
      <c r="DR161">
        <f t="shared" si="484"/>
        <v>5364</v>
      </c>
      <c r="DS161">
        <f t="shared" si="485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6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7"/>
        <v>150</v>
      </c>
      <c r="DZ161">
        <f t="shared" si="488"/>
        <v>37090</v>
      </c>
      <c r="EA161">
        <f t="shared" si="489"/>
        <v>542944</v>
      </c>
      <c r="EB161">
        <f t="shared" si="490"/>
        <v>1800</v>
      </c>
      <c r="EC161">
        <f t="shared" si="491"/>
        <v>50000</v>
      </c>
      <c r="ED161">
        <v>0</v>
      </c>
      <c r="EE161">
        <f t="shared" si="492"/>
        <v>491144</v>
      </c>
      <c r="EF161">
        <f t="shared" si="493"/>
        <v>12000</v>
      </c>
      <c r="EG161">
        <f t="shared" si="494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5"/>
        <v>12000</v>
      </c>
      <c r="ES161">
        <f t="shared" si="496"/>
        <v>12000</v>
      </c>
      <c r="ET161">
        <f t="shared" si="497"/>
        <v>479144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8"/>
        <v>0</v>
      </c>
      <c r="FC161">
        <f t="shared" si="499"/>
        <v>479144</v>
      </c>
      <c r="FD161">
        <f t="shared" si="500"/>
        <v>11457</v>
      </c>
      <c r="FE161">
        <f t="shared" si="501"/>
        <v>0</v>
      </c>
      <c r="FF161">
        <f t="shared" si="502"/>
        <v>11457</v>
      </c>
      <c r="FG161">
        <f t="shared" si="503"/>
        <v>0</v>
      </c>
      <c r="FH161">
        <f t="shared" si="504"/>
        <v>0</v>
      </c>
      <c r="FI161">
        <f t="shared" si="505"/>
        <v>0</v>
      </c>
      <c r="FJ161">
        <v>0</v>
      </c>
      <c r="FK161">
        <f t="shared" si="506"/>
        <v>0</v>
      </c>
      <c r="FL161" t="b">
        <f t="shared" si="507"/>
        <v>1</v>
      </c>
      <c r="FM161">
        <f t="shared" ca="1" si="508"/>
        <v>554</v>
      </c>
      <c r="FN161">
        <f t="shared" ca="1" si="509"/>
        <v>543498</v>
      </c>
      <c r="FO161">
        <f t="shared" si="510"/>
        <v>75000</v>
      </c>
      <c r="FP161">
        <f t="shared" ca="1" si="511"/>
        <v>468498</v>
      </c>
      <c r="FQ161">
        <f t="shared" ca="1" si="512"/>
        <v>0</v>
      </c>
      <c r="FR161">
        <f t="shared" ca="1" si="513"/>
        <v>0</v>
      </c>
      <c r="FS161">
        <f t="shared" ca="1" si="514"/>
        <v>0</v>
      </c>
      <c r="FT161">
        <f t="shared" ca="1" si="515"/>
        <v>0</v>
      </c>
      <c r="FU161">
        <f t="shared" ca="1" si="516"/>
        <v>0</v>
      </c>
      <c r="FV161">
        <f t="shared" ca="1" si="517"/>
        <v>0</v>
      </c>
      <c r="FW161">
        <f t="shared" ca="1" si="518"/>
        <v>0</v>
      </c>
      <c r="FX161">
        <f t="shared" ca="1" si="519"/>
        <v>0</v>
      </c>
      <c r="FY161">
        <f t="shared" ca="1" si="520"/>
        <v>0</v>
      </c>
      <c r="FZ161">
        <f t="shared" ca="1" si="521"/>
        <v>0</v>
      </c>
      <c r="GA161">
        <f t="shared" ca="1" si="522"/>
        <v>68498</v>
      </c>
      <c r="GB161">
        <f t="shared" ca="1" si="523"/>
        <v>3424.9</v>
      </c>
      <c r="GC161">
        <f t="shared" ca="1" si="524"/>
        <v>3425</v>
      </c>
      <c r="GD161">
        <f t="shared" ca="1" si="525"/>
        <v>0</v>
      </c>
      <c r="GE161">
        <f t="shared" ca="1" si="526"/>
        <v>0</v>
      </c>
      <c r="GF161">
        <f t="shared" ca="1" si="527"/>
        <v>3425</v>
      </c>
      <c r="GG161">
        <f t="shared" ca="1" si="528"/>
        <v>0</v>
      </c>
      <c r="GH161" t="b">
        <f t="shared" ca="1" si="529"/>
        <v>0</v>
      </c>
      <c r="GI161">
        <f t="shared" ca="1" si="530"/>
        <v>0</v>
      </c>
      <c r="GJ161">
        <f t="shared" ca="1" si="531"/>
        <v>3425</v>
      </c>
      <c r="GK161">
        <f t="shared" ca="1" si="532"/>
        <v>0</v>
      </c>
      <c r="GL161">
        <f t="shared" ca="1" si="533"/>
        <v>0</v>
      </c>
      <c r="GM161">
        <f t="shared" ca="1" si="534"/>
        <v>0</v>
      </c>
    </row>
    <row r="162" spans="1:195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536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30"/>
        <v>7238.0000000000009</v>
      </c>
      <c r="L162">
        <f t="shared" si="431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432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535"/>
        <v>200</v>
      </c>
      <c r="S162">
        <f t="shared" si="433"/>
        <v>59782</v>
      </c>
      <c r="T162">
        <f>_xlfn.XLOOKUP(B162,'[2]april-2025'!$A:$A,'[2]april-2025'!$C:$C,0,0)</f>
        <v>51700</v>
      </c>
      <c r="U162">
        <f t="shared" si="434"/>
        <v>9306</v>
      </c>
      <c r="V162">
        <f t="shared" si="43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3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37"/>
        <v>200</v>
      </c>
      <c r="AC162">
        <f t="shared" si="438"/>
        <v>61850</v>
      </c>
      <c r="AD162">
        <f>_xlfn.XLOOKUP(B162,'[3]may-2025'!$A:$A,'[3]may-2025'!$C:$C,0,0)</f>
        <v>51700</v>
      </c>
      <c r="AE162">
        <f t="shared" si="439"/>
        <v>9306</v>
      </c>
      <c r="AF162">
        <f t="shared" si="440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41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42"/>
        <v>200</v>
      </c>
      <c r="AM162">
        <f t="shared" si="443"/>
        <v>61850</v>
      </c>
      <c r="AN162">
        <f>_xlfn.XLOOKUP(B162,'[4]june-2025'!$A:$A,'[4]june-2025'!$C:$C,0,0)</f>
        <v>51700</v>
      </c>
      <c r="AO162">
        <f t="shared" si="444"/>
        <v>9306</v>
      </c>
      <c r="AP162">
        <f t="shared" si="445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46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47"/>
        <v>200</v>
      </c>
      <c r="AW162">
        <f t="shared" si="448"/>
        <v>61850</v>
      </c>
      <c r="AX162">
        <f>_xlfn.XLOOKUP(B162,'[5]july-2025'!$A:$A,'[5]july-2025'!$C:$C,0,0)</f>
        <v>53300</v>
      </c>
      <c r="AY162">
        <f t="shared" si="449"/>
        <v>9594</v>
      </c>
      <c r="AZ162">
        <v>0</v>
      </c>
      <c r="BA162">
        <f t="shared" si="450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451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52"/>
        <v>200</v>
      </c>
      <c r="BH162">
        <f t="shared" si="453"/>
        <v>63930</v>
      </c>
      <c r="BI162">
        <f>_xlfn.XLOOKUP(B162,'[6]august-2025'!$A:$A,'[6]august-2025'!$C:$C,0,0)</f>
        <v>53300</v>
      </c>
      <c r="BJ162">
        <f t="shared" si="454"/>
        <v>9594</v>
      </c>
      <c r="BK162">
        <f t="shared" si="455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56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457"/>
        <v>200</v>
      </c>
      <c r="BR162">
        <f t="shared" si="458"/>
        <v>63930</v>
      </c>
      <c r="BS162">
        <f>_xlfn.XLOOKUP(B162,'[7]september-2025'!$A:$A,'[7]september-2025'!$C:$C,0,0)</f>
        <v>53300</v>
      </c>
      <c r="BT162">
        <f t="shared" si="459"/>
        <v>9594</v>
      </c>
      <c r="BU162">
        <f t="shared" si="460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461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62"/>
        <v>200</v>
      </c>
      <c r="CB162">
        <f t="shared" si="463"/>
        <v>63930</v>
      </c>
      <c r="CC162">
        <f>_xlfn.XLOOKUP(B162,'[8]october-2025'!$A:$A,'[8]october-2025'!$C:$C,0,0)</f>
        <v>53300</v>
      </c>
      <c r="CD162">
        <f t="shared" si="464"/>
        <v>9594</v>
      </c>
      <c r="CE162">
        <f t="shared" si="465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466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67"/>
        <v>200</v>
      </c>
      <c r="CL162">
        <f t="shared" si="468"/>
        <v>63930</v>
      </c>
      <c r="CM162">
        <f>_xlfn.XLOOKUP(B162,'[9]november-2025'!$A:$A,'[9]november-2025'!$C:$C,0,0)</f>
        <v>53300</v>
      </c>
      <c r="CN162">
        <f t="shared" si="469"/>
        <v>9594</v>
      </c>
      <c r="CO162">
        <f t="shared" si="470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471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72"/>
        <v>200</v>
      </c>
      <c r="CV162">
        <f t="shared" si="473"/>
        <v>63930</v>
      </c>
      <c r="CW162">
        <f>_xlfn.XLOOKUP(B162,'[10]december-2025'!$A:$A,'[10]december-2025'!$C:$C,0,0)</f>
        <v>53300</v>
      </c>
      <c r="CX162">
        <f t="shared" si="474"/>
        <v>9594</v>
      </c>
      <c r="CY162">
        <f t="shared" si="475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47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77"/>
        <v>200</v>
      </c>
      <c r="DF162">
        <f t="shared" si="478"/>
        <v>63930</v>
      </c>
      <c r="DG162">
        <f>_xlfn.XLOOKUP(B162,'[11]january-2026'!$A:$A,'[11]january-2026'!$C:$C,0,0)</f>
        <v>53300</v>
      </c>
      <c r="DH162">
        <f t="shared" si="479"/>
        <v>9594</v>
      </c>
      <c r="DI162">
        <f t="shared" si="48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1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2"/>
        <v>200</v>
      </c>
      <c r="DP162">
        <f t="shared" si="483"/>
        <v>63930</v>
      </c>
      <c r="DQ162">
        <f>_xlfn.XLOOKUP(B162,'[12]february-2026'!$A:$A,'[12]february-2026'!$C:$C,0,0)</f>
        <v>53300</v>
      </c>
      <c r="DR162">
        <f t="shared" si="484"/>
        <v>9594</v>
      </c>
      <c r="DS162">
        <f t="shared" si="485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6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7"/>
        <v>200</v>
      </c>
      <c r="DZ162">
        <f t="shared" si="488"/>
        <v>63930</v>
      </c>
      <c r="EA162">
        <f t="shared" si="489"/>
        <v>838692</v>
      </c>
      <c r="EB162">
        <f t="shared" si="490"/>
        <v>2400</v>
      </c>
      <c r="EC162">
        <f t="shared" si="491"/>
        <v>50000</v>
      </c>
      <c r="ED162">
        <v>0</v>
      </c>
      <c r="EE162">
        <f t="shared" si="492"/>
        <v>786292</v>
      </c>
      <c r="EF162">
        <f t="shared" si="493"/>
        <v>72000</v>
      </c>
      <c r="EG162">
        <f t="shared" si="494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5"/>
        <v>72720</v>
      </c>
      <c r="ES162">
        <f t="shared" si="496"/>
        <v>72720</v>
      </c>
      <c r="ET162">
        <f t="shared" si="497"/>
        <v>713572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8"/>
        <v>0</v>
      </c>
      <c r="FC162">
        <f t="shared" si="499"/>
        <v>713572</v>
      </c>
      <c r="FD162">
        <f t="shared" si="500"/>
        <v>12500</v>
      </c>
      <c r="FE162">
        <f t="shared" si="501"/>
        <v>42714</v>
      </c>
      <c r="FF162">
        <f t="shared" si="502"/>
        <v>55214</v>
      </c>
      <c r="FG162">
        <f t="shared" si="503"/>
        <v>55214</v>
      </c>
      <c r="FH162">
        <f t="shared" si="504"/>
        <v>2208.56</v>
      </c>
      <c r="FI162">
        <f t="shared" si="505"/>
        <v>57423</v>
      </c>
      <c r="FJ162">
        <v>0</v>
      </c>
      <c r="FK162">
        <f t="shared" si="506"/>
        <v>57423</v>
      </c>
      <c r="FL162" t="b">
        <f t="shared" si="507"/>
        <v>1</v>
      </c>
      <c r="FM162">
        <f t="shared" ca="1" si="508"/>
        <v>987</v>
      </c>
      <c r="FN162">
        <f t="shared" ca="1" si="509"/>
        <v>839679</v>
      </c>
      <c r="FO162">
        <f t="shared" si="510"/>
        <v>75000</v>
      </c>
      <c r="FP162">
        <f t="shared" ca="1" si="511"/>
        <v>764679</v>
      </c>
      <c r="FQ162">
        <f t="shared" ca="1" si="512"/>
        <v>0</v>
      </c>
      <c r="FR162">
        <f t="shared" ca="1" si="513"/>
        <v>0</v>
      </c>
      <c r="FS162">
        <f t="shared" ca="1" si="514"/>
        <v>0</v>
      </c>
      <c r="FT162">
        <f t="shared" ca="1" si="515"/>
        <v>0</v>
      </c>
      <c r="FU162">
        <f t="shared" ca="1" si="516"/>
        <v>0</v>
      </c>
      <c r="FV162">
        <f t="shared" ca="1" si="517"/>
        <v>0</v>
      </c>
      <c r="FW162">
        <f t="shared" ca="1" si="518"/>
        <v>0</v>
      </c>
      <c r="FX162">
        <f t="shared" ca="1" si="519"/>
        <v>0</v>
      </c>
      <c r="FY162">
        <f t="shared" ca="1" si="520"/>
        <v>0</v>
      </c>
      <c r="FZ162">
        <f t="shared" ca="1" si="521"/>
        <v>0</v>
      </c>
      <c r="GA162">
        <f t="shared" ca="1" si="522"/>
        <v>364679</v>
      </c>
      <c r="GB162">
        <f t="shared" ca="1" si="523"/>
        <v>18233.95</v>
      </c>
      <c r="GC162">
        <f t="shared" ca="1" si="524"/>
        <v>18234</v>
      </c>
      <c r="GD162">
        <f t="shared" ca="1" si="525"/>
        <v>0</v>
      </c>
      <c r="GE162">
        <f t="shared" ca="1" si="526"/>
        <v>0</v>
      </c>
      <c r="GF162">
        <f t="shared" ca="1" si="527"/>
        <v>18234</v>
      </c>
      <c r="GG162">
        <f t="shared" ca="1" si="528"/>
        <v>0</v>
      </c>
      <c r="GH162" t="b">
        <f t="shared" ca="1" si="529"/>
        <v>0</v>
      </c>
      <c r="GI162">
        <f t="shared" ca="1" si="530"/>
        <v>0</v>
      </c>
      <c r="GJ162">
        <f t="shared" ca="1" si="531"/>
        <v>18234</v>
      </c>
      <c r="GK162">
        <f t="shared" ca="1" si="532"/>
        <v>0</v>
      </c>
      <c r="GL162">
        <f t="shared" ca="1" si="533"/>
        <v>0</v>
      </c>
      <c r="GM162">
        <f t="shared" ca="1" si="534"/>
        <v>0</v>
      </c>
    </row>
    <row r="163" spans="1:195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536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30"/>
        <v>4830.0000000000009</v>
      </c>
      <c r="L163">
        <f t="shared" si="431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432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535"/>
        <v>200</v>
      </c>
      <c r="S163">
        <f t="shared" si="433"/>
        <v>39770</v>
      </c>
      <c r="T163">
        <f>_xlfn.XLOOKUP(B163,'[2]april-2025'!$A:$A,'[2]april-2025'!$C:$C,0,0)</f>
        <v>34500</v>
      </c>
      <c r="U163">
        <f t="shared" si="434"/>
        <v>6210</v>
      </c>
      <c r="V163">
        <f t="shared" si="43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3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37"/>
        <v>200</v>
      </c>
      <c r="AC163">
        <f t="shared" si="438"/>
        <v>41150</v>
      </c>
      <c r="AD163">
        <f>_xlfn.XLOOKUP(B163,'[3]may-2025'!$A:$A,'[3]may-2025'!$C:$C,0,0)</f>
        <v>34500</v>
      </c>
      <c r="AE163">
        <f t="shared" si="439"/>
        <v>6210</v>
      </c>
      <c r="AF163">
        <f t="shared" si="440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41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42"/>
        <v>200</v>
      </c>
      <c r="AM163">
        <f t="shared" si="443"/>
        <v>41150</v>
      </c>
      <c r="AN163">
        <f>_xlfn.XLOOKUP(B163,'[4]june-2025'!$A:$A,'[4]june-2025'!$C:$C,0,0)</f>
        <v>34500</v>
      </c>
      <c r="AO163">
        <f t="shared" si="444"/>
        <v>6210</v>
      </c>
      <c r="AP163">
        <f t="shared" si="445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46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47"/>
        <v>200</v>
      </c>
      <c r="AW163">
        <f t="shared" si="448"/>
        <v>41150</v>
      </c>
      <c r="AX163">
        <f>_xlfn.XLOOKUP(B163,'[5]july-2025'!$A:$A,'[5]july-2025'!$C:$C,0,0)</f>
        <v>35500</v>
      </c>
      <c r="AY163">
        <f t="shared" si="449"/>
        <v>6390</v>
      </c>
      <c r="AZ163">
        <v>0</v>
      </c>
      <c r="BA163">
        <f t="shared" si="450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451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52"/>
        <v>200</v>
      </c>
      <c r="BH163">
        <f t="shared" si="453"/>
        <v>42450</v>
      </c>
      <c r="BI163">
        <f>_xlfn.XLOOKUP(B163,'[6]august-2025'!$A:$A,'[6]august-2025'!$C:$C,0,0)</f>
        <v>35500</v>
      </c>
      <c r="BJ163">
        <f t="shared" si="454"/>
        <v>6390</v>
      </c>
      <c r="BK163">
        <f t="shared" si="455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56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457"/>
        <v>200</v>
      </c>
      <c r="BR163">
        <f t="shared" si="458"/>
        <v>42450</v>
      </c>
      <c r="BS163">
        <f>_xlfn.XLOOKUP(B163,'[7]september-2025'!$A:$A,'[7]september-2025'!$C:$C,0,0)</f>
        <v>35500</v>
      </c>
      <c r="BT163">
        <f t="shared" si="459"/>
        <v>6390</v>
      </c>
      <c r="BU163">
        <f t="shared" si="460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461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62"/>
        <v>200</v>
      </c>
      <c r="CB163">
        <f t="shared" si="463"/>
        <v>42450</v>
      </c>
      <c r="CC163">
        <f>_xlfn.XLOOKUP(B163,'[8]october-2025'!$A:$A,'[8]october-2025'!$C:$C,0,0)</f>
        <v>35500</v>
      </c>
      <c r="CD163">
        <f t="shared" si="464"/>
        <v>6390</v>
      </c>
      <c r="CE163">
        <f t="shared" si="465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466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67"/>
        <v>200</v>
      </c>
      <c r="CL163">
        <f t="shared" si="468"/>
        <v>42450</v>
      </c>
      <c r="CM163">
        <f>_xlfn.XLOOKUP(B163,'[9]november-2025'!$A:$A,'[9]november-2025'!$C:$C,0,0)</f>
        <v>35500</v>
      </c>
      <c r="CN163">
        <f t="shared" si="469"/>
        <v>6390</v>
      </c>
      <c r="CO163">
        <f t="shared" si="470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471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72"/>
        <v>200</v>
      </c>
      <c r="CV163">
        <f t="shared" si="473"/>
        <v>42450</v>
      </c>
      <c r="CW163">
        <f>_xlfn.XLOOKUP(B163,'[10]december-2025'!$A:$A,'[10]december-2025'!$C:$C,0,0)</f>
        <v>35500</v>
      </c>
      <c r="CX163">
        <f t="shared" si="474"/>
        <v>6390</v>
      </c>
      <c r="CY163">
        <f t="shared" si="475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47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77"/>
        <v>200</v>
      </c>
      <c r="DF163">
        <f t="shared" si="478"/>
        <v>42450</v>
      </c>
      <c r="DG163">
        <f>_xlfn.XLOOKUP(B163,'[11]january-2026'!$A:$A,'[11]january-2026'!$C:$C,0,0)</f>
        <v>35500</v>
      </c>
      <c r="DH163">
        <f t="shared" si="479"/>
        <v>6390</v>
      </c>
      <c r="DI163">
        <f t="shared" si="48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1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2"/>
        <v>200</v>
      </c>
      <c r="DP163">
        <f t="shared" si="483"/>
        <v>42450</v>
      </c>
      <c r="DQ163">
        <f>_xlfn.XLOOKUP(B163,'[12]february-2026'!$A:$A,'[12]february-2026'!$C:$C,0,0)</f>
        <v>35500</v>
      </c>
      <c r="DR163">
        <f t="shared" si="484"/>
        <v>6390</v>
      </c>
      <c r="DS163">
        <f t="shared" si="485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6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7"/>
        <v>200</v>
      </c>
      <c r="DZ163">
        <f t="shared" si="488"/>
        <v>42450</v>
      </c>
      <c r="EA163">
        <f t="shared" si="489"/>
        <v>560020</v>
      </c>
      <c r="EB163">
        <f t="shared" si="490"/>
        <v>2400</v>
      </c>
      <c r="EC163">
        <f t="shared" si="491"/>
        <v>50000</v>
      </c>
      <c r="ED163">
        <v>0</v>
      </c>
      <c r="EE163">
        <f t="shared" si="492"/>
        <v>507620</v>
      </c>
      <c r="EF163">
        <f t="shared" si="493"/>
        <v>48000</v>
      </c>
      <c r="EG163">
        <f t="shared" si="494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5"/>
        <v>48000</v>
      </c>
      <c r="ES163">
        <f t="shared" si="496"/>
        <v>48000</v>
      </c>
      <c r="ET163">
        <f t="shared" si="497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8"/>
        <v>0</v>
      </c>
      <c r="FC163">
        <f t="shared" si="499"/>
        <v>459620</v>
      </c>
      <c r="FD163">
        <f t="shared" si="500"/>
        <v>10481</v>
      </c>
      <c r="FE163">
        <f t="shared" si="501"/>
        <v>0</v>
      </c>
      <c r="FF163">
        <f t="shared" si="502"/>
        <v>10481</v>
      </c>
      <c r="FG163">
        <f t="shared" si="503"/>
        <v>0</v>
      </c>
      <c r="FH163">
        <f t="shared" si="504"/>
        <v>0</v>
      </c>
      <c r="FI163">
        <f t="shared" si="505"/>
        <v>0</v>
      </c>
      <c r="FJ163">
        <v>0</v>
      </c>
      <c r="FK163">
        <f t="shared" si="506"/>
        <v>0</v>
      </c>
      <c r="FL163" t="b">
        <f t="shared" si="507"/>
        <v>1</v>
      </c>
      <c r="FM163">
        <f t="shared" ca="1" si="508"/>
        <v>594</v>
      </c>
      <c r="FN163">
        <f t="shared" ca="1" si="509"/>
        <v>560614</v>
      </c>
      <c r="FO163">
        <f t="shared" si="510"/>
        <v>75000</v>
      </c>
      <c r="FP163">
        <f t="shared" ca="1" si="511"/>
        <v>485614</v>
      </c>
      <c r="FQ163">
        <f t="shared" ca="1" si="512"/>
        <v>0</v>
      </c>
      <c r="FR163">
        <f t="shared" ca="1" si="513"/>
        <v>0</v>
      </c>
      <c r="FS163">
        <f t="shared" ca="1" si="514"/>
        <v>0</v>
      </c>
      <c r="FT163">
        <f t="shared" ca="1" si="515"/>
        <v>0</v>
      </c>
      <c r="FU163">
        <f t="shared" ca="1" si="516"/>
        <v>0</v>
      </c>
      <c r="FV163">
        <f t="shared" ca="1" si="517"/>
        <v>0</v>
      </c>
      <c r="FW163">
        <f t="shared" ca="1" si="518"/>
        <v>0</v>
      </c>
      <c r="FX163">
        <f t="shared" ca="1" si="519"/>
        <v>0</v>
      </c>
      <c r="FY163">
        <f t="shared" ca="1" si="520"/>
        <v>0</v>
      </c>
      <c r="FZ163">
        <f t="shared" ca="1" si="521"/>
        <v>0</v>
      </c>
      <c r="GA163">
        <f t="shared" ca="1" si="522"/>
        <v>85614</v>
      </c>
      <c r="GB163">
        <f t="shared" ca="1" si="523"/>
        <v>4280.7</v>
      </c>
      <c r="GC163">
        <f t="shared" ca="1" si="524"/>
        <v>4281</v>
      </c>
      <c r="GD163">
        <f t="shared" ca="1" si="525"/>
        <v>0</v>
      </c>
      <c r="GE163">
        <f t="shared" ca="1" si="526"/>
        <v>0</v>
      </c>
      <c r="GF163">
        <f t="shared" ca="1" si="527"/>
        <v>4281</v>
      </c>
      <c r="GG163">
        <f t="shared" ca="1" si="528"/>
        <v>0</v>
      </c>
      <c r="GH163" t="b">
        <f t="shared" ca="1" si="529"/>
        <v>0</v>
      </c>
      <c r="GI163">
        <f t="shared" ca="1" si="530"/>
        <v>0</v>
      </c>
      <c r="GJ163">
        <f t="shared" ca="1" si="531"/>
        <v>4281</v>
      </c>
      <c r="GK163">
        <f t="shared" ca="1" si="532"/>
        <v>0</v>
      </c>
      <c r="GL163">
        <f t="shared" ca="1" si="533"/>
        <v>0</v>
      </c>
      <c r="GM163">
        <f t="shared" ca="1" si="534"/>
        <v>0</v>
      </c>
    </row>
    <row r="164" spans="1:195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536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30"/>
        <v>4830.0000000000009</v>
      </c>
      <c r="L164">
        <f t="shared" si="431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432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535"/>
        <v>200</v>
      </c>
      <c r="S164">
        <f t="shared" si="433"/>
        <v>39770</v>
      </c>
      <c r="T164">
        <f>_xlfn.XLOOKUP(B164,'[2]april-2025'!$A:$A,'[2]april-2025'!$C:$C,0,0)</f>
        <v>34500</v>
      </c>
      <c r="U164">
        <f t="shared" si="434"/>
        <v>6210</v>
      </c>
      <c r="V164">
        <f t="shared" si="43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3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37"/>
        <v>200</v>
      </c>
      <c r="AC164">
        <f t="shared" si="438"/>
        <v>41150</v>
      </c>
      <c r="AD164">
        <f>_xlfn.XLOOKUP(B164,'[3]may-2025'!$A:$A,'[3]may-2025'!$C:$C,0,0)</f>
        <v>34500</v>
      </c>
      <c r="AE164">
        <f t="shared" si="439"/>
        <v>6210</v>
      </c>
      <c r="AF164">
        <f t="shared" si="440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41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42"/>
        <v>200</v>
      </c>
      <c r="AM164">
        <f t="shared" si="443"/>
        <v>41150</v>
      </c>
      <c r="AN164">
        <f>_xlfn.XLOOKUP(B164,'[4]june-2025'!$A:$A,'[4]june-2025'!$C:$C,0,0)</f>
        <v>34500</v>
      </c>
      <c r="AO164">
        <f t="shared" si="444"/>
        <v>6210</v>
      </c>
      <c r="AP164">
        <f t="shared" si="445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46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47"/>
        <v>200</v>
      </c>
      <c r="AW164">
        <f t="shared" si="448"/>
        <v>41150</v>
      </c>
      <c r="AX164">
        <f>_xlfn.XLOOKUP(B164,'[5]july-2025'!$A:$A,'[5]july-2025'!$C:$C,0,0)</f>
        <v>35500</v>
      </c>
      <c r="AY164">
        <f t="shared" si="449"/>
        <v>6390</v>
      </c>
      <c r="AZ164">
        <v>0</v>
      </c>
      <c r="BA164">
        <f t="shared" si="450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451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52"/>
        <v>200</v>
      </c>
      <c r="BH164">
        <f t="shared" si="453"/>
        <v>42450</v>
      </c>
      <c r="BI164">
        <f>_xlfn.XLOOKUP(B164,'[6]august-2025'!$A:$A,'[6]august-2025'!$C:$C,0,0)</f>
        <v>35500</v>
      </c>
      <c r="BJ164">
        <f t="shared" si="454"/>
        <v>6390</v>
      </c>
      <c r="BK164">
        <f t="shared" si="455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56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457"/>
        <v>200</v>
      </c>
      <c r="BR164">
        <f t="shared" si="458"/>
        <v>42450</v>
      </c>
      <c r="BS164">
        <f>_xlfn.XLOOKUP(B164,'[7]september-2025'!$A:$A,'[7]september-2025'!$C:$C,0,0)</f>
        <v>35500</v>
      </c>
      <c r="BT164">
        <f t="shared" si="459"/>
        <v>6390</v>
      </c>
      <c r="BU164">
        <f t="shared" si="460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461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62"/>
        <v>200</v>
      </c>
      <c r="CB164">
        <f t="shared" si="463"/>
        <v>42450</v>
      </c>
      <c r="CC164">
        <f>_xlfn.XLOOKUP(B164,'[8]october-2025'!$A:$A,'[8]october-2025'!$C:$C,0,0)</f>
        <v>35500</v>
      </c>
      <c r="CD164">
        <f t="shared" si="464"/>
        <v>6390</v>
      </c>
      <c r="CE164">
        <f t="shared" si="465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466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67"/>
        <v>200</v>
      </c>
      <c r="CL164">
        <f t="shared" si="468"/>
        <v>42450</v>
      </c>
      <c r="CM164">
        <f>_xlfn.XLOOKUP(B164,'[9]november-2025'!$A:$A,'[9]november-2025'!$C:$C,0,0)</f>
        <v>35500</v>
      </c>
      <c r="CN164">
        <f t="shared" si="469"/>
        <v>6390</v>
      </c>
      <c r="CO164">
        <f t="shared" si="470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471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72"/>
        <v>200</v>
      </c>
      <c r="CV164">
        <f t="shared" si="473"/>
        <v>42450</v>
      </c>
      <c r="CW164">
        <f>_xlfn.XLOOKUP(B164,'[10]december-2025'!$A:$A,'[10]december-2025'!$C:$C,0,0)</f>
        <v>35500</v>
      </c>
      <c r="CX164">
        <f t="shared" si="474"/>
        <v>6390</v>
      </c>
      <c r="CY164">
        <f t="shared" si="475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47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77"/>
        <v>200</v>
      </c>
      <c r="DF164">
        <f t="shared" si="478"/>
        <v>42450</v>
      </c>
      <c r="DG164">
        <f>_xlfn.XLOOKUP(B164,'[11]january-2026'!$A:$A,'[11]january-2026'!$C:$C,0,0)</f>
        <v>35500</v>
      </c>
      <c r="DH164">
        <f t="shared" si="479"/>
        <v>6390</v>
      </c>
      <c r="DI164">
        <f t="shared" si="48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1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2"/>
        <v>200</v>
      </c>
      <c r="DP164">
        <f t="shared" si="483"/>
        <v>42450</v>
      </c>
      <c r="DQ164">
        <f>_xlfn.XLOOKUP(B164,'[12]february-2026'!$A:$A,'[12]february-2026'!$C:$C,0,0)</f>
        <v>35500</v>
      </c>
      <c r="DR164">
        <f t="shared" si="484"/>
        <v>6390</v>
      </c>
      <c r="DS164">
        <f t="shared" si="485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6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7"/>
        <v>200</v>
      </c>
      <c r="DZ164">
        <f t="shared" si="488"/>
        <v>42450</v>
      </c>
      <c r="EA164">
        <f t="shared" si="489"/>
        <v>560020</v>
      </c>
      <c r="EB164">
        <f t="shared" si="490"/>
        <v>2400</v>
      </c>
      <c r="EC164">
        <f t="shared" si="491"/>
        <v>50000</v>
      </c>
      <c r="ED164">
        <v>0</v>
      </c>
      <c r="EE164">
        <f t="shared" si="492"/>
        <v>507620</v>
      </c>
      <c r="EF164">
        <f t="shared" si="493"/>
        <v>48000</v>
      </c>
      <c r="EG164">
        <f t="shared" si="494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5"/>
        <v>48000</v>
      </c>
      <c r="ES164">
        <f t="shared" si="496"/>
        <v>48000</v>
      </c>
      <c r="ET164">
        <f t="shared" si="497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8"/>
        <v>0</v>
      </c>
      <c r="FC164">
        <f t="shared" si="499"/>
        <v>459620</v>
      </c>
      <c r="FD164">
        <f t="shared" si="500"/>
        <v>10481</v>
      </c>
      <c r="FE164">
        <f t="shared" si="501"/>
        <v>0</v>
      </c>
      <c r="FF164">
        <f t="shared" si="502"/>
        <v>10481</v>
      </c>
      <c r="FG164">
        <f t="shared" si="503"/>
        <v>0</v>
      </c>
      <c r="FH164">
        <f t="shared" si="504"/>
        <v>0</v>
      </c>
      <c r="FI164">
        <f t="shared" si="505"/>
        <v>0</v>
      </c>
      <c r="FJ164">
        <v>0</v>
      </c>
      <c r="FK164">
        <f t="shared" si="506"/>
        <v>0</v>
      </c>
      <c r="FL164" t="b">
        <f t="shared" si="507"/>
        <v>1</v>
      </c>
      <c r="FM164">
        <f t="shared" ca="1" si="508"/>
        <v>972</v>
      </c>
      <c r="FN164">
        <f t="shared" ca="1" si="509"/>
        <v>560992</v>
      </c>
      <c r="FO164">
        <f t="shared" si="510"/>
        <v>75000</v>
      </c>
      <c r="FP164">
        <f t="shared" ca="1" si="511"/>
        <v>485992</v>
      </c>
      <c r="FQ164">
        <f t="shared" ca="1" si="512"/>
        <v>0</v>
      </c>
      <c r="FR164">
        <f t="shared" ca="1" si="513"/>
        <v>0</v>
      </c>
      <c r="FS164">
        <f t="shared" ca="1" si="514"/>
        <v>0</v>
      </c>
      <c r="FT164">
        <f t="shared" ca="1" si="515"/>
        <v>0</v>
      </c>
      <c r="FU164">
        <f t="shared" ca="1" si="516"/>
        <v>0</v>
      </c>
      <c r="FV164">
        <f t="shared" ca="1" si="517"/>
        <v>0</v>
      </c>
      <c r="FW164">
        <f t="shared" ca="1" si="518"/>
        <v>0</v>
      </c>
      <c r="FX164">
        <f t="shared" ca="1" si="519"/>
        <v>0</v>
      </c>
      <c r="FY164">
        <f t="shared" ca="1" si="520"/>
        <v>0</v>
      </c>
      <c r="FZ164">
        <f t="shared" ca="1" si="521"/>
        <v>0</v>
      </c>
      <c r="GA164">
        <f t="shared" ca="1" si="522"/>
        <v>85992</v>
      </c>
      <c r="GB164">
        <f t="shared" ca="1" si="523"/>
        <v>4299.6000000000004</v>
      </c>
      <c r="GC164">
        <f t="shared" ca="1" si="524"/>
        <v>4300</v>
      </c>
      <c r="GD164">
        <f t="shared" ca="1" si="525"/>
        <v>0</v>
      </c>
      <c r="GE164">
        <f t="shared" ca="1" si="526"/>
        <v>0</v>
      </c>
      <c r="GF164">
        <f t="shared" ca="1" si="527"/>
        <v>4300</v>
      </c>
      <c r="GG164">
        <f t="shared" ca="1" si="528"/>
        <v>0</v>
      </c>
      <c r="GH164" t="b">
        <f t="shared" ca="1" si="529"/>
        <v>0</v>
      </c>
      <c r="GI164">
        <f t="shared" ca="1" si="530"/>
        <v>0</v>
      </c>
      <c r="GJ164">
        <f t="shared" ca="1" si="531"/>
        <v>4300</v>
      </c>
      <c r="GK164">
        <f t="shared" ca="1" si="532"/>
        <v>0</v>
      </c>
      <c r="GL164">
        <f t="shared" ca="1" si="533"/>
        <v>0</v>
      </c>
      <c r="GM164">
        <f t="shared" ca="1" si="534"/>
        <v>0</v>
      </c>
    </row>
    <row r="165" spans="1:195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536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30"/>
        <v>4830.0000000000009</v>
      </c>
      <c r="L165">
        <f t="shared" si="431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432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535"/>
        <v>200</v>
      </c>
      <c r="S165">
        <f t="shared" si="433"/>
        <v>39770</v>
      </c>
      <c r="T165">
        <f>_xlfn.XLOOKUP(B165,'[2]april-2025'!$A:$A,'[2]april-2025'!$C:$C,0,0)</f>
        <v>34500</v>
      </c>
      <c r="U165">
        <f t="shared" si="434"/>
        <v>6210</v>
      </c>
      <c r="V165">
        <f t="shared" si="43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3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37"/>
        <v>200</v>
      </c>
      <c r="AC165">
        <f t="shared" si="438"/>
        <v>41150</v>
      </c>
      <c r="AD165">
        <f>_xlfn.XLOOKUP(B165,'[3]may-2025'!$A:$A,'[3]may-2025'!$C:$C,0,0)</f>
        <v>34500</v>
      </c>
      <c r="AE165">
        <f t="shared" si="439"/>
        <v>6210</v>
      </c>
      <c r="AF165">
        <f t="shared" si="440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41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42"/>
        <v>200</v>
      </c>
      <c r="AM165">
        <f t="shared" si="443"/>
        <v>41150</v>
      </c>
      <c r="AN165">
        <f>_xlfn.XLOOKUP(B165,'[4]june-2025'!$A:$A,'[4]june-2025'!$C:$C,0,0)</f>
        <v>34500</v>
      </c>
      <c r="AO165">
        <f t="shared" si="444"/>
        <v>6210</v>
      </c>
      <c r="AP165">
        <f t="shared" si="445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46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47"/>
        <v>200</v>
      </c>
      <c r="AW165">
        <f t="shared" si="448"/>
        <v>41150</v>
      </c>
      <c r="AX165">
        <f>_xlfn.XLOOKUP(B165,'[5]july-2025'!$A:$A,'[5]july-2025'!$C:$C,0,0)</f>
        <v>35500</v>
      </c>
      <c r="AY165">
        <f t="shared" si="449"/>
        <v>6390</v>
      </c>
      <c r="AZ165">
        <v>0</v>
      </c>
      <c r="BA165">
        <f t="shared" si="450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451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52"/>
        <v>200</v>
      </c>
      <c r="BH165">
        <f t="shared" si="453"/>
        <v>42450</v>
      </c>
      <c r="BI165">
        <f>_xlfn.XLOOKUP(B165,'[6]august-2025'!$A:$A,'[6]august-2025'!$C:$C,0,0)</f>
        <v>35500</v>
      </c>
      <c r="BJ165">
        <f t="shared" si="454"/>
        <v>6390</v>
      </c>
      <c r="BK165">
        <f t="shared" si="455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56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457"/>
        <v>200</v>
      </c>
      <c r="BR165">
        <f t="shared" si="458"/>
        <v>42450</v>
      </c>
      <c r="BS165">
        <f>_xlfn.XLOOKUP(B165,'[7]september-2025'!$A:$A,'[7]september-2025'!$C:$C,0,0)</f>
        <v>35500</v>
      </c>
      <c r="BT165">
        <f t="shared" si="459"/>
        <v>6390</v>
      </c>
      <c r="BU165">
        <f t="shared" si="460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461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62"/>
        <v>200</v>
      </c>
      <c r="CB165">
        <f t="shared" si="463"/>
        <v>42450</v>
      </c>
      <c r="CC165">
        <f>_xlfn.XLOOKUP(B165,'[8]october-2025'!$A:$A,'[8]october-2025'!$C:$C,0,0)</f>
        <v>35500</v>
      </c>
      <c r="CD165">
        <f t="shared" si="464"/>
        <v>6390</v>
      </c>
      <c r="CE165">
        <f t="shared" si="465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466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67"/>
        <v>200</v>
      </c>
      <c r="CL165">
        <f t="shared" si="468"/>
        <v>42450</v>
      </c>
      <c r="CM165">
        <f>_xlfn.XLOOKUP(B165,'[9]november-2025'!$A:$A,'[9]november-2025'!$C:$C,0,0)</f>
        <v>35500</v>
      </c>
      <c r="CN165">
        <f t="shared" si="469"/>
        <v>6390</v>
      </c>
      <c r="CO165">
        <f t="shared" si="470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471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72"/>
        <v>200</v>
      </c>
      <c r="CV165">
        <f t="shared" si="473"/>
        <v>42450</v>
      </c>
      <c r="CW165">
        <f>_xlfn.XLOOKUP(B165,'[10]december-2025'!$A:$A,'[10]december-2025'!$C:$C,0,0)</f>
        <v>35500</v>
      </c>
      <c r="CX165">
        <f t="shared" si="474"/>
        <v>6390</v>
      </c>
      <c r="CY165">
        <f t="shared" si="475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47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77"/>
        <v>200</v>
      </c>
      <c r="DF165">
        <f t="shared" si="478"/>
        <v>42450</v>
      </c>
      <c r="DG165">
        <f>_xlfn.XLOOKUP(B165,'[11]january-2026'!$A:$A,'[11]january-2026'!$C:$C,0,0)</f>
        <v>35500</v>
      </c>
      <c r="DH165">
        <f t="shared" si="479"/>
        <v>6390</v>
      </c>
      <c r="DI165">
        <f t="shared" si="48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1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2"/>
        <v>200</v>
      </c>
      <c r="DP165">
        <f t="shared" si="483"/>
        <v>42450</v>
      </c>
      <c r="DQ165">
        <f>_xlfn.XLOOKUP(B165,'[12]february-2026'!$A:$A,'[12]february-2026'!$C:$C,0,0)</f>
        <v>35500</v>
      </c>
      <c r="DR165">
        <f t="shared" si="484"/>
        <v>6390</v>
      </c>
      <c r="DS165">
        <f t="shared" si="485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6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7"/>
        <v>200</v>
      </c>
      <c r="DZ165">
        <f t="shared" si="488"/>
        <v>42450</v>
      </c>
      <c r="EA165">
        <f t="shared" si="489"/>
        <v>560020</v>
      </c>
      <c r="EB165">
        <f t="shared" si="490"/>
        <v>2400</v>
      </c>
      <c r="EC165">
        <f t="shared" si="491"/>
        <v>50000</v>
      </c>
      <c r="ED165">
        <v>0</v>
      </c>
      <c r="EE165">
        <f t="shared" si="492"/>
        <v>507620</v>
      </c>
      <c r="EF165">
        <f t="shared" si="493"/>
        <v>48000</v>
      </c>
      <c r="EG165">
        <f t="shared" si="494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5"/>
        <v>48000</v>
      </c>
      <c r="ES165">
        <f t="shared" si="496"/>
        <v>48000</v>
      </c>
      <c r="ET165">
        <f t="shared" si="497"/>
        <v>459620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8"/>
        <v>0</v>
      </c>
      <c r="FC165">
        <f t="shared" si="499"/>
        <v>459620</v>
      </c>
      <c r="FD165">
        <f t="shared" si="500"/>
        <v>10481</v>
      </c>
      <c r="FE165">
        <f t="shared" si="501"/>
        <v>0</v>
      </c>
      <c r="FF165">
        <f t="shared" si="502"/>
        <v>10481</v>
      </c>
      <c r="FG165">
        <f t="shared" si="503"/>
        <v>0</v>
      </c>
      <c r="FH165">
        <f t="shared" si="504"/>
        <v>0</v>
      </c>
      <c r="FI165">
        <f t="shared" si="505"/>
        <v>0</v>
      </c>
      <c r="FJ165">
        <v>0</v>
      </c>
      <c r="FK165">
        <f t="shared" si="506"/>
        <v>0</v>
      </c>
      <c r="FL165" t="b">
        <f t="shared" si="507"/>
        <v>1</v>
      </c>
      <c r="FM165">
        <f t="shared" ca="1" si="508"/>
        <v>714</v>
      </c>
      <c r="FN165">
        <f t="shared" ca="1" si="509"/>
        <v>560734</v>
      </c>
      <c r="FO165">
        <f t="shared" si="510"/>
        <v>75000</v>
      </c>
      <c r="FP165">
        <f t="shared" ca="1" si="511"/>
        <v>485734</v>
      </c>
      <c r="FQ165">
        <f t="shared" ca="1" si="512"/>
        <v>0</v>
      </c>
      <c r="FR165">
        <f t="shared" ca="1" si="513"/>
        <v>0</v>
      </c>
      <c r="FS165">
        <f t="shared" ca="1" si="514"/>
        <v>0</v>
      </c>
      <c r="FT165">
        <f t="shared" ca="1" si="515"/>
        <v>0</v>
      </c>
      <c r="FU165">
        <f t="shared" ca="1" si="516"/>
        <v>0</v>
      </c>
      <c r="FV165">
        <f t="shared" ca="1" si="517"/>
        <v>0</v>
      </c>
      <c r="FW165">
        <f t="shared" ca="1" si="518"/>
        <v>0</v>
      </c>
      <c r="FX165">
        <f t="shared" ca="1" si="519"/>
        <v>0</v>
      </c>
      <c r="FY165">
        <f t="shared" ca="1" si="520"/>
        <v>0</v>
      </c>
      <c r="FZ165">
        <f t="shared" ca="1" si="521"/>
        <v>0</v>
      </c>
      <c r="GA165">
        <f t="shared" ca="1" si="522"/>
        <v>85734</v>
      </c>
      <c r="GB165">
        <f t="shared" ca="1" si="523"/>
        <v>4286.7</v>
      </c>
      <c r="GC165">
        <f t="shared" ca="1" si="524"/>
        <v>4287</v>
      </c>
      <c r="GD165">
        <f t="shared" ca="1" si="525"/>
        <v>0</v>
      </c>
      <c r="GE165">
        <f t="shared" ca="1" si="526"/>
        <v>0</v>
      </c>
      <c r="GF165">
        <f t="shared" ca="1" si="527"/>
        <v>4287</v>
      </c>
      <c r="GG165">
        <f t="shared" ca="1" si="528"/>
        <v>0</v>
      </c>
      <c r="GH165" t="b">
        <f t="shared" ca="1" si="529"/>
        <v>0</v>
      </c>
      <c r="GI165">
        <f t="shared" ca="1" si="530"/>
        <v>0</v>
      </c>
      <c r="GJ165">
        <f t="shared" ca="1" si="531"/>
        <v>4287</v>
      </c>
      <c r="GK165">
        <f t="shared" ca="1" si="532"/>
        <v>0</v>
      </c>
      <c r="GL165">
        <f t="shared" ca="1" si="533"/>
        <v>0</v>
      </c>
      <c r="GM165">
        <f t="shared" ca="1" si="534"/>
        <v>0</v>
      </c>
    </row>
    <row r="166" spans="1:195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536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30"/>
        <v>4830.0000000000009</v>
      </c>
      <c r="L166">
        <f t="shared" si="431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432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535"/>
        <v>200</v>
      </c>
      <c r="S166">
        <f t="shared" si="433"/>
        <v>39770</v>
      </c>
      <c r="T166">
        <f>_xlfn.XLOOKUP(B166,'[2]april-2025'!$A:$A,'[2]april-2025'!$C:$C,0,0)</f>
        <v>34500</v>
      </c>
      <c r="U166">
        <f t="shared" si="434"/>
        <v>6210</v>
      </c>
      <c r="V166">
        <f t="shared" si="43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3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37"/>
        <v>200</v>
      </c>
      <c r="AC166">
        <f t="shared" si="438"/>
        <v>41150</v>
      </c>
      <c r="AD166">
        <f>_xlfn.XLOOKUP(B166,'[3]may-2025'!$A:$A,'[3]may-2025'!$C:$C,0,0)</f>
        <v>34500</v>
      </c>
      <c r="AE166">
        <f t="shared" si="439"/>
        <v>6210</v>
      </c>
      <c r="AF166">
        <f t="shared" si="440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41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42"/>
        <v>200</v>
      </c>
      <c r="AM166">
        <f t="shared" si="443"/>
        <v>41150</v>
      </c>
      <c r="AN166">
        <f>_xlfn.XLOOKUP(B166,'[4]june-2025'!$A:$A,'[4]june-2025'!$C:$C,0,0)</f>
        <v>34500</v>
      </c>
      <c r="AO166">
        <f t="shared" si="444"/>
        <v>6210</v>
      </c>
      <c r="AP166">
        <f t="shared" si="445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46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47"/>
        <v>200</v>
      </c>
      <c r="AW166">
        <f t="shared" si="448"/>
        <v>41150</v>
      </c>
      <c r="AX166">
        <f>_xlfn.XLOOKUP(B166,'[5]july-2025'!$A:$A,'[5]july-2025'!$C:$C,0,0)</f>
        <v>35500</v>
      </c>
      <c r="AY166">
        <f t="shared" si="449"/>
        <v>6390</v>
      </c>
      <c r="AZ166">
        <v>0</v>
      </c>
      <c r="BA166">
        <f t="shared" si="450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451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52"/>
        <v>200</v>
      </c>
      <c r="BH166">
        <f t="shared" si="453"/>
        <v>42450</v>
      </c>
      <c r="BI166">
        <f>_xlfn.XLOOKUP(B166,'[6]august-2025'!$A:$A,'[6]august-2025'!$C:$C,0,0)</f>
        <v>35500</v>
      </c>
      <c r="BJ166">
        <f t="shared" si="454"/>
        <v>6390</v>
      </c>
      <c r="BK166">
        <f t="shared" si="455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56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457"/>
        <v>200</v>
      </c>
      <c r="BR166">
        <f t="shared" si="458"/>
        <v>42450</v>
      </c>
      <c r="BS166">
        <f>_xlfn.XLOOKUP(B166,'[7]september-2025'!$A:$A,'[7]september-2025'!$C:$C,0,0)</f>
        <v>35500</v>
      </c>
      <c r="BT166">
        <f t="shared" si="459"/>
        <v>6390</v>
      </c>
      <c r="BU166">
        <f t="shared" si="460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461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62"/>
        <v>200</v>
      </c>
      <c r="CB166">
        <f t="shared" si="463"/>
        <v>42450</v>
      </c>
      <c r="CC166">
        <f>_xlfn.XLOOKUP(B166,'[8]october-2025'!$A:$A,'[8]october-2025'!$C:$C,0,0)</f>
        <v>35500</v>
      </c>
      <c r="CD166">
        <f t="shared" si="464"/>
        <v>6390</v>
      </c>
      <c r="CE166">
        <f t="shared" si="465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466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67"/>
        <v>200</v>
      </c>
      <c r="CL166">
        <f t="shared" si="468"/>
        <v>42450</v>
      </c>
      <c r="CM166">
        <f>_xlfn.XLOOKUP(B166,'[9]november-2025'!$A:$A,'[9]november-2025'!$C:$C,0,0)</f>
        <v>35500</v>
      </c>
      <c r="CN166">
        <f t="shared" si="469"/>
        <v>6390</v>
      </c>
      <c r="CO166">
        <f t="shared" si="470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471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72"/>
        <v>200</v>
      </c>
      <c r="CV166">
        <f t="shared" si="473"/>
        <v>42450</v>
      </c>
      <c r="CW166">
        <f>_xlfn.XLOOKUP(B166,'[10]december-2025'!$A:$A,'[10]december-2025'!$C:$C,0,0)</f>
        <v>35500</v>
      </c>
      <c r="CX166">
        <f t="shared" si="474"/>
        <v>6390</v>
      </c>
      <c r="CY166">
        <f t="shared" si="475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47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77"/>
        <v>200</v>
      </c>
      <c r="DF166">
        <f t="shared" si="478"/>
        <v>42450</v>
      </c>
      <c r="DG166">
        <f>_xlfn.XLOOKUP(B166,'[11]january-2026'!$A:$A,'[11]january-2026'!$C:$C,0,0)</f>
        <v>35500</v>
      </c>
      <c r="DH166">
        <f t="shared" si="479"/>
        <v>6390</v>
      </c>
      <c r="DI166">
        <f t="shared" si="48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1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2"/>
        <v>200</v>
      </c>
      <c r="DP166">
        <f t="shared" si="483"/>
        <v>42450</v>
      </c>
      <c r="DQ166">
        <f>_xlfn.XLOOKUP(B166,'[12]february-2026'!$A:$A,'[12]february-2026'!$C:$C,0,0)</f>
        <v>35500</v>
      </c>
      <c r="DR166">
        <f t="shared" si="484"/>
        <v>6390</v>
      </c>
      <c r="DS166">
        <f t="shared" si="485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6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7"/>
        <v>200</v>
      </c>
      <c r="DZ166">
        <f t="shared" si="488"/>
        <v>42450</v>
      </c>
      <c r="EA166">
        <f t="shared" si="489"/>
        <v>560020</v>
      </c>
      <c r="EB166">
        <f t="shared" si="490"/>
        <v>2400</v>
      </c>
      <c r="EC166">
        <f t="shared" si="491"/>
        <v>50000</v>
      </c>
      <c r="ED166">
        <v>0</v>
      </c>
      <c r="EE166">
        <f t="shared" si="492"/>
        <v>507620</v>
      </c>
      <c r="EF166">
        <f t="shared" si="493"/>
        <v>48000</v>
      </c>
      <c r="EG166">
        <f t="shared" si="494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5"/>
        <v>48000</v>
      </c>
      <c r="ES166">
        <f t="shared" si="496"/>
        <v>48000</v>
      </c>
      <c r="ET166">
        <f t="shared" si="497"/>
        <v>459620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8"/>
        <v>0</v>
      </c>
      <c r="FC166">
        <f t="shared" si="499"/>
        <v>459620</v>
      </c>
      <c r="FD166">
        <f t="shared" si="500"/>
        <v>10481</v>
      </c>
      <c r="FE166">
        <f t="shared" si="501"/>
        <v>0</v>
      </c>
      <c r="FF166">
        <f t="shared" si="502"/>
        <v>10481</v>
      </c>
      <c r="FG166">
        <f t="shared" si="503"/>
        <v>0</v>
      </c>
      <c r="FH166">
        <f t="shared" si="504"/>
        <v>0</v>
      </c>
      <c r="FI166">
        <f t="shared" si="505"/>
        <v>0</v>
      </c>
      <c r="FJ166">
        <v>0</v>
      </c>
      <c r="FK166">
        <f t="shared" si="506"/>
        <v>0</v>
      </c>
      <c r="FL166" t="b">
        <f t="shared" si="507"/>
        <v>1</v>
      </c>
      <c r="FM166">
        <f t="shared" ca="1" si="508"/>
        <v>936</v>
      </c>
      <c r="FN166">
        <f t="shared" ca="1" si="509"/>
        <v>560956</v>
      </c>
      <c r="FO166">
        <f t="shared" si="510"/>
        <v>75000</v>
      </c>
      <c r="FP166">
        <f t="shared" ca="1" si="511"/>
        <v>485956</v>
      </c>
      <c r="FQ166">
        <f t="shared" ca="1" si="512"/>
        <v>0</v>
      </c>
      <c r="FR166">
        <f t="shared" ca="1" si="513"/>
        <v>0</v>
      </c>
      <c r="FS166">
        <f t="shared" ca="1" si="514"/>
        <v>0</v>
      </c>
      <c r="FT166">
        <f t="shared" ca="1" si="515"/>
        <v>0</v>
      </c>
      <c r="FU166">
        <f t="shared" ca="1" si="516"/>
        <v>0</v>
      </c>
      <c r="FV166">
        <f t="shared" ca="1" si="517"/>
        <v>0</v>
      </c>
      <c r="FW166">
        <f t="shared" ca="1" si="518"/>
        <v>0</v>
      </c>
      <c r="FX166">
        <f t="shared" ca="1" si="519"/>
        <v>0</v>
      </c>
      <c r="FY166">
        <f t="shared" ca="1" si="520"/>
        <v>0</v>
      </c>
      <c r="FZ166">
        <f t="shared" ca="1" si="521"/>
        <v>0</v>
      </c>
      <c r="GA166">
        <f t="shared" ca="1" si="522"/>
        <v>85956</v>
      </c>
      <c r="GB166">
        <f t="shared" ca="1" si="523"/>
        <v>4297.8</v>
      </c>
      <c r="GC166">
        <f t="shared" ca="1" si="524"/>
        <v>4298</v>
      </c>
      <c r="GD166">
        <f t="shared" ca="1" si="525"/>
        <v>0</v>
      </c>
      <c r="GE166">
        <f t="shared" ca="1" si="526"/>
        <v>0</v>
      </c>
      <c r="GF166">
        <f t="shared" ca="1" si="527"/>
        <v>4298</v>
      </c>
      <c r="GG166">
        <f t="shared" ca="1" si="528"/>
        <v>0</v>
      </c>
      <c r="GH166" t="b">
        <f t="shared" ca="1" si="529"/>
        <v>0</v>
      </c>
      <c r="GI166">
        <f t="shared" ca="1" si="530"/>
        <v>0</v>
      </c>
      <c r="GJ166">
        <f t="shared" ca="1" si="531"/>
        <v>4298</v>
      </c>
      <c r="GK166">
        <f t="shared" ca="1" si="532"/>
        <v>0</v>
      </c>
      <c r="GL166">
        <f t="shared" ca="1" si="533"/>
        <v>0</v>
      </c>
      <c r="GM166">
        <f t="shared" ca="1" si="534"/>
        <v>0</v>
      </c>
    </row>
    <row r="167" spans="1:195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537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30"/>
        <v>4690</v>
      </c>
      <c r="L167">
        <f t="shared" si="431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432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535"/>
        <v>200</v>
      </c>
      <c r="S167">
        <f t="shared" si="433"/>
        <v>39510</v>
      </c>
      <c r="T167">
        <f>_xlfn.XLOOKUP(B167,'[2]april-2025'!$A:$A,'[2]april-2025'!$C:$C,0,0)</f>
        <v>33500</v>
      </c>
      <c r="U167">
        <f t="shared" si="434"/>
        <v>6030</v>
      </c>
      <c r="V167">
        <f t="shared" si="43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3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37"/>
        <v>200</v>
      </c>
      <c r="AC167">
        <f t="shared" si="438"/>
        <v>40850</v>
      </c>
      <c r="AD167">
        <f>_xlfn.XLOOKUP(B167,'[3]may-2025'!$A:$A,'[3]may-2025'!$C:$C,0,0)</f>
        <v>33500</v>
      </c>
      <c r="AE167">
        <f t="shared" si="439"/>
        <v>6030</v>
      </c>
      <c r="AF167">
        <f t="shared" si="440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41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42"/>
        <v>200</v>
      </c>
      <c r="AM167">
        <f t="shared" si="443"/>
        <v>40850</v>
      </c>
      <c r="AN167">
        <f>_xlfn.XLOOKUP(B167,'[4]june-2025'!$A:$A,'[4]june-2025'!$C:$C,0,0)</f>
        <v>33500</v>
      </c>
      <c r="AO167">
        <f t="shared" si="444"/>
        <v>6030</v>
      </c>
      <c r="AP167">
        <f t="shared" si="445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46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47"/>
        <v>200</v>
      </c>
      <c r="AW167">
        <f t="shared" si="448"/>
        <v>40850</v>
      </c>
      <c r="AX167">
        <f>_xlfn.XLOOKUP(B167,'[5]july-2025'!$A:$A,'[5]july-2025'!$C:$C,0,0)</f>
        <v>34500</v>
      </c>
      <c r="AY167">
        <f t="shared" si="449"/>
        <v>6210</v>
      </c>
      <c r="AZ167">
        <v>0</v>
      </c>
      <c r="BA167">
        <f t="shared" si="450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451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52"/>
        <v>200</v>
      </c>
      <c r="BH167">
        <f t="shared" si="453"/>
        <v>42150</v>
      </c>
      <c r="BI167">
        <f>_xlfn.XLOOKUP(B167,'[6]august-2025'!$A:$A,'[6]august-2025'!$C:$C,0,0)</f>
        <v>34500</v>
      </c>
      <c r="BJ167">
        <f t="shared" si="454"/>
        <v>6210</v>
      </c>
      <c r="BK167">
        <f t="shared" si="455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56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457"/>
        <v>200</v>
      </c>
      <c r="BR167">
        <f t="shared" si="458"/>
        <v>42150</v>
      </c>
      <c r="BS167">
        <f>_xlfn.XLOOKUP(B167,'[7]september-2025'!$A:$A,'[7]september-2025'!$C:$C,0,0)</f>
        <v>34500</v>
      </c>
      <c r="BT167">
        <f t="shared" si="459"/>
        <v>6210</v>
      </c>
      <c r="BU167">
        <f t="shared" si="460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461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62"/>
        <v>200</v>
      </c>
      <c r="CB167">
        <f t="shared" si="463"/>
        <v>42150</v>
      </c>
      <c r="CC167">
        <f>_xlfn.XLOOKUP(B167,'[8]october-2025'!$A:$A,'[8]october-2025'!$C:$C,0,0)</f>
        <v>34500</v>
      </c>
      <c r="CD167">
        <f t="shared" si="464"/>
        <v>6210</v>
      </c>
      <c r="CE167">
        <f t="shared" si="465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466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67"/>
        <v>200</v>
      </c>
      <c r="CL167">
        <f t="shared" si="468"/>
        <v>42150</v>
      </c>
      <c r="CM167">
        <f>_xlfn.XLOOKUP(B167,'[9]november-2025'!$A:$A,'[9]november-2025'!$C:$C,0,0)</f>
        <v>34500</v>
      </c>
      <c r="CN167">
        <f t="shared" si="469"/>
        <v>6210</v>
      </c>
      <c r="CO167">
        <f t="shared" si="470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471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72"/>
        <v>200</v>
      </c>
      <c r="CV167">
        <f t="shared" si="473"/>
        <v>42150</v>
      </c>
      <c r="CW167">
        <f>_xlfn.XLOOKUP(B167,'[10]december-2025'!$A:$A,'[10]december-2025'!$C:$C,0,0)</f>
        <v>34500</v>
      </c>
      <c r="CX167">
        <f t="shared" si="474"/>
        <v>6210</v>
      </c>
      <c r="CY167">
        <f t="shared" si="475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47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77"/>
        <v>200</v>
      </c>
      <c r="DF167">
        <f t="shared" si="478"/>
        <v>42150</v>
      </c>
      <c r="DG167">
        <f>_xlfn.XLOOKUP(B167,'[11]january-2026'!$A:$A,'[11]january-2026'!$C:$C,0,0)</f>
        <v>34500</v>
      </c>
      <c r="DH167">
        <f t="shared" si="479"/>
        <v>6210</v>
      </c>
      <c r="DI167">
        <f t="shared" si="48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1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2"/>
        <v>200</v>
      </c>
      <c r="DP167">
        <f t="shared" si="483"/>
        <v>42150</v>
      </c>
      <c r="DQ167">
        <f>_xlfn.XLOOKUP(B167,'[12]february-2026'!$A:$A,'[12]february-2026'!$C:$C,0,0)</f>
        <v>34500</v>
      </c>
      <c r="DR167">
        <f t="shared" si="484"/>
        <v>6210</v>
      </c>
      <c r="DS167">
        <f t="shared" si="485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6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7"/>
        <v>200</v>
      </c>
      <c r="DZ167">
        <f t="shared" si="488"/>
        <v>42150</v>
      </c>
      <c r="EA167">
        <f t="shared" si="489"/>
        <v>544460</v>
      </c>
      <c r="EB167">
        <f t="shared" si="490"/>
        <v>2400</v>
      </c>
      <c r="EC167">
        <f t="shared" si="491"/>
        <v>50000</v>
      </c>
      <c r="ED167">
        <v>0</v>
      </c>
      <c r="EE167">
        <f t="shared" si="492"/>
        <v>492060</v>
      </c>
      <c r="EF167">
        <f t="shared" si="493"/>
        <v>36000</v>
      </c>
      <c r="EG167">
        <f t="shared" si="494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5"/>
        <v>36000</v>
      </c>
      <c r="ES167">
        <f t="shared" si="496"/>
        <v>36000</v>
      </c>
      <c r="ET167">
        <f t="shared" si="497"/>
        <v>456060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8"/>
        <v>0</v>
      </c>
      <c r="FC167">
        <f t="shared" si="499"/>
        <v>456060</v>
      </c>
      <c r="FD167">
        <f t="shared" si="500"/>
        <v>10303</v>
      </c>
      <c r="FE167">
        <f t="shared" si="501"/>
        <v>0</v>
      </c>
      <c r="FF167">
        <f t="shared" si="502"/>
        <v>10303</v>
      </c>
      <c r="FG167">
        <f t="shared" si="503"/>
        <v>0</v>
      </c>
      <c r="FH167">
        <f t="shared" si="504"/>
        <v>0</v>
      </c>
      <c r="FI167">
        <f t="shared" si="505"/>
        <v>0</v>
      </c>
      <c r="FJ167">
        <v>0</v>
      </c>
      <c r="FK167">
        <f t="shared" si="506"/>
        <v>0</v>
      </c>
      <c r="FL167" t="b">
        <f t="shared" si="507"/>
        <v>1</v>
      </c>
      <c r="FM167">
        <f t="shared" ca="1" si="508"/>
        <v>782</v>
      </c>
      <c r="FN167">
        <f t="shared" ca="1" si="509"/>
        <v>545242</v>
      </c>
      <c r="FO167">
        <f t="shared" si="510"/>
        <v>75000</v>
      </c>
      <c r="FP167">
        <f t="shared" ca="1" si="511"/>
        <v>470242</v>
      </c>
      <c r="FQ167">
        <f t="shared" ca="1" si="512"/>
        <v>0</v>
      </c>
      <c r="FR167">
        <f t="shared" ca="1" si="513"/>
        <v>0</v>
      </c>
      <c r="FS167">
        <f t="shared" ca="1" si="514"/>
        <v>0</v>
      </c>
      <c r="FT167">
        <f t="shared" ca="1" si="515"/>
        <v>0</v>
      </c>
      <c r="FU167">
        <f t="shared" ca="1" si="516"/>
        <v>0</v>
      </c>
      <c r="FV167">
        <f t="shared" ca="1" si="517"/>
        <v>0</v>
      </c>
      <c r="FW167">
        <f t="shared" ca="1" si="518"/>
        <v>0</v>
      </c>
      <c r="FX167">
        <f t="shared" ca="1" si="519"/>
        <v>0</v>
      </c>
      <c r="FY167">
        <f t="shared" ca="1" si="520"/>
        <v>0</v>
      </c>
      <c r="FZ167">
        <f t="shared" ca="1" si="521"/>
        <v>0</v>
      </c>
      <c r="GA167">
        <f t="shared" ca="1" si="522"/>
        <v>70242</v>
      </c>
      <c r="GB167">
        <f t="shared" ca="1" si="523"/>
        <v>3512.1000000000004</v>
      </c>
      <c r="GC167">
        <f t="shared" ca="1" si="524"/>
        <v>3512</v>
      </c>
      <c r="GD167">
        <f t="shared" ca="1" si="525"/>
        <v>0</v>
      </c>
      <c r="GE167">
        <f t="shared" ca="1" si="526"/>
        <v>0</v>
      </c>
      <c r="GF167">
        <f t="shared" ca="1" si="527"/>
        <v>3512</v>
      </c>
      <c r="GG167">
        <f t="shared" ca="1" si="528"/>
        <v>0</v>
      </c>
      <c r="GH167" t="b">
        <f t="shared" ca="1" si="529"/>
        <v>0</v>
      </c>
      <c r="GI167">
        <f t="shared" ca="1" si="530"/>
        <v>0</v>
      </c>
      <c r="GJ167">
        <f t="shared" ca="1" si="531"/>
        <v>3512</v>
      </c>
      <c r="GK167">
        <f t="shared" ca="1" si="532"/>
        <v>0</v>
      </c>
      <c r="GL167">
        <f t="shared" ca="1" si="533"/>
        <v>0</v>
      </c>
      <c r="GM167">
        <f t="shared" ca="1" si="534"/>
        <v>0</v>
      </c>
    </row>
    <row r="168" spans="1:195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537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30"/>
        <v>6622.0000000000009</v>
      </c>
      <c r="L168">
        <f t="shared" si="431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432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535"/>
        <v>200</v>
      </c>
      <c r="S168">
        <f t="shared" si="433"/>
        <v>56798</v>
      </c>
      <c r="T168">
        <f>_xlfn.XLOOKUP(B168,'[2]april-2025'!$A:$A,'[2]april-2025'!$C:$C,0,0)</f>
        <v>47300</v>
      </c>
      <c r="U168">
        <f t="shared" si="434"/>
        <v>8514</v>
      </c>
      <c r="V168">
        <f t="shared" si="43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3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37"/>
        <v>200</v>
      </c>
      <c r="AC168">
        <f t="shared" si="438"/>
        <v>58690</v>
      </c>
      <c r="AD168">
        <f>_xlfn.XLOOKUP(B168,'[3]may-2025'!$A:$A,'[3]may-2025'!$C:$C,0,0)</f>
        <v>47300</v>
      </c>
      <c r="AE168">
        <f t="shared" si="439"/>
        <v>8514</v>
      </c>
      <c r="AF168">
        <f t="shared" si="440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41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42"/>
        <v>200</v>
      </c>
      <c r="AM168">
        <f t="shared" si="443"/>
        <v>58690</v>
      </c>
      <c r="AN168">
        <f>_xlfn.XLOOKUP(B168,'[4]june-2025'!$A:$A,'[4]june-2025'!$C:$C,0,0)</f>
        <v>47300</v>
      </c>
      <c r="AO168">
        <f t="shared" si="444"/>
        <v>8514</v>
      </c>
      <c r="AP168">
        <f t="shared" si="445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46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47"/>
        <v>200</v>
      </c>
      <c r="AW168">
        <f t="shared" si="448"/>
        <v>58690</v>
      </c>
      <c r="AX168">
        <f>_xlfn.XLOOKUP(B168,'[5]july-2025'!$A:$A,'[5]july-2025'!$C:$C,0,0)</f>
        <v>48700</v>
      </c>
      <c r="AY168">
        <f t="shared" si="449"/>
        <v>8766</v>
      </c>
      <c r="AZ168">
        <v>0</v>
      </c>
      <c r="BA168">
        <f t="shared" si="450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451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52"/>
        <v>200</v>
      </c>
      <c r="BH168">
        <f t="shared" si="453"/>
        <v>60510</v>
      </c>
      <c r="BI168">
        <f>_xlfn.XLOOKUP(B168,'[6]august-2025'!$A:$A,'[6]august-2025'!$C:$C,0,0)</f>
        <v>48700</v>
      </c>
      <c r="BJ168">
        <f t="shared" si="454"/>
        <v>8766</v>
      </c>
      <c r="BK168">
        <f t="shared" si="455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56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457"/>
        <v>200</v>
      </c>
      <c r="BR168">
        <f t="shared" si="458"/>
        <v>60510</v>
      </c>
      <c r="BS168">
        <f>_xlfn.XLOOKUP(B168,'[7]september-2025'!$A:$A,'[7]september-2025'!$C:$C,0,0)</f>
        <v>48700</v>
      </c>
      <c r="BT168">
        <f t="shared" si="459"/>
        <v>8766</v>
      </c>
      <c r="BU168">
        <f t="shared" si="460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461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62"/>
        <v>200</v>
      </c>
      <c r="CB168">
        <f t="shared" si="463"/>
        <v>60510</v>
      </c>
      <c r="CC168">
        <f>_xlfn.XLOOKUP(B168,'[8]october-2025'!$A:$A,'[8]october-2025'!$C:$C,0,0)</f>
        <v>48700</v>
      </c>
      <c r="CD168">
        <f t="shared" si="464"/>
        <v>8766</v>
      </c>
      <c r="CE168">
        <f t="shared" si="465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466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67"/>
        <v>200</v>
      </c>
      <c r="CL168">
        <f t="shared" si="468"/>
        <v>60510</v>
      </c>
      <c r="CM168">
        <f>_xlfn.XLOOKUP(B168,'[9]november-2025'!$A:$A,'[9]november-2025'!$C:$C,0,0)</f>
        <v>48700</v>
      </c>
      <c r="CN168">
        <f t="shared" si="469"/>
        <v>8766</v>
      </c>
      <c r="CO168">
        <f t="shared" si="470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471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72"/>
        <v>200</v>
      </c>
      <c r="CV168">
        <f t="shared" si="473"/>
        <v>60510</v>
      </c>
      <c r="CW168">
        <f>_xlfn.XLOOKUP(B168,'[10]december-2025'!$A:$A,'[10]december-2025'!$C:$C,0,0)</f>
        <v>48700</v>
      </c>
      <c r="CX168">
        <f t="shared" si="474"/>
        <v>8766</v>
      </c>
      <c r="CY168">
        <f t="shared" si="475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47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77"/>
        <v>200</v>
      </c>
      <c r="DF168">
        <f t="shared" si="478"/>
        <v>60510</v>
      </c>
      <c r="DG168">
        <f>_xlfn.XLOOKUP(B168,'[11]january-2026'!$A:$A,'[11]january-2026'!$C:$C,0,0)</f>
        <v>48700</v>
      </c>
      <c r="DH168">
        <f t="shared" si="479"/>
        <v>8766</v>
      </c>
      <c r="DI168">
        <f t="shared" si="48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1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2"/>
        <v>200</v>
      </c>
      <c r="DP168">
        <f t="shared" si="483"/>
        <v>60510</v>
      </c>
      <c r="DQ168">
        <f>_xlfn.XLOOKUP(B168,'[12]february-2026'!$A:$A,'[12]february-2026'!$C:$C,0,0)</f>
        <v>48700</v>
      </c>
      <c r="DR168">
        <f t="shared" si="484"/>
        <v>8766</v>
      </c>
      <c r="DS168">
        <f t="shared" si="485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6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7"/>
        <v>200</v>
      </c>
      <c r="DZ168">
        <f t="shared" si="488"/>
        <v>60510</v>
      </c>
      <c r="EA168">
        <f t="shared" si="489"/>
        <v>762148</v>
      </c>
      <c r="EB168">
        <f t="shared" si="490"/>
        <v>2400</v>
      </c>
      <c r="EC168">
        <f t="shared" si="491"/>
        <v>50000</v>
      </c>
      <c r="ED168">
        <v>0</v>
      </c>
      <c r="EE168">
        <f t="shared" si="492"/>
        <v>709748</v>
      </c>
      <c r="EF168">
        <f t="shared" si="493"/>
        <v>36000</v>
      </c>
      <c r="EG168">
        <f t="shared" si="494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5"/>
        <v>36000</v>
      </c>
      <c r="ES168">
        <f t="shared" si="496"/>
        <v>36000</v>
      </c>
      <c r="ET168">
        <f t="shared" si="497"/>
        <v>673748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8"/>
        <v>0</v>
      </c>
      <c r="FC168">
        <f t="shared" si="499"/>
        <v>673748</v>
      </c>
      <c r="FD168">
        <f t="shared" si="500"/>
        <v>12500</v>
      </c>
      <c r="FE168">
        <f t="shared" si="501"/>
        <v>34750</v>
      </c>
      <c r="FF168">
        <f t="shared" si="502"/>
        <v>47250</v>
      </c>
      <c r="FG168">
        <f t="shared" si="503"/>
        <v>47250</v>
      </c>
      <c r="FH168">
        <f t="shared" si="504"/>
        <v>1890</v>
      </c>
      <c r="FI168">
        <f t="shared" si="505"/>
        <v>49140</v>
      </c>
      <c r="FJ168">
        <v>0</v>
      </c>
      <c r="FK168">
        <f t="shared" si="506"/>
        <v>49140</v>
      </c>
      <c r="FL168" t="b">
        <f t="shared" si="507"/>
        <v>1</v>
      </c>
      <c r="FM168">
        <f t="shared" ca="1" si="508"/>
        <v>972</v>
      </c>
      <c r="FN168">
        <f t="shared" ca="1" si="509"/>
        <v>763120</v>
      </c>
      <c r="FO168">
        <f t="shared" si="510"/>
        <v>75000</v>
      </c>
      <c r="FP168">
        <f t="shared" ca="1" si="511"/>
        <v>688120</v>
      </c>
      <c r="FQ168">
        <f t="shared" ca="1" si="512"/>
        <v>0</v>
      </c>
      <c r="FR168">
        <f t="shared" ca="1" si="513"/>
        <v>0</v>
      </c>
      <c r="FS168">
        <f t="shared" ca="1" si="514"/>
        <v>0</v>
      </c>
      <c r="FT168">
        <f t="shared" ca="1" si="515"/>
        <v>0</v>
      </c>
      <c r="FU168">
        <f t="shared" ca="1" si="516"/>
        <v>0</v>
      </c>
      <c r="FV168">
        <f t="shared" ca="1" si="517"/>
        <v>0</v>
      </c>
      <c r="FW168">
        <f t="shared" ca="1" si="518"/>
        <v>0</v>
      </c>
      <c r="FX168">
        <f t="shared" ca="1" si="519"/>
        <v>0</v>
      </c>
      <c r="FY168">
        <f t="shared" ca="1" si="520"/>
        <v>0</v>
      </c>
      <c r="FZ168">
        <f t="shared" ca="1" si="521"/>
        <v>0</v>
      </c>
      <c r="GA168">
        <f t="shared" ca="1" si="522"/>
        <v>288120</v>
      </c>
      <c r="GB168">
        <f t="shared" ca="1" si="523"/>
        <v>14406</v>
      </c>
      <c r="GC168">
        <f t="shared" ca="1" si="524"/>
        <v>14406</v>
      </c>
      <c r="GD168">
        <f t="shared" ca="1" si="525"/>
        <v>0</v>
      </c>
      <c r="GE168">
        <f t="shared" ca="1" si="526"/>
        <v>0</v>
      </c>
      <c r="GF168">
        <f t="shared" ca="1" si="527"/>
        <v>14406</v>
      </c>
      <c r="GG168">
        <f t="shared" ca="1" si="528"/>
        <v>0</v>
      </c>
      <c r="GH168" t="b">
        <f t="shared" ca="1" si="529"/>
        <v>0</v>
      </c>
      <c r="GI168">
        <f t="shared" ca="1" si="530"/>
        <v>0</v>
      </c>
      <c r="GJ168">
        <f t="shared" ca="1" si="531"/>
        <v>14406</v>
      </c>
      <c r="GK168">
        <f t="shared" ca="1" si="532"/>
        <v>0</v>
      </c>
      <c r="GL168">
        <f t="shared" ca="1" si="533"/>
        <v>0</v>
      </c>
      <c r="GM168">
        <f t="shared" ca="1" si="534"/>
        <v>0</v>
      </c>
    </row>
    <row r="169" spans="1:195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537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30"/>
        <v>4830.0000000000009</v>
      </c>
      <c r="L169">
        <f t="shared" si="431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432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535"/>
        <v>200</v>
      </c>
      <c r="S169">
        <f t="shared" si="433"/>
        <v>40270</v>
      </c>
      <c r="T169">
        <f>_xlfn.XLOOKUP(B169,'[2]april-2025'!$A:$A,'[2]april-2025'!$C:$C,0,0)</f>
        <v>34500</v>
      </c>
      <c r="U169">
        <f t="shared" si="434"/>
        <v>6210</v>
      </c>
      <c r="V169">
        <f t="shared" si="43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3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37"/>
        <v>200</v>
      </c>
      <c r="AC169">
        <f t="shared" si="438"/>
        <v>41650</v>
      </c>
      <c r="AD169">
        <f>_xlfn.XLOOKUP(B169,'[3]may-2025'!$A:$A,'[3]may-2025'!$C:$C,0,0)</f>
        <v>34500</v>
      </c>
      <c r="AE169">
        <f t="shared" si="439"/>
        <v>6210</v>
      </c>
      <c r="AF169">
        <f t="shared" si="440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41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42"/>
        <v>200</v>
      </c>
      <c r="AM169">
        <f t="shared" si="443"/>
        <v>41650</v>
      </c>
      <c r="AN169">
        <f>_xlfn.XLOOKUP(B169,'[4]june-2025'!$A:$A,'[4]june-2025'!$C:$C,0,0)</f>
        <v>34500</v>
      </c>
      <c r="AO169">
        <f t="shared" si="444"/>
        <v>6210</v>
      </c>
      <c r="AP169">
        <f t="shared" si="445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46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47"/>
        <v>200</v>
      </c>
      <c r="AW169">
        <f t="shared" si="448"/>
        <v>41650</v>
      </c>
      <c r="AX169">
        <f>_xlfn.XLOOKUP(B169,'[5]july-2025'!$A:$A,'[5]july-2025'!$C:$C,0,0)</f>
        <v>35500</v>
      </c>
      <c r="AY169">
        <f t="shared" si="449"/>
        <v>6390</v>
      </c>
      <c r="AZ169">
        <v>0</v>
      </c>
      <c r="BA169">
        <f t="shared" si="450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451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52"/>
        <v>200</v>
      </c>
      <c r="BH169">
        <f t="shared" si="453"/>
        <v>42950</v>
      </c>
      <c r="BI169">
        <f>_xlfn.XLOOKUP(B169,'[6]august-2025'!$A:$A,'[6]august-2025'!$C:$C,0,0)</f>
        <v>35500</v>
      </c>
      <c r="BJ169">
        <f t="shared" si="454"/>
        <v>6390</v>
      </c>
      <c r="BK169">
        <f t="shared" si="455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56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457"/>
        <v>200</v>
      </c>
      <c r="BR169">
        <f t="shared" si="458"/>
        <v>42950</v>
      </c>
      <c r="BS169">
        <f>_xlfn.XLOOKUP(B169,'[7]september-2025'!$A:$A,'[7]september-2025'!$C:$C,0,0)</f>
        <v>35500</v>
      </c>
      <c r="BT169">
        <f t="shared" si="459"/>
        <v>6390</v>
      </c>
      <c r="BU169">
        <f t="shared" si="460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461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62"/>
        <v>200</v>
      </c>
      <c r="CB169">
        <f t="shared" si="463"/>
        <v>42950</v>
      </c>
      <c r="CC169">
        <f>_xlfn.XLOOKUP(B169,'[8]october-2025'!$A:$A,'[8]october-2025'!$C:$C,0,0)</f>
        <v>35500</v>
      </c>
      <c r="CD169">
        <f t="shared" si="464"/>
        <v>6390</v>
      </c>
      <c r="CE169">
        <f t="shared" si="465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466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67"/>
        <v>200</v>
      </c>
      <c r="CL169">
        <f t="shared" si="468"/>
        <v>42950</v>
      </c>
      <c r="CM169">
        <f>_xlfn.XLOOKUP(B169,'[9]november-2025'!$A:$A,'[9]november-2025'!$C:$C,0,0)</f>
        <v>35500</v>
      </c>
      <c r="CN169">
        <f t="shared" si="469"/>
        <v>6390</v>
      </c>
      <c r="CO169">
        <f t="shared" si="470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471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72"/>
        <v>200</v>
      </c>
      <c r="CV169">
        <f t="shared" si="473"/>
        <v>42950</v>
      </c>
      <c r="CW169">
        <f>_xlfn.XLOOKUP(B169,'[10]december-2025'!$A:$A,'[10]december-2025'!$C:$C,0,0)</f>
        <v>35500</v>
      </c>
      <c r="CX169">
        <f t="shared" si="474"/>
        <v>6390</v>
      </c>
      <c r="CY169">
        <f t="shared" si="475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47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77"/>
        <v>200</v>
      </c>
      <c r="DF169">
        <f t="shared" si="478"/>
        <v>42950</v>
      </c>
      <c r="DG169">
        <f>_xlfn.XLOOKUP(B169,'[11]january-2026'!$A:$A,'[11]january-2026'!$C:$C,0,0)</f>
        <v>35500</v>
      </c>
      <c r="DH169">
        <f t="shared" si="479"/>
        <v>6390</v>
      </c>
      <c r="DI169">
        <f t="shared" si="48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1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2"/>
        <v>200</v>
      </c>
      <c r="DP169">
        <f t="shared" si="483"/>
        <v>42950</v>
      </c>
      <c r="DQ169">
        <f>_xlfn.XLOOKUP(B169,'[12]february-2026'!$A:$A,'[12]february-2026'!$C:$C,0,0)</f>
        <v>35500</v>
      </c>
      <c r="DR169">
        <f t="shared" si="484"/>
        <v>6390</v>
      </c>
      <c r="DS169">
        <f t="shared" si="485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6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7"/>
        <v>200</v>
      </c>
      <c r="DZ169">
        <f t="shared" si="488"/>
        <v>42950</v>
      </c>
      <c r="EA169">
        <f t="shared" si="489"/>
        <v>554020</v>
      </c>
      <c r="EB169">
        <f t="shared" si="490"/>
        <v>2400</v>
      </c>
      <c r="EC169">
        <f t="shared" si="491"/>
        <v>50000</v>
      </c>
      <c r="ED169">
        <v>0</v>
      </c>
      <c r="EE169">
        <f t="shared" si="492"/>
        <v>501620</v>
      </c>
      <c r="EF169">
        <f t="shared" si="493"/>
        <v>36000</v>
      </c>
      <c r="EG169">
        <f t="shared" si="494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5"/>
        <v>36000</v>
      </c>
      <c r="ES169">
        <f t="shared" si="496"/>
        <v>36000</v>
      </c>
      <c r="ET169">
        <f t="shared" si="497"/>
        <v>465620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8"/>
        <v>0</v>
      </c>
      <c r="FC169">
        <f t="shared" si="499"/>
        <v>465620</v>
      </c>
      <c r="FD169">
        <f t="shared" si="500"/>
        <v>10781</v>
      </c>
      <c r="FE169">
        <f t="shared" si="501"/>
        <v>0</v>
      </c>
      <c r="FF169">
        <f t="shared" si="502"/>
        <v>10781</v>
      </c>
      <c r="FG169">
        <f t="shared" si="503"/>
        <v>0</v>
      </c>
      <c r="FH169">
        <f t="shared" si="504"/>
        <v>0</v>
      </c>
      <c r="FI169">
        <f t="shared" si="505"/>
        <v>0</v>
      </c>
      <c r="FJ169">
        <v>0</v>
      </c>
      <c r="FK169">
        <f t="shared" si="506"/>
        <v>0</v>
      </c>
      <c r="FL169" t="b">
        <f t="shared" si="507"/>
        <v>1</v>
      </c>
      <c r="FM169">
        <f t="shared" ca="1" si="508"/>
        <v>726</v>
      </c>
      <c r="FN169">
        <f t="shared" ca="1" si="509"/>
        <v>554746</v>
      </c>
      <c r="FO169">
        <f t="shared" si="510"/>
        <v>75000</v>
      </c>
      <c r="FP169">
        <f t="shared" ca="1" si="511"/>
        <v>479746</v>
      </c>
      <c r="FQ169">
        <f t="shared" ca="1" si="512"/>
        <v>0</v>
      </c>
      <c r="FR169">
        <f t="shared" ca="1" si="513"/>
        <v>0</v>
      </c>
      <c r="FS169">
        <f t="shared" ca="1" si="514"/>
        <v>0</v>
      </c>
      <c r="FT169">
        <f t="shared" ca="1" si="515"/>
        <v>0</v>
      </c>
      <c r="FU169">
        <f t="shared" ca="1" si="516"/>
        <v>0</v>
      </c>
      <c r="FV169">
        <f t="shared" ca="1" si="517"/>
        <v>0</v>
      </c>
      <c r="FW169">
        <f t="shared" ca="1" si="518"/>
        <v>0</v>
      </c>
      <c r="FX169">
        <f t="shared" ca="1" si="519"/>
        <v>0</v>
      </c>
      <c r="FY169">
        <f t="shared" ca="1" si="520"/>
        <v>0</v>
      </c>
      <c r="FZ169">
        <f t="shared" ca="1" si="521"/>
        <v>0</v>
      </c>
      <c r="GA169">
        <f t="shared" ca="1" si="522"/>
        <v>79746</v>
      </c>
      <c r="GB169">
        <f t="shared" ca="1" si="523"/>
        <v>3987.3</v>
      </c>
      <c r="GC169">
        <f t="shared" ca="1" si="524"/>
        <v>3987</v>
      </c>
      <c r="GD169">
        <f t="shared" ca="1" si="525"/>
        <v>0</v>
      </c>
      <c r="GE169">
        <f t="shared" ca="1" si="526"/>
        <v>0</v>
      </c>
      <c r="GF169">
        <f t="shared" ca="1" si="527"/>
        <v>3987</v>
      </c>
      <c r="GG169">
        <f t="shared" ca="1" si="528"/>
        <v>0</v>
      </c>
      <c r="GH169" t="b">
        <f t="shared" ca="1" si="529"/>
        <v>0</v>
      </c>
      <c r="GI169">
        <f t="shared" ca="1" si="530"/>
        <v>0</v>
      </c>
      <c r="GJ169">
        <f t="shared" ca="1" si="531"/>
        <v>3987</v>
      </c>
      <c r="GK169">
        <f t="shared" ca="1" si="532"/>
        <v>0</v>
      </c>
      <c r="GL169">
        <f t="shared" ca="1" si="533"/>
        <v>0</v>
      </c>
      <c r="GM169">
        <f t="shared" ca="1" si="534"/>
        <v>0</v>
      </c>
    </row>
    <row r="170" spans="1:195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537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30"/>
        <v>4830.0000000000009</v>
      </c>
      <c r="L170">
        <f t="shared" si="431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432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535"/>
        <v>200</v>
      </c>
      <c r="S170">
        <f t="shared" si="433"/>
        <v>40770</v>
      </c>
      <c r="T170">
        <f>_xlfn.XLOOKUP(B170,'[2]april-2025'!$A:$A,'[2]april-2025'!$C:$C,0,0)</f>
        <v>34500</v>
      </c>
      <c r="U170">
        <f t="shared" si="434"/>
        <v>6210</v>
      </c>
      <c r="V170">
        <f t="shared" si="43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3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37"/>
        <v>200</v>
      </c>
      <c r="AC170">
        <f t="shared" si="438"/>
        <v>42150</v>
      </c>
      <c r="AD170">
        <f>_xlfn.XLOOKUP(B170,'[3]may-2025'!$A:$A,'[3]may-2025'!$C:$C,0,0)</f>
        <v>34500</v>
      </c>
      <c r="AE170">
        <f t="shared" si="439"/>
        <v>6210</v>
      </c>
      <c r="AF170">
        <f t="shared" si="440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41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42"/>
        <v>200</v>
      </c>
      <c r="AM170">
        <f t="shared" si="443"/>
        <v>42150</v>
      </c>
      <c r="AN170">
        <f>_xlfn.XLOOKUP(B170,'[4]june-2025'!$A:$A,'[4]june-2025'!$C:$C,0,0)</f>
        <v>34500</v>
      </c>
      <c r="AO170">
        <f t="shared" si="444"/>
        <v>6210</v>
      </c>
      <c r="AP170">
        <f t="shared" si="445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46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47"/>
        <v>200</v>
      </c>
      <c r="AW170">
        <f t="shared" si="448"/>
        <v>42150</v>
      </c>
      <c r="AX170">
        <f>_xlfn.XLOOKUP(B170,'[5]july-2025'!$A:$A,'[5]july-2025'!$C:$C,0,0)</f>
        <v>35500</v>
      </c>
      <c r="AY170">
        <f t="shared" si="449"/>
        <v>6390</v>
      </c>
      <c r="AZ170">
        <v>0</v>
      </c>
      <c r="BA170">
        <f t="shared" si="450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451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52"/>
        <v>200</v>
      </c>
      <c r="BH170">
        <f t="shared" si="453"/>
        <v>43450</v>
      </c>
      <c r="BI170">
        <f>_xlfn.XLOOKUP(B170,'[6]august-2025'!$A:$A,'[6]august-2025'!$C:$C,0,0)</f>
        <v>35500</v>
      </c>
      <c r="BJ170">
        <f t="shared" si="454"/>
        <v>6390</v>
      </c>
      <c r="BK170">
        <f t="shared" si="455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56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457"/>
        <v>200</v>
      </c>
      <c r="BR170">
        <f t="shared" si="458"/>
        <v>43450</v>
      </c>
      <c r="BS170">
        <f>_xlfn.XLOOKUP(B170,'[7]september-2025'!$A:$A,'[7]september-2025'!$C:$C,0,0)</f>
        <v>35500</v>
      </c>
      <c r="BT170">
        <f t="shared" si="459"/>
        <v>6390</v>
      </c>
      <c r="BU170">
        <f t="shared" si="460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461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62"/>
        <v>200</v>
      </c>
      <c r="CB170">
        <f t="shared" si="463"/>
        <v>43450</v>
      </c>
      <c r="CC170">
        <f>_xlfn.XLOOKUP(B170,'[8]october-2025'!$A:$A,'[8]october-2025'!$C:$C,0,0)</f>
        <v>35500</v>
      </c>
      <c r="CD170">
        <f t="shared" si="464"/>
        <v>6390</v>
      </c>
      <c r="CE170">
        <f t="shared" si="465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466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67"/>
        <v>200</v>
      </c>
      <c r="CL170">
        <f t="shared" si="468"/>
        <v>43450</v>
      </c>
      <c r="CM170">
        <f>_xlfn.XLOOKUP(B170,'[9]november-2025'!$A:$A,'[9]november-2025'!$C:$C,0,0)</f>
        <v>35500</v>
      </c>
      <c r="CN170">
        <f t="shared" si="469"/>
        <v>6390</v>
      </c>
      <c r="CO170">
        <f t="shared" si="470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471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72"/>
        <v>200</v>
      </c>
      <c r="CV170">
        <f t="shared" si="473"/>
        <v>43450</v>
      </c>
      <c r="CW170">
        <f>_xlfn.XLOOKUP(B170,'[10]december-2025'!$A:$A,'[10]december-2025'!$C:$C,0,0)</f>
        <v>35500</v>
      </c>
      <c r="CX170">
        <f t="shared" si="474"/>
        <v>6390</v>
      </c>
      <c r="CY170">
        <f t="shared" si="475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47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77"/>
        <v>200</v>
      </c>
      <c r="DF170">
        <f t="shared" si="478"/>
        <v>43450</v>
      </c>
      <c r="DG170">
        <f>_xlfn.XLOOKUP(B170,'[11]january-2026'!$A:$A,'[11]january-2026'!$C:$C,0,0)</f>
        <v>35500</v>
      </c>
      <c r="DH170">
        <f t="shared" si="479"/>
        <v>6390</v>
      </c>
      <c r="DI170">
        <f t="shared" si="48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1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2"/>
        <v>200</v>
      </c>
      <c r="DP170">
        <f t="shared" si="483"/>
        <v>43450</v>
      </c>
      <c r="DQ170">
        <f>_xlfn.XLOOKUP(B170,'[12]february-2026'!$A:$A,'[12]february-2026'!$C:$C,0,0)</f>
        <v>35500</v>
      </c>
      <c r="DR170">
        <f t="shared" si="484"/>
        <v>6390</v>
      </c>
      <c r="DS170">
        <f t="shared" si="485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6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7"/>
        <v>200</v>
      </c>
      <c r="DZ170">
        <f t="shared" si="488"/>
        <v>43450</v>
      </c>
      <c r="EA170">
        <f t="shared" si="489"/>
        <v>560020</v>
      </c>
      <c r="EB170">
        <f t="shared" si="490"/>
        <v>2400</v>
      </c>
      <c r="EC170">
        <f t="shared" si="491"/>
        <v>50000</v>
      </c>
      <c r="ED170">
        <v>0</v>
      </c>
      <c r="EE170">
        <f t="shared" si="492"/>
        <v>507620</v>
      </c>
      <c r="EF170">
        <f t="shared" si="493"/>
        <v>36000</v>
      </c>
      <c r="EG170">
        <f t="shared" si="494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5"/>
        <v>36000</v>
      </c>
      <c r="ES170">
        <f t="shared" si="496"/>
        <v>36000</v>
      </c>
      <c r="ET170">
        <f t="shared" si="497"/>
        <v>471620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8"/>
        <v>0</v>
      </c>
      <c r="FC170">
        <f t="shared" si="499"/>
        <v>471620</v>
      </c>
      <c r="FD170">
        <f t="shared" si="500"/>
        <v>11081</v>
      </c>
      <c r="FE170">
        <f t="shared" si="501"/>
        <v>0</v>
      </c>
      <c r="FF170">
        <f t="shared" si="502"/>
        <v>11081</v>
      </c>
      <c r="FG170">
        <f t="shared" si="503"/>
        <v>0</v>
      </c>
      <c r="FH170">
        <f t="shared" si="504"/>
        <v>0</v>
      </c>
      <c r="FI170">
        <f t="shared" si="505"/>
        <v>0</v>
      </c>
      <c r="FJ170">
        <v>0</v>
      </c>
      <c r="FK170">
        <f t="shared" si="506"/>
        <v>0</v>
      </c>
      <c r="FL170" t="b">
        <f t="shared" si="507"/>
        <v>1</v>
      </c>
      <c r="FM170">
        <f t="shared" ca="1" si="508"/>
        <v>908</v>
      </c>
      <c r="FN170">
        <f t="shared" ca="1" si="509"/>
        <v>560928</v>
      </c>
      <c r="FO170">
        <f t="shared" si="510"/>
        <v>75000</v>
      </c>
      <c r="FP170">
        <f t="shared" ca="1" si="511"/>
        <v>485928</v>
      </c>
      <c r="FQ170">
        <f t="shared" ca="1" si="512"/>
        <v>0</v>
      </c>
      <c r="FR170">
        <f t="shared" ca="1" si="513"/>
        <v>0</v>
      </c>
      <c r="FS170">
        <f t="shared" ca="1" si="514"/>
        <v>0</v>
      </c>
      <c r="FT170">
        <f t="shared" ca="1" si="515"/>
        <v>0</v>
      </c>
      <c r="FU170">
        <f t="shared" ca="1" si="516"/>
        <v>0</v>
      </c>
      <c r="FV170">
        <f t="shared" ca="1" si="517"/>
        <v>0</v>
      </c>
      <c r="FW170">
        <f t="shared" ca="1" si="518"/>
        <v>0</v>
      </c>
      <c r="FX170">
        <f t="shared" ca="1" si="519"/>
        <v>0</v>
      </c>
      <c r="FY170">
        <f t="shared" ca="1" si="520"/>
        <v>0</v>
      </c>
      <c r="FZ170">
        <f t="shared" ca="1" si="521"/>
        <v>0</v>
      </c>
      <c r="GA170">
        <f t="shared" ca="1" si="522"/>
        <v>85928</v>
      </c>
      <c r="GB170">
        <f t="shared" ca="1" si="523"/>
        <v>4296.4000000000005</v>
      </c>
      <c r="GC170">
        <f t="shared" ca="1" si="524"/>
        <v>4296</v>
      </c>
      <c r="GD170">
        <f t="shared" ca="1" si="525"/>
        <v>0</v>
      </c>
      <c r="GE170">
        <f t="shared" ca="1" si="526"/>
        <v>0</v>
      </c>
      <c r="GF170">
        <f t="shared" ca="1" si="527"/>
        <v>4296</v>
      </c>
      <c r="GG170">
        <f t="shared" ca="1" si="528"/>
        <v>0</v>
      </c>
      <c r="GH170" t="b">
        <f t="shared" ca="1" si="529"/>
        <v>0</v>
      </c>
      <c r="GI170">
        <f t="shared" ca="1" si="530"/>
        <v>0</v>
      </c>
      <c r="GJ170">
        <f t="shared" ca="1" si="531"/>
        <v>4296</v>
      </c>
      <c r="GK170">
        <f t="shared" ca="1" si="532"/>
        <v>0</v>
      </c>
      <c r="GL170">
        <f t="shared" ca="1" si="533"/>
        <v>0</v>
      </c>
      <c r="GM170">
        <f t="shared" ca="1" si="534"/>
        <v>0</v>
      </c>
    </row>
    <row r="171" spans="1:195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537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30"/>
        <v>3780.0000000000005</v>
      </c>
      <c r="L171">
        <f t="shared" si="431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432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535"/>
        <v>150</v>
      </c>
      <c r="S171">
        <f t="shared" si="433"/>
        <v>32370</v>
      </c>
      <c r="T171">
        <f>_xlfn.XLOOKUP(B171,'[2]april-2025'!$A:$A,'[2]april-2025'!$C:$C,0,0)</f>
        <v>27000</v>
      </c>
      <c r="U171">
        <f t="shared" si="434"/>
        <v>4860</v>
      </c>
      <c r="V171">
        <f t="shared" si="43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3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37"/>
        <v>150</v>
      </c>
      <c r="AC171">
        <f t="shared" si="438"/>
        <v>33450</v>
      </c>
      <c r="AD171">
        <f>_xlfn.XLOOKUP(B171,'[3]may-2025'!$A:$A,'[3]may-2025'!$C:$C,0,0)</f>
        <v>27000</v>
      </c>
      <c r="AE171">
        <f t="shared" si="439"/>
        <v>4860</v>
      </c>
      <c r="AF171">
        <f t="shared" si="440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41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42"/>
        <v>150</v>
      </c>
      <c r="AM171">
        <f t="shared" si="443"/>
        <v>33450</v>
      </c>
      <c r="AN171">
        <f>_xlfn.XLOOKUP(B171,'[4]june-2025'!$A:$A,'[4]june-2025'!$C:$C,0,0)</f>
        <v>27000</v>
      </c>
      <c r="AO171">
        <f t="shared" si="444"/>
        <v>4860</v>
      </c>
      <c r="AP171">
        <f t="shared" si="445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46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47"/>
        <v>150</v>
      </c>
      <c r="AW171">
        <f t="shared" si="448"/>
        <v>33450</v>
      </c>
      <c r="AX171">
        <f>_xlfn.XLOOKUP(B171,'[5]july-2025'!$A:$A,'[5]july-2025'!$C:$C,0,0)</f>
        <v>0</v>
      </c>
      <c r="AY171">
        <f t="shared" si="449"/>
        <v>0</v>
      </c>
      <c r="AZ171">
        <v>0</v>
      </c>
      <c r="BA171">
        <f t="shared" si="450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451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52"/>
        <v>0</v>
      </c>
      <c r="BH171">
        <f t="shared" si="453"/>
        <v>0</v>
      </c>
      <c r="BI171">
        <f>_xlfn.XLOOKUP(B171,'[6]august-2025'!$A:$A,'[6]august-2025'!$C:$C,0,0)</f>
        <v>0</v>
      </c>
      <c r="BJ171">
        <f t="shared" si="454"/>
        <v>0</v>
      </c>
      <c r="BK171">
        <f t="shared" si="455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56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457"/>
        <v>0</v>
      </c>
      <c r="BR171">
        <f t="shared" si="458"/>
        <v>0</v>
      </c>
      <c r="BS171">
        <f>_xlfn.XLOOKUP(B171,'[7]september-2025'!$A:$A,'[7]september-2025'!$C:$C,0,0)</f>
        <v>0</v>
      </c>
      <c r="BT171">
        <f t="shared" si="459"/>
        <v>0</v>
      </c>
      <c r="BU171">
        <f t="shared" si="460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461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62"/>
        <v>0</v>
      </c>
      <c r="CB171">
        <f t="shared" si="463"/>
        <v>0</v>
      </c>
      <c r="CC171">
        <f>_xlfn.XLOOKUP(B171,'[8]october-2025'!$A:$A,'[8]october-2025'!$C:$C,0,0)</f>
        <v>0</v>
      </c>
      <c r="CD171">
        <f t="shared" si="464"/>
        <v>0</v>
      </c>
      <c r="CE171">
        <f t="shared" si="465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466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67"/>
        <v>0</v>
      </c>
      <c r="CL171">
        <f t="shared" si="468"/>
        <v>0</v>
      </c>
      <c r="CM171">
        <f>_xlfn.XLOOKUP(B171,'[9]november-2025'!$A:$A,'[9]november-2025'!$C:$C,0,0)</f>
        <v>0</v>
      </c>
      <c r="CN171">
        <f t="shared" si="469"/>
        <v>0</v>
      </c>
      <c r="CO171">
        <f t="shared" si="470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471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72"/>
        <v>0</v>
      </c>
      <c r="CV171">
        <f t="shared" si="473"/>
        <v>0</v>
      </c>
      <c r="CW171">
        <f>_xlfn.XLOOKUP(B171,'[10]december-2025'!$A:$A,'[10]december-2025'!$C:$C,0,0)</f>
        <v>0</v>
      </c>
      <c r="CX171">
        <f t="shared" si="474"/>
        <v>0</v>
      </c>
      <c r="CY171">
        <f t="shared" si="475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47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77"/>
        <v>0</v>
      </c>
      <c r="DF171">
        <f t="shared" si="478"/>
        <v>0</v>
      </c>
      <c r="DG171">
        <f>_xlfn.XLOOKUP(B171,'[11]january-2026'!$A:$A,'[11]january-2026'!$C:$C,0,0)</f>
        <v>0</v>
      </c>
      <c r="DH171">
        <f t="shared" si="479"/>
        <v>0</v>
      </c>
      <c r="DI171">
        <f t="shared" si="48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1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2"/>
        <v>0</v>
      </c>
      <c r="DP171">
        <f t="shared" si="483"/>
        <v>0</v>
      </c>
      <c r="DQ171">
        <f>_xlfn.XLOOKUP(B171,'[12]february-2026'!$A:$A,'[12]february-2026'!$C:$C,0,0)</f>
        <v>0</v>
      </c>
      <c r="DR171">
        <f t="shared" si="484"/>
        <v>0</v>
      </c>
      <c r="DS171">
        <f t="shared" si="485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6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7"/>
        <v>0</v>
      </c>
      <c r="DZ171">
        <f t="shared" si="488"/>
        <v>0</v>
      </c>
      <c r="EA171">
        <f t="shared" si="489"/>
        <v>148120</v>
      </c>
      <c r="EB171">
        <f t="shared" si="490"/>
        <v>600</v>
      </c>
      <c r="EC171">
        <f t="shared" si="491"/>
        <v>50000</v>
      </c>
      <c r="ED171">
        <v>0</v>
      </c>
      <c r="EE171">
        <f t="shared" si="492"/>
        <v>97520</v>
      </c>
      <c r="EF171">
        <f t="shared" si="493"/>
        <v>8000</v>
      </c>
      <c r="EG171">
        <f t="shared" si="494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5"/>
        <v>8000</v>
      </c>
      <c r="ES171">
        <f t="shared" si="496"/>
        <v>8000</v>
      </c>
      <c r="ET171">
        <f t="shared" si="497"/>
        <v>89520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8"/>
        <v>0</v>
      </c>
      <c r="FC171">
        <f t="shared" si="499"/>
        <v>89520</v>
      </c>
      <c r="FD171">
        <f t="shared" si="500"/>
        <v>-8024</v>
      </c>
      <c r="FE171">
        <f t="shared" si="501"/>
        <v>0</v>
      </c>
      <c r="FF171">
        <f t="shared" si="502"/>
        <v>-8024</v>
      </c>
      <c r="FG171">
        <f t="shared" si="503"/>
        <v>0</v>
      </c>
      <c r="FH171">
        <f t="shared" si="504"/>
        <v>0</v>
      </c>
      <c r="FI171">
        <f t="shared" si="505"/>
        <v>0</v>
      </c>
      <c r="FJ171">
        <v>0</v>
      </c>
      <c r="FK171">
        <f t="shared" si="506"/>
        <v>0</v>
      </c>
      <c r="FL171" t="b">
        <f t="shared" si="507"/>
        <v>0</v>
      </c>
      <c r="FM171">
        <f t="shared" ca="1" si="508"/>
        <v>2525</v>
      </c>
      <c r="FN171">
        <f t="shared" ca="1" si="509"/>
        <v>150645</v>
      </c>
      <c r="FO171">
        <f t="shared" si="510"/>
        <v>75000</v>
      </c>
      <c r="FP171">
        <f t="shared" ca="1" si="511"/>
        <v>75645</v>
      </c>
      <c r="FQ171">
        <f t="shared" ca="1" si="512"/>
        <v>0</v>
      </c>
      <c r="FR171">
        <f t="shared" ca="1" si="513"/>
        <v>0</v>
      </c>
      <c r="FS171">
        <f t="shared" ca="1" si="514"/>
        <v>0</v>
      </c>
      <c r="FT171">
        <f t="shared" ca="1" si="515"/>
        <v>0</v>
      </c>
      <c r="FU171">
        <f t="shared" ca="1" si="516"/>
        <v>0</v>
      </c>
      <c r="FV171">
        <f t="shared" ca="1" si="517"/>
        <v>0</v>
      </c>
      <c r="FW171">
        <f t="shared" ca="1" si="518"/>
        <v>0</v>
      </c>
      <c r="FX171">
        <f t="shared" ca="1" si="519"/>
        <v>0</v>
      </c>
      <c r="FY171">
        <f t="shared" ca="1" si="520"/>
        <v>0</v>
      </c>
      <c r="FZ171">
        <f t="shared" ca="1" si="521"/>
        <v>0</v>
      </c>
      <c r="GA171">
        <f t="shared" ca="1" si="522"/>
        <v>0</v>
      </c>
      <c r="GB171">
        <f t="shared" ca="1" si="523"/>
        <v>0</v>
      </c>
      <c r="GC171">
        <f t="shared" ca="1" si="524"/>
        <v>0</v>
      </c>
      <c r="GD171">
        <f t="shared" ca="1" si="525"/>
        <v>0</v>
      </c>
      <c r="GE171">
        <f t="shared" ca="1" si="526"/>
        <v>0</v>
      </c>
      <c r="GF171">
        <f t="shared" ca="1" si="527"/>
        <v>0</v>
      </c>
      <c r="GG171">
        <f t="shared" ca="1" si="528"/>
        <v>0</v>
      </c>
      <c r="GH171" t="b">
        <f t="shared" ca="1" si="529"/>
        <v>0</v>
      </c>
      <c r="GI171">
        <f t="shared" ca="1" si="530"/>
        <v>0</v>
      </c>
      <c r="GJ171">
        <f t="shared" ca="1" si="531"/>
        <v>0</v>
      </c>
      <c r="GK171">
        <f t="shared" ca="1" si="532"/>
        <v>0</v>
      </c>
      <c r="GL171">
        <f t="shared" ca="1" si="533"/>
        <v>0</v>
      </c>
      <c r="GM171">
        <f t="shared" ca="1" si="534"/>
        <v>0</v>
      </c>
    </row>
    <row r="172" spans="1:195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537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30"/>
        <v>4424</v>
      </c>
      <c r="L172">
        <f t="shared" si="431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432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535"/>
        <v>200</v>
      </c>
      <c r="S172">
        <f t="shared" si="433"/>
        <v>38116</v>
      </c>
      <c r="T172">
        <f>_xlfn.XLOOKUP(B172,'[2]april-2025'!$A:$A,'[2]april-2025'!$C:$C,0,0)</f>
        <v>31600</v>
      </c>
      <c r="U172">
        <f t="shared" si="434"/>
        <v>5688</v>
      </c>
      <c r="V172">
        <f t="shared" si="43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3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37"/>
        <v>200</v>
      </c>
      <c r="AC172">
        <f t="shared" si="438"/>
        <v>39380</v>
      </c>
      <c r="AD172">
        <f>_xlfn.XLOOKUP(B172,'[3]may-2025'!$A:$A,'[3]may-2025'!$C:$C,0,0)</f>
        <v>31600</v>
      </c>
      <c r="AE172">
        <f t="shared" si="439"/>
        <v>5688</v>
      </c>
      <c r="AF172">
        <f t="shared" si="440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41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42"/>
        <v>200</v>
      </c>
      <c r="AM172">
        <f t="shared" si="443"/>
        <v>39380</v>
      </c>
      <c r="AN172">
        <f>_xlfn.XLOOKUP(B172,'[4]june-2025'!$A:$A,'[4]june-2025'!$C:$C,0,0)</f>
        <v>31600</v>
      </c>
      <c r="AO172">
        <f t="shared" si="444"/>
        <v>5688</v>
      </c>
      <c r="AP172">
        <f t="shared" si="445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46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47"/>
        <v>200</v>
      </c>
      <c r="AW172">
        <f t="shared" si="448"/>
        <v>39380</v>
      </c>
      <c r="AX172">
        <f>_xlfn.XLOOKUP(B172,'[5]july-2025'!$A:$A,'[5]july-2025'!$C:$C,0,0)</f>
        <v>32500</v>
      </c>
      <c r="AY172">
        <f t="shared" si="449"/>
        <v>5850</v>
      </c>
      <c r="AZ172">
        <v>0</v>
      </c>
      <c r="BA172">
        <f t="shared" si="450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451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52"/>
        <v>200</v>
      </c>
      <c r="BH172">
        <f t="shared" si="453"/>
        <v>40550</v>
      </c>
      <c r="BI172">
        <f>_xlfn.XLOOKUP(B172,'[6]august-2025'!$A:$A,'[6]august-2025'!$C:$C,0,0)</f>
        <v>32500</v>
      </c>
      <c r="BJ172">
        <f t="shared" si="454"/>
        <v>5850</v>
      </c>
      <c r="BK172">
        <f t="shared" si="455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56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457"/>
        <v>200</v>
      </c>
      <c r="BR172">
        <f t="shared" si="458"/>
        <v>40550</v>
      </c>
      <c r="BS172">
        <f>_xlfn.XLOOKUP(B172,'[7]september-2025'!$A:$A,'[7]september-2025'!$C:$C,0,0)</f>
        <v>32500</v>
      </c>
      <c r="BT172">
        <f t="shared" si="459"/>
        <v>5850</v>
      </c>
      <c r="BU172">
        <f t="shared" si="460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461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62"/>
        <v>200</v>
      </c>
      <c r="CB172">
        <f t="shared" si="463"/>
        <v>40550</v>
      </c>
      <c r="CC172">
        <f>_xlfn.XLOOKUP(B172,'[8]october-2025'!$A:$A,'[8]october-2025'!$C:$C,0,0)</f>
        <v>32500</v>
      </c>
      <c r="CD172">
        <f t="shared" si="464"/>
        <v>5850</v>
      </c>
      <c r="CE172">
        <f t="shared" si="465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466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67"/>
        <v>200</v>
      </c>
      <c r="CL172">
        <f t="shared" si="468"/>
        <v>40550</v>
      </c>
      <c r="CM172">
        <f>_xlfn.XLOOKUP(B172,'[9]november-2025'!$A:$A,'[9]november-2025'!$C:$C,0,0)</f>
        <v>32500</v>
      </c>
      <c r="CN172">
        <f t="shared" si="469"/>
        <v>5850</v>
      </c>
      <c r="CO172">
        <f t="shared" si="470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471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72"/>
        <v>200</v>
      </c>
      <c r="CV172">
        <f t="shared" si="473"/>
        <v>40550</v>
      </c>
      <c r="CW172">
        <f>_xlfn.XLOOKUP(B172,'[10]december-2025'!$A:$A,'[10]december-2025'!$C:$C,0,0)</f>
        <v>32500</v>
      </c>
      <c r="CX172">
        <f t="shared" si="474"/>
        <v>5850</v>
      </c>
      <c r="CY172">
        <f t="shared" si="475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47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77"/>
        <v>200</v>
      </c>
      <c r="DF172">
        <f t="shared" si="478"/>
        <v>40550</v>
      </c>
      <c r="DG172">
        <f>_xlfn.XLOOKUP(B172,'[11]january-2026'!$A:$A,'[11]january-2026'!$C:$C,0,0)</f>
        <v>32500</v>
      </c>
      <c r="DH172">
        <f t="shared" si="479"/>
        <v>5850</v>
      </c>
      <c r="DI172">
        <f t="shared" si="48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1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2"/>
        <v>200</v>
      </c>
      <c r="DP172">
        <f t="shared" si="483"/>
        <v>40550</v>
      </c>
      <c r="DQ172">
        <f>_xlfn.XLOOKUP(B172,'[12]february-2026'!$A:$A,'[12]february-2026'!$C:$C,0,0)</f>
        <v>32500</v>
      </c>
      <c r="DR172">
        <f t="shared" si="484"/>
        <v>5850</v>
      </c>
      <c r="DS172">
        <f t="shared" si="485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6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7"/>
        <v>200</v>
      </c>
      <c r="DZ172">
        <f t="shared" si="488"/>
        <v>40550</v>
      </c>
      <c r="EA172">
        <f t="shared" si="489"/>
        <v>513856</v>
      </c>
      <c r="EB172">
        <f t="shared" si="490"/>
        <v>2400</v>
      </c>
      <c r="EC172">
        <f t="shared" si="491"/>
        <v>50000</v>
      </c>
      <c r="ED172">
        <v>0</v>
      </c>
      <c r="EE172">
        <f t="shared" si="492"/>
        <v>461456</v>
      </c>
      <c r="EF172">
        <f t="shared" si="493"/>
        <v>24000</v>
      </c>
      <c r="EG172">
        <f t="shared" si="494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5"/>
        <v>24000</v>
      </c>
      <c r="ES172">
        <f t="shared" si="496"/>
        <v>24000</v>
      </c>
      <c r="ET172">
        <f t="shared" si="497"/>
        <v>437456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8"/>
        <v>0</v>
      </c>
      <c r="FC172">
        <f t="shared" si="499"/>
        <v>437456</v>
      </c>
      <c r="FD172">
        <f t="shared" si="500"/>
        <v>9373</v>
      </c>
      <c r="FE172">
        <f t="shared" si="501"/>
        <v>0</v>
      </c>
      <c r="FF172">
        <f t="shared" si="502"/>
        <v>9373</v>
      </c>
      <c r="FG172">
        <f t="shared" si="503"/>
        <v>0</v>
      </c>
      <c r="FH172">
        <f t="shared" si="504"/>
        <v>0</v>
      </c>
      <c r="FI172">
        <f t="shared" si="505"/>
        <v>0</v>
      </c>
      <c r="FJ172">
        <v>0</v>
      </c>
      <c r="FK172">
        <f t="shared" si="506"/>
        <v>0</v>
      </c>
      <c r="FL172" t="b">
        <f t="shared" si="507"/>
        <v>1</v>
      </c>
      <c r="FM172">
        <f t="shared" ca="1" si="508"/>
        <v>867</v>
      </c>
      <c r="FN172">
        <f t="shared" ca="1" si="509"/>
        <v>514723</v>
      </c>
      <c r="FO172">
        <f t="shared" si="510"/>
        <v>75000</v>
      </c>
      <c r="FP172">
        <f t="shared" ca="1" si="511"/>
        <v>439723</v>
      </c>
      <c r="FQ172">
        <f t="shared" ca="1" si="512"/>
        <v>0</v>
      </c>
      <c r="FR172">
        <f t="shared" ca="1" si="513"/>
        <v>0</v>
      </c>
      <c r="FS172">
        <f t="shared" ca="1" si="514"/>
        <v>0</v>
      </c>
      <c r="FT172">
        <f t="shared" ca="1" si="515"/>
        <v>0</v>
      </c>
      <c r="FU172">
        <f t="shared" ca="1" si="516"/>
        <v>0</v>
      </c>
      <c r="FV172">
        <f t="shared" ca="1" si="517"/>
        <v>0</v>
      </c>
      <c r="FW172">
        <f t="shared" ca="1" si="518"/>
        <v>0</v>
      </c>
      <c r="FX172">
        <f t="shared" ca="1" si="519"/>
        <v>0</v>
      </c>
      <c r="FY172">
        <f t="shared" ca="1" si="520"/>
        <v>0</v>
      </c>
      <c r="FZ172">
        <f t="shared" ca="1" si="521"/>
        <v>0</v>
      </c>
      <c r="GA172">
        <f t="shared" ca="1" si="522"/>
        <v>39723</v>
      </c>
      <c r="GB172">
        <f t="shared" ca="1" si="523"/>
        <v>1986.15</v>
      </c>
      <c r="GC172">
        <f t="shared" ca="1" si="524"/>
        <v>1986</v>
      </c>
      <c r="GD172">
        <f t="shared" ca="1" si="525"/>
        <v>0</v>
      </c>
      <c r="GE172">
        <f t="shared" ca="1" si="526"/>
        <v>0</v>
      </c>
      <c r="GF172">
        <f t="shared" ca="1" si="527"/>
        <v>1986</v>
      </c>
      <c r="GG172">
        <f t="shared" ca="1" si="528"/>
        <v>0</v>
      </c>
      <c r="GH172" t="b">
        <f t="shared" ca="1" si="529"/>
        <v>0</v>
      </c>
      <c r="GI172">
        <f t="shared" ca="1" si="530"/>
        <v>0</v>
      </c>
      <c r="GJ172">
        <f t="shared" ca="1" si="531"/>
        <v>1986</v>
      </c>
      <c r="GK172">
        <f t="shared" ca="1" si="532"/>
        <v>0</v>
      </c>
      <c r="GL172">
        <f t="shared" ca="1" si="533"/>
        <v>0</v>
      </c>
      <c r="GM172">
        <f t="shared" ca="1" si="534"/>
        <v>0</v>
      </c>
    </row>
    <row r="173" spans="1:195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537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30"/>
        <v>4830.0000000000009</v>
      </c>
      <c r="L173">
        <f t="shared" si="431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432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535"/>
        <v>200</v>
      </c>
      <c r="S173">
        <f t="shared" si="433"/>
        <v>40270</v>
      </c>
      <c r="T173">
        <f>_xlfn.XLOOKUP(B173,'[2]april-2025'!$A:$A,'[2]april-2025'!$C:$C,0,0)</f>
        <v>34500</v>
      </c>
      <c r="U173">
        <f t="shared" si="434"/>
        <v>6210</v>
      </c>
      <c r="V173">
        <f t="shared" si="43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3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37"/>
        <v>200</v>
      </c>
      <c r="AC173">
        <f t="shared" si="438"/>
        <v>41650</v>
      </c>
      <c r="AD173">
        <f>_xlfn.XLOOKUP(B173,'[3]may-2025'!$A:$A,'[3]may-2025'!$C:$C,0,0)</f>
        <v>34500</v>
      </c>
      <c r="AE173">
        <f t="shared" si="439"/>
        <v>6210</v>
      </c>
      <c r="AF173">
        <f t="shared" si="440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41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42"/>
        <v>200</v>
      </c>
      <c r="AM173">
        <f t="shared" si="443"/>
        <v>41650</v>
      </c>
      <c r="AN173">
        <f>_xlfn.XLOOKUP(B173,'[4]june-2025'!$A:$A,'[4]june-2025'!$C:$C,0,0)</f>
        <v>34500</v>
      </c>
      <c r="AO173">
        <f t="shared" si="444"/>
        <v>6210</v>
      </c>
      <c r="AP173">
        <f t="shared" si="445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46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47"/>
        <v>200</v>
      </c>
      <c r="AW173">
        <f t="shared" si="448"/>
        <v>41650</v>
      </c>
      <c r="AX173">
        <f>_xlfn.XLOOKUP(B173,'[5]july-2025'!$A:$A,'[5]july-2025'!$C:$C,0,0)</f>
        <v>35500</v>
      </c>
      <c r="AY173">
        <f t="shared" si="449"/>
        <v>6390</v>
      </c>
      <c r="AZ173">
        <v>0</v>
      </c>
      <c r="BA173">
        <f t="shared" si="450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451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52"/>
        <v>200</v>
      </c>
      <c r="BH173">
        <f t="shared" si="453"/>
        <v>42950</v>
      </c>
      <c r="BI173">
        <f>_xlfn.XLOOKUP(B173,'[6]august-2025'!$A:$A,'[6]august-2025'!$C:$C,0,0)</f>
        <v>35500</v>
      </c>
      <c r="BJ173">
        <f t="shared" si="454"/>
        <v>6390</v>
      </c>
      <c r="BK173">
        <f t="shared" si="455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56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457"/>
        <v>200</v>
      </c>
      <c r="BR173">
        <f t="shared" si="458"/>
        <v>42950</v>
      </c>
      <c r="BS173">
        <f>_xlfn.XLOOKUP(B173,'[7]september-2025'!$A:$A,'[7]september-2025'!$C:$C,0,0)</f>
        <v>35500</v>
      </c>
      <c r="BT173">
        <f t="shared" si="459"/>
        <v>6390</v>
      </c>
      <c r="BU173">
        <f t="shared" si="460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461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62"/>
        <v>200</v>
      </c>
      <c r="CB173">
        <f t="shared" si="463"/>
        <v>42950</v>
      </c>
      <c r="CC173">
        <f>_xlfn.XLOOKUP(B173,'[8]october-2025'!$A:$A,'[8]october-2025'!$C:$C,0,0)</f>
        <v>35500</v>
      </c>
      <c r="CD173">
        <f t="shared" si="464"/>
        <v>6390</v>
      </c>
      <c r="CE173">
        <f t="shared" si="465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466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67"/>
        <v>200</v>
      </c>
      <c r="CL173">
        <f t="shared" si="468"/>
        <v>42950</v>
      </c>
      <c r="CM173">
        <f>_xlfn.XLOOKUP(B173,'[9]november-2025'!$A:$A,'[9]november-2025'!$C:$C,0,0)</f>
        <v>35500</v>
      </c>
      <c r="CN173">
        <f t="shared" si="469"/>
        <v>6390</v>
      </c>
      <c r="CO173">
        <f t="shared" si="470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471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72"/>
        <v>200</v>
      </c>
      <c r="CV173">
        <f t="shared" si="473"/>
        <v>42950</v>
      </c>
      <c r="CW173">
        <f>_xlfn.XLOOKUP(B173,'[10]december-2025'!$A:$A,'[10]december-2025'!$C:$C,0,0)</f>
        <v>35500</v>
      </c>
      <c r="CX173">
        <f t="shared" si="474"/>
        <v>6390</v>
      </c>
      <c r="CY173">
        <f t="shared" si="475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47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77"/>
        <v>200</v>
      </c>
      <c r="DF173">
        <f t="shared" si="478"/>
        <v>42950</v>
      </c>
      <c r="DG173">
        <f>_xlfn.XLOOKUP(B173,'[11]january-2026'!$A:$A,'[11]january-2026'!$C:$C,0,0)</f>
        <v>35500</v>
      </c>
      <c r="DH173">
        <f t="shared" si="479"/>
        <v>6390</v>
      </c>
      <c r="DI173">
        <f t="shared" si="48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1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2"/>
        <v>200</v>
      </c>
      <c r="DP173">
        <f t="shared" si="483"/>
        <v>42950</v>
      </c>
      <c r="DQ173">
        <f>_xlfn.XLOOKUP(B173,'[12]february-2026'!$A:$A,'[12]february-2026'!$C:$C,0,0)</f>
        <v>35500</v>
      </c>
      <c r="DR173">
        <f t="shared" si="484"/>
        <v>6390</v>
      </c>
      <c r="DS173">
        <f t="shared" si="485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6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7"/>
        <v>200</v>
      </c>
      <c r="DZ173">
        <f t="shared" si="488"/>
        <v>42950</v>
      </c>
      <c r="EA173">
        <f t="shared" si="489"/>
        <v>554020</v>
      </c>
      <c r="EB173">
        <f t="shared" si="490"/>
        <v>2400</v>
      </c>
      <c r="EC173">
        <f t="shared" si="491"/>
        <v>50000</v>
      </c>
      <c r="ED173">
        <v>0</v>
      </c>
      <c r="EE173">
        <f t="shared" si="492"/>
        <v>501620</v>
      </c>
      <c r="EF173">
        <f t="shared" si="493"/>
        <v>36000</v>
      </c>
      <c r="EG173">
        <f t="shared" si="494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5"/>
        <v>36000</v>
      </c>
      <c r="ES173">
        <f t="shared" si="496"/>
        <v>36000</v>
      </c>
      <c r="ET173">
        <f t="shared" si="497"/>
        <v>465620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8"/>
        <v>0</v>
      </c>
      <c r="FC173">
        <f t="shared" si="499"/>
        <v>465620</v>
      </c>
      <c r="FD173">
        <f t="shared" si="500"/>
        <v>10781</v>
      </c>
      <c r="FE173">
        <f t="shared" si="501"/>
        <v>0</v>
      </c>
      <c r="FF173">
        <f t="shared" si="502"/>
        <v>10781</v>
      </c>
      <c r="FG173">
        <f t="shared" si="503"/>
        <v>0</v>
      </c>
      <c r="FH173">
        <f t="shared" si="504"/>
        <v>0</v>
      </c>
      <c r="FI173">
        <f t="shared" si="505"/>
        <v>0</v>
      </c>
      <c r="FJ173">
        <v>0</v>
      </c>
      <c r="FK173">
        <f t="shared" si="506"/>
        <v>0</v>
      </c>
      <c r="FL173" t="b">
        <f t="shared" si="507"/>
        <v>1</v>
      </c>
      <c r="FM173">
        <f t="shared" ca="1" si="508"/>
        <v>800</v>
      </c>
      <c r="FN173">
        <f t="shared" ca="1" si="509"/>
        <v>554820</v>
      </c>
      <c r="FO173">
        <f t="shared" si="510"/>
        <v>75000</v>
      </c>
      <c r="FP173">
        <f t="shared" ca="1" si="511"/>
        <v>479820</v>
      </c>
      <c r="FQ173">
        <f t="shared" ca="1" si="512"/>
        <v>0</v>
      </c>
      <c r="FR173">
        <f t="shared" ca="1" si="513"/>
        <v>0</v>
      </c>
      <c r="FS173">
        <f t="shared" ca="1" si="514"/>
        <v>0</v>
      </c>
      <c r="FT173">
        <f t="shared" ca="1" si="515"/>
        <v>0</v>
      </c>
      <c r="FU173">
        <f t="shared" ca="1" si="516"/>
        <v>0</v>
      </c>
      <c r="FV173">
        <f t="shared" ca="1" si="517"/>
        <v>0</v>
      </c>
      <c r="FW173">
        <f t="shared" ca="1" si="518"/>
        <v>0</v>
      </c>
      <c r="FX173">
        <f t="shared" ca="1" si="519"/>
        <v>0</v>
      </c>
      <c r="FY173">
        <f t="shared" ca="1" si="520"/>
        <v>0</v>
      </c>
      <c r="FZ173">
        <f t="shared" ca="1" si="521"/>
        <v>0</v>
      </c>
      <c r="GA173">
        <f t="shared" ca="1" si="522"/>
        <v>79820</v>
      </c>
      <c r="GB173">
        <f t="shared" ca="1" si="523"/>
        <v>3991</v>
      </c>
      <c r="GC173">
        <f t="shared" ca="1" si="524"/>
        <v>3991</v>
      </c>
      <c r="GD173">
        <f t="shared" ca="1" si="525"/>
        <v>0</v>
      </c>
      <c r="GE173">
        <f t="shared" ca="1" si="526"/>
        <v>0</v>
      </c>
      <c r="GF173">
        <f t="shared" ca="1" si="527"/>
        <v>3991</v>
      </c>
      <c r="GG173">
        <f t="shared" ca="1" si="528"/>
        <v>0</v>
      </c>
      <c r="GH173" t="b">
        <f t="shared" ca="1" si="529"/>
        <v>0</v>
      </c>
      <c r="GI173">
        <f t="shared" ca="1" si="530"/>
        <v>0</v>
      </c>
      <c r="GJ173">
        <f t="shared" ca="1" si="531"/>
        <v>3991</v>
      </c>
      <c r="GK173">
        <f t="shared" ca="1" si="532"/>
        <v>0</v>
      </c>
      <c r="GL173">
        <f t="shared" ca="1" si="533"/>
        <v>0</v>
      </c>
      <c r="GM173">
        <f t="shared" ca="1" si="534"/>
        <v>0</v>
      </c>
    </row>
    <row r="174" spans="1:195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537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30"/>
        <v>4690</v>
      </c>
      <c r="L174">
        <f t="shared" si="431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432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535"/>
        <v>200</v>
      </c>
      <c r="S174">
        <f t="shared" si="433"/>
        <v>40410</v>
      </c>
      <c r="T174">
        <f>_xlfn.XLOOKUP(B174,'[2]april-2025'!$A:$A,'[2]april-2025'!$C:$C,0,0)</f>
        <v>33500</v>
      </c>
      <c r="U174">
        <f t="shared" si="434"/>
        <v>6030</v>
      </c>
      <c r="V174">
        <f t="shared" si="43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3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37"/>
        <v>200</v>
      </c>
      <c r="AC174">
        <f t="shared" si="438"/>
        <v>41750</v>
      </c>
      <c r="AD174">
        <f>_xlfn.XLOOKUP(B174,'[3]may-2025'!$A:$A,'[3]may-2025'!$C:$C,0,0)</f>
        <v>33500</v>
      </c>
      <c r="AE174">
        <f t="shared" si="439"/>
        <v>6030</v>
      </c>
      <c r="AF174">
        <f t="shared" si="440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41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42"/>
        <v>200</v>
      </c>
      <c r="AM174">
        <f t="shared" si="443"/>
        <v>41750</v>
      </c>
      <c r="AN174">
        <f>_xlfn.XLOOKUP(B174,'[4]june-2025'!$A:$A,'[4]june-2025'!$C:$C,0,0)</f>
        <v>33500</v>
      </c>
      <c r="AO174">
        <f t="shared" si="444"/>
        <v>6030</v>
      </c>
      <c r="AP174">
        <f t="shared" si="445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46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47"/>
        <v>200</v>
      </c>
      <c r="AW174">
        <f t="shared" si="448"/>
        <v>41750</v>
      </c>
      <c r="AX174">
        <f>_xlfn.XLOOKUP(B174,'[5]july-2025'!$A:$A,'[5]july-2025'!$C:$C,0,0)</f>
        <v>34500</v>
      </c>
      <c r="AY174">
        <f t="shared" si="449"/>
        <v>6210</v>
      </c>
      <c r="AZ174">
        <v>0</v>
      </c>
      <c r="BA174">
        <f t="shared" si="450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451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52"/>
        <v>200</v>
      </c>
      <c r="BH174">
        <f t="shared" si="453"/>
        <v>43050</v>
      </c>
      <c r="BI174">
        <f>_xlfn.XLOOKUP(B174,'[6]august-2025'!$A:$A,'[6]august-2025'!$C:$C,0,0)</f>
        <v>34500</v>
      </c>
      <c r="BJ174">
        <f t="shared" si="454"/>
        <v>6210</v>
      </c>
      <c r="BK174">
        <f t="shared" si="455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56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457"/>
        <v>200</v>
      </c>
      <c r="BR174">
        <f t="shared" si="458"/>
        <v>43050</v>
      </c>
      <c r="BS174">
        <f>_xlfn.XLOOKUP(B174,'[7]september-2025'!$A:$A,'[7]september-2025'!$C:$C,0,0)</f>
        <v>34500</v>
      </c>
      <c r="BT174">
        <f t="shared" si="459"/>
        <v>6210</v>
      </c>
      <c r="BU174">
        <f t="shared" si="460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461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62"/>
        <v>200</v>
      </c>
      <c r="CB174">
        <f t="shared" si="463"/>
        <v>43050</v>
      </c>
      <c r="CC174">
        <f>_xlfn.XLOOKUP(B174,'[8]october-2025'!$A:$A,'[8]october-2025'!$C:$C,0,0)</f>
        <v>34500</v>
      </c>
      <c r="CD174">
        <f t="shared" si="464"/>
        <v>6210</v>
      </c>
      <c r="CE174">
        <f t="shared" si="465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466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67"/>
        <v>200</v>
      </c>
      <c r="CL174">
        <f t="shared" si="468"/>
        <v>43050</v>
      </c>
      <c r="CM174">
        <f>_xlfn.XLOOKUP(B174,'[9]november-2025'!$A:$A,'[9]november-2025'!$C:$C,0,0)</f>
        <v>34500</v>
      </c>
      <c r="CN174">
        <f t="shared" si="469"/>
        <v>6210</v>
      </c>
      <c r="CO174">
        <f t="shared" si="470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471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72"/>
        <v>200</v>
      </c>
      <c r="CV174">
        <f t="shared" si="473"/>
        <v>43050</v>
      </c>
      <c r="CW174">
        <f>_xlfn.XLOOKUP(B174,'[10]december-2025'!$A:$A,'[10]december-2025'!$C:$C,0,0)</f>
        <v>34500</v>
      </c>
      <c r="CX174">
        <f t="shared" si="474"/>
        <v>6210</v>
      </c>
      <c r="CY174">
        <f t="shared" si="475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47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77"/>
        <v>200</v>
      </c>
      <c r="DF174">
        <f t="shared" si="478"/>
        <v>43050</v>
      </c>
      <c r="DG174">
        <f>_xlfn.XLOOKUP(B174,'[11]january-2026'!$A:$A,'[11]january-2026'!$C:$C,0,0)</f>
        <v>34500</v>
      </c>
      <c r="DH174">
        <f t="shared" si="479"/>
        <v>6210</v>
      </c>
      <c r="DI174">
        <f t="shared" si="48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1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2"/>
        <v>200</v>
      </c>
      <c r="DP174">
        <f t="shared" si="483"/>
        <v>43050</v>
      </c>
      <c r="DQ174">
        <f>_xlfn.XLOOKUP(B174,'[12]february-2026'!$A:$A,'[12]february-2026'!$C:$C,0,0)</f>
        <v>34500</v>
      </c>
      <c r="DR174">
        <f t="shared" si="484"/>
        <v>6210</v>
      </c>
      <c r="DS174">
        <f t="shared" si="485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6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7"/>
        <v>200</v>
      </c>
      <c r="DZ174">
        <f t="shared" si="488"/>
        <v>43050</v>
      </c>
      <c r="EA174">
        <f t="shared" si="489"/>
        <v>549260</v>
      </c>
      <c r="EB174">
        <f t="shared" si="490"/>
        <v>2400</v>
      </c>
      <c r="EC174">
        <f t="shared" si="491"/>
        <v>50000</v>
      </c>
      <c r="ED174">
        <v>0</v>
      </c>
      <c r="EE174">
        <f t="shared" si="492"/>
        <v>496860</v>
      </c>
      <c r="EF174">
        <f t="shared" si="493"/>
        <v>30000</v>
      </c>
      <c r="EG174">
        <f t="shared" si="494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5"/>
        <v>30000</v>
      </c>
      <c r="ES174">
        <f t="shared" si="496"/>
        <v>30000</v>
      </c>
      <c r="ET174">
        <f t="shared" si="497"/>
        <v>466860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8"/>
        <v>0</v>
      </c>
      <c r="FC174">
        <f t="shared" si="499"/>
        <v>466860</v>
      </c>
      <c r="FD174">
        <f t="shared" si="500"/>
        <v>10843</v>
      </c>
      <c r="FE174">
        <f t="shared" si="501"/>
        <v>0</v>
      </c>
      <c r="FF174">
        <f t="shared" si="502"/>
        <v>10843</v>
      </c>
      <c r="FG174">
        <f t="shared" si="503"/>
        <v>0</v>
      </c>
      <c r="FH174">
        <f t="shared" si="504"/>
        <v>0</v>
      </c>
      <c r="FI174">
        <f t="shared" si="505"/>
        <v>0</v>
      </c>
      <c r="FJ174">
        <v>0</v>
      </c>
      <c r="FK174">
        <f t="shared" si="506"/>
        <v>0</v>
      </c>
      <c r="FL174" t="b">
        <f t="shared" si="507"/>
        <v>1</v>
      </c>
      <c r="FM174">
        <f t="shared" ca="1" si="508"/>
        <v>948</v>
      </c>
      <c r="FN174">
        <f t="shared" ca="1" si="509"/>
        <v>550208</v>
      </c>
      <c r="FO174">
        <f t="shared" si="510"/>
        <v>75000</v>
      </c>
      <c r="FP174">
        <f t="shared" ca="1" si="511"/>
        <v>475208</v>
      </c>
      <c r="FQ174">
        <f t="shared" ca="1" si="512"/>
        <v>0</v>
      </c>
      <c r="FR174">
        <f t="shared" ca="1" si="513"/>
        <v>0</v>
      </c>
      <c r="FS174">
        <f t="shared" ca="1" si="514"/>
        <v>0</v>
      </c>
      <c r="FT174">
        <f t="shared" ca="1" si="515"/>
        <v>0</v>
      </c>
      <c r="FU174">
        <f t="shared" ca="1" si="516"/>
        <v>0</v>
      </c>
      <c r="FV174">
        <f t="shared" ca="1" si="517"/>
        <v>0</v>
      </c>
      <c r="FW174">
        <f t="shared" ca="1" si="518"/>
        <v>0</v>
      </c>
      <c r="FX174">
        <f t="shared" ca="1" si="519"/>
        <v>0</v>
      </c>
      <c r="FY174">
        <f t="shared" ca="1" si="520"/>
        <v>0</v>
      </c>
      <c r="FZ174">
        <f t="shared" ca="1" si="521"/>
        <v>0</v>
      </c>
      <c r="GA174">
        <f t="shared" ca="1" si="522"/>
        <v>75208</v>
      </c>
      <c r="GB174">
        <f t="shared" ca="1" si="523"/>
        <v>3760.4</v>
      </c>
      <c r="GC174">
        <f t="shared" ca="1" si="524"/>
        <v>3760</v>
      </c>
      <c r="GD174">
        <f t="shared" ca="1" si="525"/>
        <v>0</v>
      </c>
      <c r="GE174">
        <f t="shared" ca="1" si="526"/>
        <v>0</v>
      </c>
      <c r="GF174">
        <f t="shared" ca="1" si="527"/>
        <v>3760</v>
      </c>
      <c r="GG174">
        <f t="shared" ca="1" si="528"/>
        <v>0</v>
      </c>
      <c r="GH174" t="b">
        <f t="shared" ca="1" si="529"/>
        <v>0</v>
      </c>
      <c r="GI174">
        <f t="shared" ca="1" si="530"/>
        <v>0</v>
      </c>
      <c r="GJ174">
        <f t="shared" ca="1" si="531"/>
        <v>3760</v>
      </c>
      <c r="GK174">
        <f t="shared" ca="1" si="532"/>
        <v>0</v>
      </c>
      <c r="GL174">
        <f t="shared" ca="1" si="533"/>
        <v>0</v>
      </c>
      <c r="GM174">
        <f t="shared" ca="1" si="534"/>
        <v>0</v>
      </c>
    </row>
    <row r="175" spans="1:195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537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30"/>
        <v>7028.0000000000009</v>
      </c>
      <c r="L175">
        <f t="shared" si="431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432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535"/>
        <v>200</v>
      </c>
      <c r="S175">
        <f t="shared" si="433"/>
        <v>48552</v>
      </c>
      <c r="T175">
        <f>_xlfn.XLOOKUP(B175,'[2]april-2025'!$A:$A,'[2]april-2025'!$C:$C,0,0)</f>
        <v>50200</v>
      </c>
      <c r="U175">
        <f t="shared" si="434"/>
        <v>9036</v>
      </c>
      <c r="V175">
        <f t="shared" si="43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3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37"/>
        <v>200</v>
      </c>
      <c r="AC175">
        <f t="shared" si="438"/>
        <v>50560</v>
      </c>
      <c r="AD175">
        <f>_xlfn.XLOOKUP(B175,'[3]may-2025'!$A:$A,'[3]may-2025'!$C:$C,0,0)</f>
        <v>50200</v>
      </c>
      <c r="AE175">
        <f t="shared" si="439"/>
        <v>9036</v>
      </c>
      <c r="AF175">
        <f t="shared" si="440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41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42"/>
        <v>200</v>
      </c>
      <c r="AM175">
        <f t="shared" si="443"/>
        <v>50560</v>
      </c>
      <c r="AN175">
        <f>_xlfn.XLOOKUP(B175,'[4]june-2025'!$A:$A,'[4]june-2025'!$C:$C,0,0)</f>
        <v>50200</v>
      </c>
      <c r="AO175">
        <f t="shared" si="444"/>
        <v>9036</v>
      </c>
      <c r="AP175">
        <f t="shared" si="445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46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47"/>
        <v>200</v>
      </c>
      <c r="AW175">
        <f t="shared" si="448"/>
        <v>50560</v>
      </c>
      <c r="AX175">
        <f>_xlfn.XLOOKUP(B175,'[5]july-2025'!$A:$A,'[5]july-2025'!$C:$C,0,0)</f>
        <v>51700</v>
      </c>
      <c r="AY175">
        <f t="shared" si="449"/>
        <v>9306</v>
      </c>
      <c r="AZ175">
        <v>0</v>
      </c>
      <c r="BA175">
        <f t="shared" si="450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451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52"/>
        <v>200</v>
      </c>
      <c r="BH175">
        <f t="shared" si="453"/>
        <v>52510</v>
      </c>
      <c r="BI175">
        <f>_xlfn.XLOOKUP(B175,'[6]august-2025'!$A:$A,'[6]august-2025'!$C:$C,0,0)</f>
        <v>51700</v>
      </c>
      <c r="BJ175">
        <f t="shared" si="454"/>
        <v>9306</v>
      </c>
      <c r="BK175">
        <f t="shared" si="455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56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457"/>
        <v>200</v>
      </c>
      <c r="BR175">
        <f t="shared" si="458"/>
        <v>52510</v>
      </c>
      <c r="BS175">
        <f>_xlfn.XLOOKUP(B175,'[7]september-2025'!$A:$A,'[7]september-2025'!$C:$C,0,0)</f>
        <v>51700</v>
      </c>
      <c r="BT175">
        <f t="shared" si="459"/>
        <v>9306</v>
      </c>
      <c r="BU175">
        <f t="shared" si="460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461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62"/>
        <v>200</v>
      </c>
      <c r="CB175">
        <f t="shared" si="463"/>
        <v>52510</v>
      </c>
      <c r="CC175">
        <f>_xlfn.XLOOKUP(B175,'[8]october-2025'!$A:$A,'[8]october-2025'!$C:$C,0,0)</f>
        <v>51700</v>
      </c>
      <c r="CD175">
        <f t="shared" si="464"/>
        <v>9306</v>
      </c>
      <c r="CE175">
        <f t="shared" si="465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466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67"/>
        <v>200</v>
      </c>
      <c r="CL175">
        <f t="shared" si="468"/>
        <v>52510</v>
      </c>
      <c r="CM175">
        <f>_xlfn.XLOOKUP(B175,'[9]november-2025'!$A:$A,'[9]november-2025'!$C:$C,0,0)</f>
        <v>51700</v>
      </c>
      <c r="CN175">
        <f t="shared" si="469"/>
        <v>9306</v>
      </c>
      <c r="CO175">
        <f t="shared" si="470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471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72"/>
        <v>200</v>
      </c>
      <c r="CV175">
        <f t="shared" si="473"/>
        <v>52510</v>
      </c>
      <c r="CW175">
        <f>_xlfn.XLOOKUP(B175,'[10]december-2025'!$A:$A,'[10]december-2025'!$C:$C,0,0)</f>
        <v>51700</v>
      </c>
      <c r="CX175">
        <f t="shared" si="474"/>
        <v>9306</v>
      </c>
      <c r="CY175">
        <f t="shared" si="475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47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77"/>
        <v>200</v>
      </c>
      <c r="DF175">
        <f t="shared" si="478"/>
        <v>52510</v>
      </c>
      <c r="DG175">
        <f>_xlfn.XLOOKUP(B175,'[11]january-2026'!$A:$A,'[11]january-2026'!$C:$C,0,0)</f>
        <v>51700</v>
      </c>
      <c r="DH175">
        <f t="shared" si="479"/>
        <v>9306</v>
      </c>
      <c r="DI175">
        <f t="shared" si="48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1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2"/>
        <v>200</v>
      </c>
      <c r="DP175">
        <f t="shared" si="483"/>
        <v>52510</v>
      </c>
      <c r="DQ175">
        <f>_xlfn.XLOOKUP(B175,'[12]february-2026'!$A:$A,'[12]february-2026'!$C:$C,0,0)</f>
        <v>51700</v>
      </c>
      <c r="DR175">
        <f t="shared" si="484"/>
        <v>9306</v>
      </c>
      <c r="DS175">
        <f t="shared" si="485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6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7"/>
        <v>200</v>
      </c>
      <c r="DZ175">
        <f t="shared" si="488"/>
        <v>52510</v>
      </c>
      <c r="EA175">
        <f t="shared" si="489"/>
        <v>809512</v>
      </c>
      <c r="EB175">
        <f t="shared" si="490"/>
        <v>2400</v>
      </c>
      <c r="EC175">
        <f t="shared" si="491"/>
        <v>50000</v>
      </c>
      <c r="ED175">
        <v>0</v>
      </c>
      <c r="EE175">
        <f t="shared" si="492"/>
        <v>757112</v>
      </c>
      <c r="EF175">
        <f t="shared" si="493"/>
        <v>180000</v>
      </c>
      <c r="EG175">
        <f t="shared" si="494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5"/>
        <v>180000</v>
      </c>
      <c r="ES175">
        <f t="shared" si="496"/>
        <v>150000</v>
      </c>
      <c r="ET175">
        <f t="shared" si="497"/>
        <v>607112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8"/>
        <v>0</v>
      </c>
      <c r="FC175">
        <f t="shared" si="499"/>
        <v>607112</v>
      </c>
      <c r="FD175">
        <f t="shared" si="500"/>
        <v>12500</v>
      </c>
      <c r="FE175">
        <f t="shared" si="501"/>
        <v>21422</v>
      </c>
      <c r="FF175">
        <f t="shared" si="502"/>
        <v>33922</v>
      </c>
      <c r="FG175">
        <f t="shared" si="503"/>
        <v>33922</v>
      </c>
      <c r="FH175">
        <f t="shared" si="504"/>
        <v>1356.88</v>
      </c>
      <c r="FI175">
        <f t="shared" si="505"/>
        <v>35279</v>
      </c>
      <c r="FJ175">
        <v>0</v>
      </c>
      <c r="FK175">
        <f t="shared" si="506"/>
        <v>35279</v>
      </c>
      <c r="FL175" t="b">
        <f t="shared" si="507"/>
        <v>1</v>
      </c>
      <c r="FM175">
        <f t="shared" ca="1" si="508"/>
        <v>926</v>
      </c>
      <c r="FN175">
        <f t="shared" ca="1" si="509"/>
        <v>810438</v>
      </c>
      <c r="FO175">
        <f t="shared" si="510"/>
        <v>75000</v>
      </c>
      <c r="FP175">
        <f t="shared" ca="1" si="511"/>
        <v>735438</v>
      </c>
      <c r="FQ175">
        <f t="shared" ca="1" si="512"/>
        <v>0</v>
      </c>
      <c r="FR175">
        <f t="shared" ca="1" si="513"/>
        <v>0</v>
      </c>
      <c r="FS175">
        <f t="shared" ca="1" si="514"/>
        <v>0</v>
      </c>
      <c r="FT175">
        <f t="shared" ca="1" si="515"/>
        <v>0</v>
      </c>
      <c r="FU175">
        <f t="shared" ca="1" si="516"/>
        <v>0</v>
      </c>
      <c r="FV175">
        <f t="shared" ca="1" si="517"/>
        <v>0</v>
      </c>
      <c r="FW175">
        <f t="shared" ca="1" si="518"/>
        <v>0</v>
      </c>
      <c r="FX175">
        <f t="shared" ca="1" si="519"/>
        <v>0</v>
      </c>
      <c r="FY175">
        <f t="shared" ca="1" si="520"/>
        <v>0</v>
      </c>
      <c r="FZ175">
        <f t="shared" ca="1" si="521"/>
        <v>0</v>
      </c>
      <c r="GA175">
        <f t="shared" ca="1" si="522"/>
        <v>335438</v>
      </c>
      <c r="GB175">
        <f t="shared" ca="1" si="523"/>
        <v>16771.900000000001</v>
      </c>
      <c r="GC175">
        <f t="shared" ca="1" si="524"/>
        <v>16772</v>
      </c>
      <c r="GD175">
        <f t="shared" ca="1" si="525"/>
        <v>0</v>
      </c>
      <c r="GE175">
        <f t="shared" ca="1" si="526"/>
        <v>0</v>
      </c>
      <c r="GF175">
        <f t="shared" ca="1" si="527"/>
        <v>16772</v>
      </c>
      <c r="GG175">
        <f t="shared" ca="1" si="528"/>
        <v>0</v>
      </c>
      <c r="GH175" t="b">
        <f t="shared" ca="1" si="529"/>
        <v>0</v>
      </c>
      <c r="GI175">
        <f t="shared" ca="1" si="530"/>
        <v>0</v>
      </c>
      <c r="GJ175">
        <f t="shared" ca="1" si="531"/>
        <v>16772</v>
      </c>
      <c r="GK175">
        <f t="shared" ca="1" si="532"/>
        <v>0</v>
      </c>
      <c r="GL175">
        <f t="shared" ca="1" si="533"/>
        <v>0</v>
      </c>
      <c r="GM175">
        <f t="shared" ca="1" si="534"/>
        <v>0</v>
      </c>
    </row>
    <row r="176" spans="1:195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537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30"/>
        <v>4690</v>
      </c>
      <c r="L176">
        <f t="shared" si="431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432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535"/>
        <v>200</v>
      </c>
      <c r="S176">
        <f t="shared" si="433"/>
        <v>40010</v>
      </c>
      <c r="T176">
        <f>_xlfn.XLOOKUP(B176,'[2]april-2025'!$A:$A,'[2]april-2025'!$C:$C,0,0)</f>
        <v>33500</v>
      </c>
      <c r="U176">
        <f t="shared" si="434"/>
        <v>6030</v>
      </c>
      <c r="V176">
        <f t="shared" si="43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3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37"/>
        <v>200</v>
      </c>
      <c r="AC176">
        <f t="shared" si="438"/>
        <v>41350</v>
      </c>
      <c r="AD176">
        <f>_xlfn.XLOOKUP(B176,'[3]may-2025'!$A:$A,'[3]may-2025'!$C:$C,0,0)</f>
        <v>33500</v>
      </c>
      <c r="AE176">
        <f t="shared" si="439"/>
        <v>6030</v>
      </c>
      <c r="AF176">
        <f t="shared" si="440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41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42"/>
        <v>200</v>
      </c>
      <c r="AM176">
        <f t="shared" si="443"/>
        <v>41350</v>
      </c>
      <c r="AN176">
        <f>_xlfn.XLOOKUP(B176,'[4]june-2025'!$A:$A,'[4]june-2025'!$C:$C,0,0)</f>
        <v>33500</v>
      </c>
      <c r="AO176">
        <f t="shared" si="444"/>
        <v>6030</v>
      </c>
      <c r="AP176">
        <f t="shared" si="445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46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47"/>
        <v>200</v>
      </c>
      <c r="AW176">
        <f t="shared" si="448"/>
        <v>41350</v>
      </c>
      <c r="AX176">
        <f>_xlfn.XLOOKUP(B176,'[5]july-2025'!$A:$A,'[5]july-2025'!$C:$C,0,0)</f>
        <v>34500</v>
      </c>
      <c r="AY176">
        <f t="shared" si="449"/>
        <v>6210</v>
      </c>
      <c r="AZ176">
        <v>0</v>
      </c>
      <c r="BA176">
        <f t="shared" si="450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451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52"/>
        <v>200</v>
      </c>
      <c r="BH176">
        <f t="shared" si="453"/>
        <v>42650</v>
      </c>
      <c r="BI176">
        <f>_xlfn.XLOOKUP(B176,'[6]august-2025'!$A:$A,'[6]august-2025'!$C:$C,0,0)</f>
        <v>34500</v>
      </c>
      <c r="BJ176">
        <f t="shared" si="454"/>
        <v>6210</v>
      </c>
      <c r="BK176">
        <f t="shared" si="455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56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457"/>
        <v>200</v>
      </c>
      <c r="BR176">
        <f t="shared" si="458"/>
        <v>42650</v>
      </c>
      <c r="BS176">
        <f>_xlfn.XLOOKUP(B176,'[7]september-2025'!$A:$A,'[7]september-2025'!$C:$C,0,0)</f>
        <v>34500</v>
      </c>
      <c r="BT176">
        <f t="shared" si="459"/>
        <v>6210</v>
      </c>
      <c r="BU176">
        <f t="shared" si="460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461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62"/>
        <v>200</v>
      </c>
      <c r="CB176">
        <f t="shared" si="463"/>
        <v>42650</v>
      </c>
      <c r="CC176">
        <f>_xlfn.XLOOKUP(B176,'[8]october-2025'!$A:$A,'[8]october-2025'!$C:$C,0,0)</f>
        <v>34500</v>
      </c>
      <c r="CD176">
        <f t="shared" si="464"/>
        <v>6210</v>
      </c>
      <c r="CE176">
        <f t="shared" si="465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466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67"/>
        <v>200</v>
      </c>
      <c r="CL176">
        <f t="shared" si="468"/>
        <v>42650</v>
      </c>
      <c r="CM176">
        <f>_xlfn.XLOOKUP(B176,'[9]november-2025'!$A:$A,'[9]november-2025'!$C:$C,0,0)</f>
        <v>34500</v>
      </c>
      <c r="CN176">
        <f t="shared" si="469"/>
        <v>6210</v>
      </c>
      <c r="CO176">
        <f t="shared" si="470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471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72"/>
        <v>200</v>
      </c>
      <c r="CV176">
        <f t="shared" si="473"/>
        <v>42650</v>
      </c>
      <c r="CW176">
        <f>_xlfn.XLOOKUP(B176,'[10]december-2025'!$A:$A,'[10]december-2025'!$C:$C,0,0)</f>
        <v>34500</v>
      </c>
      <c r="CX176">
        <f t="shared" si="474"/>
        <v>6210</v>
      </c>
      <c r="CY176">
        <f t="shared" si="475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47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77"/>
        <v>200</v>
      </c>
      <c r="DF176">
        <f t="shared" si="478"/>
        <v>42650</v>
      </c>
      <c r="DG176">
        <f>_xlfn.XLOOKUP(B176,'[11]january-2026'!$A:$A,'[11]january-2026'!$C:$C,0,0)</f>
        <v>34500</v>
      </c>
      <c r="DH176">
        <f t="shared" si="479"/>
        <v>6210</v>
      </c>
      <c r="DI176">
        <f t="shared" si="48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1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2"/>
        <v>200</v>
      </c>
      <c r="DP176">
        <f t="shared" si="483"/>
        <v>42650</v>
      </c>
      <c r="DQ176">
        <f>_xlfn.XLOOKUP(B176,'[12]february-2026'!$A:$A,'[12]february-2026'!$C:$C,0,0)</f>
        <v>34500</v>
      </c>
      <c r="DR176">
        <f t="shared" si="484"/>
        <v>6210</v>
      </c>
      <c r="DS176">
        <f t="shared" si="485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6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7"/>
        <v>200</v>
      </c>
      <c r="DZ176">
        <f t="shared" si="488"/>
        <v>42650</v>
      </c>
      <c r="EA176">
        <f t="shared" si="489"/>
        <v>544460</v>
      </c>
      <c r="EB176">
        <f t="shared" si="490"/>
        <v>2400</v>
      </c>
      <c r="EC176">
        <f t="shared" si="491"/>
        <v>50000</v>
      </c>
      <c r="ED176">
        <v>0</v>
      </c>
      <c r="EE176">
        <f t="shared" si="492"/>
        <v>492060</v>
      </c>
      <c r="EF176">
        <f t="shared" si="493"/>
        <v>30000</v>
      </c>
      <c r="EG176">
        <f t="shared" si="494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5"/>
        <v>30000</v>
      </c>
      <c r="ES176">
        <f t="shared" si="496"/>
        <v>30000</v>
      </c>
      <c r="ET176">
        <f t="shared" si="497"/>
        <v>462060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8"/>
        <v>0</v>
      </c>
      <c r="FC176">
        <f t="shared" si="499"/>
        <v>462060</v>
      </c>
      <c r="FD176">
        <f t="shared" si="500"/>
        <v>10603</v>
      </c>
      <c r="FE176">
        <f t="shared" si="501"/>
        <v>0</v>
      </c>
      <c r="FF176">
        <f t="shared" si="502"/>
        <v>10603</v>
      </c>
      <c r="FG176">
        <f t="shared" si="503"/>
        <v>0</v>
      </c>
      <c r="FH176">
        <f t="shared" si="504"/>
        <v>0</v>
      </c>
      <c r="FI176">
        <f t="shared" si="505"/>
        <v>0</v>
      </c>
      <c r="FJ176">
        <v>0</v>
      </c>
      <c r="FK176">
        <f t="shared" si="506"/>
        <v>0</v>
      </c>
      <c r="FL176" t="b">
        <f t="shared" si="507"/>
        <v>1</v>
      </c>
      <c r="FM176">
        <f t="shared" ca="1" si="508"/>
        <v>993</v>
      </c>
      <c r="FN176">
        <f t="shared" ca="1" si="509"/>
        <v>545453</v>
      </c>
      <c r="FO176">
        <f t="shared" si="510"/>
        <v>75000</v>
      </c>
      <c r="FP176">
        <f t="shared" ca="1" si="511"/>
        <v>470453</v>
      </c>
      <c r="FQ176">
        <f t="shared" ca="1" si="512"/>
        <v>0</v>
      </c>
      <c r="FR176">
        <f t="shared" ca="1" si="513"/>
        <v>0</v>
      </c>
      <c r="FS176">
        <f t="shared" ca="1" si="514"/>
        <v>0</v>
      </c>
      <c r="FT176">
        <f t="shared" ca="1" si="515"/>
        <v>0</v>
      </c>
      <c r="FU176">
        <f t="shared" ca="1" si="516"/>
        <v>0</v>
      </c>
      <c r="FV176">
        <f t="shared" ca="1" si="517"/>
        <v>0</v>
      </c>
      <c r="FW176">
        <f t="shared" ca="1" si="518"/>
        <v>0</v>
      </c>
      <c r="FX176">
        <f t="shared" ca="1" si="519"/>
        <v>0</v>
      </c>
      <c r="FY176">
        <f t="shared" ca="1" si="520"/>
        <v>0</v>
      </c>
      <c r="FZ176">
        <f t="shared" ca="1" si="521"/>
        <v>0</v>
      </c>
      <c r="GA176">
        <f t="shared" ca="1" si="522"/>
        <v>70453</v>
      </c>
      <c r="GB176">
        <f t="shared" ca="1" si="523"/>
        <v>3522.65</v>
      </c>
      <c r="GC176">
        <f t="shared" ca="1" si="524"/>
        <v>3523</v>
      </c>
      <c r="GD176">
        <f t="shared" ca="1" si="525"/>
        <v>0</v>
      </c>
      <c r="GE176">
        <f t="shared" ca="1" si="526"/>
        <v>0</v>
      </c>
      <c r="GF176">
        <f t="shared" ca="1" si="527"/>
        <v>3523</v>
      </c>
      <c r="GG176">
        <f t="shared" ca="1" si="528"/>
        <v>0</v>
      </c>
      <c r="GH176" t="b">
        <f t="shared" ca="1" si="529"/>
        <v>0</v>
      </c>
      <c r="GI176">
        <f t="shared" ca="1" si="530"/>
        <v>0</v>
      </c>
      <c r="GJ176">
        <f t="shared" ca="1" si="531"/>
        <v>3523</v>
      </c>
      <c r="GK176">
        <f t="shared" ca="1" si="532"/>
        <v>0</v>
      </c>
      <c r="GL176">
        <f t="shared" ca="1" si="533"/>
        <v>0</v>
      </c>
      <c r="GM176">
        <f t="shared" ca="1" si="534"/>
        <v>0</v>
      </c>
    </row>
    <row r="177" spans="1:195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537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30"/>
        <v>4690</v>
      </c>
      <c r="L177">
        <f t="shared" si="431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432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535"/>
        <v>200</v>
      </c>
      <c r="S177">
        <f t="shared" si="433"/>
        <v>40010</v>
      </c>
      <c r="T177">
        <f>_xlfn.XLOOKUP(B177,'[2]april-2025'!$A:$A,'[2]april-2025'!$C:$C,0,0)</f>
        <v>33500</v>
      </c>
      <c r="U177">
        <f t="shared" si="434"/>
        <v>6030</v>
      </c>
      <c r="V177">
        <f t="shared" si="43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3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37"/>
        <v>200</v>
      </c>
      <c r="AC177">
        <f t="shared" si="438"/>
        <v>41350</v>
      </c>
      <c r="AD177">
        <f>_xlfn.XLOOKUP(B177,'[3]may-2025'!$A:$A,'[3]may-2025'!$C:$C,0,0)</f>
        <v>33500</v>
      </c>
      <c r="AE177">
        <f t="shared" si="439"/>
        <v>6030</v>
      </c>
      <c r="AF177">
        <f t="shared" si="440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41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42"/>
        <v>200</v>
      </c>
      <c r="AM177">
        <f t="shared" si="443"/>
        <v>41350</v>
      </c>
      <c r="AN177">
        <f>_xlfn.XLOOKUP(B177,'[4]june-2025'!$A:$A,'[4]june-2025'!$C:$C,0,0)</f>
        <v>33500</v>
      </c>
      <c r="AO177">
        <f t="shared" si="444"/>
        <v>6030</v>
      </c>
      <c r="AP177">
        <f t="shared" si="445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46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47"/>
        <v>200</v>
      </c>
      <c r="AW177">
        <f t="shared" si="448"/>
        <v>41350</v>
      </c>
      <c r="AX177">
        <f>_xlfn.XLOOKUP(B177,'[5]july-2025'!$A:$A,'[5]july-2025'!$C:$C,0,0)</f>
        <v>34500</v>
      </c>
      <c r="AY177">
        <f t="shared" si="449"/>
        <v>6210</v>
      </c>
      <c r="AZ177">
        <v>0</v>
      </c>
      <c r="BA177">
        <f t="shared" si="450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451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52"/>
        <v>200</v>
      </c>
      <c r="BH177">
        <f t="shared" si="453"/>
        <v>42650</v>
      </c>
      <c r="BI177">
        <f>_xlfn.XLOOKUP(B177,'[6]august-2025'!$A:$A,'[6]august-2025'!$C:$C,0,0)</f>
        <v>34500</v>
      </c>
      <c r="BJ177">
        <f t="shared" si="454"/>
        <v>6210</v>
      </c>
      <c r="BK177">
        <f t="shared" si="455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56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457"/>
        <v>200</v>
      </c>
      <c r="BR177">
        <f t="shared" si="458"/>
        <v>42650</v>
      </c>
      <c r="BS177">
        <f>_xlfn.XLOOKUP(B177,'[7]september-2025'!$A:$A,'[7]september-2025'!$C:$C,0,0)</f>
        <v>34500</v>
      </c>
      <c r="BT177">
        <f t="shared" si="459"/>
        <v>6210</v>
      </c>
      <c r="BU177">
        <f t="shared" si="460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461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62"/>
        <v>200</v>
      </c>
      <c r="CB177">
        <f t="shared" si="463"/>
        <v>42650</v>
      </c>
      <c r="CC177">
        <f>_xlfn.XLOOKUP(B177,'[8]october-2025'!$A:$A,'[8]october-2025'!$C:$C,0,0)</f>
        <v>34500</v>
      </c>
      <c r="CD177">
        <f t="shared" si="464"/>
        <v>6210</v>
      </c>
      <c r="CE177">
        <f t="shared" si="465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466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67"/>
        <v>200</v>
      </c>
      <c r="CL177">
        <f t="shared" si="468"/>
        <v>42650</v>
      </c>
      <c r="CM177">
        <f>_xlfn.XLOOKUP(B177,'[9]november-2025'!$A:$A,'[9]november-2025'!$C:$C,0,0)</f>
        <v>34500</v>
      </c>
      <c r="CN177">
        <f t="shared" si="469"/>
        <v>6210</v>
      </c>
      <c r="CO177">
        <f t="shared" si="470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471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72"/>
        <v>200</v>
      </c>
      <c r="CV177">
        <f t="shared" si="473"/>
        <v>42650</v>
      </c>
      <c r="CW177">
        <f>_xlfn.XLOOKUP(B177,'[10]december-2025'!$A:$A,'[10]december-2025'!$C:$C,0,0)</f>
        <v>34500</v>
      </c>
      <c r="CX177">
        <f t="shared" si="474"/>
        <v>6210</v>
      </c>
      <c r="CY177">
        <f t="shared" si="475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47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77"/>
        <v>200</v>
      </c>
      <c r="DF177">
        <f t="shared" si="478"/>
        <v>42650</v>
      </c>
      <c r="DG177">
        <f>_xlfn.XLOOKUP(B177,'[11]january-2026'!$A:$A,'[11]january-2026'!$C:$C,0,0)</f>
        <v>34500</v>
      </c>
      <c r="DH177">
        <f t="shared" si="479"/>
        <v>6210</v>
      </c>
      <c r="DI177">
        <f t="shared" si="48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1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2"/>
        <v>200</v>
      </c>
      <c r="DP177">
        <f t="shared" si="483"/>
        <v>42650</v>
      </c>
      <c r="DQ177">
        <f>_xlfn.XLOOKUP(B177,'[12]february-2026'!$A:$A,'[12]february-2026'!$C:$C,0,0)</f>
        <v>34500</v>
      </c>
      <c r="DR177">
        <f t="shared" si="484"/>
        <v>6210</v>
      </c>
      <c r="DS177">
        <f t="shared" si="485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6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7"/>
        <v>200</v>
      </c>
      <c r="DZ177">
        <f t="shared" si="488"/>
        <v>42650</v>
      </c>
      <c r="EA177">
        <f t="shared" si="489"/>
        <v>544460</v>
      </c>
      <c r="EB177">
        <f t="shared" si="490"/>
        <v>2400</v>
      </c>
      <c r="EC177">
        <f t="shared" si="491"/>
        <v>50000</v>
      </c>
      <c r="ED177">
        <v>0</v>
      </c>
      <c r="EE177">
        <f t="shared" si="492"/>
        <v>492060</v>
      </c>
      <c r="EF177">
        <f t="shared" si="493"/>
        <v>30000</v>
      </c>
      <c r="EG177">
        <f t="shared" si="494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5"/>
        <v>30000</v>
      </c>
      <c r="ES177">
        <f t="shared" si="496"/>
        <v>30000</v>
      </c>
      <c r="ET177">
        <f t="shared" si="497"/>
        <v>462060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8"/>
        <v>0</v>
      </c>
      <c r="FC177">
        <f t="shared" si="499"/>
        <v>462060</v>
      </c>
      <c r="FD177">
        <f t="shared" si="500"/>
        <v>10603</v>
      </c>
      <c r="FE177">
        <f t="shared" si="501"/>
        <v>0</v>
      </c>
      <c r="FF177">
        <f t="shared" si="502"/>
        <v>10603</v>
      </c>
      <c r="FG177">
        <f t="shared" si="503"/>
        <v>0</v>
      </c>
      <c r="FH177">
        <f t="shared" si="504"/>
        <v>0</v>
      </c>
      <c r="FI177">
        <f t="shared" si="505"/>
        <v>0</v>
      </c>
      <c r="FJ177">
        <v>0</v>
      </c>
      <c r="FK177">
        <f t="shared" si="506"/>
        <v>0</v>
      </c>
      <c r="FL177" t="b">
        <f t="shared" si="507"/>
        <v>1</v>
      </c>
      <c r="FM177">
        <f t="shared" ca="1" si="508"/>
        <v>554</v>
      </c>
      <c r="FN177">
        <f t="shared" ca="1" si="509"/>
        <v>545014</v>
      </c>
      <c r="FO177">
        <f t="shared" si="510"/>
        <v>75000</v>
      </c>
      <c r="FP177">
        <f t="shared" ca="1" si="511"/>
        <v>470014</v>
      </c>
      <c r="FQ177">
        <f t="shared" ca="1" si="512"/>
        <v>0</v>
      </c>
      <c r="FR177">
        <f t="shared" ca="1" si="513"/>
        <v>0</v>
      </c>
      <c r="FS177">
        <f t="shared" ca="1" si="514"/>
        <v>0</v>
      </c>
      <c r="FT177">
        <f t="shared" ca="1" si="515"/>
        <v>0</v>
      </c>
      <c r="FU177">
        <f t="shared" ca="1" si="516"/>
        <v>0</v>
      </c>
      <c r="FV177">
        <f t="shared" ca="1" si="517"/>
        <v>0</v>
      </c>
      <c r="FW177">
        <f t="shared" ca="1" si="518"/>
        <v>0</v>
      </c>
      <c r="FX177">
        <f t="shared" ca="1" si="519"/>
        <v>0</v>
      </c>
      <c r="FY177">
        <f t="shared" ca="1" si="520"/>
        <v>0</v>
      </c>
      <c r="FZ177">
        <f t="shared" ca="1" si="521"/>
        <v>0</v>
      </c>
      <c r="GA177">
        <f t="shared" ca="1" si="522"/>
        <v>70014</v>
      </c>
      <c r="GB177">
        <f t="shared" ca="1" si="523"/>
        <v>3500.7000000000003</v>
      </c>
      <c r="GC177">
        <f t="shared" ca="1" si="524"/>
        <v>3501</v>
      </c>
      <c r="GD177">
        <f t="shared" ca="1" si="525"/>
        <v>0</v>
      </c>
      <c r="GE177">
        <f t="shared" ca="1" si="526"/>
        <v>0</v>
      </c>
      <c r="GF177">
        <f t="shared" ca="1" si="527"/>
        <v>3501</v>
      </c>
      <c r="GG177">
        <f t="shared" ca="1" si="528"/>
        <v>0</v>
      </c>
      <c r="GH177" t="b">
        <f t="shared" ca="1" si="529"/>
        <v>0</v>
      </c>
      <c r="GI177">
        <f t="shared" ca="1" si="530"/>
        <v>0</v>
      </c>
      <c r="GJ177">
        <f t="shared" ca="1" si="531"/>
        <v>3501</v>
      </c>
      <c r="GK177">
        <f t="shared" ca="1" si="532"/>
        <v>0</v>
      </c>
      <c r="GL177">
        <f t="shared" ca="1" si="533"/>
        <v>0</v>
      </c>
      <c r="GM177">
        <f t="shared" ca="1" si="534"/>
        <v>0</v>
      </c>
    </row>
    <row r="178" spans="1:195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537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30"/>
        <v>4690</v>
      </c>
      <c r="L178">
        <f t="shared" si="431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432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535"/>
        <v>200</v>
      </c>
      <c r="S178">
        <f t="shared" si="433"/>
        <v>39910</v>
      </c>
      <c r="T178">
        <f>_xlfn.XLOOKUP(B178,'[2]april-2025'!$A:$A,'[2]april-2025'!$C:$C,0,0)</f>
        <v>33500</v>
      </c>
      <c r="U178">
        <f t="shared" si="434"/>
        <v>6030</v>
      </c>
      <c r="V178">
        <f t="shared" si="43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3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37"/>
        <v>200</v>
      </c>
      <c r="AC178">
        <f t="shared" si="438"/>
        <v>41250</v>
      </c>
      <c r="AD178">
        <f>_xlfn.XLOOKUP(B178,'[3]may-2025'!$A:$A,'[3]may-2025'!$C:$C,0,0)</f>
        <v>33500</v>
      </c>
      <c r="AE178">
        <f t="shared" si="439"/>
        <v>6030</v>
      </c>
      <c r="AF178">
        <f t="shared" si="440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41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42"/>
        <v>200</v>
      </c>
      <c r="AM178">
        <f t="shared" si="443"/>
        <v>41250</v>
      </c>
      <c r="AN178">
        <f>_xlfn.XLOOKUP(B178,'[4]june-2025'!$A:$A,'[4]june-2025'!$C:$C,0,0)</f>
        <v>33500</v>
      </c>
      <c r="AO178">
        <f t="shared" si="444"/>
        <v>6030</v>
      </c>
      <c r="AP178">
        <f t="shared" si="445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46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47"/>
        <v>200</v>
      </c>
      <c r="AW178">
        <f t="shared" si="448"/>
        <v>41250</v>
      </c>
      <c r="AX178">
        <f>_xlfn.XLOOKUP(B178,'[5]july-2025'!$A:$A,'[5]july-2025'!$C:$C,0,0)</f>
        <v>34500</v>
      </c>
      <c r="AY178">
        <f t="shared" si="449"/>
        <v>6210</v>
      </c>
      <c r="AZ178">
        <v>0</v>
      </c>
      <c r="BA178">
        <f t="shared" si="450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451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52"/>
        <v>200</v>
      </c>
      <c r="BH178">
        <f t="shared" si="453"/>
        <v>42550</v>
      </c>
      <c r="BI178">
        <f>_xlfn.XLOOKUP(B178,'[6]august-2025'!$A:$A,'[6]august-2025'!$C:$C,0,0)</f>
        <v>34500</v>
      </c>
      <c r="BJ178">
        <f t="shared" si="454"/>
        <v>6210</v>
      </c>
      <c r="BK178">
        <f t="shared" si="455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56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457"/>
        <v>200</v>
      </c>
      <c r="BR178">
        <f t="shared" si="458"/>
        <v>42550</v>
      </c>
      <c r="BS178">
        <f>_xlfn.XLOOKUP(B178,'[7]september-2025'!$A:$A,'[7]september-2025'!$C:$C,0,0)</f>
        <v>34500</v>
      </c>
      <c r="BT178">
        <f t="shared" si="459"/>
        <v>6210</v>
      </c>
      <c r="BU178">
        <f t="shared" si="460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461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62"/>
        <v>200</v>
      </c>
      <c r="CB178">
        <f t="shared" si="463"/>
        <v>42550</v>
      </c>
      <c r="CC178">
        <f>_xlfn.XLOOKUP(B178,'[8]october-2025'!$A:$A,'[8]october-2025'!$C:$C,0,0)</f>
        <v>34500</v>
      </c>
      <c r="CD178">
        <f t="shared" si="464"/>
        <v>6210</v>
      </c>
      <c r="CE178">
        <f t="shared" si="465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466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67"/>
        <v>200</v>
      </c>
      <c r="CL178">
        <f t="shared" si="468"/>
        <v>42550</v>
      </c>
      <c r="CM178">
        <f>_xlfn.XLOOKUP(B178,'[9]november-2025'!$A:$A,'[9]november-2025'!$C:$C,0,0)</f>
        <v>34500</v>
      </c>
      <c r="CN178">
        <f t="shared" si="469"/>
        <v>6210</v>
      </c>
      <c r="CO178">
        <f t="shared" si="470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471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72"/>
        <v>200</v>
      </c>
      <c r="CV178">
        <f t="shared" si="473"/>
        <v>42550</v>
      </c>
      <c r="CW178">
        <f>_xlfn.XLOOKUP(B178,'[10]december-2025'!$A:$A,'[10]december-2025'!$C:$C,0,0)</f>
        <v>34500</v>
      </c>
      <c r="CX178">
        <f t="shared" si="474"/>
        <v>6210</v>
      </c>
      <c r="CY178">
        <f t="shared" si="475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47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77"/>
        <v>200</v>
      </c>
      <c r="DF178">
        <f t="shared" si="478"/>
        <v>42550</v>
      </c>
      <c r="DG178">
        <f>_xlfn.XLOOKUP(B178,'[11]january-2026'!$A:$A,'[11]january-2026'!$C:$C,0,0)</f>
        <v>34500</v>
      </c>
      <c r="DH178">
        <f t="shared" si="479"/>
        <v>6210</v>
      </c>
      <c r="DI178">
        <f t="shared" si="48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1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2"/>
        <v>200</v>
      </c>
      <c r="DP178">
        <f t="shared" si="483"/>
        <v>42550</v>
      </c>
      <c r="DQ178">
        <f>_xlfn.XLOOKUP(B178,'[12]february-2026'!$A:$A,'[12]february-2026'!$C:$C,0,0)</f>
        <v>34500</v>
      </c>
      <c r="DR178">
        <f t="shared" si="484"/>
        <v>6210</v>
      </c>
      <c r="DS178">
        <f t="shared" si="485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6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7"/>
        <v>200</v>
      </c>
      <c r="DZ178">
        <f t="shared" si="488"/>
        <v>42550</v>
      </c>
      <c r="EA178">
        <f t="shared" si="489"/>
        <v>549260</v>
      </c>
      <c r="EB178">
        <f t="shared" si="490"/>
        <v>2400</v>
      </c>
      <c r="EC178">
        <f t="shared" si="491"/>
        <v>50000</v>
      </c>
      <c r="ED178">
        <v>0</v>
      </c>
      <c r="EE178">
        <f t="shared" si="492"/>
        <v>496860</v>
      </c>
      <c r="EF178">
        <f t="shared" si="493"/>
        <v>36000</v>
      </c>
      <c r="EG178">
        <f t="shared" si="494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5"/>
        <v>36000</v>
      </c>
      <c r="ES178">
        <f t="shared" si="496"/>
        <v>36000</v>
      </c>
      <c r="ET178">
        <f t="shared" si="497"/>
        <v>460860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8"/>
        <v>0</v>
      </c>
      <c r="FC178">
        <f t="shared" si="499"/>
        <v>460860</v>
      </c>
      <c r="FD178">
        <f t="shared" si="500"/>
        <v>10543</v>
      </c>
      <c r="FE178">
        <f t="shared" si="501"/>
        <v>0</v>
      </c>
      <c r="FF178">
        <f t="shared" si="502"/>
        <v>10543</v>
      </c>
      <c r="FG178">
        <f t="shared" si="503"/>
        <v>0</v>
      </c>
      <c r="FH178">
        <f t="shared" si="504"/>
        <v>0</v>
      </c>
      <c r="FI178">
        <f t="shared" si="505"/>
        <v>0</v>
      </c>
      <c r="FJ178">
        <v>0</v>
      </c>
      <c r="FK178">
        <f t="shared" si="506"/>
        <v>0</v>
      </c>
      <c r="FL178" t="b">
        <f t="shared" si="507"/>
        <v>1</v>
      </c>
      <c r="FM178">
        <f t="shared" ca="1" si="508"/>
        <v>915</v>
      </c>
      <c r="FN178">
        <f t="shared" ca="1" si="509"/>
        <v>550175</v>
      </c>
      <c r="FO178">
        <f t="shared" si="510"/>
        <v>75000</v>
      </c>
      <c r="FP178">
        <f t="shared" ca="1" si="511"/>
        <v>475175</v>
      </c>
      <c r="FQ178">
        <f t="shared" ca="1" si="512"/>
        <v>0</v>
      </c>
      <c r="FR178">
        <f t="shared" ca="1" si="513"/>
        <v>0</v>
      </c>
      <c r="FS178">
        <f t="shared" ca="1" si="514"/>
        <v>0</v>
      </c>
      <c r="FT178">
        <f t="shared" ca="1" si="515"/>
        <v>0</v>
      </c>
      <c r="FU178">
        <f t="shared" ca="1" si="516"/>
        <v>0</v>
      </c>
      <c r="FV178">
        <f t="shared" ca="1" si="517"/>
        <v>0</v>
      </c>
      <c r="FW178">
        <f t="shared" ca="1" si="518"/>
        <v>0</v>
      </c>
      <c r="FX178">
        <f t="shared" ca="1" si="519"/>
        <v>0</v>
      </c>
      <c r="FY178">
        <f t="shared" ca="1" si="520"/>
        <v>0</v>
      </c>
      <c r="FZ178">
        <f t="shared" ca="1" si="521"/>
        <v>0</v>
      </c>
      <c r="GA178">
        <f t="shared" ca="1" si="522"/>
        <v>75175</v>
      </c>
      <c r="GB178">
        <f t="shared" ca="1" si="523"/>
        <v>3758.75</v>
      </c>
      <c r="GC178">
        <f t="shared" ca="1" si="524"/>
        <v>3759</v>
      </c>
      <c r="GD178">
        <f t="shared" ca="1" si="525"/>
        <v>0</v>
      </c>
      <c r="GE178">
        <f t="shared" ca="1" si="526"/>
        <v>0</v>
      </c>
      <c r="GF178">
        <f t="shared" ca="1" si="527"/>
        <v>3759</v>
      </c>
      <c r="GG178">
        <f t="shared" ca="1" si="528"/>
        <v>0</v>
      </c>
      <c r="GH178" t="b">
        <f t="shared" ca="1" si="529"/>
        <v>0</v>
      </c>
      <c r="GI178">
        <f t="shared" ca="1" si="530"/>
        <v>0</v>
      </c>
      <c r="GJ178">
        <f t="shared" ca="1" si="531"/>
        <v>3759</v>
      </c>
      <c r="GK178">
        <f t="shared" ca="1" si="532"/>
        <v>0</v>
      </c>
      <c r="GL178">
        <f t="shared" ca="1" si="533"/>
        <v>0</v>
      </c>
      <c r="GM178">
        <f t="shared" ca="1" si="534"/>
        <v>0</v>
      </c>
    </row>
    <row r="179" spans="1:195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537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30"/>
        <v>4830.0000000000009</v>
      </c>
      <c r="L179">
        <f t="shared" si="431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432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535"/>
        <v>200</v>
      </c>
      <c r="S179">
        <f t="shared" si="433"/>
        <v>40770</v>
      </c>
      <c r="T179">
        <f>_xlfn.XLOOKUP(B179,'[2]april-2025'!$A:$A,'[2]april-2025'!$C:$C,0,0)</f>
        <v>34500</v>
      </c>
      <c r="U179">
        <f t="shared" si="434"/>
        <v>6210</v>
      </c>
      <c r="V179">
        <f t="shared" si="43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3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37"/>
        <v>200</v>
      </c>
      <c r="AC179">
        <f t="shared" si="438"/>
        <v>42150</v>
      </c>
      <c r="AD179">
        <f>_xlfn.XLOOKUP(B179,'[3]may-2025'!$A:$A,'[3]may-2025'!$C:$C,0,0)</f>
        <v>34500</v>
      </c>
      <c r="AE179">
        <f t="shared" si="439"/>
        <v>6210</v>
      </c>
      <c r="AF179">
        <f t="shared" si="440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41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42"/>
        <v>200</v>
      </c>
      <c r="AM179">
        <f t="shared" si="443"/>
        <v>42150</v>
      </c>
      <c r="AN179">
        <f>_xlfn.XLOOKUP(B179,'[4]june-2025'!$A:$A,'[4]june-2025'!$C:$C,0,0)</f>
        <v>34500</v>
      </c>
      <c r="AO179">
        <f t="shared" si="444"/>
        <v>6210</v>
      </c>
      <c r="AP179">
        <f t="shared" si="445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46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47"/>
        <v>200</v>
      </c>
      <c r="AW179">
        <f t="shared" si="448"/>
        <v>42150</v>
      </c>
      <c r="AX179">
        <f>_xlfn.XLOOKUP(B179,'[5]july-2025'!$A:$A,'[5]july-2025'!$C:$C,0,0)</f>
        <v>35500</v>
      </c>
      <c r="AY179">
        <f t="shared" si="449"/>
        <v>6390</v>
      </c>
      <c r="AZ179">
        <v>0</v>
      </c>
      <c r="BA179">
        <f t="shared" si="450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451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52"/>
        <v>200</v>
      </c>
      <c r="BH179">
        <f t="shared" si="453"/>
        <v>43450</v>
      </c>
      <c r="BI179">
        <f>_xlfn.XLOOKUP(B179,'[6]august-2025'!$A:$A,'[6]august-2025'!$C:$C,0,0)</f>
        <v>35500</v>
      </c>
      <c r="BJ179">
        <f t="shared" si="454"/>
        <v>6390</v>
      </c>
      <c r="BK179">
        <f t="shared" si="455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56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457"/>
        <v>200</v>
      </c>
      <c r="BR179">
        <f t="shared" si="458"/>
        <v>43450</v>
      </c>
      <c r="BS179">
        <f>_xlfn.XLOOKUP(B179,'[7]september-2025'!$A:$A,'[7]september-2025'!$C:$C,0,0)</f>
        <v>35500</v>
      </c>
      <c r="BT179">
        <f t="shared" si="459"/>
        <v>6390</v>
      </c>
      <c r="BU179">
        <f t="shared" si="460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461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62"/>
        <v>200</v>
      </c>
      <c r="CB179">
        <f t="shared" si="463"/>
        <v>43450</v>
      </c>
      <c r="CC179">
        <f>_xlfn.XLOOKUP(B179,'[8]october-2025'!$A:$A,'[8]october-2025'!$C:$C,0,0)</f>
        <v>35500</v>
      </c>
      <c r="CD179">
        <f t="shared" si="464"/>
        <v>6390</v>
      </c>
      <c r="CE179">
        <f t="shared" si="465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466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67"/>
        <v>200</v>
      </c>
      <c r="CL179">
        <f t="shared" si="468"/>
        <v>43450</v>
      </c>
      <c r="CM179">
        <f>_xlfn.XLOOKUP(B179,'[9]november-2025'!$A:$A,'[9]november-2025'!$C:$C,0,0)</f>
        <v>35500</v>
      </c>
      <c r="CN179">
        <f t="shared" si="469"/>
        <v>6390</v>
      </c>
      <c r="CO179">
        <f t="shared" si="470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471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72"/>
        <v>200</v>
      </c>
      <c r="CV179">
        <f t="shared" si="473"/>
        <v>43450</v>
      </c>
      <c r="CW179">
        <f>_xlfn.XLOOKUP(B179,'[10]december-2025'!$A:$A,'[10]december-2025'!$C:$C,0,0)</f>
        <v>35500</v>
      </c>
      <c r="CX179">
        <f t="shared" si="474"/>
        <v>6390</v>
      </c>
      <c r="CY179">
        <f t="shared" si="475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47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77"/>
        <v>200</v>
      </c>
      <c r="DF179">
        <f t="shared" si="478"/>
        <v>43450</v>
      </c>
      <c r="DG179">
        <f>_xlfn.XLOOKUP(B179,'[11]january-2026'!$A:$A,'[11]january-2026'!$C:$C,0,0)</f>
        <v>35500</v>
      </c>
      <c r="DH179">
        <f t="shared" si="479"/>
        <v>6390</v>
      </c>
      <c r="DI179">
        <f t="shared" si="48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1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2"/>
        <v>200</v>
      </c>
      <c r="DP179">
        <f t="shared" si="483"/>
        <v>43450</v>
      </c>
      <c r="DQ179">
        <f>_xlfn.XLOOKUP(B179,'[12]february-2026'!$A:$A,'[12]february-2026'!$C:$C,0,0)</f>
        <v>35500</v>
      </c>
      <c r="DR179">
        <f t="shared" si="484"/>
        <v>6390</v>
      </c>
      <c r="DS179">
        <f t="shared" si="485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6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7"/>
        <v>200</v>
      </c>
      <c r="DZ179">
        <f t="shared" si="488"/>
        <v>43450</v>
      </c>
      <c r="EA179">
        <f t="shared" si="489"/>
        <v>560020</v>
      </c>
      <c r="EB179">
        <f t="shared" si="490"/>
        <v>2400</v>
      </c>
      <c r="EC179">
        <f t="shared" si="491"/>
        <v>50000</v>
      </c>
      <c r="ED179">
        <v>0</v>
      </c>
      <c r="EE179">
        <f t="shared" si="492"/>
        <v>507620</v>
      </c>
      <c r="EF179">
        <f t="shared" si="493"/>
        <v>36000</v>
      </c>
      <c r="EG179">
        <f t="shared" si="494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5"/>
        <v>36000</v>
      </c>
      <c r="ES179">
        <f t="shared" si="496"/>
        <v>36000</v>
      </c>
      <c r="ET179">
        <f t="shared" si="497"/>
        <v>471620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8"/>
        <v>0</v>
      </c>
      <c r="FC179">
        <f t="shared" si="499"/>
        <v>471620</v>
      </c>
      <c r="FD179">
        <f t="shared" si="500"/>
        <v>11081</v>
      </c>
      <c r="FE179">
        <f t="shared" si="501"/>
        <v>0</v>
      </c>
      <c r="FF179">
        <f t="shared" si="502"/>
        <v>11081</v>
      </c>
      <c r="FG179">
        <f t="shared" si="503"/>
        <v>0</v>
      </c>
      <c r="FH179">
        <f t="shared" si="504"/>
        <v>0</v>
      </c>
      <c r="FI179">
        <f t="shared" si="505"/>
        <v>0</v>
      </c>
      <c r="FJ179">
        <v>0</v>
      </c>
      <c r="FK179">
        <f t="shared" si="506"/>
        <v>0</v>
      </c>
      <c r="FL179" t="b">
        <f t="shared" si="507"/>
        <v>1</v>
      </c>
      <c r="FM179">
        <f t="shared" ca="1" si="508"/>
        <v>758</v>
      </c>
      <c r="FN179">
        <f t="shared" ca="1" si="509"/>
        <v>560778</v>
      </c>
      <c r="FO179">
        <f t="shared" si="510"/>
        <v>75000</v>
      </c>
      <c r="FP179">
        <f t="shared" ca="1" si="511"/>
        <v>485778</v>
      </c>
      <c r="FQ179">
        <f t="shared" ca="1" si="512"/>
        <v>0</v>
      </c>
      <c r="FR179">
        <f t="shared" ca="1" si="513"/>
        <v>0</v>
      </c>
      <c r="FS179">
        <f t="shared" ca="1" si="514"/>
        <v>0</v>
      </c>
      <c r="FT179">
        <f t="shared" ca="1" si="515"/>
        <v>0</v>
      </c>
      <c r="FU179">
        <f t="shared" ca="1" si="516"/>
        <v>0</v>
      </c>
      <c r="FV179">
        <f t="shared" ca="1" si="517"/>
        <v>0</v>
      </c>
      <c r="FW179">
        <f t="shared" ca="1" si="518"/>
        <v>0</v>
      </c>
      <c r="FX179">
        <f t="shared" ca="1" si="519"/>
        <v>0</v>
      </c>
      <c r="FY179">
        <f t="shared" ca="1" si="520"/>
        <v>0</v>
      </c>
      <c r="FZ179">
        <f t="shared" ca="1" si="521"/>
        <v>0</v>
      </c>
      <c r="GA179">
        <f t="shared" ca="1" si="522"/>
        <v>85778</v>
      </c>
      <c r="GB179">
        <f t="shared" ca="1" si="523"/>
        <v>4288.9000000000005</v>
      </c>
      <c r="GC179">
        <f t="shared" ca="1" si="524"/>
        <v>4289</v>
      </c>
      <c r="GD179">
        <f t="shared" ca="1" si="525"/>
        <v>0</v>
      </c>
      <c r="GE179">
        <f t="shared" ca="1" si="526"/>
        <v>0</v>
      </c>
      <c r="GF179">
        <f t="shared" ca="1" si="527"/>
        <v>4289</v>
      </c>
      <c r="GG179">
        <f t="shared" ca="1" si="528"/>
        <v>0</v>
      </c>
      <c r="GH179" t="b">
        <f t="shared" ca="1" si="529"/>
        <v>0</v>
      </c>
      <c r="GI179">
        <f t="shared" ca="1" si="530"/>
        <v>0</v>
      </c>
      <c r="GJ179">
        <f t="shared" ca="1" si="531"/>
        <v>4289</v>
      </c>
      <c r="GK179">
        <f t="shared" ca="1" si="532"/>
        <v>0</v>
      </c>
      <c r="GL179">
        <f t="shared" ca="1" si="533"/>
        <v>0</v>
      </c>
      <c r="GM179">
        <f t="shared" ca="1" si="534"/>
        <v>0</v>
      </c>
    </row>
    <row r="180" spans="1:195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537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30"/>
        <v>4690</v>
      </c>
      <c r="L180">
        <f t="shared" si="431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432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535"/>
        <v>200</v>
      </c>
      <c r="S180">
        <f t="shared" si="433"/>
        <v>39510</v>
      </c>
      <c r="T180">
        <f>_xlfn.XLOOKUP(B180,'[2]april-2025'!$A:$A,'[2]april-2025'!$C:$C,0,0)</f>
        <v>33500</v>
      </c>
      <c r="U180">
        <f t="shared" si="434"/>
        <v>6030</v>
      </c>
      <c r="V180">
        <f t="shared" si="43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3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37"/>
        <v>200</v>
      </c>
      <c r="AC180">
        <f t="shared" si="438"/>
        <v>40850</v>
      </c>
      <c r="AD180">
        <f>_xlfn.XLOOKUP(B180,'[3]may-2025'!$A:$A,'[3]may-2025'!$C:$C,0,0)</f>
        <v>33500</v>
      </c>
      <c r="AE180">
        <f t="shared" si="439"/>
        <v>6030</v>
      </c>
      <c r="AF180">
        <f t="shared" si="440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41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42"/>
        <v>200</v>
      </c>
      <c r="AM180">
        <f t="shared" si="443"/>
        <v>40850</v>
      </c>
      <c r="AN180">
        <f>_xlfn.XLOOKUP(B180,'[4]june-2025'!$A:$A,'[4]june-2025'!$C:$C,0,0)</f>
        <v>33500</v>
      </c>
      <c r="AO180">
        <f t="shared" si="444"/>
        <v>6030</v>
      </c>
      <c r="AP180">
        <f t="shared" si="445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46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47"/>
        <v>200</v>
      </c>
      <c r="AW180">
        <f t="shared" si="448"/>
        <v>40850</v>
      </c>
      <c r="AX180">
        <f>_xlfn.XLOOKUP(B180,'[5]july-2025'!$A:$A,'[5]july-2025'!$C:$C,0,0)</f>
        <v>34500</v>
      </c>
      <c r="AY180">
        <f t="shared" si="449"/>
        <v>6210</v>
      </c>
      <c r="AZ180">
        <v>0</v>
      </c>
      <c r="BA180">
        <f t="shared" si="450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451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52"/>
        <v>200</v>
      </c>
      <c r="BH180">
        <f t="shared" si="453"/>
        <v>42150</v>
      </c>
      <c r="BI180">
        <f>_xlfn.XLOOKUP(B180,'[6]august-2025'!$A:$A,'[6]august-2025'!$C:$C,0,0)</f>
        <v>34500</v>
      </c>
      <c r="BJ180">
        <f t="shared" si="454"/>
        <v>6210</v>
      </c>
      <c r="BK180">
        <f t="shared" si="455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56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457"/>
        <v>200</v>
      </c>
      <c r="BR180">
        <f t="shared" si="458"/>
        <v>42150</v>
      </c>
      <c r="BS180">
        <f>_xlfn.XLOOKUP(B180,'[7]september-2025'!$A:$A,'[7]september-2025'!$C:$C,0,0)</f>
        <v>34500</v>
      </c>
      <c r="BT180">
        <f t="shared" si="459"/>
        <v>6210</v>
      </c>
      <c r="BU180">
        <f t="shared" si="460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461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62"/>
        <v>200</v>
      </c>
      <c r="CB180">
        <f t="shared" si="463"/>
        <v>42150</v>
      </c>
      <c r="CC180">
        <f>_xlfn.XLOOKUP(B180,'[8]october-2025'!$A:$A,'[8]october-2025'!$C:$C,0,0)</f>
        <v>34500</v>
      </c>
      <c r="CD180">
        <f t="shared" si="464"/>
        <v>6210</v>
      </c>
      <c r="CE180">
        <f t="shared" si="465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466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67"/>
        <v>200</v>
      </c>
      <c r="CL180">
        <f t="shared" si="468"/>
        <v>42150</v>
      </c>
      <c r="CM180">
        <f>_xlfn.XLOOKUP(B180,'[9]november-2025'!$A:$A,'[9]november-2025'!$C:$C,0,0)</f>
        <v>34500</v>
      </c>
      <c r="CN180">
        <f t="shared" si="469"/>
        <v>6210</v>
      </c>
      <c r="CO180">
        <f t="shared" si="470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471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72"/>
        <v>200</v>
      </c>
      <c r="CV180">
        <f t="shared" si="473"/>
        <v>42150</v>
      </c>
      <c r="CW180">
        <f>_xlfn.XLOOKUP(B180,'[10]december-2025'!$A:$A,'[10]december-2025'!$C:$C,0,0)</f>
        <v>34500</v>
      </c>
      <c r="CX180">
        <f t="shared" si="474"/>
        <v>6210</v>
      </c>
      <c r="CY180">
        <f t="shared" si="475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47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77"/>
        <v>200</v>
      </c>
      <c r="DF180">
        <f t="shared" si="478"/>
        <v>42150</v>
      </c>
      <c r="DG180">
        <f>_xlfn.XLOOKUP(B180,'[11]january-2026'!$A:$A,'[11]january-2026'!$C:$C,0,0)</f>
        <v>34500</v>
      </c>
      <c r="DH180">
        <f t="shared" si="479"/>
        <v>6210</v>
      </c>
      <c r="DI180">
        <f t="shared" si="48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1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2"/>
        <v>200</v>
      </c>
      <c r="DP180">
        <f t="shared" si="483"/>
        <v>42150</v>
      </c>
      <c r="DQ180">
        <f>_xlfn.XLOOKUP(B180,'[12]february-2026'!$A:$A,'[12]february-2026'!$C:$C,0,0)</f>
        <v>34500</v>
      </c>
      <c r="DR180">
        <f t="shared" si="484"/>
        <v>6210</v>
      </c>
      <c r="DS180">
        <f t="shared" si="485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6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7"/>
        <v>200</v>
      </c>
      <c r="DZ180">
        <f t="shared" si="488"/>
        <v>42150</v>
      </c>
      <c r="EA180">
        <f t="shared" si="489"/>
        <v>544460</v>
      </c>
      <c r="EB180">
        <f t="shared" si="490"/>
        <v>2400</v>
      </c>
      <c r="EC180">
        <f t="shared" si="491"/>
        <v>50000</v>
      </c>
      <c r="ED180">
        <v>0</v>
      </c>
      <c r="EE180">
        <f t="shared" si="492"/>
        <v>492060</v>
      </c>
      <c r="EF180">
        <f t="shared" si="493"/>
        <v>36000</v>
      </c>
      <c r="EG180">
        <f t="shared" si="494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5"/>
        <v>36000</v>
      </c>
      <c r="ES180">
        <f t="shared" si="496"/>
        <v>36000</v>
      </c>
      <c r="ET180">
        <f t="shared" si="497"/>
        <v>456060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8"/>
        <v>0</v>
      </c>
      <c r="FC180">
        <f t="shared" si="499"/>
        <v>456060</v>
      </c>
      <c r="FD180">
        <f t="shared" si="500"/>
        <v>10303</v>
      </c>
      <c r="FE180">
        <f t="shared" si="501"/>
        <v>0</v>
      </c>
      <c r="FF180">
        <f t="shared" si="502"/>
        <v>10303</v>
      </c>
      <c r="FG180">
        <f t="shared" si="503"/>
        <v>0</v>
      </c>
      <c r="FH180">
        <f t="shared" si="504"/>
        <v>0</v>
      </c>
      <c r="FI180">
        <f t="shared" si="505"/>
        <v>0</v>
      </c>
      <c r="FJ180">
        <v>0</v>
      </c>
      <c r="FK180">
        <f t="shared" si="506"/>
        <v>0</v>
      </c>
      <c r="FL180" t="b">
        <f t="shared" si="507"/>
        <v>1</v>
      </c>
      <c r="FM180">
        <f t="shared" ca="1" si="508"/>
        <v>856</v>
      </c>
      <c r="FN180">
        <f t="shared" ca="1" si="509"/>
        <v>545316</v>
      </c>
      <c r="FO180">
        <f t="shared" si="510"/>
        <v>75000</v>
      </c>
      <c r="FP180">
        <f t="shared" ca="1" si="511"/>
        <v>470316</v>
      </c>
      <c r="FQ180">
        <f t="shared" ca="1" si="512"/>
        <v>0</v>
      </c>
      <c r="FR180">
        <f t="shared" ca="1" si="513"/>
        <v>0</v>
      </c>
      <c r="FS180">
        <f t="shared" ca="1" si="514"/>
        <v>0</v>
      </c>
      <c r="FT180">
        <f t="shared" ca="1" si="515"/>
        <v>0</v>
      </c>
      <c r="FU180">
        <f t="shared" ca="1" si="516"/>
        <v>0</v>
      </c>
      <c r="FV180">
        <f t="shared" ca="1" si="517"/>
        <v>0</v>
      </c>
      <c r="FW180">
        <f t="shared" ca="1" si="518"/>
        <v>0</v>
      </c>
      <c r="FX180">
        <f t="shared" ca="1" si="519"/>
        <v>0</v>
      </c>
      <c r="FY180">
        <f t="shared" ca="1" si="520"/>
        <v>0</v>
      </c>
      <c r="FZ180">
        <f t="shared" ca="1" si="521"/>
        <v>0</v>
      </c>
      <c r="GA180">
        <f t="shared" ca="1" si="522"/>
        <v>70316</v>
      </c>
      <c r="GB180">
        <f t="shared" ca="1" si="523"/>
        <v>3515.8</v>
      </c>
      <c r="GC180">
        <f t="shared" ca="1" si="524"/>
        <v>3516</v>
      </c>
      <c r="GD180">
        <f t="shared" ca="1" si="525"/>
        <v>0</v>
      </c>
      <c r="GE180">
        <f t="shared" ca="1" si="526"/>
        <v>0</v>
      </c>
      <c r="GF180">
        <f t="shared" ca="1" si="527"/>
        <v>3516</v>
      </c>
      <c r="GG180">
        <f t="shared" ca="1" si="528"/>
        <v>0</v>
      </c>
      <c r="GH180" t="b">
        <f t="shared" ca="1" si="529"/>
        <v>0</v>
      </c>
      <c r="GI180">
        <f t="shared" ca="1" si="530"/>
        <v>0</v>
      </c>
      <c r="GJ180">
        <f t="shared" ca="1" si="531"/>
        <v>3516</v>
      </c>
      <c r="GK180">
        <f t="shared" ca="1" si="532"/>
        <v>0</v>
      </c>
      <c r="GL180">
        <f t="shared" ca="1" si="533"/>
        <v>0</v>
      </c>
      <c r="GM180">
        <f t="shared" ca="1" si="534"/>
        <v>0</v>
      </c>
    </row>
    <row r="181" spans="1:195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537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30"/>
        <v>5278.0000000000009</v>
      </c>
      <c r="L181">
        <f t="shared" si="431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432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535"/>
        <v>200</v>
      </c>
      <c r="S181">
        <f t="shared" si="433"/>
        <v>40802</v>
      </c>
      <c r="T181">
        <f>_xlfn.XLOOKUP(B181,'[2]april-2025'!$A:$A,'[2]april-2025'!$C:$C,0,0)</f>
        <v>37700</v>
      </c>
      <c r="U181">
        <f t="shared" si="434"/>
        <v>6786</v>
      </c>
      <c r="V181">
        <f t="shared" si="43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3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37"/>
        <v>200</v>
      </c>
      <c r="AC181">
        <f t="shared" si="438"/>
        <v>42310</v>
      </c>
      <c r="AD181">
        <f>_xlfn.XLOOKUP(B181,'[3]may-2025'!$A:$A,'[3]may-2025'!$C:$C,0,0)</f>
        <v>37700</v>
      </c>
      <c r="AE181">
        <f t="shared" si="439"/>
        <v>6786</v>
      </c>
      <c r="AF181">
        <f t="shared" si="440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41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42"/>
        <v>200</v>
      </c>
      <c r="AM181">
        <f t="shared" si="443"/>
        <v>42310</v>
      </c>
      <c r="AN181">
        <f>_xlfn.XLOOKUP(B181,'[4]june-2025'!$A:$A,'[4]june-2025'!$C:$C,0,0)</f>
        <v>37700</v>
      </c>
      <c r="AO181">
        <f t="shared" si="444"/>
        <v>6786</v>
      </c>
      <c r="AP181">
        <f t="shared" si="445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46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47"/>
        <v>200</v>
      </c>
      <c r="AW181">
        <f t="shared" si="448"/>
        <v>42310</v>
      </c>
      <c r="AX181">
        <f>_xlfn.XLOOKUP(B181,'[5]july-2025'!$A:$A,'[5]july-2025'!$C:$C,0,0)</f>
        <v>38800</v>
      </c>
      <c r="AY181">
        <f t="shared" si="449"/>
        <v>6984</v>
      </c>
      <c r="AZ181">
        <v>0</v>
      </c>
      <c r="BA181">
        <f t="shared" si="450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451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52"/>
        <v>200</v>
      </c>
      <c r="BH181">
        <f t="shared" si="453"/>
        <v>43740</v>
      </c>
      <c r="BI181">
        <f>_xlfn.XLOOKUP(B181,'[6]august-2025'!$A:$A,'[6]august-2025'!$C:$C,0,0)</f>
        <v>38800</v>
      </c>
      <c r="BJ181">
        <f t="shared" si="454"/>
        <v>6984</v>
      </c>
      <c r="BK181">
        <f t="shared" si="455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56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457"/>
        <v>200</v>
      </c>
      <c r="BR181">
        <f t="shared" si="458"/>
        <v>43740</v>
      </c>
      <c r="BS181">
        <f>_xlfn.XLOOKUP(B181,'[7]september-2025'!$A:$A,'[7]september-2025'!$C:$C,0,0)</f>
        <v>38800</v>
      </c>
      <c r="BT181">
        <f t="shared" si="459"/>
        <v>6984</v>
      </c>
      <c r="BU181">
        <f t="shared" si="460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461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62"/>
        <v>200</v>
      </c>
      <c r="CB181">
        <f t="shared" si="463"/>
        <v>43740</v>
      </c>
      <c r="CC181">
        <f>_xlfn.XLOOKUP(B181,'[8]october-2025'!$A:$A,'[8]october-2025'!$C:$C,0,0)</f>
        <v>38800</v>
      </c>
      <c r="CD181">
        <f t="shared" si="464"/>
        <v>6984</v>
      </c>
      <c r="CE181">
        <f t="shared" si="465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466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67"/>
        <v>200</v>
      </c>
      <c r="CL181">
        <f t="shared" si="468"/>
        <v>43740</v>
      </c>
      <c r="CM181">
        <f>_xlfn.XLOOKUP(B181,'[9]november-2025'!$A:$A,'[9]november-2025'!$C:$C,0,0)</f>
        <v>38800</v>
      </c>
      <c r="CN181">
        <f t="shared" si="469"/>
        <v>6984</v>
      </c>
      <c r="CO181">
        <f t="shared" si="470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471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72"/>
        <v>200</v>
      </c>
      <c r="CV181">
        <f t="shared" si="473"/>
        <v>43740</v>
      </c>
      <c r="CW181">
        <f>_xlfn.XLOOKUP(B181,'[10]december-2025'!$A:$A,'[10]december-2025'!$C:$C,0,0)</f>
        <v>38800</v>
      </c>
      <c r="CX181">
        <f t="shared" si="474"/>
        <v>6984</v>
      </c>
      <c r="CY181">
        <f t="shared" si="475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47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77"/>
        <v>200</v>
      </c>
      <c r="DF181">
        <f t="shared" si="478"/>
        <v>43740</v>
      </c>
      <c r="DG181">
        <f>_xlfn.XLOOKUP(B181,'[11]january-2026'!$A:$A,'[11]january-2026'!$C:$C,0,0)</f>
        <v>38800</v>
      </c>
      <c r="DH181">
        <f t="shared" si="479"/>
        <v>6984</v>
      </c>
      <c r="DI181">
        <f t="shared" si="48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1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2"/>
        <v>200</v>
      </c>
      <c r="DP181">
        <f t="shared" si="483"/>
        <v>43740</v>
      </c>
      <c r="DQ181">
        <f>_xlfn.XLOOKUP(B181,'[12]february-2026'!$A:$A,'[12]february-2026'!$C:$C,0,0)</f>
        <v>38800</v>
      </c>
      <c r="DR181">
        <f t="shared" si="484"/>
        <v>6984</v>
      </c>
      <c r="DS181">
        <f t="shared" si="485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6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7"/>
        <v>200</v>
      </c>
      <c r="DZ181">
        <f t="shared" si="488"/>
        <v>43740</v>
      </c>
      <c r="EA181">
        <f t="shared" si="489"/>
        <v>610852</v>
      </c>
      <c r="EB181">
        <f t="shared" si="490"/>
        <v>2400</v>
      </c>
      <c r="EC181">
        <f t="shared" si="491"/>
        <v>50000</v>
      </c>
      <c r="ED181">
        <v>0</v>
      </c>
      <c r="EE181">
        <f t="shared" si="492"/>
        <v>558452</v>
      </c>
      <c r="EF181">
        <f t="shared" si="493"/>
        <v>84000</v>
      </c>
      <c r="EG181">
        <f t="shared" si="494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5"/>
        <v>84000</v>
      </c>
      <c r="ES181">
        <f t="shared" si="496"/>
        <v>84000</v>
      </c>
      <c r="ET181">
        <f t="shared" si="497"/>
        <v>474452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8"/>
        <v>0</v>
      </c>
      <c r="FC181">
        <f t="shared" si="499"/>
        <v>474452</v>
      </c>
      <c r="FD181">
        <f t="shared" si="500"/>
        <v>11223</v>
      </c>
      <c r="FE181">
        <f t="shared" si="501"/>
        <v>0</v>
      </c>
      <c r="FF181">
        <f t="shared" si="502"/>
        <v>11223</v>
      </c>
      <c r="FG181">
        <f t="shared" si="503"/>
        <v>0</v>
      </c>
      <c r="FH181">
        <f t="shared" si="504"/>
        <v>0</v>
      </c>
      <c r="FI181">
        <f t="shared" si="505"/>
        <v>0</v>
      </c>
      <c r="FJ181">
        <v>0</v>
      </c>
      <c r="FK181">
        <f t="shared" si="506"/>
        <v>0</v>
      </c>
      <c r="FL181" t="b">
        <f t="shared" si="507"/>
        <v>1</v>
      </c>
      <c r="FM181">
        <f t="shared" ca="1" si="508"/>
        <v>745</v>
      </c>
      <c r="FN181">
        <f t="shared" ca="1" si="509"/>
        <v>611597</v>
      </c>
      <c r="FO181">
        <f t="shared" si="510"/>
        <v>75000</v>
      </c>
      <c r="FP181">
        <f t="shared" ca="1" si="511"/>
        <v>536597</v>
      </c>
      <c r="FQ181">
        <f t="shared" ca="1" si="512"/>
        <v>0</v>
      </c>
      <c r="FR181">
        <f t="shared" ca="1" si="513"/>
        <v>0</v>
      </c>
      <c r="FS181">
        <f t="shared" ca="1" si="514"/>
        <v>0</v>
      </c>
      <c r="FT181">
        <f t="shared" ca="1" si="515"/>
        <v>0</v>
      </c>
      <c r="FU181">
        <f t="shared" ca="1" si="516"/>
        <v>0</v>
      </c>
      <c r="FV181">
        <f t="shared" ca="1" si="517"/>
        <v>0</v>
      </c>
      <c r="FW181">
        <f t="shared" ca="1" si="518"/>
        <v>0</v>
      </c>
      <c r="FX181">
        <f t="shared" ca="1" si="519"/>
        <v>0</v>
      </c>
      <c r="FY181">
        <f t="shared" ca="1" si="520"/>
        <v>0</v>
      </c>
      <c r="FZ181">
        <f t="shared" ca="1" si="521"/>
        <v>0</v>
      </c>
      <c r="GA181">
        <f t="shared" ca="1" si="522"/>
        <v>136597</v>
      </c>
      <c r="GB181">
        <f t="shared" ca="1" si="523"/>
        <v>6829.85</v>
      </c>
      <c r="GC181">
        <f t="shared" ca="1" si="524"/>
        <v>6830</v>
      </c>
      <c r="GD181">
        <f t="shared" ca="1" si="525"/>
        <v>0</v>
      </c>
      <c r="GE181">
        <f t="shared" ca="1" si="526"/>
        <v>0</v>
      </c>
      <c r="GF181">
        <f t="shared" ca="1" si="527"/>
        <v>6830</v>
      </c>
      <c r="GG181">
        <f t="shared" ca="1" si="528"/>
        <v>0</v>
      </c>
      <c r="GH181" t="b">
        <f t="shared" ca="1" si="529"/>
        <v>0</v>
      </c>
      <c r="GI181">
        <f t="shared" ca="1" si="530"/>
        <v>0</v>
      </c>
      <c r="GJ181">
        <f t="shared" ca="1" si="531"/>
        <v>6830</v>
      </c>
      <c r="GK181">
        <f t="shared" ca="1" si="532"/>
        <v>0</v>
      </c>
      <c r="GL181">
        <f t="shared" ca="1" si="533"/>
        <v>0</v>
      </c>
      <c r="GM181">
        <f t="shared" ca="1" si="534"/>
        <v>0</v>
      </c>
    </row>
    <row r="182" spans="1:195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537"/>
        <v>6800</v>
      </c>
      <c r="I182">
        <f>_xlfn.XLOOKUP(B182,'[1]march-2025'!$A:$A,'[1]march-2025'!$J:$J,0,0)</f>
        <v>0</v>
      </c>
      <c r="J182">
        <f>_xlfn.XLOOKUP(B182,'[1]march-2025'!$A:$A,'[1]march-2025'!$C:$C,0,0)</f>
        <v>25400</v>
      </c>
      <c r="K182">
        <f t="shared" si="430"/>
        <v>3556.0000000000005</v>
      </c>
      <c r="L182">
        <f t="shared" si="431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432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535"/>
        <v>150</v>
      </c>
      <c r="S182">
        <f t="shared" si="433"/>
        <v>30354</v>
      </c>
      <c r="T182">
        <f>_xlfn.XLOOKUP(B182,'[2]april-2025'!$A:$A,'[2]april-2025'!$C:$C,0,0)</f>
        <v>25400</v>
      </c>
      <c r="U182">
        <f t="shared" si="434"/>
        <v>4572</v>
      </c>
      <c r="V182">
        <f t="shared" si="43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3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37"/>
        <v>150</v>
      </c>
      <c r="AC182">
        <f t="shared" si="438"/>
        <v>31370</v>
      </c>
      <c r="AD182">
        <f>_xlfn.XLOOKUP(B182,'[3]may-2025'!$A:$A,'[3]may-2025'!$C:$C,0,0)</f>
        <v>25400</v>
      </c>
      <c r="AE182">
        <f t="shared" si="439"/>
        <v>4572</v>
      </c>
      <c r="AF182">
        <f t="shared" si="440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41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42"/>
        <v>150</v>
      </c>
      <c r="AM182">
        <f t="shared" si="443"/>
        <v>31370</v>
      </c>
      <c r="AN182">
        <f>_xlfn.XLOOKUP(B182,'[4]june-2025'!$A:$A,'[4]june-2025'!$C:$C,0,0)</f>
        <v>25400</v>
      </c>
      <c r="AO182">
        <f t="shared" si="444"/>
        <v>4572</v>
      </c>
      <c r="AP182">
        <f t="shared" si="445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46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47"/>
        <v>150</v>
      </c>
      <c r="AW182">
        <f t="shared" si="448"/>
        <v>31370</v>
      </c>
      <c r="AX182">
        <f>_xlfn.XLOOKUP(B182,'[5]july-2025'!$A:$A,'[5]july-2025'!$C:$C,0,0)</f>
        <v>26200</v>
      </c>
      <c r="AY182">
        <f t="shared" si="449"/>
        <v>4716</v>
      </c>
      <c r="AZ182">
        <v>0</v>
      </c>
      <c r="BA182">
        <f t="shared" si="450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451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52"/>
        <v>150</v>
      </c>
      <c r="BH182">
        <f t="shared" si="453"/>
        <v>32410</v>
      </c>
      <c r="BI182">
        <f>_xlfn.XLOOKUP(B182,'[6]august-2025'!$A:$A,'[6]august-2025'!$C:$C,0,0)</f>
        <v>26200</v>
      </c>
      <c r="BJ182">
        <f t="shared" si="454"/>
        <v>4716</v>
      </c>
      <c r="BK182">
        <f t="shared" si="455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56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457"/>
        <v>150</v>
      </c>
      <c r="BR182">
        <f t="shared" si="458"/>
        <v>32410</v>
      </c>
      <c r="BS182">
        <f>_xlfn.XLOOKUP(B182,'[7]september-2025'!$A:$A,'[7]september-2025'!$C:$C,0,0)</f>
        <v>26200</v>
      </c>
      <c r="BT182">
        <f t="shared" si="459"/>
        <v>4716</v>
      </c>
      <c r="BU182">
        <f t="shared" si="460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461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62"/>
        <v>150</v>
      </c>
      <c r="CB182">
        <f t="shared" si="463"/>
        <v>32410</v>
      </c>
      <c r="CC182">
        <f>_xlfn.XLOOKUP(B182,'[8]october-2025'!$A:$A,'[8]october-2025'!$C:$C,0,0)</f>
        <v>26200</v>
      </c>
      <c r="CD182">
        <f t="shared" si="464"/>
        <v>4716</v>
      </c>
      <c r="CE182">
        <f t="shared" si="465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466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67"/>
        <v>150</v>
      </c>
      <c r="CL182">
        <f t="shared" si="468"/>
        <v>32410</v>
      </c>
      <c r="CM182">
        <f>_xlfn.XLOOKUP(B182,'[9]november-2025'!$A:$A,'[9]november-2025'!$C:$C,0,0)</f>
        <v>26200</v>
      </c>
      <c r="CN182">
        <f t="shared" si="469"/>
        <v>4716</v>
      </c>
      <c r="CO182">
        <f t="shared" si="470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471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72"/>
        <v>150</v>
      </c>
      <c r="CV182">
        <f t="shared" si="473"/>
        <v>32410</v>
      </c>
      <c r="CW182">
        <f>_xlfn.XLOOKUP(B182,'[10]december-2025'!$A:$A,'[10]december-2025'!$C:$C,0,0)</f>
        <v>26200</v>
      </c>
      <c r="CX182">
        <f t="shared" si="474"/>
        <v>4716</v>
      </c>
      <c r="CY182">
        <f t="shared" si="475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47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77"/>
        <v>150</v>
      </c>
      <c r="DF182">
        <f t="shared" si="478"/>
        <v>32410</v>
      </c>
      <c r="DG182">
        <f>_xlfn.XLOOKUP(B182,'[11]january-2026'!$A:$A,'[11]january-2026'!$C:$C,0,0)</f>
        <v>26200</v>
      </c>
      <c r="DH182">
        <f t="shared" si="479"/>
        <v>4716</v>
      </c>
      <c r="DI182">
        <f t="shared" si="48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1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2"/>
        <v>150</v>
      </c>
      <c r="DP182">
        <f t="shared" si="483"/>
        <v>32410</v>
      </c>
      <c r="DQ182">
        <f>_xlfn.XLOOKUP(B182,'[12]february-2026'!$A:$A,'[12]february-2026'!$C:$C,0,0)</f>
        <v>26200</v>
      </c>
      <c r="DR182">
        <f t="shared" si="484"/>
        <v>4716</v>
      </c>
      <c r="DS182">
        <f t="shared" si="485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6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7"/>
        <v>150</v>
      </c>
      <c r="DZ182">
        <f t="shared" si="488"/>
        <v>32410</v>
      </c>
      <c r="EA182">
        <f t="shared" si="489"/>
        <v>416344</v>
      </c>
      <c r="EB182">
        <f t="shared" si="490"/>
        <v>1800</v>
      </c>
      <c r="EC182">
        <f t="shared" si="491"/>
        <v>50000</v>
      </c>
      <c r="ED182">
        <v>0</v>
      </c>
      <c r="EE182">
        <f t="shared" si="492"/>
        <v>364544</v>
      </c>
      <c r="EF182">
        <f t="shared" si="493"/>
        <v>24000</v>
      </c>
      <c r="EG182">
        <f t="shared" si="494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5"/>
        <v>24000</v>
      </c>
      <c r="ES182">
        <f t="shared" si="496"/>
        <v>24000</v>
      </c>
      <c r="ET182">
        <f t="shared" si="497"/>
        <v>340544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8"/>
        <v>0</v>
      </c>
      <c r="FC182">
        <f t="shared" si="499"/>
        <v>340544</v>
      </c>
      <c r="FD182">
        <f t="shared" si="500"/>
        <v>4527</v>
      </c>
      <c r="FE182">
        <f t="shared" si="501"/>
        <v>0</v>
      </c>
      <c r="FF182">
        <f t="shared" si="502"/>
        <v>4527</v>
      </c>
      <c r="FG182">
        <f t="shared" si="503"/>
        <v>0</v>
      </c>
      <c r="FH182">
        <f t="shared" si="504"/>
        <v>0</v>
      </c>
      <c r="FI182">
        <f t="shared" si="505"/>
        <v>0</v>
      </c>
      <c r="FJ182">
        <v>0</v>
      </c>
      <c r="FK182">
        <f t="shared" si="506"/>
        <v>0</v>
      </c>
      <c r="FL182" t="b">
        <f t="shared" si="507"/>
        <v>0</v>
      </c>
      <c r="FM182">
        <f t="shared" ca="1" si="508"/>
        <v>2001</v>
      </c>
      <c r="FN182">
        <f t="shared" ca="1" si="509"/>
        <v>418345</v>
      </c>
      <c r="FO182">
        <f t="shared" si="510"/>
        <v>75000</v>
      </c>
      <c r="FP182">
        <f t="shared" ca="1" si="511"/>
        <v>343345</v>
      </c>
      <c r="FQ182">
        <f t="shared" ca="1" si="512"/>
        <v>0</v>
      </c>
      <c r="FR182">
        <f t="shared" ca="1" si="513"/>
        <v>0</v>
      </c>
      <c r="FS182">
        <f t="shared" ca="1" si="514"/>
        <v>0</v>
      </c>
      <c r="FT182">
        <f t="shared" ca="1" si="515"/>
        <v>0</v>
      </c>
      <c r="FU182">
        <f t="shared" ca="1" si="516"/>
        <v>0</v>
      </c>
      <c r="FV182">
        <f t="shared" ca="1" si="517"/>
        <v>0</v>
      </c>
      <c r="FW182">
        <f t="shared" ca="1" si="518"/>
        <v>0</v>
      </c>
      <c r="FX182">
        <f t="shared" ca="1" si="519"/>
        <v>0</v>
      </c>
      <c r="FY182">
        <f t="shared" ca="1" si="520"/>
        <v>0</v>
      </c>
      <c r="FZ182">
        <f t="shared" ca="1" si="521"/>
        <v>0</v>
      </c>
      <c r="GA182">
        <f t="shared" ca="1" si="522"/>
        <v>0</v>
      </c>
      <c r="GB182">
        <f t="shared" ca="1" si="523"/>
        <v>0</v>
      </c>
      <c r="GC182">
        <f t="shared" ca="1" si="524"/>
        <v>0</v>
      </c>
      <c r="GD182">
        <f t="shared" ca="1" si="525"/>
        <v>0</v>
      </c>
      <c r="GE182">
        <f t="shared" ca="1" si="526"/>
        <v>0</v>
      </c>
      <c r="GF182">
        <f t="shared" ca="1" si="527"/>
        <v>0</v>
      </c>
      <c r="GG182">
        <f t="shared" ca="1" si="528"/>
        <v>0</v>
      </c>
      <c r="GH182" t="b">
        <f t="shared" ca="1" si="529"/>
        <v>0</v>
      </c>
      <c r="GI182">
        <f t="shared" ca="1" si="530"/>
        <v>0</v>
      </c>
      <c r="GJ182">
        <f t="shared" ca="1" si="531"/>
        <v>0</v>
      </c>
      <c r="GK182">
        <f t="shared" ca="1" si="532"/>
        <v>0</v>
      </c>
      <c r="GL182">
        <f t="shared" ca="1" si="533"/>
        <v>0</v>
      </c>
      <c r="GM182">
        <f t="shared" ca="1" si="534"/>
        <v>0</v>
      </c>
    </row>
    <row r="183" spans="1:195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537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30"/>
        <v>4046.0000000000005</v>
      </c>
      <c r="L183">
        <f t="shared" si="431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432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535"/>
        <v>150</v>
      </c>
      <c r="S183">
        <f t="shared" si="433"/>
        <v>34764</v>
      </c>
      <c r="T183">
        <f>_xlfn.XLOOKUP(B183,'[2]april-2025'!$A:$A,'[2]april-2025'!$C:$C,0,0)</f>
        <v>28900</v>
      </c>
      <c r="U183">
        <f t="shared" si="434"/>
        <v>5202</v>
      </c>
      <c r="V183">
        <f t="shared" si="43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3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37"/>
        <v>150</v>
      </c>
      <c r="AC183">
        <f t="shared" si="438"/>
        <v>35920</v>
      </c>
      <c r="AD183">
        <f>_xlfn.XLOOKUP(B183,'[3]may-2025'!$A:$A,'[3]may-2025'!$C:$C,0,0)</f>
        <v>28900</v>
      </c>
      <c r="AE183">
        <f t="shared" si="439"/>
        <v>5202</v>
      </c>
      <c r="AF183">
        <f t="shared" si="440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41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42"/>
        <v>150</v>
      </c>
      <c r="AM183">
        <f t="shared" si="443"/>
        <v>35920</v>
      </c>
      <c r="AN183">
        <f>_xlfn.XLOOKUP(B183,'[4]june-2025'!$A:$A,'[4]june-2025'!$C:$C,0,0)</f>
        <v>28900</v>
      </c>
      <c r="AO183">
        <f t="shared" si="444"/>
        <v>5202</v>
      </c>
      <c r="AP183">
        <f t="shared" si="445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46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47"/>
        <v>150</v>
      </c>
      <c r="AW183">
        <f t="shared" si="448"/>
        <v>35920</v>
      </c>
      <c r="AX183">
        <f>_xlfn.XLOOKUP(B183,'[5]july-2025'!$A:$A,'[5]july-2025'!$C:$C,0,0)</f>
        <v>29800</v>
      </c>
      <c r="AY183">
        <f t="shared" si="449"/>
        <v>5364</v>
      </c>
      <c r="AZ183">
        <v>0</v>
      </c>
      <c r="BA183">
        <f t="shared" si="450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451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52"/>
        <v>150</v>
      </c>
      <c r="BH183">
        <f t="shared" si="453"/>
        <v>37090</v>
      </c>
      <c r="BI183">
        <f>_xlfn.XLOOKUP(B183,'[6]august-2025'!$A:$A,'[6]august-2025'!$C:$C,0,0)</f>
        <v>29800</v>
      </c>
      <c r="BJ183">
        <f t="shared" si="454"/>
        <v>5364</v>
      </c>
      <c r="BK183">
        <f t="shared" si="455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56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457"/>
        <v>150</v>
      </c>
      <c r="BR183">
        <f t="shared" si="458"/>
        <v>37090</v>
      </c>
      <c r="BS183">
        <f>_xlfn.XLOOKUP(B183,'[7]september-2025'!$A:$A,'[7]september-2025'!$C:$C,0,0)</f>
        <v>29800</v>
      </c>
      <c r="BT183">
        <f t="shared" si="459"/>
        <v>5364</v>
      </c>
      <c r="BU183">
        <f t="shared" si="460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461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62"/>
        <v>150</v>
      </c>
      <c r="CB183">
        <f t="shared" si="463"/>
        <v>37090</v>
      </c>
      <c r="CC183">
        <f>_xlfn.XLOOKUP(B183,'[8]october-2025'!$A:$A,'[8]october-2025'!$C:$C,0,0)</f>
        <v>29800</v>
      </c>
      <c r="CD183">
        <f t="shared" si="464"/>
        <v>5364</v>
      </c>
      <c r="CE183">
        <f t="shared" si="465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466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67"/>
        <v>150</v>
      </c>
      <c r="CL183">
        <f t="shared" si="468"/>
        <v>37090</v>
      </c>
      <c r="CM183">
        <f>_xlfn.XLOOKUP(B183,'[9]november-2025'!$A:$A,'[9]november-2025'!$C:$C,0,0)</f>
        <v>29800</v>
      </c>
      <c r="CN183">
        <f t="shared" si="469"/>
        <v>5364</v>
      </c>
      <c r="CO183">
        <f t="shared" si="470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471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72"/>
        <v>150</v>
      </c>
      <c r="CV183">
        <f t="shared" si="473"/>
        <v>37090</v>
      </c>
      <c r="CW183">
        <f>_xlfn.XLOOKUP(B183,'[10]december-2025'!$A:$A,'[10]december-2025'!$C:$C,0,0)</f>
        <v>29800</v>
      </c>
      <c r="CX183">
        <f t="shared" si="474"/>
        <v>5364</v>
      </c>
      <c r="CY183">
        <f t="shared" si="475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47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77"/>
        <v>150</v>
      </c>
      <c r="DF183">
        <f t="shared" si="478"/>
        <v>37090</v>
      </c>
      <c r="DG183">
        <f>_xlfn.XLOOKUP(B183,'[11]january-2026'!$A:$A,'[11]january-2026'!$C:$C,0,0)</f>
        <v>29800</v>
      </c>
      <c r="DH183">
        <f t="shared" si="479"/>
        <v>5364</v>
      </c>
      <c r="DI183">
        <f t="shared" si="48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1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2"/>
        <v>150</v>
      </c>
      <c r="DP183">
        <f t="shared" si="483"/>
        <v>37090</v>
      </c>
      <c r="DQ183">
        <f>_xlfn.XLOOKUP(B183,'[12]february-2026'!$A:$A,'[12]february-2026'!$C:$C,0,0)</f>
        <v>29800</v>
      </c>
      <c r="DR183">
        <f t="shared" si="484"/>
        <v>5364</v>
      </c>
      <c r="DS183">
        <f t="shared" si="485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6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7"/>
        <v>150</v>
      </c>
      <c r="DZ183">
        <f t="shared" si="488"/>
        <v>37090</v>
      </c>
      <c r="EA183">
        <f t="shared" si="489"/>
        <v>471844</v>
      </c>
      <c r="EB183">
        <f t="shared" si="490"/>
        <v>1800</v>
      </c>
      <c r="EC183">
        <f t="shared" si="491"/>
        <v>50000</v>
      </c>
      <c r="ED183">
        <v>0</v>
      </c>
      <c r="EE183">
        <f t="shared" si="492"/>
        <v>420044</v>
      </c>
      <c r="EF183">
        <f t="shared" si="493"/>
        <v>24000</v>
      </c>
      <c r="EG183">
        <f t="shared" si="494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5"/>
        <v>24000</v>
      </c>
      <c r="ES183">
        <f t="shared" si="496"/>
        <v>24000</v>
      </c>
      <c r="ET183">
        <f t="shared" si="497"/>
        <v>396044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8"/>
        <v>0</v>
      </c>
      <c r="FC183">
        <f t="shared" si="499"/>
        <v>396044</v>
      </c>
      <c r="FD183">
        <f t="shared" si="500"/>
        <v>7302</v>
      </c>
      <c r="FE183">
        <f t="shared" si="501"/>
        <v>0</v>
      </c>
      <c r="FF183">
        <f t="shared" si="502"/>
        <v>7302</v>
      </c>
      <c r="FG183">
        <f t="shared" si="503"/>
        <v>0</v>
      </c>
      <c r="FH183">
        <f t="shared" si="504"/>
        <v>0</v>
      </c>
      <c r="FI183">
        <f t="shared" si="505"/>
        <v>0</v>
      </c>
      <c r="FJ183">
        <v>0</v>
      </c>
      <c r="FK183">
        <f t="shared" si="506"/>
        <v>0</v>
      </c>
      <c r="FL183" t="b">
        <f t="shared" si="507"/>
        <v>0</v>
      </c>
      <c r="FM183">
        <f t="shared" ca="1" si="508"/>
        <v>1919</v>
      </c>
      <c r="FN183">
        <f t="shared" ca="1" si="509"/>
        <v>473763</v>
      </c>
      <c r="FO183">
        <f t="shared" si="510"/>
        <v>75000</v>
      </c>
      <c r="FP183">
        <f t="shared" ca="1" si="511"/>
        <v>398763</v>
      </c>
      <c r="FQ183">
        <f t="shared" ca="1" si="512"/>
        <v>0</v>
      </c>
      <c r="FR183">
        <f t="shared" ca="1" si="513"/>
        <v>0</v>
      </c>
      <c r="FS183">
        <f t="shared" ca="1" si="514"/>
        <v>0</v>
      </c>
      <c r="FT183">
        <f t="shared" ca="1" si="515"/>
        <v>0</v>
      </c>
      <c r="FU183">
        <f t="shared" ca="1" si="516"/>
        <v>0</v>
      </c>
      <c r="FV183">
        <f t="shared" ca="1" si="517"/>
        <v>0</v>
      </c>
      <c r="FW183">
        <f t="shared" ca="1" si="518"/>
        <v>0</v>
      </c>
      <c r="FX183">
        <f t="shared" ca="1" si="519"/>
        <v>0</v>
      </c>
      <c r="FY183">
        <f t="shared" ca="1" si="520"/>
        <v>0</v>
      </c>
      <c r="FZ183">
        <f t="shared" ca="1" si="521"/>
        <v>0</v>
      </c>
      <c r="GA183">
        <f t="shared" ca="1" si="522"/>
        <v>0</v>
      </c>
      <c r="GB183">
        <f t="shared" ca="1" si="523"/>
        <v>0</v>
      </c>
      <c r="GC183">
        <f t="shared" ca="1" si="524"/>
        <v>0</v>
      </c>
      <c r="GD183">
        <f t="shared" ca="1" si="525"/>
        <v>0</v>
      </c>
      <c r="GE183">
        <f t="shared" ca="1" si="526"/>
        <v>0</v>
      </c>
      <c r="GF183">
        <f t="shared" ca="1" si="527"/>
        <v>0</v>
      </c>
      <c r="GG183">
        <f t="shared" ca="1" si="528"/>
        <v>0</v>
      </c>
      <c r="GH183" t="b">
        <f t="shared" ca="1" si="529"/>
        <v>0</v>
      </c>
      <c r="GI183">
        <f t="shared" ca="1" si="530"/>
        <v>0</v>
      </c>
      <c r="GJ183">
        <f t="shared" ca="1" si="531"/>
        <v>0</v>
      </c>
      <c r="GK183">
        <f t="shared" ca="1" si="532"/>
        <v>0</v>
      </c>
      <c r="GL183">
        <f t="shared" ca="1" si="533"/>
        <v>0</v>
      </c>
      <c r="GM183">
        <f t="shared" ca="1" si="534"/>
        <v>0</v>
      </c>
    </row>
    <row r="184" spans="1:195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537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30"/>
        <v>7238.0000000000009</v>
      </c>
      <c r="L184">
        <f t="shared" si="431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432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535"/>
        <v>200</v>
      </c>
      <c r="S184">
        <f t="shared" si="433"/>
        <v>62342</v>
      </c>
      <c r="T184">
        <f>_xlfn.XLOOKUP(B184,'[2]april-2025'!$A:$A,'[2]april-2025'!$C:$C,0,0)</f>
        <v>51700</v>
      </c>
      <c r="U184">
        <f t="shared" si="434"/>
        <v>9306</v>
      </c>
      <c r="V184">
        <f t="shared" si="43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3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37"/>
        <v>200</v>
      </c>
      <c r="AC184">
        <f t="shared" si="438"/>
        <v>64410</v>
      </c>
      <c r="AD184">
        <f>_xlfn.XLOOKUP(B184,'[3]may-2025'!$A:$A,'[3]may-2025'!$C:$C,0,0)</f>
        <v>51700</v>
      </c>
      <c r="AE184">
        <f t="shared" si="439"/>
        <v>9306</v>
      </c>
      <c r="AF184">
        <f t="shared" si="440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41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42"/>
        <v>200</v>
      </c>
      <c r="AM184">
        <f t="shared" si="443"/>
        <v>64410</v>
      </c>
      <c r="AN184">
        <f>_xlfn.XLOOKUP(B184,'[4]june-2025'!$A:$A,'[4]june-2025'!$C:$C,0,0)</f>
        <v>51700</v>
      </c>
      <c r="AO184">
        <f t="shared" si="444"/>
        <v>9306</v>
      </c>
      <c r="AP184">
        <f t="shared" si="445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46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47"/>
        <v>200</v>
      </c>
      <c r="AW184">
        <f t="shared" si="448"/>
        <v>64410</v>
      </c>
      <c r="AX184">
        <f>_xlfn.XLOOKUP(B184,'[5]july-2025'!$A:$A,'[5]july-2025'!$C:$C,0,0)</f>
        <v>53300</v>
      </c>
      <c r="AY184">
        <f t="shared" si="449"/>
        <v>9594</v>
      </c>
      <c r="AZ184">
        <v>0</v>
      </c>
      <c r="BA184">
        <f t="shared" si="450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451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52"/>
        <v>200</v>
      </c>
      <c r="BH184">
        <f t="shared" si="453"/>
        <v>66490</v>
      </c>
      <c r="BI184">
        <f>_xlfn.XLOOKUP(B184,'[6]august-2025'!$A:$A,'[6]august-2025'!$C:$C,0,0)</f>
        <v>53300</v>
      </c>
      <c r="BJ184">
        <f t="shared" si="454"/>
        <v>9594</v>
      </c>
      <c r="BK184">
        <f t="shared" si="455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56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457"/>
        <v>200</v>
      </c>
      <c r="BR184">
        <f t="shared" si="458"/>
        <v>66490</v>
      </c>
      <c r="BS184">
        <f>_xlfn.XLOOKUP(B184,'[7]september-2025'!$A:$A,'[7]september-2025'!$C:$C,0,0)</f>
        <v>53300</v>
      </c>
      <c r="BT184">
        <f t="shared" si="459"/>
        <v>9594</v>
      </c>
      <c r="BU184">
        <f t="shared" si="460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461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62"/>
        <v>200</v>
      </c>
      <c r="CB184">
        <f t="shared" si="463"/>
        <v>66490</v>
      </c>
      <c r="CC184">
        <f>_xlfn.XLOOKUP(B184,'[8]october-2025'!$A:$A,'[8]october-2025'!$C:$C,0,0)</f>
        <v>53300</v>
      </c>
      <c r="CD184">
        <f t="shared" si="464"/>
        <v>9594</v>
      </c>
      <c r="CE184">
        <f t="shared" si="465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466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67"/>
        <v>200</v>
      </c>
      <c r="CL184">
        <f t="shared" si="468"/>
        <v>66490</v>
      </c>
      <c r="CM184">
        <f>_xlfn.XLOOKUP(B184,'[9]november-2025'!$A:$A,'[9]november-2025'!$C:$C,0,0)</f>
        <v>53300</v>
      </c>
      <c r="CN184">
        <f t="shared" si="469"/>
        <v>9594</v>
      </c>
      <c r="CO184">
        <f t="shared" si="470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471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72"/>
        <v>200</v>
      </c>
      <c r="CV184">
        <f t="shared" si="473"/>
        <v>66490</v>
      </c>
      <c r="CW184">
        <f>_xlfn.XLOOKUP(B184,'[10]december-2025'!$A:$A,'[10]december-2025'!$C:$C,0,0)</f>
        <v>53300</v>
      </c>
      <c r="CX184">
        <f t="shared" si="474"/>
        <v>9594</v>
      </c>
      <c r="CY184">
        <f t="shared" si="475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47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77"/>
        <v>200</v>
      </c>
      <c r="DF184">
        <f t="shared" si="478"/>
        <v>66490</v>
      </c>
      <c r="DG184">
        <f>_xlfn.XLOOKUP(B184,'[11]january-2026'!$A:$A,'[11]january-2026'!$C:$C,0,0)</f>
        <v>53300</v>
      </c>
      <c r="DH184">
        <f t="shared" si="479"/>
        <v>9594</v>
      </c>
      <c r="DI184">
        <f t="shared" si="48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1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2"/>
        <v>200</v>
      </c>
      <c r="DP184">
        <f t="shared" si="483"/>
        <v>66490</v>
      </c>
      <c r="DQ184">
        <f>_xlfn.XLOOKUP(B184,'[12]february-2026'!$A:$A,'[12]february-2026'!$C:$C,0,0)</f>
        <v>53300</v>
      </c>
      <c r="DR184">
        <f t="shared" si="484"/>
        <v>9594</v>
      </c>
      <c r="DS184">
        <f t="shared" si="485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6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7"/>
        <v>200</v>
      </c>
      <c r="DZ184">
        <f t="shared" si="488"/>
        <v>66490</v>
      </c>
      <c r="EA184">
        <f t="shared" si="489"/>
        <v>838692</v>
      </c>
      <c r="EB184">
        <f t="shared" si="490"/>
        <v>2400</v>
      </c>
      <c r="EC184">
        <f t="shared" si="491"/>
        <v>50000</v>
      </c>
      <c r="ED184">
        <v>0</v>
      </c>
      <c r="EE184">
        <f t="shared" si="492"/>
        <v>786292</v>
      </c>
      <c r="EF184">
        <f t="shared" si="493"/>
        <v>42000</v>
      </c>
      <c r="EG184">
        <f t="shared" si="494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5"/>
        <v>42000</v>
      </c>
      <c r="ES184">
        <f t="shared" si="496"/>
        <v>42000</v>
      </c>
      <c r="ET184">
        <f t="shared" si="497"/>
        <v>744292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8"/>
        <v>0</v>
      </c>
      <c r="FC184">
        <f t="shared" si="499"/>
        <v>744292</v>
      </c>
      <c r="FD184">
        <f t="shared" si="500"/>
        <v>12500</v>
      </c>
      <c r="FE184">
        <f t="shared" si="501"/>
        <v>48858</v>
      </c>
      <c r="FF184">
        <f t="shared" si="502"/>
        <v>61358</v>
      </c>
      <c r="FG184">
        <f t="shared" si="503"/>
        <v>61358</v>
      </c>
      <c r="FH184">
        <f t="shared" si="504"/>
        <v>2454.3200000000002</v>
      </c>
      <c r="FI184">
        <f t="shared" si="505"/>
        <v>63812</v>
      </c>
      <c r="FJ184">
        <v>0</v>
      </c>
      <c r="FK184">
        <f t="shared" si="506"/>
        <v>63812</v>
      </c>
      <c r="FL184" t="b">
        <f t="shared" si="507"/>
        <v>1</v>
      </c>
      <c r="FM184">
        <f t="shared" ca="1" si="508"/>
        <v>905</v>
      </c>
      <c r="FN184">
        <f t="shared" ca="1" si="509"/>
        <v>839597</v>
      </c>
      <c r="FO184">
        <f t="shared" si="510"/>
        <v>75000</v>
      </c>
      <c r="FP184">
        <f t="shared" ca="1" si="511"/>
        <v>764597</v>
      </c>
      <c r="FQ184">
        <f t="shared" ca="1" si="512"/>
        <v>0</v>
      </c>
      <c r="FR184">
        <f t="shared" ca="1" si="513"/>
        <v>0</v>
      </c>
      <c r="FS184">
        <f t="shared" ca="1" si="514"/>
        <v>0</v>
      </c>
      <c r="FT184">
        <f t="shared" ca="1" si="515"/>
        <v>0</v>
      </c>
      <c r="FU184">
        <f t="shared" ca="1" si="516"/>
        <v>0</v>
      </c>
      <c r="FV184">
        <f t="shared" ca="1" si="517"/>
        <v>0</v>
      </c>
      <c r="FW184">
        <f t="shared" ca="1" si="518"/>
        <v>0</v>
      </c>
      <c r="FX184">
        <f t="shared" ca="1" si="519"/>
        <v>0</v>
      </c>
      <c r="FY184">
        <f t="shared" ca="1" si="520"/>
        <v>0</v>
      </c>
      <c r="FZ184">
        <f t="shared" ca="1" si="521"/>
        <v>0</v>
      </c>
      <c r="GA184">
        <f t="shared" ca="1" si="522"/>
        <v>364597</v>
      </c>
      <c r="GB184">
        <f t="shared" ca="1" si="523"/>
        <v>18229.850000000002</v>
      </c>
      <c r="GC184">
        <f t="shared" ca="1" si="524"/>
        <v>18230</v>
      </c>
      <c r="GD184">
        <f t="shared" ca="1" si="525"/>
        <v>0</v>
      </c>
      <c r="GE184">
        <f t="shared" ca="1" si="526"/>
        <v>0</v>
      </c>
      <c r="GF184">
        <f t="shared" ca="1" si="527"/>
        <v>18230</v>
      </c>
      <c r="GG184">
        <f t="shared" ca="1" si="528"/>
        <v>0</v>
      </c>
      <c r="GH184" t="b">
        <f t="shared" ca="1" si="529"/>
        <v>0</v>
      </c>
      <c r="GI184">
        <f t="shared" ca="1" si="530"/>
        <v>0</v>
      </c>
      <c r="GJ184">
        <f t="shared" ca="1" si="531"/>
        <v>18230</v>
      </c>
      <c r="GK184">
        <f t="shared" ca="1" si="532"/>
        <v>0</v>
      </c>
      <c r="GL184">
        <f t="shared" ca="1" si="533"/>
        <v>0</v>
      </c>
      <c r="GM184">
        <f t="shared" ca="1" si="534"/>
        <v>0</v>
      </c>
    </row>
    <row r="185" spans="1:195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537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30"/>
        <v>6622.0000000000009</v>
      </c>
      <c r="L185">
        <f t="shared" si="431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432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535"/>
        <v>200</v>
      </c>
      <c r="S185">
        <f t="shared" si="433"/>
        <v>56398</v>
      </c>
      <c r="T185">
        <f>_xlfn.XLOOKUP(B185,'[2]april-2025'!$A:$A,'[2]april-2025'!$C:$C,0,0)</f>
        <v>47300</v>
      </c>
      <c r="U185">
        <f t="shared" si="434"/>
        <v>8514</v>
      </c>
      <c r="V185">
        <f t="shared" si="43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3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37"/>
        <v>200</v>
      </c>
      <c r="AC185">
        <f t="shared" si="438"/>
        <v>58290</v>
      </c>
      <c r="AD185">
        <f>_xlfn.XLOOKUP(B185,'[3]may-2025'!$A:$A,'[3]may-2025'!$C:$C,0,0)</f>
        <v>47300</v>
      </c>
      <c r="AE185">
        <f t="shared" si="439"/>
        <v>8514</v>
      </c>
      <c r="AF185">
        <f t="shared" si="440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41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42"/>
        <v>200</v>
      </c>
      <c r="AM185">
        <f t="shared" si="443"/>
        <v>58290</v>
      </c>
      <c r="AN185">
        <f>_xlfn.XLOOKUP(B185,'[4]june-2025'!$A:$A,'[4]june-2025'!$C:$C,0,0)</f>
        <v>47300</v>
      </c>
      <c r="AO185">
        <f t="shared" si="444"/>
        <v>8514</v>
      </c>
      <c r="AP185">
        <f t="shared" si="445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46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47"/>
        <v>200</v>
      </c>
      <c r="AW185">
        <f t="shared" si="448"/>
        <v>58290</v>
      </c>
      <c r="AX185">
        <f>_xlfn.XLOOKUP(B185,'[5]july-2025'!$A:$A,'[5]july-2025'!$C:$C,0,0)</f>
        <v>48700</v>
      </c>
      <c r="AY185">
        <f t="shared" si="449"/>
        <v>8766</v>
      </c>
      <c r="AZ185">
        <v>0</v>
      </c>
      <c r="BA185">
        <f t="shared" si="450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451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52"/>
        <v>200</v>
      </c>
      <c r="BH185">
        <f t="shared" si="453"/>
        <v>60110</v>
      </c>
      <c r="BI185">
        <f>_xlfn.XLOOKUP(B185,'[6]august-2025'!$A:$A,'[6]august-2025'!$C:$C,0,0)</f>
        <v>48700</v>
      </c>
      <c r="BJ185">
        <f t="shared" si="454"/>
        <v>8766</v>
      </c>
      <c r="BK185">
        <f t="shared" si="455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56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457"/>
        <v>200</v>
      </c>
      <c r="BR185">
        <f t="shared" si="458"/>
        <v>60110</v>
      </c>
      <c r="BS185">
        <f>_xlfn.XLOOKUP(B185,'[7]september-2025'!$A:$A,'[7]september-2025'!$C:$C,0,0)</f>
        <v>48700</v>
      </c>
      <c r="BT185">
        <f t="shared" si="459"/>
        <v>8766</v>
      </c>
      <c r="BU185">
        <f t="shared" si="460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461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62"/>
        <v>200</v>
      </c>
      <c r="CB185">
        <f t="shared" si="463"/>
        <v>60110</v>
      </c>
      <c r="CC185">
        <f>_xlfn.XLOOKUP(B185,'[8]october-2025'!$A:$A,'[8]october-2025'!$C:$C,0,0)</f>
        <v>48700</v>
      </c>
      <c r="CD185">
        <f t="shared" si="464"/>
        <v>8766</v>
      </c>
      <c r="CE185">
        <f t="shared" si="465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466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67"/>
        <v>200</v>
      </c>
      <c r="CL185">
        <f t="shared" si="468"/>
        <v>60110</v>
      </c>
      <c r="CM185">
        <f>_xlfn.XLOOKUP(B185,'[9]november-2025'!$A:$A,'[9]november-2025'!$C:$C,0,0)</f>
        <v>48700</v>
      </c>
      <c r="CN185">
        <f t="shared" si="469"/>
        <v>8766</v>
      </c>
      <c r="CO185">
        <f t="shared" si="470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471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72"/>
        <v>200</v>
      </c>
      <c r="CV185">
        <f t="shared" si="473"/>
        <v>60110</v>
      </c>
      <c r="CW185">
        <f>_xlfn.XLOOKUP(B185,'[10]december-2025'!$A:$A,'[10]december-2025'!$C:$C,0,0)</f>
        <v>48700</v>
      </c>
      <c r="CX185">
        <f t="shared" si="474"/>
        <v>8766</v>
      </c>
      <c r="CY185">
        <f t="shared" si="475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47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77"/>
        <v>200</v>
      </c>
      <c r="DF185">
        <f t="shared" si="478"/>
        <v>60110</v>
      </c>
      <c r="DG185">
        <f>_xlfn.XLOOKUP(B185,'[11]january-2026'!$A:$A,'[11]january-2026'!$C:$C,0,0)</f>
        <v>48700</v>
      </c>
      <c r="DH185">
        <f t="shared" si="479"/>
        <v>8766</v>
      </c>
      <c r="DI185">
        <f t="shared" si="48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1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2"/>
        <v>200</v>
      </c>
      <c r="DP185">
        <f t="shared" si="483"/>
        <v>60110</v>
      </c>
      <c r="DQ185">
        <f>_xlfn.XLOOKUP(B185,'[12]february-2026'!$A:$A,'[12]february-2026'!$C:$C,0,0)</f>
        <v>48700</v>
      </c>
      <c r="DR185">
        <f t="shared" si="484"/>
        <v>8766</v>
      </c>
      <c r="DS185">
        <f t="shared" si="485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6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7"/>
        <v>200</v>
      </c>
      <c r="DZ185">
        <f t="shared" si="488"/>
        <v>60110</v>
      </c>
      <c r="EA185">
        <f t="shared" si="489"/>
        <v>757348</v>
      </c>
      <c r="EB185">
        <f t="shared" si="490"/>
        <v>2400</v>
      </c>
      <c r="EC185">
        <f t="shared" si="491"/>
        <v>50000</v>
      </c>
      <c r="ED185">
        <v>0</v>
      </c>
      <c r="EE185">
        <f t="shared" si="492"/>
        <v>704948</v>
      </c>
      <c r="EF185">
        <f t="shared" si="493"/>
        <v>36000</v>
      </c>
      <c r="EG185">
        <f t="shared" si="494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5"/>
        <v>36000</v>
      </c>
      <c r="ES185">
        <f t="shared" si="496"/>
        <v>36000</v>
      </c>
      <c r="ET185">
        <f t="shared" si="497"/>
        <v>668948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8"/>
        <v>0</v>
      </c>
      <c r="FC185">
        <f t="shared" si="499"/>
        <v>668948</v>
      </c>
      <c r="FD185">
        <f t="shared" si="500"/>
        <v>12500</v>
      </c>
      <c r="FE185">
        <f t="shared" si="501"/>
        <v>33790</v>
      </c>
      <c r="FF185">
        <f t="shared" si="502"/>
        <v>46290</v>
      </c>
      <c r="FG185">
        <f t="shared" si="503"/>
        <v>46290</v>
      </c>
      <c r="FH185">
        <f t="shared" si="504"/>
        <v>1851.6000000000001</v>
      </c>
      <c r="FI185">
        <f t="shared" si="505"/>
        <v>48142</v>
      </c>
      <c r="FJ185">
        <v>0</v>
      </c>
      <c r="FK185">
        <f t="shared" si="506"/>
        <v>48142</v>
      </c>
      <c r="FL185" t="b">
        <f t="shared" si="507"/>
        <v>1</v>
      </c>
      <c r="FM185">
        <f t="shared" ca="1" si="508"/>
        <v>815</v>
      </c>
      <c r="FN185">
        <f t="shared" ca="1" si="509"/>
        <v>758163</v>
      </c>
      <c r="FO185">
        <f t="shared" si="510"/>
        <v>75000</v>
      </c>
      <c r="FP185">
        <f t="shared" ca="1" si="511"/>
        <v>683163</v>
      </c>
      <c r="FQ185">
        <f t="shared" ca="1" si="512"/>
        <v>0</v>
      </c>
      <c r="FR185">
        <f t="shared" ca="1" si="513"/>
        <v>0</v>
      </c>
      <c r="FS185">
        <f t="shared" ca="1" si="514"/>
        <v>0</v>
      </c>
      <c r="FT185">
        <f t="shared" ca="1" si="515"/>
        <v>0</v>
      </c>
      <c r="FU185">
        <f t="shared" ca="1" si="516"/>
        <v>0</v>
      </c>
      <c r="FV185">
        <f t="shared" ca="1" si="517"/>
        <v>0</v>
      </c>
      <c r="FW185">
        <f t="shared" ca="1" si="518"/>
        <v>0</v>
      </c>
      <c r="FX185">
        <f t="shared" ca="1" si="519"/>
        <v>0</v>
      </c>
      <c r="FY185">
        <f t="shared" ca="1" si="520"/>
        <v>0</v>
      </c>
      <c r="FZ185">
        <f t="shared" ca="1" si="521"/>
        <v>0</v>
      </c>
      <c r="GA185">
        <f t="shared" ca="1" si="522"/>
        <v>283163</v>
      </c>
      <c r="GB185">
        <f t="shared" ca="1" si="523"/>
        <v>14158.150000000001</v>
      </c>
      <c r="GC185">
        <f t="shared" ca="1" si="524"/>
        <v>14158</v>
      </c>
      <c r="GD185">
        <f t="shared" ca="1" si="525"/>
        <v>0</v>
      </c>
      <c r="GE185">
        <f t="shared" ca="1" si="526"/>
        <v>0</v>
      </c>
      <c r="GF185">
        <f t="shared" ca="1" si="527"/>
        <v>14158</v>
      </c>
      <c r="GG185">
        <f t="shared" ca="1" si="528"/>
        <v>0</v>
      </c>
      <c r="GH185" t="b">
        <f t="shared" ca="1" si="529"/>
        <v>0</v>
      </c>
      <c r="GI185">
        <f t="shared" ca="1" si="530"/>
        <v>0</v>
      </c>
      <c r="GJ185">
        <f t="shared" ca="1" si="531"/>
        <v>14158</v>
      </c>
      <c r="GK185">
        <f t="shared" ca="1" si="532"/>
        <v>0</v>
      </c>
      <c r="GL185">
        <f t="shared" ca="1" si="533"/>
        <v>0</v>
      </c>
      <c r="GM185">
        <f t="shared" ca="1" si="534"/>
        <v>0</v>
      </c>
    </row>
    <row r="186" spans="1:195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537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30"/>
        <v>6622.0000000000009</v>
      </c>
      <c r="L186">
        <f t="shared" si="431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432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535"/>
        <v>200</v>
      </c>
      <c r="S186">
        <f t="shared" si="433"/>
        <v>56898</v>
      </c>
      <c r="T186">
        <f>_xlfn.XLOOKUP(B186,'[2]april-2025'!$A:$A,'[2]april-2025'!$C:$C,0,0)</f>
        <v>47300</v>
      </c>
      <c r="U186">
        <f t="shared" si="434"/>
        <v>8514</v>
      </c>
      <c r="V186">
        <f t="shared" si="43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3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37"/>
        <v>200</v>
      </c>
      <c r="AC186">
        <f t="shared" si="438"/>
        <v>58790</v>
      </c>
      <c r="AD186">
        <f>_xlfn.XLOOKUP(B186,'[3]may-2025'!$A:$A,'[3]may-2025'!$C:$C,0,0)</f>
        <v>47300</v>
      </c>
      <c r="AE186">
        <f t="shared" si="439"/>
        <v>8514</v>
      </c>
      <c r="AF186">
        <f t="shared" si="440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41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42"/>
        <v>200</v>
      </c>
      <c r="AM186">
        <f t="shared" si="443"/>
        <v>58790</v>
      </c>
      <c r="AN186">
        <f>_xlfn.XLOOKUP(B186,'[4]june-2025'!$A:$A,'[4]june-2025'!$C:$C,0,0)</f>
        <v>47300</v>
      </c>
      <c r="AO186">
        <f t="shared" si="444"/>
        <v>8514</v>
      </c>
      <c r="AP186">
        <f t="shared" si="445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46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47"/>
        <v>200</v>
      </c>
      <c r="AW186">
        <f t="shared" si="448"/>
        <v>58790</v>
      </c>
      <c r="AX186">
        <f>_xlfn.XLOOKUP(B186,'[5]july-2025'!$A:$A,'[5]july-2025'!$C:$C,0,0)</f>
        <v>48700</v>
      </c>
      <c r="AY186">
        <f t="shared" si="449"/>
        <v>8766</v>
      </c>
      <c r="AZ186">
        <v>0</v>
      </c>
      <c r="BA186">
        <f t="shared" si="450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451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52"/>
        <v>200</v>
      </c>
      <c r="BH186">
        <f t="shared" si="453"/>
        <v>60610</v>
      </c>
      <c r="BI186">
        <f>_xlfn.XLOOKUP(B186,'[6]august-2025'!$A:$A,'[6]august-2025'!$C:$C,0,0)</f>
        <v>48700</v>
      </c>
      <c r="BJ186">
        <f t="shared" si="454"/>
        <v>8766</v>
      </c>
      <c r="BK186">
        <f t="shared" si="455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56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457"/>
        <v>200</v>
      </c>
      <c r="BR186">
        <f t="shared" si="458"/>
        <v>60610</v>
      </c>
      <c r="BS186">
        <f>_xlfn.XLOOKUP(B186,'[7]september-2025'!$A:$A,'[7]september-2025'!$C:$C,0,0)</f>
        <v>48700</v>
      </c>
      <c r="BT186">
        <f t="shared" si="459"/>
        <v>8766</v>
      </c>
      <c r="BU186">
        <f t="shared" si="460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461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62"/>
        <v>200</v>
      </c>
      <c r="CB186">
        <f t="shared" si="463"/>
        <v>60610</v>
      </c>
      <c r="CC186">
        <f>_xlfn.XLOOKUP(B186,'[8]october-2025'!$A:$A,'[8]october-2025'!$C:$C,0,0)</f>
        <v>48700</v>
      </c>
      <c r="CD186">
        <f t="shared" si="464"/>
        <v>8766</v>
      </c>
      <c r="CE186">
        <f t="shared" si="465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466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67"/>
        <v>200</v>
      </c>
      <c r="CL186">
        <f t="shared" si="468"/>
        <v>60610</v>
      </c>
      <c r="CM186">
        <f>_xlfn.XLOOKUP(B186,'[9]november-2025'!$A:$A,'[9]november-2025'!$C:$C,0,0)</f>
        <v>48700</v>
      </c>
      <c r="CN186">
        <f t="shared" si="469"/>
        <v>8766</v>
      </c>
      <c r="CO186">
        <f t="shared" si="470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471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72"/>
        <v>200</v>
      </c>
      <c r="CV186">
        <f t="shared" si="473"/>
        <v>60610</v>
      </c>
      <c r="CW186">
        <f>_xlfn.XLOOKUP(B186,'[10]december-2025'!$A:$A,'[10]december-2025'!$C:$C,0,0)</f>
        <v>48700</v>
      </c>
      <c r="CX186">
        <f t="shared" si="474"/>
        <v>8766</v>
      </c>
      <c r="CY186">
        <f t="shared" si="475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47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77"/>
        <v>200</v>
      </c>
      <c r="DF186">
        <f t="shared" si="478"/>
        <v>60610</v>
      </c>
      <c r="DG186">
        <f>_xlfn.XLOOKUP(B186,'[11]january-2026'!$A:$A,'[11]january-2026'!$C:$C,0,0)</f>
        <v>48700</v>
      </c>
      <c r="DH186">
        <f t="shared" si="479"/>
        <v>8766</v>
      </c>
      <c r="DI186">
        <f t="shared" si="48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1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2"/>
        <v>200</v>
      </c>
      <c r="DP186">
        <f t="shared" si="483"/>
        <v>60610</v>
      </c>
      <c r="DQ186">
        <f>_xlfn.XLOOKUP(B186,'[12]february-2026'!$A:$A,'[12]february-2026'!$C:$C,0,0)</f>
        <v>48700</v>
      </c>
      <c r="DR186">
        <f t="shared" si="484"/>
        <v>8766</v>
      </c>
      <c r="DS186">
        <f t="shared" si="485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6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7"/>
        <v>200</v>
      </c>
      <c r="DZ186">
        <f t="shared" si="488"/>
        <v>60610</v>
      </c>
      <c r="EA186">
        <f t="shared" si="489"/>
        <v>763348</v>
      </c>
      <c r="EB186">
        <f t="shared" si="490"/>
        <v>2400</v>
      </c>
      <c r="EC186">
        <f t="shared" si="491"/>
        <v>50000</v>
      </c>
      <c r="ED186">
        <v>0</v>
      </c>
      <c r="EE186">
        <f t="shared" si="492"/>
        <v>710948</v>
      </c>
      <c r="EF186">
        <f t="shared" si="493"/>
        <v>36000</v>
      </c>
      <c r="EG186">
        <f t="shared" si="494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5"/>
        <v>36000</v>
      </c>
      <c r="ES186">
        <f t="shared" si="496"/>
        <v>36000</v>
      </c>
      <c r="ET186">
        <f t="shared" si="497"/>
        <v>674948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8"/>
        <v>0</v>
      </c>
      <c r="FC186">
        <f t="shared" si="499"/>
        <v>674948</v>
      </c>
      <c r="FD186">
        <f t="shared" si="500"/>
        <v>12500</v>
      </c>
      <c r="FE186">
        <f t="shared" si="501"/>
        <v>34990</v>
      </c>
      <c r="FF186">
        <f t="shared" si="502"/>
        <v>47490</v>
      </c>
      <c r="FG186">
        <f t="shared" si="503"/>
        <v>47490</v>
      </c>
      <c r="FH186">
        <f t="shared" si="504"/>
        <v>1899.6000000000001</v>
      </c>
      <c r="FI186">
        <f t="shared" si="505"/>
        <v>49390</v>
      </c>
      <c r="FJ186">
        <v>0</v>
      </c>
      <c r="FK186">
        <f t="shared" si="506"/>
        <v>49390</v>
      </c>
      <c r="FL186" t="b">
        <f t="shared" si="507"/>
        <v>1</v>
      </c>
      <c r="FM186">
        <f t="shared" ca="1" si="508"/>
        <v>653</v>
      </c>
      <c r="FN186">
        <f t="shared" ca="1" si="509"/>
        <v>764001</v>
      </c>
      <c r="FO186">
        <f t="shared" si="510"/>
        <v>75000</v>
      </c>
      <c r="FP186">
        <f t="shared" ca="1" si="511"/>
        <v>689001</v>
      </c>
      <c r="FQ186">
        <f t="shared" ca="1" si="512"/>
        <v>0</v>
      </c>
      <c r="FR186">
        <f t="shared" ca="1" si="513"/>
        <v>0</v>
      </c>
      <c r="FS186">
        <f t="shared" ca="1" si="514"/>
        <v>0</v>
      </c>
      <c r="FT186">
        <f t="shared" ca="1" si="515"/>
        <v>0</v>
      </c>
      <c r="FU186">
        <f t="shared" ca="1" si="516"/>
        <v>0</v>
      </c>
      <c r="FV186">
        <f t="shared" ca="1" si="517"/>
        <v>0</v>
      </c>
      <c r="FW186">
        <f t="shared" ca="1" si="518"/>
        <v>0</v>
      </c>
      <c r="FX186">
        <f t="shared" ca="1" si="519"/>
        <v>0</v>
      </c>
      <c r="FY186">
        <f t="shared" ca="1" si="520"/>
        <v>0</v>
      </c>
      <c r="FZ186">
        <f t="shared" ca="1" si="521"/>
        <v>0</v>
      </c>
      <c r="GA186">
        <f t="shared" ca="1" si="522"/>
        <v>289001</v>
      </c>
      <c r="GB186">
        <f t="shared" ca="1" si="523"/>
        <v>14450.050000000001</v>
      </c>
      <c r="GC186">
        <f t="shared" ca="1" si="524"/>
        <v>14450</v>
      </c>
      <c r="GD186">
        <f t="shared" ca="1" si="525"/>
        <v>0</v>
      </c>
      <c r="GE186">
        <f t="shared" ca="1" si="526"/>
        <v>0</v>
      </c>
      <c r="GF186">
        <f t="shared" ca="1" si="527"/>
        <v>14450</v>
      </c>
      <c r="GG186">
        <f t="shared" ca="1" si="528"/>
        <v>0</v>
      </c>
      <c r="GH186" t="b">
        <f t="shared" ca="1" si="529"/>
        <v>0</v>
      </c>
      <c r="GI186">
        <f t="shared" ca="1" si="530"/>
        <v>0</v>
      </c>
      <c r="GJ186">
        <f t="shared" ca="1" si="531"/>
        <v>14450</v>
      </c>
      <c r="GK186">
        <f t="shared" ca="1" si="532"/>
        <v>0</v>
      </c>
      <c r="GL186">
        <f t="shared" ca="1" si="533"/>
        <v>0</v>
      </c>
      <c r="GM186">
        <f t="shared" ca="1" si="534"/>
        <v>0</v>
      </c>
    </row>
    <row r="187" spans="1:195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537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30"/>
        <v>4830.0000000000009</v>
      </c>
      <c r="L187">
        <f t="shared" si="431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432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535"/>
        <v>200</v>
      </c>
      <c r="S187">
        <f t="shared" si="433"/>
        <v>41270</v>
      </c>
      <c r="T187">
        <f>_xlfn.XLOOKUP(B187,'[2]april-2025'!$A:$A,'[2]april-2025'!$C:$C,0,0)</f>
        <v>34500</v>
      </c>
      <c r="U187">
        <f t="shared" si="434"/>
        <v>6210</v>
      </c>
      <c r="V187">
        <f t="shared" si="43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3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37"/>
        <v>200</v>
      </c>
      <c r="AC187">
        <f t="shared" si="438"/>
        <v>42650</v>
      </c>
      <c r="AD187">
        <f>_xlfn.XLOOKUP(B187,'[3]may-2025'!$A:$A,'[3]may-2025'!$C:$C,0,0)</f>
        <v>34500</v>
      </c>
      <c r="AE187">
        <f t="shared" si="439"/>
        <v>6210</v>
      </c>
      <c r="AF187">
        <f t="shared" si="440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41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42"/>
        <v>200</v>
      </c>
      <c r="AM187">
        <f t="shared" si="443"/>
        <v>42650</v>
      </c>
      <c r="AN187">
        <f>_xlfn.XLOOKUP(B187,'[4]june-2025'!$A:$A,'[4]june-2025'!$C:$C,0,0)</f>
        <v>34500</v>
      </c>
      <c r="AO187">
        <f t="shared" si="444"/>
        <v>6210</v>
      </c>
      <c r="AP187">
        <f t="shared" si="445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46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47"/>
        <v>200</v>
      </c>
      <c r="AW187">
        <f t="shared" si="448"/>
        <v>42650</v>
      </c>
      <c r="AX187">
        <f>_xlfn.XLOOKUP(B187,'[5]july-2025'!$A:$A,'[5]july-2025'!$C:$C,0,0)</f>
        <v>35500</v>
      </c>
      <c r="AY187">
        <f t="shared" si="449"/>
        <v>6390</v>
      </c>
      <c r="AZ187">
        <v>0</v>
      </c>
      <c r="BA187">
        <f t="shared" si="450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451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52"/>
        <v>200</v>
      </c>
      <c r="BH187">
        <f t="shared" si="453"/>
        <v>43950</v>
      </c>
      <c r="BI187">
        <f>_xlfn.XLOOKUP(B187,'[6]august-2025'!$A:$A,'[6]august-2025'!$C:$C,0,0)</f>
        <v>35500</v>
      </c>
      <c r="BJ187">
        <f t="shared" si="454"/>
        <v>6390</v>
      </c>
      <c r="BK187">
        <f t="shared" si="455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56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457"/>
        <v>200</v>
      </c>
      <c r="BR187">
        <f t="shared" si="458"/>
        <v>43950</v>
      </c>
      <c r="BS187">
        <f>_xlfn.XLOOKUP(B187,'[7]september-2025'!$A:$A,'[7]september-2025'!$C:$C,0,0)</f>
        <v>35500</v>
      </c>
      <c r="BT187">
        <f t="shared" si="459"/>
        <v>6390</v>
      </c>
      <c r="BU187">
        <f t="shared" si="460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461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62"/>
        <v>200</v>
      </c>
      <c r="CB187">
        <f t="shared" si="463"/>
        <v>43950</v>
      </c>
      <c r="CC187">
        <f>_xlfn.XLOOKUP(B187,'[8]october-2025'!$A:$A,'[8]october-2025'!$C:$C,0,0)</f>
        <v>35500</v>
      </c>
      <c r="CD187">
        <f t="shared" si="464"/>
        <v>6390</v>
      </c>
      <c r="CE187">
        <f t="shared" si="465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466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67"/>
        <v>200</v>
      </c>
      <c r="CL187">
        <f t="shared" si="468"/>
        <v>43950</v>
      </c>
      <c r="CM187">
        <f>_xlfn.XLOOKUP(B187,'[9]november-2025'!$A:$A,'[9]november-2025'!$C:$C,0,0)</f>
        <v>35500</v>
      </c>
      <c r="CN187">
        <f t="shared" si="469"/>
        <v>6390</v>
      </c>
      <c r="CO187">
        <f t="shared" si="470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471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72"/>
        <v>200</v>
      </c>
      <c r="CV187">
        <f t="shared" si="473"/>
        <v>43950</v>
      </c>
      <c r="CW187">
        <f>_xlfn.XLOOKUP(B187,'[10]december-2025'!$A:$A,'[10]december-2025'!$C:$C,0,0)</f>
        <v>35500</v>
      </c>
      <c r="CX187">
        <f t="shared" si="474"/>
        <v>6390</v>
      </c>
      <c r="CY187">
        <f t="shared" si="475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47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77"/>
        <v>200</v>
      </c>
      <c r="DF187">
        <f t="shared" si="478"/>
        <v>43950</v>
      </c>
      <c r="DG187">
        <f>_xlfn.XLOOKUP(B187,'[11]january-2026'!$A:$A,'[11]january-2026'!$C:$C,0,0)</f>
        <v>35500</v>
      </c>
      <c r="DH187">
        <f t="shared" si="479"/>
        <v>6390</v>
      </c>
      <c r="DI187">
        <f t="shared" si="48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1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2"/>
        <v>200</v>
      </c>
      <c r="DP187">
        <f t="shared" si="483"/>
        <v>43950</v>
      </c>
      <c r="DQ187">
        <f>_xlfn.XLOOKUP(B187,'[12]february-2026'!$A:$A,'[12]february-2026'!$C:$C,0,0)</f>
        <v>35500</v>
      </c>
      <c r="DR187">
        <f t="shared" si="484"/>
        <v>6390</v>
      </c>
      <c r="DS187">
        <f t="shared" si="485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6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7"/>
        <v>200</v>
      </c>
      <c r="DZ187">
        <f t="shared" si="488"/>
        <v>43950</v>
      </c>
      <c r="EA187">
        <f t="shared" si="489"/>
        <v>560020</v>
      </c>
      <c r="EB187">
        <f t="shared" si="490"/>
        <v>2400</v>
      </c>
      <c r="EC187">
        <f t="shared" si="491"/>
        <v>50000</v>
      </c>
      <c r="ED187">
        <v>0</v>
      </c>
      <c r="EE187">
        <f t="shared" si="492"/>
        <v>507620</v>
      </c>
      <c r="EF187">
        <f t="shared" si="493"/>
        <v>30000</v>
      </c>
      <c r="EG187">
        <f t="shared" si="494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5"/>
        <v>30000</v>
      </c>
      <c r="ES187">
        <f t="shared" si="496"/>
        <v>30000</v>
      </c>
      <c r="ET187">
        <f t="shared" si="497"/>
        <v>477620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8"/>
        <v>0</v>
      </c>
      <c r="FC187">
        <f t="shared" si="499"/>
        <v>477620</v>
      </c>
      <c r="FD187">
        <f t="shared" si="500"/>
        <v>11381</v>
      </c>
      <c r="FE187">
        <f t="shared" si="501"/>
        <v>0</v>
      </c>
      <c r="FF187">
        <f t="shared" si="502"/>
        <v>11381</v>
      </c>
      <c r="FG187">
        <f t="shared" si="503"/>
        <v>0</v>
      </c>
      <c r="FH187">
        <f t="shared" si="504"/>
        <v>0</v>
      </c>
      <c r="FI187">
        <f t="shared" si="505"/>
        <v>0</v>
      </c>
      <c r="FJ187">
        <v>0</v>
      </c>
      <c r="FK187">
        <f t="shared" si="506"/>
        <v>0</v>
      </c>
      <c r="FL187" t="b">
        <f t="shared" si="507"/>
        <v>1</v>
      </c>
      <c r="FM187">
        <f t="shared" ca="1" si="508"/>
        <v>763</v>
      </c>
      <c r="FN187">
        <f t="shared" ca="1" si="509"/>
        <v>560783</v>
      </c>
      <c r="FO187">
        <f t="shared" si="510"/>
        <v>75000</v>
      </c>
      <c r="FP187">
        <f t="shared" ca="1" si="511"/>
        <v>485783</v>
      </c>
      <c r="FQ187">
        <f t="shared" ca="1" si="512"/>
        <v>0</v>
      </c>
      <c r="FR187">
        <f t="shared" ca="1" si="513"/>
        <v>0</v>
      </c>
      <c r="FS187">
        <f t="shared" ca="1" si="514"/>
        <v>0</v>
      </c>
      <c r="FT187">
        <f t="shared" ca="1" si="515"/>
        <v>0</v>
      </c>
      <c r="FU187">
        <f t="shared" ca="1" si="516"/>
        <v>0</v>
      </c>
      <c r="FV187">
        <f t="shared" ca="1" si="517"/>
        <v>0</v>
      </c>
      <c r="FW187">
        <f t="shared" ca="1" si="518"/>
        <v>0</v>
      </c>
      <c r="FX187">
        <f t="shared" ca="1" si="519"/>
        <v>0</v>
      </c>
      <c r="FY187">
        <f t="shared" ca="1" si="520"/>
        <v>0</v>
      </c>
      <c r="FZ187">
        <f t="shared" ca="1" si="521"/>
        <v>0</v>
      </c>
      <c r="GA187">
        <f t="shared" ca="1" si="522"/>
        <v>85783</v>
      </c>
      <c r="GB187">
        <f t="shared" ca="1" si="523"/>
        <v>4289.1500000000005</v>
      </c>
      <c r="GC187">
        <f t="shared" ca="1" si="524"/>
        <v>4289</v>
      </c>
      <c r="GD187">
        <f t="shared" ca="1" si="525"/>
        <v>0</v>
      </c>
      <c r="GE187">
        <f t="shared" ca="1" si="526"/>
        <v>0</v>
      </c>
      <c r="GF187">
        <f t="shared" ca="1" si="527"/>
        <v>4289</v>
      </c>
      <c r="GG187">
        <f t="shared" ca="1" si="528"/>
        <v>0</v>
      </c>
      <c r="GH187" t="b">
        <f t="shared" ca="1" si="529"/>
        <v>0</v>
      </c>
      <c r="GI187">
        <f t="shared" ca="1" si="530"/>
        <v>0</v>
      </c>
      <c r="GJ187">
        <f t="shared" ca="1" si="531"/>
        <v>4289</v>
      </c>
      <c r="GK187">
        <f t="shared" ca="1" si="532"/>
        <v>0</v>
      </c>
      <c r="GL187">
        <f t="shared" ca="1" si="533"/>
        <v>0</v>
      </c>
      <c r="GM187">
        <f t="shared" ca="1" si="534"/>
        <v>0</v>
      </c>
    </row>
    <row r="188" spans="1:195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537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30"/>
        <v>4690</v>
      </c>
      <c r="L188">
        <f t="shared" si="431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432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535"/>
        <v>200</v>
      </c>
      <c r="S188">
        <f t="shared" si="433"/>
        <v>39510</v>
      </c>
      <c r="T188">
        <f>_xlfn.XLOOKUP(B188,'[2]april-2025'!$A:$A,'[2]april-2025'!$C:$C,0,0)</f>
        <v>33500</v>
      </c>
      <c r="U188">
        <f t="shared" si="434"/>
        <v>6030</v>
      </c>
      <c r="V188">
        <f t="shared" si="43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3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37"/>
        <v>200</v>
      </c>
      <c r="AC188">
        <f t="shared" si="438"/>
        <v>40850</v>
      </c>
      <c r="AD188">
        <f>_xlfn.XLOOKUP(B188,'[3]may-2025'!$A:$A,'[3]may-2025'!$C:$C,0,0)</f>
        <v>33500</v>
      </c>
      <c r="AE188">
        <f t="shared" si="439"/>
        <v>6030</v>
      </c>
      <c r="AF188">
        <f t="shared" si="440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41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42"/>
        <v>200</v>
      </c>
      <c r="AM188">
        <f t="shared" si="443"/>
        <v>40850</v>
      </c>
      <c r="AN188">
        <f>_xlfn.XLOOKUP(B188,'[4]june-2025'!$A:$A,'[4]june-2025'!$C:$C,0,0)</f>
        <v>33500</v>
      </c>
      <c r="AO188">
        <f t="shared" si="444"/>
        <v>6030</v>
      </c>
      <c r="AP188">
        <f t="shared" si="445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46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47"/>
        <v>200</v>
      </c>
      <c r="AW188">
        <f t="shared" si="448"/>
        <v>40850</v>
      </c>
      <c r="AX188">
        <f>_xlfn.XLOOKUP(B188,'[5]july-2025'!$A:$A,'[5]july-2025'!$C:$C,0,0)</f>
        <v>34500</v>
      </c>
      <c r="AY188">
        <f t="shared" si="449"/>
        <v>6210</v>
      </c>
      <c r="AZ188">
        <v>0</v>
      </c>
      <c r="BA188">
        <f t="shared" si="450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451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52"/>
        <v>200</v>
      </c>
      <c r="BH188">
        <f t="shared" si="453"/>
        <v>42150</v>
      </c>
      <c r="BI188">
        <f>_xlfn.XLOOKUP(B188,'[6]august-2025'!$A:$A,'[6]august-2025'!$C:$C,0,0)</f>
        <v>34500</v>
      </c>
      <c r="BJ188">
        <f t="shared" si="454"/>
        <v>6210</v>
      </c>
      <c r="BK188">
        <f t="shared" si="455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56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457"/>
        <v>200</v>
      </c>
      <c r="BR188">
        <f t="shared" si="458"/>
        <v>42150</v>
      </c>
      <c r="BS188">
        <f>_xlfn.XLOOKUP(B188,'[7]september-2025'!$A:$A,'[7]september-2025'!$C:$C,0,0)</f>
        <v>34500</v>
      </c>
      <c r="BT188">
        <f t="shared" si="459"/>
        <v>6210</v>
      </c>
      <c r="BU188">
        <f t="shared" si="460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461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62"/>
        <v>200</v>
      </c>
      <c r="CB188">
        <f t="shared" si="463"/>
        <v>42150</v>
      </c>
      <c r="CC188">
        <f>_xlfn.XLOOKUP(B188,'[8]october-2025'!$A:$A,'[8]october-2025'!$C:$C,0,0)</f>
        <v>34500</v>
      </c>
      <c r="CD188">
        <f t="shared" si="464"/>
        <v>6210</v>
      </c>
      <c r="CE188">
        <f t="shared" si="465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466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67"/>
        <v>200</v>
      </c>
      <c r="CL188">
        <f t="shared" si="468"/>
        <v>42150</v>
      </c>
      <c r="CM188">
        <f>_xlfn.XLOOKUP(B188,'[9]november-2025'!$A:$A,'[9]november-2025'!$C:$C,0,0)</f>
        <v>34500</v>
      </c>
      <c r="CN188">
        <f t="shared" si="469"/>
        <v>6210</v>
      </c>
      <c r="CO188">
        <f t="shared" si="470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471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72"/>
        <v>200</v>
      </c>
      <c r="CV188">
        <f t="shared" si="473"/>
        <v>42150</v>
      </c>
      <c r="CW188">
        <f>_xlfn.XLOOKUP(B188,'[10]december-2025'!$A:$A,'[10]december-2025'!$C:$C,0,0)</f>
        <v>34500</v>
      </c>
      <c r="CX188">
        <f t="shared" si="474"/>
        <v>6210</v>
      </c>
      <c r="CY188">
        <f t="shared" si="475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47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77"/>
        <v>200</v>
      </c>
      <c r="DF188">
        <f t="shared" si="478"/>
        <v>42150</v>
      </c>
      <c r="DG188">
        <f>_xlfn.XLOOKUP(B188,'[11]january-2026'!$A:$A,'[11]january-2026'!$C:$C,0,0)</f>
        <v>34500</v>
      </c>
      <c r="DH188">
        <f t="shared" si="479"/>
        <v>6210</v>
      </c>
      <c r="DI188">
        <f t="shared" si="48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1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2"/>
        <v>200</v>
      </c>
      <c r="DP188">
        <f t="shared" si="483"/>
        <v>42150</v>
      </c>
      <c r="DQ188">
        <f>_xlfn.XLOOKUP(B188,'[12]february-2026'!$A:$A,'[12]february-2026'!$C:$C,0,0)</f>
        <v>34500</v>
      </c>
      <c r="DR188">
        <f t="shared" si="484"/>
        <v>6210</v>
      </c>
      <c r="DS188">
        <f t="shared" si="485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6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7"/>
        <v>200</v>
      </c>
      <c r="DZ188">
        <f t="shared" si="488"/>
        <v>42150</v>
      </c>
      <c r="EA188">
        <f t="shared" si="489"/>
        <v>538460</v>
      </c>
      <c r="EB188">
        <f t="shared" si="490"/>
        <v>2400</v>
      </c>
      <c r="EC188">
        <f t="shared" si="491"/>
        <v>50000</v>
      </c>
      <c r="ED188">
        <v>0</v>
      </c>
      <c r="EE188">
        <f t="shared" si="492"/>
        <v>486060</v>
      </c>
      <c r="EF188">
        <f t="shared" si="493"/>
        <v>30000</v>
      </c>
      <c r="EG188">
        <f t="shared" si="494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5"/>
        <v>30000</v>
      </c>
      <c r="ES188">
        <f t="shared" si="496"/>
        <v>30000</v>
      </c>
      <c r="ET188">
        <f t="shared" si="497"/>
        <v>456060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8"/>
        <v>0</v>
      </c>
      <c r="FC188">
        <f t="shared" si="499"/>
        <v>456060</v>
      </c>
      <c r="FD188">
        <f t="shared" si="500"/>
        <v>10303</v>
      </c>
      <c r="FE188">
        <f t="shared" si="501"/>
        <v>0</v>
      </c>
      <c r="FF188">
        <f t="shared" si="502"/>
        <v>10303</v>
      </c>
      <c r="FG188">
        <f t="shared" si="503"/>
        <v>0</v>
      </c>
      <c r="FH188">
        <f t="shared" si="504"/>
        <v>0</v>
      </c>
      <c r="FI188">
        <f t="shared" si="505"/>
        <v>0</v>
      </c>
      <c r="FJ188">
        <v>0</v>
      </c>
      <c r="FK188">
        <f t="shared" si="506"/>
        <v>0</v>
      </c>
      <c r="FL188" t="b">
        <f t="shared" si="507"/>
        <v>1</v>
      </c>
      <c r="FM188">
        <f t="shared" ca="1" si="508"/>
        <v>667</v>
      </c>
      <c r="FN188">
        <f t="shared" ca="1" si="509"/>
        <v>539127</v>
      </c>
      <c r="FO188">
        <f t="shared" si="510"/>
        <v>75000</v>
      </c>
      <c r="FP188">
        <f t="shared" ca="1" si="511"/>
        <v>464127</v>
      </c>
      <c r="FQ188">
        <f t="shared" ca="1" si="512"/>
        <v>0</v>
      </c>
      <c r="FR188">
        <f t="shared" ca="1" si="513"/>
        <v>0</v>
      </c>
      <c r="FS188">
        <f t="shared" ca="1" si="514"/>
        <v>0</v>
      </c>
      <c r="FT188">
        <f t="shared" ca="1" si="515"/>
        <v>0</v>
      </c>
      <c r="FU188">
        <f t="shared" ca="1" si="516"/>
        <v>0</v>
      </c>
      <c r="FV188">
        <f t="shared" ca="1" si="517"/>
        <v>0</v>
      </c>
      <c r="FW188">
        <f t="shared" ca="1" si="518"/>
        <v>0</v>
      </c>
      <c r="FX188">
        <f t="shared" ca="1" si="519"/>
        <v>0</v>
      </c>
      <c r="FY188">
        <f t="shared" ca="1" si="520"/>
        <v>0</v>
      </c>
      <c r="FZ188">
        <f t="shared" ca="1" si="521"/>
        <v>0</v>
      </c>
      <c r="GA188">
        <f t="shared" ca="1" si="522"/>
        <v>64127</v>
      </c>
      <c r="GB188">
        <f t="shared" ca="1" si="523"/>
        <v>3206.3500000000004</v>
      </c>
      <c r="GC188">
        <f t="shared" ca="1" si="524"/>
        <v>3206</v>
      </c>
      <c r="GD188">
        <f t="shared" ca="1" si="525"/>
        <v>0</v>
      </c>
      <c r="GE188">
        <f t="shared" ca="1" si="526"/>
        <v>0</v>
      </c>
      <c r="GF188">
        <f t="shared" ca="1" si="527"/>
        <v>3206</v>
      </c>
      <c r="GG188">
        <f t="shared" ca="1" si="528"/>
        <v>0</v>
      </c>
      <c r="GH188" t="b">
        <f t="shared" ca="1" si="529"/>
        <v>0</v>
      </c>
      <c r="GI188">
        <f t="shared" ca="1" si="530"/>
        <v>0</v>
      </c>
      <c r="GJ188">
        <f t="shared" ca="1" si="531"/>
        <v>3206</v>
      </c>
      <c r="GK188">
        <f t="shared" ca="1" si="532"/>
        <v>0</v>
      </c>
      <c r="GL188">
        <f t="shared" ca="1" si="533"/>
        <v>0</v>
      </c>
      <c r="GM188">
        <f t="shared" ca="1" si="534"/>
        <v>0</v>
      </c>
    </row>
    <row r="189" spans="1:195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537"/>
        <v>6800</v>
      </c>
      <c r="I189">
        <f>_xlfn.XLOOKUP(B189,'[1]march-2025'!$A:$A,'[1]march-2025'!$J:$J,0,0)</f>
        <v>61490</v>
      </c>
      <c r="J189">
        <f>_xlfn.XLOOKUP(B189,'[1]march-2025'!$A:$A,'[1]march-2025'!$C:$C,0,0)</f>
        <v>28900</v>
      </c>
      <c r="K189">
        <f t="shared" si="430"/>
        <v>4046.0000000000005</v>
      </c>
      <c r="L189">
        <f t="shared" si="431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432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535"/>
        <v>150</v>
      </c>
      <c r="S189">
        <f t="shared" si="433"/>
        <v>34764</v>
      </c>
      <c r="T189">
        <f>_xlfn.XLOOKUP(B189,'[2]april-2025'!$A:$A,'[2]april-2025'!$C:$C,0,0)</f>
        <v>28900</v>
      </c>
      <c r="U189">
        <f t="shared" si="434"/>
        <v>5202</v>
      </c>
      <c r="V189">
        <f t="shared" si="43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3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37"/>
        <v>150</v>
      </c>
      <c r="AC189">
        <f t="shared" si="438"/>
        <v>35920</v>
      </c>
      <c r="AD189">
        <f>_xlfn.XLOOKUP(B189,'[3]may-2025'!$A:$A,'[3]may-2025'!$C:$C,0,0)</f>
        <v>28900</v>
      </c>
      <c r="AE189">
        <f t="shared" si="439"/>
        <v>5202</v>
      </c>
      <c r="AF189">
        <f t="shared" si="440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41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42"/>
        <v>150</v>
      </c>
      <c r="AM189">
        <f t="shared" si="443"/>
        <v>35920</v>
      </c>
      <c r="AN189">
        <f>_xlfn.XLOOKUP(B189,'[4]june-2025'!$A:$A,'[4]june-2025'!$C:$C,0,0)</f>
        <v>28900</v>
      </c>
      <c r="AO189">
        <f t="shared" si="444"/>
        <v>5202</v>
      </c>
      <c r="AP189">
        <f t="shared" si="445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46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47"/>
        <v>150</v>
      </c>
      <c r="AW189">
        <f t="shared" si="448"/>
        <v>35920</v>
      </c>
      <c r="AX189">
        <f>_xlfn.XLOOKUP(B189,'[5]july-2025'!$A:$A,'[5]july-2025'!$C:$C,0,0)</f>
        <v>29800</v>
      </c>
      <c r="AY189">
        <f t="shared" si="449"/>
        <v>5364</v>
      </c>
      <c r="AZ189">
        <v>0</v>
      </c>
      <c r="BA189">
        <f t="shared" si="450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451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52"/>
        <v>150</v>
      </c>
      <c r="BH189">
        <f t="shared" si="453"/>
        <v>37090</v>
      </c>
      <c r="BI189">
        <f>_xlfn.XLOOKUP(B189,'[6]august-2025'!$A:$A,'[6]august-2025'!$C:$C,0,0)</f>
        <v>29800</v>
      </c>
      <c r="BJ189">
        <f t="shared" si="454"/>
        <v>5364</v>
      </c>
      <c r="BK189">
        <f t="shared" si="455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56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457"/>
        <v>150</v>
      </c>
      <c r="BR189">
        <f t="shared" si="458"/>
        <v>37090</v>
      </c>
      <c r="BS189">
        <f>_xlfn.XLOOKUP(B189,'[7]september-2025'!$A:$A,'[7]september-2025'!$C:$C,0,0)</f>
        <v>29800</v>
      </c>
      <c r="BT189">
        <f t="shared" si="459"/>
        <v>5364</v>
      </c>
      <c r="BU189">
        <f t="shared" si="460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461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62"/>
        <v>150</v>
      </c>
      <c r="CB189">
        <f t="shared" si="463"/>
        <v>37090</v>
      </c>
      <c r="CC189">
        <f>_xlfn.XLOOKUP(B189,'[8]october-2025'!$A:$A,'[8]october-2025'!$C:$C,0,0)</f>
        <v>29800</v>
      </c>
      <c r="CD189">
        <f t="shared" si="464"/>
        <v>5364</v>
      </c>
      <c r="CE189">
        <f t="shared" si="465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466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67"/>
        <v>150</v>
      </c>
      <c r="CL189">
        <f t="shared" si="468"/>
        <v>37090</v>
      </c>
      <c r="CM189">
        <f>_xlfn.XLOOKUP(B189,'[9]november-2025'!$A:$A,'[9]november-2025'!$C:$C,0,0)</f>
        <v>29800</v>
      </c>
      <c r="CN189">
        <f t="shared" si="469"/>
        <v>5364</v>
      </c>
      <c r="CO189">
        <f t="shared" si="470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471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72"/>
        <v>150</v>
      </c>
      <c r="CV189">
        <f t="shared" si="473"/>
        <v>37090</v>
      </c>
      <c r="CW189">
        <f>_xlfn.XLOOKUP(B189,'[10]december-2025'!$A:$A,'[10]december-2025'!$C:$C,0,0)</f>
        <v>29800</v>
      </c>
      <c r="CX189">
        <f t="shared" si="474"/>
        <v>5364</v>
      </c>
      <c r="CY189">
        <f t="shared" si="475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47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77"/>
        <v>150</v>
      </c>
      <c r="DF189">
        <f t="shared" si="478"/>
        <v>37090</v>
      </c>
      <c r="DG189">
        <f>_xlfn.XLOOKUP(B189,'[11]january-2026'!$A:$A,'[11]january-2026'!$C:$C,0,0)</f>
        <v>29800</v>
      </c>
      <c r="DH189">
        <f t="shared" si="479"/>
        <v>5364</v>
      </c>
      <c r="DI189">
        <f t="shared" si="48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1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2"/>
        <v>150</v>
      </c>
      <c r="DP189">
        <f t="shared" si="483"/>
        <v>37090</v>
      </c>
      <c r="DQ189">
        <f>_xlfn.XLOOKUP(B189,'[12]february-2026'!$A:$A,'[12]february-2026'!$C:$C,0,0)</f>
        <v>29800</v>
      </c>
      <c r="DR189">
        <f t="shared" si="484"/>
        <v>5364</v>
      </c>
      <c r="DS189">
        <f t="shared" si="485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6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7"/>
        <v>150</v>
      </c>
      <c r="DZ189">
        <f t="shared" si="488"/>
        <v>37090</v>
      </c>
      <c r="EA189">
        <f t="shared" si="489"/>
        <v>533334</v>
      </c>
      <c r="EB189">
        <f t="shared" si="490"/>
        <v>1800</v>
      </c>
      <c r="EC189">
        <f t="shared" si="491"/>
        <v>50000</v>
      </c>
      <c r="ED189">
        <v>0</v>
      </c>
      <c r="EE189">
        <f t="shared" si="492"/>
        <v>481534</v>
      </c>
      <c r="EF189">
        <f t="shared" si="493"/>
        <v>24000</v>
      </c>
      <c r="EG189">
        <f t="shared" si="494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5"/>
        <v>24000</v>
      </c>
      <c r="ES189">
        <f t="shared" si="496"/>
        <v>24000</v>
      </c>
      <c r="ET189">
        <f t="shared" si="497"/>
        <v>457534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8"/>
        <v>0</v>
      </c>
      <c r="FC189">
        <f t="shared" si="499"/>
        <v>457534</v>
      </c>
      <c r="FD189">
        <f t="shared" si="500"/>
        <v>10377</v>
      </c>
      <c r="FE189">
        <f t="shared" si="501"/>
        <v>0</v>
      </c>
      <c r="FF189">
        <f t="shared" si="502"/>
        <v>10377</v>
      </c>
      <c r="FG189">
        <f t="shared" si="503"/>
        <v>0</v>
      </c>
      <c r="FH189">
        <f t="shared" si="504"/>
        <v>0</v>
      </c>
      <c r="FI189">
        <f t="shared" si="505"/>
        <v>0</v>
      </c>
      <c r="FJ189">
        <v>0</v>
      </c>
      <c r="FK189">
        <f t="shared" si="506"/>
        <v>0</v>
      </c>
      <c r="FL189" t="b">
        <f t="shared" si="507"/>
        <v>1</v>
      </c>
      <c r="FM189">
        <f t="shared" ca="1" si="508"/>
        <v>696</v>
      </c>
      <c r="FN189">
        <f t="shared" ca="1" si="509"/>
        <v>534030</v>
      </c>
      <c r="FO189">
        <f t="shared" si="510"/>
        <v>75000</v>
      </c>
      <c r="FP189">
        <f t="shared" ca="1" si="511"/>
        <v>459030</v>
      </c>
      <c r="FQ189">
        <f t="shared" ca="1" si="512"/>
        <v>0</v>
      </c>
      <c r="FR189">
        <f t="shared" ca="1" si="513"/>
        <v>0</v>
      </c>
      <c r="FS189">
        <f t="shared" ca="1" si="514"/>
        <v>0</v>
      </c>
      <c r="FT189">
        <f t="shared" ca="1" si="515"/>
        <v>0</v>
      </c>
      <c r="FU189">
        <f t="shared" ca="1" si="516"/>
        <v>0</v>
      </c>
      <c r="FV189">
        <f t="shared" ca="1" si="517"/>
        <v>0</v>
      </c>
      <c r="FW189">
        <f t="shared" ca="1" si="518"/>
        <v>0</v>
      </c>
      <c r="FX189">
        <f t="shared" ca="1" si="519"/>
        <v>0</v>
      </c>
      <c r="FY189">
        <f t="shared" ca="1" si="520"/>
        <v>0</v>
      </c>
      <c r="FZ189">
        <f t="shared" ca="1" si="521"/>
        <v>0</v>
      </c>
      <c r="GA189">
        <f t="shared" ca="1" si="522"/>
        <v>59030</v>
      </c>
      <c r="GB189">
        <f t="shared" ca="1" si="523"/>
        <v>2951.5</v>
      </c>
      <c r="GC189">
        <f t="shared" ca="1" si="524"/>
        <v>2952</v>
      </c>
      <c r="GD189">
        <f t="shared" ca="1" si="525"/>
        <v>0</v>
      </c>
      <c r="GE189">
        <f t="shared" ca="1" si="526"/>
        <v>0</v>
      </c>
      <c r="GF189">
        <f t="shared" ca="1" si="527"/>
        <v>2952</v>
      </c>
      <c r="GG189">
        <f t="shared" ca="1" si="528"/>
        <v>0</v>
      </c>
      <c r="GH189" t="b">
        <f t="shared" ca="1" si="529"/>
        <v>0</v>
      </c>
      <c r="GI189">
        <f t="shared" ca="1" si="530"/>
        <v>0</v>
      </c>
      <c r="GJ189">
        <f t="shared" ca="1" si="531"/>
        <v>2952</v>
      </c>
      <c r="GK189">
        <f t="shared" ca="1" si="532"/>
        <v>0</v>
      </c>
      <c r="GL189">
        <f t="shared" ca="1" si="533"/>
        <v>0</v>
      </c>
      <c r="GM189">
        <f t="shared" ca="1" si="534"/>
        <v>0</v>
      </c>
    </row>
    <row r="190" spans="1:195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537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30"/>
        <v>3458.0000000000005</v>
      </c>
      <c r="L190">
        <f t="shared" si="431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432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535"/>
        <v>150</v>
      </c>
      <c r="S190">
        <f t="shared" si="433"/>
        <v>31472</v>
      </c>
      <c r="T190">
        <f>_xlfn.XLOOKUP(B190,'[2]april-2025'!$A:$A,'[2]april-2025'!$C:$C,0,0)</f>
        <v>24700</v>
      </c>
      <c r="U190">
        <f t="shared" si="434"/>
        <v>4446</v>
      </c>
      <c r="V190">
        <f t="shared" si="43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3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37"/>
        <v>150</v>
      </c>
      <c r="AC190">
        <f t="shared" si="438"/>
        <v>32460</v>
      </c>
      <c r="AD190">
        <f>_xlfn.XLOOKUP(B190,'[3]may-2025'!$A:$A,'[3]may-2025'!$C:$C,0,0)</f>
        <v>24700</v>
      </c>
      <c r="AE190">
        <f t="shared" si="439"/>
        <v>4446</v>
      </c>
      <c r="AF190">
        <f t="shared" si="440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41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42"/>
        <v>150</v>
      </c>
      <c r="AM190">
        <f t="shared" si="443"/>
        <v>32460</v>
      </c>
      <c r="AN190">
        <f>_xlfn.XLOOKUP(B190,'[4]june-2025'!$A:$A,'[4]june-2025'!$C:$C,0,0)</f>
        <v>24700</v>
      </c>
      <c r="AO190">
        <f t="shared" si="444"/>
        <v>4446</v>
      </c>
      <c r="AP190">
        <f t="shared" si="445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46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47"/>
        <v>150</v>
      </c>
      <c r="AW190">
        <f t="shared" si="448"/>
        <v>32460</v>
      </c>
      <c r="AX190">
        <f>_xlfn.XLOOKUP(B190,'[5]july-2025'!$A:$A,'[5]july-2025'!$C:$C,0,0)</f>
        <v>25400</v>
      </c>
      <c r="AY190">
        <f t="shared" si="449"/>
        <v>4572</v>
      </c>
      <c r="AZ190">
        <v>0</v>
      </c>
      <c r="BA190">
        <f t="shared" si="450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451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52"/>
        <v>150</v>
      </c>
      <c r="BH190">
        <f t="shared" si="453"/>
        <v>33370</v>
      </c>
      <c r="BI190">
        <f>_xlfn.XLOOKUP(B190,'[6]august-2025'!$A:$A,'[6]august-2025'!$C:$C,0,0)</f>
        <v>29800</v>
      </c>
      <c r="BJ190">
        <f t="shared" si="454"/>
        <v>5364</v>
      </c>
      <c r="BK190">
        <f t="shared" si="455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56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457"/>
        <v>150</v>
      </c>
      <c r="BR190">
        <f t="shared" si="458"/>
        <v>39090</v>
      </c>
      <c r="BS190">
        <f>_xlfn.XLOOKUP(B190,'[7]september-2025'!$A:$A,'[7]september-2025'!$C:$C,0,0)</f>
        <v>29800</v>
      </c>
      <c r="BT190">
        <f t="shared" si="459"/>
        <v>5364</v>
      </c>
      <c r="BU190">
        <f t="shared" si="460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461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62"/>
        <v>150</v>
      </c>
      <c r="CB190">
        <f t="shared" si="463"/>
        <v>39090</v>
      </c>
      <c r="CC190">
        <f>_xlfn.XLOOKUP(B190,'[8]october-2025'!$A:$A,'[8]october-2025'!$C:$C,0,0)</f>
        <v>29800</v>
      </c>
      <c r="CD190">
        <f t="shared" si="464"/>
        <v>5364</v>
      </c>
      <c r="CE190">
        <f t="shared" si="465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466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67"/>
        <v>150</v>
      </c>
      <c r="CL190">
        <f t="shared" si="468"/>
        <v>39090</v>
      </c>
      <c r="CM190">
        <f>_xlfn.XLOOKUP(B190,'[9]november-2025'!$A:$A,'[9]november-2025'!$C:$C,0,0)</f>
        <v>29800</v>
      </c>
      <c r="CN190">
        <f t="shared" si="469"/>
        <v>5364</v>
      </c>
      <c r="CO190">
        <f t="shared" si="470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471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72"/>
        <v>150</v>
      </c>
      <c r="CV190">
        <f t="shared" si="473"/>
        <v>39090</v>
      </c>
      <c r="CW190">
        <f>_xlfn.XLOOKUP(B190,'[10]december-2025'!$A:$A,'[10]december-2025'!$C:$C,0,0)</f>
        <v>29800</v>
      </c>
      <c r="CX190">
        <f t="shared" si="474"/>
        <v>5364</v>
      </c>
      <c r="CY190">
        <f t="shared" si="475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47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77"/>
        <v>150</v>
      </c>
      <c r="DF190">
        <f t="shared" si="478"/>
        <v>39090</v>
      </c>
      <c r="DG190">
        <f>_xlfn.XLOOKUP(B190,'[11]january-2026'!$A:$A,'[11]january-2026'!$C:$C,0,0)</f>
        <v>29800</v>
      </c>
      <c r="DH190">
        <f t="shared" si="479"/>
        <v>5364</v>
      </c>
      <c r="DI190">
        <f t="shared" si="48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1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2"/>
        <v>150</v>
      </c>
      <c r="DP190">
        <f t="shared" si="483"/>
        <v>39090</v>
      </c>
      <c r="DQ190">
        <f>_xlfn.XLOOKUP(B190,'[12]february-2026'!$A:$A,'[12]february-2026'!$C:$C,0,0)</f>
        <v>29800</v>
      </c>
      <c r="DR190">
        <f t="shared" si="484"/>
        <v>5364</v>
      </c>
      <c r="DS190">
        <f t="shared" si="485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6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7"/>
        <v>150</v>
      </c>
      <c r="DZ190">
        <f t="shared" si="488"/>
        <v>39090</v>
      </c>
      <c r="EA190">
        <f t="shared" si="489"/>
        <v>444452</v>
      </c>
      <c r="EB190">
        <f t="shared" si="490"/>
        <v>1800</v>
      </c>
      <c r="EC190">
        <f t="shared" si="491"/>
        <v>50000</v>
      </c>
      <c r="ED190">
        <v>0</v>
      </c>
      <c r="EE190">
        <f t="shared" si="492"/>
        <v>392652</v>
      </c>
      <c r="EF190">
        <f t="shared" si="493"/>
        <v>0</v>
      </c>
      <c r="EG190">
        <f t="shared" si="494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5"/>
        <v>0</v>
      </c>
      <c r="ES190">
        <f t="shared" si="496"/>
        <v>0</v>
      </c>
      <c r="ET190">
        <f t="shared" si="497"/>
        <v>392652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8"/>
        <v>0</v>
      </c>
      <c r="FC190">
        <f t="shared" si="499"/>
        <v>392652</v>
      </c>
      <c r="FD190">
        <f t="shared" si="500"/>
        <v>7133</v>
      </c>
      <c r="FE190">
        <f t="shared" si="501"/>
        <v>0</v>
      </c>
      <c r="FF190">
        <f t="shared" si="502"/>
        <v>7133</v>
      </c>
      <c r="FG190">
        <f t="shared" si="503"/>
        <v>0</v>
      </c>
      <c r="FH190">
        <f t="shared" si="504"/>
        <v>0</v>
      </c>
      <c r="FI190">
        <f t="shared" si="505"/>
        <v>0</v>
      </c>
      <c r="FJ190">
        <v>0</v>
      </c>
      <c r="FK190">
        <f t="shared" si="506"/>
        <v>0</v>
      </c>
      <c r="FL190" t="b">
        <f t="shared" si="507"/>
        <v>0</v>
      </c>
      <c r="FM190">
        <f t="shared" ca="1" si="508"/>
        <v>2980</v>
      </c>
      <c r="FN190">
        <f t="shared" ca="1" si="509"/>
        <v>447432</v>
      </c>
      <c r="FO190">
        <f t="shared" si="510"/>
        <v>75000</v>
      </c>
      <c r="FP190">
        <f t="shared" ca="1" si="511"/>
        <v>372432</v>
      </c>
      <c r="FQ190">
        <f t="shared" ca="1" si="512"/>
        <v>0</v>
      </c>
      <c r="FR190">
        <f t="shared" ca="1" si="513"/>
        <v>0</v>
      </c>
      <c r="FS190">
        <f t="shared" ca="1" si="514"/>
        <v>0</v>
      </c>
      <c r="FT190">
        <f t="shared" ca="1" si="515"/>
        <v>0</v>
      </c>
      <c r="FU190">
        <f t="shared" ca="1" si="516"/>
        <v>0</v>
      </c>
      <c r="FV190">
        <f t="shared" ca="1" si="517"/>
        <v>0</v>
      </c>
      <c r="FW190">
        <f t="shared" ca="1" si="518"/>
        <v>0</v>
      </c>
      <c r="FX190">
        <f t="shared" ca="1" si="519"/>
        <v>0</v>
      </c>
      <c r="FY190">
        <f t="shared" ca="1" si="520"/>
        <v>0</v>
      </c>
      <c r="FZ190">
        <f t="shared" ca="1" si="521"/>
        <v>0</v>
      </c>
      <c r="GA190">
        <f t="shared" ca="1" si="522"/>
        <v>0</v>
      </c>
      <c r="GB190">
        <f t="shared" ca="1" si="523"/>
        <v>0</v>
      </c>
      <c r="GC190">
        <f t="shared" ca="1" si="524"/>
        <v>0</v>
      </c>
      <c r="GD190">
        <f t="shared" ca="1" si="525"/>
        <v>0</v>
      </c>
      <c r="GE190">
        <f t="shared" ca="1" si="526"/>
        <v>0</v>
      </c>
      <c r="GF190">
        <f t="shared" ca="1" si="527"/>
        <v>0</v>
      </c>
      <c r="GG190">
        <f t="shared" ca="1" si="528"/>
        <v>0</v>
      </c>
      <c r="GH190" t="b">
        <f t="shared" ca="1" si="529"/>
        <v>0</v>
      </c>
      <c r="GI190">
        <f t="shared" ca="1" si="530"/>
        <v>0</v>
      </c>
      <c r="GJ190">
        <f t="shared" ca="1" si="531"/>
        <v>0</v>
      </c>
      <c r="GK190">
        <f t="shared" ca="1" si="532"/>
        <v>0</v>
      </c>
      <c r="GL190">
        <f t="shared" ca="1" si="533"/>
        <v>0</v>
      </c>
      <c r="GM190">
        <f t="shared" ca="1" si="534"/>
        <v>0</v>
      </c>
    </row>
    <row r="191" spans="1:195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537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30"/>
        <v>6622.0000000000009</v>
      </c>
      <c r="L191">
        <f t="shared" si="431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432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535"/>
        <v>200</v>
      </c>
      <c r="S191">
        <f t="shared" si="433"/>
        <v>55798</v>
      </c>
      <c r="T191">
        <f>_xlfn.XLOOKUP(B191,'[2]april-2025'!$A:$A,'[2]april-2025'!$C:$C,0,0)</f>
        <v>47300</v>
      </c>
      <c r="U191">
        <f t="shared" si="434"/>
        <v>8514</v>
      </c>
      <c r="V191">
        <f t="shared" si="43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3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37"/>
        <v>200</v>
      </c>
      <c r="AC191">
        <f t="shared" si="438"/>
        <v>57690</v>
      </c>
      <c r="AD191">
        <f>_xlfn.XLOOKUP(B191,'[3]may-2025'!$A:$A,'[3]may-2025'!$C:$C,0,0)</f>
        <v>47300</v>
      </c>
      <c r="AE191">
        <f t="shared" si="439"/>
        <v>8514</v>
      </c>
      <c r="AF191">
        <f t="shared" si="440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41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42"/>
        <v>200</v>
      </c>
      <c r="AM191">
        <f t="shared" si="443"/>
        <v>57690</v>
      </c>
      <c r="AN191">
        <f>_xlfn.XLOOKUP(B191,'[4]june-2025'!$A:$A,'[4]june-2025'!$C:$C,0,0)</f>
        <v>47300</v>
      </c>
      <c r="AO191">
        <f t="shared" si="444"/>
        <v>8514</v>
      </c>
      <c r="AP191">
        <f t="shared" si="445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46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47"/>
        <v>200</v>
      </c>
      <c r="AW191">
        <f t="shared" si="448"/>
        <v>57690</v>
      </c>
      <c r="AX191">
        <f>_xlfn.XLOOKUP(B191,'[5]july-2025'!$A:$A,'[5]july-2025'!$C:$C,0,0)</f>
        <v>48700</v>
      </c>
      <c r="AY191">
        <f t="shared" si="449"/>
        <v>8766</v>
      </c>
      <c r="AZ191">
        <v>0</v>
      </c>
      <c r="BA191">
        <f t="shared" si="450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451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52"/>
        <v>200</v>
      </c>
      <c r="BH191">
        <f t="shared" si="453"/>
        <v>59510</v>
      </c>
      <c r="BI191">
        <f>_xlfn.XLOOKUP(B191,'[6]august-2025'!$A:$A,'[6]august-2025'!$C:$C,0,0)</f>
        <v>48700</v>
      </c>
      <c r="BJ191">
        <f t="shared" si="454"/>
        <v>8766</v>
      </c>
      <c r="BK191">
        <f t="shared" si="455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56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457"/>
        <v>200</v>
      </c>
      <c r="BR191">
        <f t="shared" si="458"/>
        <v>59510</v>
      </c>
      <c r="BS191">
        <f>_xlfn.XLOOKUP(B191,'[7]september-2025'!$A:$A,'[7]september-2025'!$C:$C,0,0)</f>
        <v>48700</v>
      </c>
      <c r="BT191">
        <f t="shared" si="459"/>
        <v>8766</v>
      </c>
      <c r="BU191">
        <f t="shared" si="460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461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62"/>
        <v>200</v>
      </c>
      <c r="CB191">
        <f t="shared" si="463"/>
        <v>59510</v>
      </c>
      <c r="CC191">
        <f>_xlfn.XLOOKUP(B191,'[8]october-2025'!$A:$A,'[8]october-2025'!$C:$C,0,0)</f>
        <v>48700</v>
      </c>
      <c r="CD191">
        <f t="shared" si="464"/>
        <v>8766</v>
      </c>
      <c r="CE191">
        <f t="shared" si="465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466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67"/>
        <v>200</v>
      </c>
      <c r="CL191">
        <f t="shared" si="468"/>
        <v>59510</v>
      </c>
      <c r="CM191">
        <f>_xlfn.XLOOKUP(B191,'[9]november-2025'!$A:$A,'[9]november-2025'!$C:$C,0,0)</f>
        <v>48700</v>
      </c>
      <c r="CN191">
        <f t="shared" si="469"/>
        <v>8766</v>
      </c>
      <c r="CO191">
        <f t="shared" si="470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471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72"/>
        <v>200</v>
      </c>
      <c r="CV191">
        <f t="shared" si="473"/>
        <v>59510</v>
      </c>
      <c r="CW191">
        <f>_xlfn.XLOOKUP(B191,'[10]december-2025'!$A:$A,'[10]december-2025'!$C:$C,0,0)</f>
        <v>48700</v>
      </c>
      <c r="CX191">
        <f t="shared" si="474"/>
        <v>8766</v>
      </c>
      <c r="CY191">
        <f t="shared" si="475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47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77"/>
        <v>200</v>
      </c>
      <c r="DF191">
        <f t="shared" si="478"/>
        <v>59510</v>
      </c>
      <c r="DG191">
        <f>_xlfn.XLOOKUP(B191,'[11]january-2026'!$A:$A,'[11]january-2026'!$C:$C,0,0)</f>
        <v>48700</v>
      </c>
      <c r="DH191">
        <f t="shared" si="479"/>
        <v>8766</v>
      </c>
      <c r="DI191">
        <f t="shared" si="48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1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2"/>
        <v>200</v>
      </c>
      <c r="DP191">
        <f t="shared" si="483"/>
        <v>59510</v>
      </c>
      <c r="DQ191">
        <f>_xlfn.XLOOKUP(B191,'[12]february-2026'!$A:$A,'[12]february-2026'!$C:$C,0,0)</f>
        <v>48700</v>
      </c>
      <c r="DR191">
        <f t="shared" si="484"/>
        <v>8766</v>
      </c>
      <c r="DS191">
        <f t="shared" si="485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6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7"/>
        <v>200</v>
      </c>
      <c r="DZ191">
        <f t="shared" si="488"/>
        <v>59510</v>
      </c>
      <c r="EA191">
        <f t="shared" si="489"/>
        <v>762148</v>
      </c>
      <c r="EB191">
        <f t="shared" si="490"/>
        <v>2400</v>
      </c>
      <c r="EC191">
        <f t="shared" si="491"/>
        <v>50000</v>
      </c>
      <c r="ED191">
        <v>0</v>
      </c>
      <c r="EE191">
        <f t="shared" si="492"/>
        <v>709748</v>
      </c>
      <c r="EF191">
        <f t="shared" si="493"/>
        <v>48000</v>
      </c>
      <c r="EG191">
        <f t="shared" si="494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5"/>
        <v>48000</v>
      </c>
      <c r="ES191">
        <f t="shared" si="496"/>
        <v>48000</v>
      </c>
      <c r="ET191">
        <f t="shared" si="497"/>
        <v>661748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8"/>
        <v>0</v>
      </c>
      <c r="FC191">
        <f t="shared" si="499"/>
        <v>661748</v>
      </c>
      <c r="FD191">
        <f t="shared" si="500"/>
        <v>12500</v>
      </c>
      <c r="FE191">
        <f t="shared" si="501"/>
        <v>32350</v>
      </c>
      <c r="FF191">
        <f t="shared" si="502"/>
        <v>44850</v>
      </c>
      <c r="FG191">
        <f t="shared" si="503"/>
        <v>44850</v>
      </c>
      <c r="FH191">
        <f t="shared" si="504"/>
        <v>1794</v>
      </c>
      <c r="FI191">
        <f t="shared" si="505"/>
        <v>46644</v>
      </c>
      <c r="FJ191">
        <v>0</v>
      </c>
      <c r="FK191">
        <f t="shared" si="506"/>
        <v>46644</v>
      </c>
      <c r="FL191" t="b">
        <f t="shared" si="507"/>
        <v>1</v>
      </c>
      <c r="FM191">
        <f t="shared" ca="1" si="508"/>
        <v>739</v>
      </c>
      <c r="FN191">
        <f t="shared" ca="1" si="509"/>
        <v>762887</v>
      </c>
      <c r="FO191">
        <f t="shared" si="510"/>
        <v>75000</v>
      </c>
      <c r="FP191">
        <f t="shared" ca="1" si="511"/>
        <v>687887</v>
      </c>
      <c r="FQ191">
        <f t="shared" ca="1" si="512"/>
        <v>0</v>
      </c>
      <c r="FR191">
        <f t="shared" ca="1" si="513"/>
        <v>0</v>
      </c>
      <c r="FS191">
        <f t="shared" ca="1" si="514"/>
        <v>0</v>
      </c>
      <c r="FT191">
        <f t="shared" ca="1" si="515"/>
        <v>0</v>
      </c>
      <c r="FU191">
        <f t="shared" ca="1" si="516"/>
        <v>0</v>
      </c>
      <c r="FV191">
        <f t="shared" ca="1" si="517"/>
        <v>0</v>
      </c>
      <c r="FW191">
        <f t="shared" ca="1" si="518"/>
        <v>0</v>
      </c>
      <c r="FX191">
        <f t="shared" ca="1" si="519"/>
        <v>0</v>
      </c>
      <c r="FY191">
        <f t="shared" ca="1" si="520"/>
        <v>0</v>
      </c>
      <c r="FZ191">
        <f t="shared" ca="1" si="521"/>
        <v>0</v>
      </c>
      <c r="GA191">
        <f t="shared" ca="1" si="522"/>
        <v>287887</v>
      </c>
      <c r="GB191">
        <f t="shared" ca="1" si="523"/>
        <v>14394.35</v>
      </c>
      <c r="GC191">
        <f t="shared" ca="1" si="524"/>
        <v>14394</v>
      </c>
      <c r="GD191">
        <f t="shared" ca="1" si="525"/>
        <v>0</v>
      </c>
      <c r="GE191">
        <f t="shared" ca="1" si="526"/>
        <v>0</v>
      </c>
      <c r="GF191">
        <f t="shared" ca="1" si="527"/>
        <v>14394</v>
      </c>
      <c r="GG191">
        <f t="shared" ca="1" si="528"/>
        <v>0</v>
      </c>
      <c r="GH191" t="b">
        <f t="shared" ca="1" si="529"/>
        <v>0</v>
      </c>
      <c r="GI191">
        <f t="shared" ca="1" si="530"/>
        <v>0</v>
      </c>
      <c r="GJ191">
        <f t="shared" ca="1" si="531"/>
        <v>14394</v>
      </c>
      <c r="GK191">
        <f t="shared" ca="1" si="532"/>
        <v>0</v>
      </c>
      <c r="GL191">
        <f t="shared" ca="1" si="533"/>
        <v>0</v>
      </c>
      <c r="GM191">
        <f t="shared" ca="1" si="534"/>
        <v>0</v>
      </c>
    </row>
    <row r="192" spans="1:195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537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30"/>
        <v>4690</v>
      </c>
      <c r="L192">
        <f t="shared" si="431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432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535"/>
        <v>200</v>
      </c>
      <c r="S192">
        <f t="shared" si="433"/>
        <v>39510</v>
      </c>
      <c r="T192">
        <f>_xlfn.XLOOKUP(B192,'[2]april-2025'!$A:$A,'[2]april-2025'!$C:$C,0,0)</f>
        <v>33500</v>
      </c>
      <c r="U192">
        <f t="shared" si="434"/>
        <v>6030</v>
      </c>
      <c r="V192">
        <f t="shared" si="43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3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37"/>
        <v>200</v>
      </c>
      <c r="AC192">
        <f t="shared" si="438"/>
        <v>40850</v>
      </c>
      <c r="AD192">
        <f>_xlfn.XLOOKUP(B192,'[3]may-2025'!$A:$A,'[3]may-2025'!$C:$C,0,0)</f>
        <v>33500</v>
      </c>
      <c r="AE192">
        <f t="shared" si="439"/>
        <v>6030</v>
      </c>
      <c r="AF192">
        <f t="shared" si="440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41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42"/>
        <v>200</v>
      </c>
      <c r="AM192">
        <f t="shared" si="443"/>
        <v>40850</v>
      </c>
      <c r="AN192">
        <f>_xlfn.XLOOKUP(B192,'[4]june-2025'!$A:$A,'[4]june-2025'!$C:$C,0,0)</f>
        <v>33500</v>
      </c>
      <c r="AO192">
        <f t="shared" si="444"/>
        <v>6030</v>
      </c>
      <c r="AP192">
        <f t="shared" si="445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46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47"/>
        <v>200</v>
      </c>
      <c r="AW192">
        <f t="shared" si="448"/>
        <v>40850</v>
      </c>
      <c r="AX192">
        <f>_xlfn.XLOOKUP(B192,'[5]july-2025'!$A:$A,'[5]july-2025'!$C:$C,0,0)</f>
        <v>34500</v>
      </c>
      <c r="AY192">
        <f t="shared" si="449"/>
        <v>6210</v>
      </c>
      <c r="AZ192">
        <v>0</v>
      </c>
      <c r="BA192">
        <f t="shared" si="450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451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52"/>
        <v>200</v>
      </c>
      <c r="BH192">
        <f t="shared" si="453"/>
        <v>42150</v>
      </c>
      <c r="BI192">
        <f>_xlfn.XLOOKUP(B192,'[6]august-2025'!$A:$A,'[6]august-2025'!$C:$C,0,0)</f>
        <v>34500</v>
      </c>
      <c r="BJ192">
        <f t="shared" si="454"/>
        <v>6210</v>
      </c>
      <c r="BK192">
        <f t="shared" si="455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56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457"/>
        <v>200</v>
      </c>
      <c r="BR192">
        <f t="shared" si="458"/>
        <v>42150</v>
      </c>
      <c r="BS192">
        <f>_xlfn.XLOOKUP(B192,'[7]september-2025'!$A:$A,'[7]september-2025'!$C:$C,0,0)</f>
        <v>34500</v>
      </c>
      <c r="BT192">
        <f t="shared" si="459"/>
        <v>6210</v>
      </c>
      <c r="BU192">
        <f t="shared" si="460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461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62"/>
        <v>200</v>
      </c>
      <c r="CB192">
        <f t="shared" si="463"/>
        <v>42150</v>
      </c>
      <c r="CC192">
        <f>_xlfn.XLOOKUP(B192,'[8]october-2025'!$A:$A,'[8]october-2025'!$C:$C,0,0)</f>
        <v>34500</v>
      </c>
      <c r="CD192">
        <f t="shared" si="464"/>
        <v>6210</v>
      </c>
      <c r="CE192">
        <f t="shared" si="465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466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67"/>
        <v>200</v>
      </c>
      <c r="CL192">
        <f t="shared" si="468"/>
        <v>42150</v>
      </c>
      <c r="CM192">
        <f>_xlfn.XLOOKUP(B192,'[9]november-2025'!$A:$A,'[9]november-2025'!$C:$C,0,0)</f>
        <v>34500</v>
      </c>
      <c r="CN192">
        <f t="shared" si="469"/>
        <v>6210</v>
      </c>
      <c r="CO192">
        <f t="shared" si="470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471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72"/>
        <v>200</v>
      </c>
      <c r="CV192">
        <f t="shared" si="473"/>
        <v>42150</v>
      </c>
      <c r="CW192">
        <f>_xlfn.XLOOKUP(B192,'[10]december-2025'!$A:$A,'[10]december-2025'!$C:$C,0,0)</f>
        <v>34500</v>
      </c>
      <c r="CX192">
        <f t="shared" si="474"/>
        <v>6210</v>
      </c>
      <c r="CY192">
        <f t="shared" si="475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47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77"/>
        <v>200</v>
      </c>
      <c r="DF192">
        <f t="shared" si="478"/>
        <v>42150</v>
      </c>
      <c r="DG192">
        <f>_xlfn.XLOOKUP(B192,'[11]january-2026'!$A:$A,'[11]january-2026'!$C:$C,0,0)</f>
        <v>34500</v>
      </c>
      <c r="DH192">
        <f t="shared" si="479"/>
        <v>6210</v>
      </c>
      <c r="DI192">
        <f t="shared" si="48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1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2"/>
        <v>200</v>
      </c>
      <c r="DP192">
        <f t="shared" si="483"/>
        <v>42150</v>
      </c>
      <c r="DQ192">
        <f>_xlfn.XLOOKUP(B192,'[12]february-2026'!$A:$A,'[12]february-2026'!$C:$C,0,0)</f>
        <v>34500</v>
      </c>
      <c r="DR192">
        <f t="shared" si="484"/>
        <v>6210</v>
      </c>
      <c r="DS192">
        <f t="shared" si="485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6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7"/>
        <v>200</v>
      </c>
      <c r="DZ192">
        <f t="shared" si="488"/>
        <v>42150</v>
      </c>
      <c r="EA192">
        <f t="shared" si="489"/>
        <v>544460</v>
      </c>
      <c r="EB192">
        <f t="shared" si="490"/>
        <v>2400</v>
      </c>
      <c r="EC192">
        <f t="shared" si="491"/>
        <v>50000</v>
      </c>
      <c r="ED192">
        <v>0</v>
      </c>
      <c r="EE192">
        <f t="shared" si="492"/>
        <v>492060</v>
      </c>
      <c r="EF192">
        <f t="shared" si="493"/>
        <v>36000</v>
      </c>
      <c r="EG192">
        <f t="shared" si="494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5"/>
        <v>36000</v>
      </c>
      <c r="ES192">
        <f t="shared" si="496"/>
        <v>36000</v>
      </c>
      <c r="ET192">
        <f t="shared" si="497"/>
        <v>456060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8"/>
        <v>0</v>
      </c>
      <c r="FC192">
        <f t="shared" si="499"/>
        <v>456060</v>
      </c>
      <c r="FD192">
        <f t="shared" si="500"/>
        <v>10303</v>
      </c>
      <c r="FE192">
        <f t="shared" si="501"/>
        <v>0</v>
      </c>
      <c r="FF192">
        <f t="shared" si="502"/>
        <v>10303</v>
      </c>
      <c r="FG192">
        <f t="shared" si="503"/>
        <v>0</v>
      </c>
      <c r="FH192">
        <f t="shared" si="504"/>
        <v>0</v>
      </c>
      <c r="FI192">
        <f t="shared" si="505"/>
        <v>0</v>
      </c>
      <c r="FJ192">
        <v>0</v>
      </c>
      <c r="FK192">
        <f t="shared" si="506"/>
        <v>0</v>
      </c>
      <c r="FL192" t="b">
        <f t="shared" si="507"/>
        <v>1</v>
      </c>
      <c r="FM192">
        <f t="shared" ca="1" si="508"/>
        <v>875</v>
      </c>
      <c r="FN192">
        <f t="shared" ca="1" si="509"/>
        <v>545335</v>
      </c>
      <c r="FO192">
        <f t="shared" si="510"/>
        <v>75000</v>
      </c>
      <c r="FP192">
        <f t="shared" ca="1" si="511"/>
        <v>470335</v>
      </c>
      <c r="FQ192">
        <f t="shared" ca="1" si="512"/>
        <v>0</v>
      </c>
      <c r="FR192">
        <f t="shared" ca="1" si="513"/>
        <v>0</v>
      </c>
      <c r="FS192">
        <f t="shared" ca="1" si="514"/>
        <v>0</v>
      </c>
      <c r="FT192">
        <f t="shared" ca="1" si="515"/>
        <v>0</v>
      </c>
      <c r="FU192">
        <f t="shared" ca="1" si="516"/>
        <v>0</v>
      </c>
      <c r="FV192">
        <f t="shared" ca="1" si="517"/>
        <v>0</v>
      </c>
      <c r="FW192">
        <f t="shared" ca="1" si="518"/>
        <v>0</v>
      </c>
      <c r="FX192">
        <f t="shared" ca="1" si="519"/>
        <v>0</v>
      </c>
      <c r="FY192">
        <f t="shared" ca="1" si="520"/>
        <v>0</v>
      </c>
      <c r="FZ192">
        <f t="shared" ca="1" si="521"/>
        <v>0</v>
      </c>
      <c r="GA192">
        <f t="shared" ca="1" si="522"/>
        <v>70335</v>
      </c>
      <c r="GB192">
        <f t="shared" ca="1" si="523"/>
        <v>3516.75</v>
      </c>
      <c r="GC192">
        <f t="shared" ca="1" si="524"/>
        <v>3517</v>
      </c>
      <c r="GD192">
        <f t="shared" ca="1" si="525"/>
        <v>0</v>
      </c>
      <c r="GE192">
        <f t="shared" ca="1" si="526"/>
        <v>0</v>
      </c>
      <c r="GF192">
        <f t="shared" ca="1" si="527"/>
        <v>3517</v>
      </c>
      <c r="GG192">
        <f t="shared" ca="1" si="528"/>
        <v>0</v>
      </c>
      <c r="GH192" t="b">
        <f t="shared" ca="1" si="529"/>
        <v>0</v>
      </c>
      <c r="GI192">
        <f t="shared" ca="1" si="530"/>
        <v>0</v>
      </c>
      <c r="GJ192">
        <f t="shared" ca="1" si="531"/>
        <v>3517</v>
      </c>
      <c r="GK192">
        <f t="shared" ca="1" si="532"/>
        <v>0</v>
      </c>
      <c r="GL192">
        <f t="shared" ca="1" si="533"/>
        <v>0</v>
      </c>
      <c r="GM192">
        <f t="shared" ca="1" si="534"/>
        <v>0</v>
      </c>
    </row>
    <row r="193" spans="1:195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537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30"/>
        <v>4004.0000000000005</v>
      </c>
      <c r="L193">
        <f t="shared" si="431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432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535"/>
        <v>150</v>
      </c>
      <c r="S193">
        <f t="shared" si="433"/>
        <v>30886</v>
      </c>
      <c r="T193">
        <f>_xlfn.XLOOKUP(B193,'[2]april-2025'!$A:$A,'[2]april-2025'!$C:$C,0,0)</f>
        <v>28600</v>
      </c>
      <c r="U193">
        <f t="shared" si="434"/>
        <v>5148</v>
      </c>
      <c r="V193">
        <f t="shared" si="43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3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37"/>
        <v>150</v>
      </c>
      <c r="AC193">
        <f t="shared" si="438"/>
        <v>32030</v>
      </c>
      <c r="AD193">
        <f>_xlfn.XLOOKUP(B193,'[3]may-2025'!$A:$A,'[3]may-2025'!$C:$C,0,0)</f>
        <v>28600</v>
      </c>
      <c r="AE193">
        <f t="shared" si="439"/>
        <v>5148</v>
      </c>
      <c r="AF193">
        <f t="shared" si="440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41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42"/>
        <v>150</v>
      </c>
      <c r="AM193">
        <f t="shared" si="443"/>
        <v>32030</v>
      </c>
      <c r="AN193">
        <f>_xlfn.XLOOKUP(B193,'[4]june-2025'!$A:$A,'[4]june-2025'!$C:$C,0,0)</f>
        <v>28600</v>
      </c>
      <c r="AO193">
        <f t="shared" si="444"/>
        <v>5148</v>
      </c>
      <c r="AP193">
        <f t="shared" si="445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46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47"/>
        <v>150</v>
      </c>
      <c r="AW193">
        <f t="shared" si="448"/>
        <v>32030</v>
      </c>
      <c r="AX193">
        <f>_xlfn.XLOOKUP(B193,'[5]july-2025'!$A:$A,'[5]july-2025'!$C:$C,0,0)</f>
        <v>29500</v>
      </c>
      <c r="AY193">
        <f t="shared" si="449"/>
        <v>5310</v>
      </c>
      <c r="AZ193">
        <v>0</v>
      </c>
      <c r="BA193">
        <f t="shared" si="450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451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52"/>
        <v>150</v>
      </c>
      <c r="BH193">
        <f t="shared" si="453"/>
        <v>33200</v>
      </c>
      <c r="BI193">
        <f>_xlfn.XLOOKUP(B193,'[6]august-2025'!$A:$A,'[6]august-2025'!$C:$C,0,0)</f>
        <v>29500</v>
      </c>
      <c r="BJ193">
        <f t="shared" si="454"/>
        <v>5310</v>
      </c>
      <c r="BK193">
        <f t="shared" si="455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56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457"/>
        <v>150</v>
      </c>
      <c r="BR193">
        <f t="shared" si="458"/>
        <v>33200</v>
      </c>
      <c r="BS193">
        <f>_xlfn.XLOOKUP(B193,'[7]september-2025'!$A:$A,'[7]september-2025'!$C:$C,0,0)</f>
        <v>29500</v>
      </c>
      <c r="BT193">
        <f t="shared" si="459"/>
        <v>5310</v>
      </c>
      <c r="BU193">
        <f t="shared" si="460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461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62"/>
        <v>150</v>
      </c>
      <c r="CB193">
        <f t="shared" si="463"/>
        <v>33200</v>
      </c>
      <c r="CC193">
        <f>_xlfn.XLOOKUP(B193,'[8]october-2025'!$A:$A,'[8]october-2025'!$C:$C,0,0)</f>
        <v>29500</v>
      </c>
      <c r="CD193">
        <f t="shared" si="464"/>
        <v>5310</v>
      </c>
      <c r="CE193">
        <f t="shared" si="465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466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67"/>
        <v>150</v>
      </c>
      <c r="CL193">
        <f t="shared" si="468"/>
        <v>33200</v>
      </c>
      <c r="CM193">
        <f>_xlfn.XLOOKUP(B193,'[9]november-2025'!$A:$A,'[9]november-2025'!$C:$C,0,0)</f>
        <v>29500</v>
      </c>
      <c r="CN193">
        <f t="shared" si="469"/>
        <v>5310</v>
      </c>
      <c r="CO193">
        <f t="shared" si="470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471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72"/>
        <v>150</v>
      </c>
      <c r="CV193">
        <f t="shared" si="473"/>
        <v>33200</v>
      </c>
      <c r="CW193">
        <f>_xlfn.XLOOKUP(B193,'[10]december-2025'!$A:$A,'[10]december-2025'!$C:$C,0,0)</f>
        <v>29500</v>
      </c>
      <c r="CX193">
        <f t="shared" si="474"/>
        <v>5310</v>
      </c>
      <c r="CY193">
        <f t="shared" si="475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47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77"/>
        <v>150</v>
      </c>
      <c r="DF193">
        <f t="shared" si="478"/>
        <v>33200</v>
      </c>
      <c r="DG193">
        <f>_xlfn.XLOOKUP(B193,'[11]january-2026'!$A:$A,'[11]january-2026'!$C:$C,0,0)</f>
        <v>29500</v>
      </c>
      <c r="DH193">
        <f t="shared" si="479"/>
        <v>5310</v>
      </c>
      <c r="DI193">
        <f t="shared" si="48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1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2"/>
        <v>150</v>
      </c>
      <c r="DP193">
        <f t="shared" si="483"/>
        <v>33200</v>
      </c>
      <c r="DQ193">
        <f>_xlfn.XLOOKUP(B193,'[12]february-2026'!$A:$A,'[12]february-2026'!$C:$C,0,0)</f>
        <v>29500</v>
      </c>
      <c r="DR193">
        <f t="shared" si="484"/>
        <v>5310</v>
      </c>
      <c r="DS193">
        <f t="shared" si="485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6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7"/>
        <v>150</v>
      </c>
      <c r="DZ193">
        <f t="shared" si="488"/>
        <v>33200</v>
      </c>
      <c r="EA193">
        <f t="shared" si="489"/>
        <v>461176</v>
      </c>
      <c r="EB193">
        <f t="shared" si="490"/>
        <v>1800</v>
      </c>
      <c r="EC193">
        <f t="shared" si="491"/>
        <v>50000</v>
      </c>
      <c r="ED193">
        <v>0</v>
      </c>
      <c r="EE193">
        <f t="shared" si="492"/>
        <v>409376</v>
      </c>
      <c r="EF193">
        <f t="shared" si="493"/>
        <v>60000</v>
      </c>
      <c r="EG193">
        <f t="shared" si="494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5"/>
        <v>60000</v>
      </c>
      <c r="ES193">
        <f t="shared" si="496"/>
        <v>60000</v>
      </c>
      <c r="ET193">
        <f t="shared" si="497"/>
        <v>349376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8"/>
        <v>0</v>
      </c>
      <c r="FC193">
        <f t="shared" si="499"/>
        <v>349376</v>
      </c>
      <c r="FD193">
        <f t="shared" si="500"/>
        <v>4969</v>
      </c>
      <c r="FE193">
        <f t="shared" si="501"/>
        <v>0</v>
      </c>
      <c r="FF193">
        <f t="shared" si="502"/>
        <v>4969</v>
      </c>
      <c r="FG193">
        <f t="shared" si="503"/>
        <v>0</v>
      </c>
      <c r="FH193">
        <f t="shared" si="504"/>
        <v>0</v>
      </c>
      <c r="FI193">
        <f t="shared" si="505"/>
        <v>0</v>
      </c>
      <c r="FJ193">
        <v>0</v>
      </c>
      <c r="FK193">
        <f t="shared" si="506"/>
        <v>0</v>
      </c>
      <c r="FL193" t="b">
        <f t="shared" si="507"/>
        <v>0</v>
      </c>
      <c r="FM193">
        <f t="shared" ca="1" si="508"/>
        <v>1471</v>
      </c>
      <c r="FN193">
        <f t="shared" ca="1" si="509"/>
        <v>462647</v>
      </c>
      <c r="FO193">
        <f t="shared" si="510"/>
        <v>75000</v>
      </c>
      <c r="FP193">
        <f t="shared" ca="1" si="511"/>
        <v>387647</v>
      </c>
      <c r="FQ193">
        <f t="shared" ca="1" si="512"/>
        <v>0</v>
      </c>
      <c r="FR193">
        <f t="shared" ca="1" si="513"/>
        <v>0</v>
      </c>
      <c r="FS193">
        <f t="shared" ca="1" si="514"/>
        <v>0</v>
      </c>
      <c r="FT193">
        <f t="shared" ca="1" si="515"/>
        <v>0</v>
      </c>
      <c r="FU193">
        <f t="shared" ca="1" si="516"/>
        <v>0</v>
      </c>
      <c r="FV193">
        <f t="shared" ca="1" si="517"/>
        <v>0</v>
      </c>
      <c r="FW193">
        <f t="shared" ca="1" si="518"/>
        <v>0</v>
      </c>
      <c r="FX193">
        <f t="shared" ca="1" si="519"/>
        <v>0</v>
      </c>
      <c r="FY193">
        <f t="shared" ca="1" si="520"/>
        <v>0</v>
      </c>
      <c r="FZ193">
        <f t="shared" ca="1" si="521"/>
        <v>0</v>
      </c>
      <c r="GA193">
        <f t="shared" ca="1" si="522"/>
        <v>0</v>
      </c>
      <c r="GB193">
        <f t="shared" ca="1" si="523"/>
        <v>0</v>
      </c>
      <c r="GC193">
        <f t="shared" ca="1" si="524"/>
        <v>0</v>
      </c>
      <c r="GD193">
        <f t="shared" ca="1" si="525"/>
        <v>0</v>
      </c>
      <c r="GE193">
        <f t="shared" ca="1" si="526"/>
        <v>0</v>
      </c>
      <c r="GF193">
        <f t="shared" ca="1" si="527"/>
        <v>0</v>
      </c>
      <c r="GG193">
        <f t="shared" ca="1" si="528"/>
        <v>0</v>
      </c>
      <c r="GH193" t="b">
        <f t="shared" ca="1" si="529"/>
        <v>0</v>
      </c>
      <c r="GI193">
        <f t="shared" ca="1" si="530"/>
        <v>0</v>
      </c>
      <c r="GJ193">
        <f t="shared" ca="1" si="531"/>
        <v>0</v>
      </c>
      <c r="GK193">
        <f t="shared" ca="1" si="532"/>
        <v>0</v>
      </c>
      <c r="GL193">
        <f t="shared" ca="1" si="533"/>
        <v>0</v>
      </c>
      <c r="GM193">
        <f t="shared" ca="1" si="534"/>
        <v>0</v>
      </c>
    </row>
    <row r="194" spans="1:195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537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30"/>
        <v>8232</v>
      </c>
      <c r="L194">
        <f t="shared" si="431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si="432"/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535"/>
        <v>0</v>
      </c>
      <c r="S194">
        <f t="shared" si="433"/>
        <v>61988</v>
      </c>
      <c r="T194">
        <f>_xlfn.XLOOKUP(B194,'[2]april-2025'!$A:$A,'[2]april-2025'!$C:$C,0,0)</f>
        <v>58800</v>
      </c>
      <c r="U194">
        <f t="shared" si="434"/>
        <v>10584</v>
      </c>
      <c r="V194">
        <f t="shared" si="43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3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37"/>
        <v>0</v>
      </c>
      <c r="AC194">
        <f t="shared" si="438"/>
        <v>64340</v>
      </c>
      <c r="AD194">
        <f>_xlfn.XLOOKUP(B194,'[3]may-2025'!$A:$A,'[3]may-2025'!$C:$C,0,0)</f>
        <v>58800</v>
      </c>
      <c r="AE194">
        <f t="shared" si="439"/>
        <v>10584</v>
      </c>
      <c r="AF194">
        <f t="shared" si="440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41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42"/>
        <v>0</v>
      </c>
      <c r="AM194">
        <f t="shared" si="443"/>
        <v>64340</v>
      </c>
      <c r="AN194">
        <f>_xlfn.XLOOKUP(B194,'[4]june-2025'!$A:$A,'[4]june-2025'!$C:$C,0,0)</f>
        <v>58800</v>
      </c>
      <c r="AO194">
        <f t="shared" si="444"/>
        <v>10584</v>
      </c>
      <c r="AP194">
        <f t="shared" si="445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46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47"/>
        <v>0</v>
      </c>
      <c r="AW194">
        <f t="shared" si="448"/>
        <v>64340</v>
      </c>
      <c r="AX194">
        <f>_xlfn.XLOOKUP(B194,'[5]july-2025'!$A:$A,'[5]july-2025'!$C:$C,0,0)</f>
        <v>60600</v>
      </c>
      <c r="AY194">
        <f t="shared" si="449"/>
        <v>10908</v>
      </c>
      <c r="AZ194">
        <v>0</v>
      </c>
      <c r="BA194">
        <f t="shared" si="450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si="451"/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52"/>
        <v>0</v>
      </c>
      <c r="BH194">
        <f t="shared" si="453"/>
        <v>66680</v>
      </c>
      <c r="BI194">
        <f>_xlfn.XLOOKUP(B194,'[6]august-2025'!$A:$A,'[6]august-2025'!$C:$C,0,0)</f>
        <v>60600</v>
      </c>
      <c r="BJ194">
        <f t="shared" si="454"/>
        <v>10908</v>
      </c>
      <c r="BK194">
        <f t="shared" si="455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56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si="457"/>
        <v>0</v>
      </c>
      <c r="BR194">
        <f t="shared" si="458"/>
        <v>66680</v>
      </c>
      <c r="BS194">
        <f>_xlfn.XLOOKUP(B194,'[7]september-2025'!$A:$A,'[7]september-2025'!$C:$C,0,0)</f>
        <v>60600</v>
      </c>
      <c r="BT194">
        <f t="shared" si="459"/>
        <v>10908</v>
      </c>
      <c r="BU194">
        <f t="shared" si="460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si="461"/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62"/>
        <v>0</v>
      </c>
      <c r="CB194">
        <f t="shared" si="463"/>
        <v>66680</v>
      </c>
      <c r="CC194">
        <f>_xlfn.XLOOKUP(B194,'[8]october-2025'!$A:$A,'[8]october-2025'!$C:$C,0,0)</f>
        <v>60600</v>
      </c>
      <c r="CD194">
        <f t="shared" si="464"/>
        <v>10908</v>
      </c>
      <c r="CE194">
        <f t="shared" si="465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si="466"/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67"/>
        <v>0</v>
      </c>
      <c r="CL194">
        <f t="shared" si="468"/>
        <v>66680</v>
      </c>
      <c r="CM194">
        <f>_xlfn.XLOOKUP(B194,'[9]november-2025'!$A:$A,'[9]november-2025'!$C:$C,0,0)</f>
        <v>60600</v>
      </c>
      <c r="CN194">
        <f t="shared" si="469"/>
        <v>10908</v>
      </c>
      <c r="CO194">
        <f t="shared" si="470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si="471"/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72"/>
        <v>0</v>
      </c>
      <c r="CV194">
        <f t="shared" si="473"/>
        <v>66680</v>
      </c>
      <c r="CW194">
        <f>_xlfn.XLOOKUP(B194,'[10]december-2025'!$A:$A,'[10]december-2025'!$C:$C,0,0)</f>
        <v>60600</v>
      </c>
      <c r="CX194">
        <f t="shared" si="474"/>
        <v>10908</v>
      </c>
      <c r="CY194">
        <f t="shared" si="475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si="476"/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77"/>
        <v>0</v>
      </c>
      <c r="DF194">
        <f t="shared" si="478"/>
        <v>66680</v>
      </c>
      <c r="DG194">
        <f>_xlfn.XLOOKUP(B194,'[11]january-2026'!$A:$A,'[11]january-2026'!$C:$C,0,0)</f>
        <v>60600</v>
      </c>
      <c r="DH194">
        <f t="shared" si="479"/>
        <v>10908</v>
      </c>
      <c r="DI194">
        <f t="shared" si="48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1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2"/>
        <v>0</v>
      </c>
      <c r="DP194">
        <f t="shared" si="483"/>
        <v>66680</v>
      </c>
      <c r="DQ194">
        <f>_xlfn.XLOOKUP(B194,'[12]february-2026'!$A:$A,'[12]february-2026'!$C:$C,0,0)</f>
        <v>60600</v>
      </c>
      <c r="DR194">
        <f t="shared" si="484"/>
        <v>10908</v>
      </c>
      <c r="DS194">
        <f t="shared" si="485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6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7"/>
        <v>0</v>
      </c>
      <c r="DZ194">
        <f t="shared" si="488"/>
        <v>66680</v>
      </c>
      <c r="EA194">
        <f t="shared" si="489"/>
        <v>951248</v>
      </c>
      <c r="EB194">
        <f t="shared" si="490"/>
        <v>0</v>
      </c>
      <c r="EC194">
        <f t="shared" si="491"/>
        <v>50000</v>
      </c>
      <c r="ED194">
        <v>0</v>
      </c>
      <c r="EE194">
        <f t="shared" si="492"/>
        <v>901248</v>
      </c>
      <c r="EF194">
        <f t="shared" si="493"/>
        <v>156000</v>
      </c>
      <c r="EG194">
        <f t="shared" si="494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5"/>
        <v>156000</v>
      </c>
      <c r="ES194">
        <f t="shared" si="496"/>
        <v>150000</v>
      </c>
      <c r="ET194">
        <f t="shared" si="497"/>
        <v>751248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8"/>
        <v>50000</v>
      </c>
      <c r="FC194">
        <f t="shared" si="499"/>
        <v>701248</v>
      </c>
      <c r="FD194">
        <f t="shared" si="500"/>
        <v>12500</v>
      </c>
      <c r="FE194">
        <f t="shared" si="501"/>
        <v>40250</v>
      </c>
      <c r="FF194">
        <f t="shared" si="502"/>
        <v>52750</v>
      </c>
      <c r="FG194">
        <f t="shared" si="503"/>
        <v>52750</v>
      </c>
      <c r="FH194">
        <f t="shared" si="504"/>
        <v>2110</v>
      </c>
      <c r="FI194">
        <f t="shared" si="505"/>
        <v>54860</v>
      </c>
      <c r="FJ194">
        <v>0</v>
      </c>
      <c r="FK194">
        <f t="shared" si="506"/>
        <v>54860</v>
      </c>
      <c r="FL194" t="b">
        <f t="shared" si="507"/>
        <v>1</v>
      </c>
      <c r="FM194">
        <f t="shared" ca="1" si="508"/>
        <v>557</v>
      </c>
      <c r="FN194">
        <f t="shared" ca="1" si="509"/>
        <v>951805</v>
      </c>
      <c r="FO194">
        <f t="shared" si="510"/>
        <v>75000</v>
      </c>
      <c r="FP194">
        <f t="shared" ca="1" si="511"/>
        <v>876805</v>
      </c>
      <c r="FQ194">
        <f t="shared" ca="1" si="512"/>
        <v>0</v>
      </c>
      <c r="FR194">
        <f t="shared" ca="1" si="513"/>
        <v>0</v>
      </c>
      <c r="FS194">
        <f t="shared" ca="1" si="514"/>
        <v>0</v>
      </c>
      <c r="FT194">
        <f t="shared" ca="1" si="515"/>
        <v>0</v>
      </c>
      <c r="FU194">
        <f t="shared" ca="1" si="516"/>
        <v>0</v>
      </c>
      <c r="FV194">
        <f t="shared" ca="1" si="517"/>
        <v>0</v>
      </c>
      <c r="FW194">
        <f t="shared" ca="1" si="518"/>
        <v>0</v>
      </c>
      <c r="FX194">
        <f t="shared" ca="1" si="519"/>
        <v>0</v>
      </c>
      <c r="FY194">
        <f t="shared" ca="1" si="520"/>
        <v>76805</v>
      </c>
      <c r="FZ194">
        <f t="shared" ca="1" si="521"/>
        <v>7680.5</v>
      </c>
      <c r="GA194">
        <f t="shared" ca="1" si="522"/>
        <v>400000</v>
      </c>
      <c r="GB194">
        <f t="shared" ca="1" si="523"/>
        <v>20000</v>
      </c>
      <c r="GC194">
        <f t="shared" ca="1" si="524"/>
        <v>27681</v>
      </c>
      <c r="GD194">
        <f t="shared" ca="1" si="525"/>
        <v>0</v>
      </c>
      <c r="GE194">
        <f t="shared" ca="1" si="526"/>
        <v>0</v>
      </c>
      <c r="GF194">
        <f t="shared" ca="1" si="527"/>
        <v>27681</v>
      </c>
      <c r="GG194">
        <f t="shared" ca="1" si="528"/>
        <v>0</v>
      </c>
      <c r="GH194" t="b">
        <f t="shared" ca="1" si="529"/>
        <v>0</v>
      </c>
      <c r="GI194">
        <f t="shared" ca="1" si="530"/>
        <v>0</v>
      </c>
      <c r="GJ194">
        <f t="shared" ca="1" si="531"/>
        <v>27681</v>
      </c>
      <c r="GK194">
        <f t="shared" ca="1" si="532"/>
        <v>0</v>
      </c>
      <c r="GL194">
        <f t="shared" ca="1" si="533"/>
        <v>0</v>
      </c>
      <c r="GM194">
        <f t="shared" ca="1" si="534"/>
        <v>0</v>
      </c>
    </row>
    <row r="195" spans="1:195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537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30"/>
        <v>4830.0000000000009</v>
      </c>
      <c r="L195">
        <f t="shared" si="431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32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535"/>
        <v>200</v>
      </c>
      <c r="S195">
        <f t="shared" si="433"/>
        <v>38270</v>
      </c>
      <c r="T195">
        <f>_xlfn.XLOOKUP(B195,'[2]april-2025'!$A:$A,'[2]april-2025'!$C:$C,0,0)</f>
        <v>34500</v>
      </c>
      <c r="U195">
        <f t="shared" si="434"/>
        <v>6210</v>
      </c>
      <c r="V195">
        <f t="shared" si="43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si="436"/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37"/>
        <v>200</v>
      </c>
      <c r="AC195">
        <f t="shared" si="438"/>
        <v>39650</v>
      </c>
      <c r="AD195">
        <f>_xlfn.XLOOKUP(B195,'[3]may-2025'!$A:$A,'[3]may-2025'!$C:$C,0,0)</f>
        <v>34500</v>
      </c>
      <c r="AE195">
        <f t="shared" si="439"/>
        <v>6210</v>
      </c>
      <c r="AF195">
        <f t="shared" si="440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si="441"/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42"/>
        <v>200</v>
      </c>
      <c r="AM195">
        <f t="shared" si="443"/>
        <v>39650</v>
      </c>
      <c r="AN195">
        <f>_xlfn.XLOOKUP(B195,'[4]june-2025'!$A:$A,'[4]june-2025'!$C:$C,0,0)</f>
        <v>34500</v>
      </c>
      <c r="AO195">
        <f t="shared" si="444"/>
        <v>6210</v>
      </c>
      <c r="AP195">
        <f t="shared" si="445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si="446"/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47"/>
        <v>200</v>
      </c>
      <c r="AW195">
        <f t="shared" si="448"/>
        <v>39650</v>
      </c>
      <c r="AX195">
        <f>_xlfn.XLOOKUP(B195,'[5]july-2025'!$A:$A,'[5]july-2025'!$C:$C,0,0)</f>
        <v>35500</v>
      </c>
      <c r="AY195">
        <f t="shared" si="449"/>
        <v>6390</v>
      </c>
      <c r="AZ195">
        <v>0</v>
      </c>
      <c r="BA195">
        <f t="shared" si="450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451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52"/>
        <v>200</v>
      </c>
      <c r="BH195">
        <f t="shared" si="453"/>
        <v>40950</v>
      </c>
      <c r="BI195">
        <f>_xlfn.XLOOKUP(B195,'[6]august-2025'!$A:$A,'[6]august-2025'!$C:$C,0,0)</f>
        <v>35500</v>
      </c>
      <c r="BJ195">
        <f t="shared" si="454"/>
        <v>6390</v>
      </c>
      <c r="BK195">
        <f t="shared" si="455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56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457"/>
        <v>200</v>
      </c>
      <c r="BR195">
        <f t="shared" si="458"/>
        <v>40950</v>
      </c>
      <c r="BS195">
        <f>_xlfn.XLOOKUP(B195,'[7]september-2025'!$A:$A,'[7]september-2025'!$C:$C,0,0)</f>
        <v>35500</v>
      </c>
      <c r="BT195">
        <f t="shared" si="459"/>
        <v>6390</v>
      </c>
      <c r="BU195">
        <f t="shared" si="460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461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62"/>
        <v>200</v>
      </c>
      <c r="CB195">
        <f t="shared" si="463"/>
        <v>40950</v>
      </c>
      <c r="CC195">
        <f>_xlfn.XLOOKUP(B195,'[8]october-2025'!$A:$A,'[8]october-2025'!$C:$C,0,0)</f>
        <v>35500</v>
      </c>
      <c r="CD195">
        <f t="shared" si="464"/>
        <v>6390</v>
      </c>
      <c r="CE195">
        <f t="shared" si="465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466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67"/>
        <v>200</v>
      </c>
      <c r="CL195">
        <f t="shared" si="468"/>
        <v>40950</v>
      </c>
      <c r="CM195">
        <f>_xlfn.XLOOKUP(B195,'[9]november-2025'!$A:$A,'[9]november-2025'!$C:$C,0,0)</f>
        <v>35500</v>
      </c>
      <c r="CN195">
        <f t="shared" si="469"/>
        <v>6390</v>
      </c>
      <c r="CO195">
        <f t="shared" si="470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471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72"/>
        <v>200</v>
      </c>
      <c r="CV195">
        <f t="shared" si="473"/>
        <v>40950</v>
      </c>
      <c r="CW195">
        <f>_xlfn.XLOOKUP(B195,'[10]december-2025'!$A:$A,'[10]december-2025'!$C:$C,0,0)</f>
        <v>35500</v>
      </c>
      <c r="CX195">
        <f t="shared" si="474"/>
        <v>6390</v>
      </c>
      <c r="CY195">
        <f t="shared" si="475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47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77"/>
        <v>200</v>
      </c>
      <c r="DF195">
        <f t="shared" si="478"/>
        <v>40950</v>
      </c>
      <c r="DG195">
        <f>_xlfn.XLOOKUP(B195,'[11]january-2026'!$A:$A,'[11]january-2026'!$C:$C,0,0)</f>
        <v>35500</v>
      </c>
      <c r="DH195">
        <f t="shared" si="479"/>
        <v>6390</v>
      </c>
      <c r="DI195">
        <f t="shared" si="48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1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2"/>
        <v>200</v>
      </c>
      <c r="DP195">
        <f t="shared" si="483"/>
        <v>40950</v>
      </c>
      <c r="DQ195">
        <f>_xlfn.XLOOKUP(B195,'[12]february-2026'!$A:$A,'[12]february-2026'!$C:$C,0,0)</f>
        <v>35500</v>
      </c>
      <c r="DR195">
        <f t="shared" si="484"/>
        <v>6390</v>
      </c>
      <c r="DS195">
        <f t="shared" si="485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6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7"/>
        <v>200</v>
      </c>
      <c r="DZ195">
        <f t="shared" si="488"/>
        <v>40950</v>
      </c>
      <c r="EA195">
        <f t="shared" si="489"/>
        <v>560020</v>
      </c>
      <c r="EB195">
        <f t="shared" si="490"/>
        <v>2400</v>
      </c>
      <c r="EC195">
        <f t="shared" si="491"/>
        <v>50000</v>
      </c>
      <c r="ED195">
        <v>0</v>
      </c>
      <c r="EE195">
        <f t="shared" si="492"/>
        <v>507620</v>
      </c>
      <c r="EF195">
        <f t="shared" si="493"/>
        <v>66000</v>
      </c>
      <c r="EG195">
        <f t="shared" si="494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5"/>
        <v>66000</v>
      </c>
      <c r="ES195">
        <f t="shared" si="496"/>
        <v>66000</v>
      </c>
      <c r="ET195">
        <f t="shared" si="497"/>
        <v>441620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8"/>
        <v>0</v>
      </c>
      <c r="FC195">
        <f t="shared" si="499"/>
        <v>441620</v>
      </c>
      <c r="FD195">
        <f t="shared" si="500"/>
        <v>9581</v>
      </c>
      <c r="FE195">
        <f t="shared" si="501"/>
        <v>0</v>
      </c>
      <c r="FF195">
        <f t="shared" si="502"/>
        <v>9581</v>
      </c>
      <c r="FG195">
        <f t="shared" si="503"/>
        <v>0</v>
      </c>
      <c r="FH195">
        <f t="shared" si="504"/>
        <v>0</v>
      </c>
      <c r="FI195">
        <f t="shared" si="505"/>
        <v>0</v>
      </c>
      <c r="FJ195">
        <v>0</v>
      </c>
      <c r="FK195">
        <f t="shared" si="506"/>
        <v>0</v>
      </c>
      <c r="FL195" t="b">
        <f t="shared" si="507"/>
        <v>1</v>
      </c>
      <c r="FM195">
        <f t="shared" ca="1" si="508"/>
        <v>936</v>
      </c>
      <c r="FN195">
        <f t="shared" ca="1" si="509"/>
        <v>560956</v>
      </c>
      <c r="FO195">
        <f t="shared" si="510"/>
        <v>75000</v>
      </c>
      <c r="FP195">
        <f t="shared" ca="1" si="511"/>
        <v>485956</v>
      </c>
      <c r="FQ195">
        <f t="shared" ca="1" si="512"/>
        <v>0</v>
      </c>
      <c r="FR195">
        <f t="shared" ca="1" si="513"/>
        <v>0</v>
      </c>
      <c r="FS195">
        <f t="shared" ca="1" si="514"/>
        <v>0</v>
      </c>
      <c r="FT195">
        <f t="shared" ca="1" si="515"/>
        <v>0</v>
      </c>
      <c r="FU195">
        <f t="shared" ca="1" si="516"/>
        <v>0</v>
      </c>
      <c r="FV195">
        <f t="shared" ca="1" si="517"/>
        <v>0</v>
      </c>
      <c r="FW195">
        <f t="shared" ca="1" si="518"/>
        <v>0</v>
      </c>
      <c r="FX195">
        <f t="shared" ca="1" si="519"/>
        <v>0</v>
      </c>
      <c r="FY195">
        <f t="shared" ca="1" si="520"/>
        <v>0</v>
      </c>
      <c r="FZ195">
        <f t="shared" ca="1" si="521"/>
        <v>0</v>
      </c>
      <c r="GA195">
        <f t="shared" ca="1" si="522"/>
        <v>85956</v>
      </c>
      <c r="GB195">
        <f t="shared" ca="1" si="523"/>
        <v>4297.8</v>
      </c>
      <c r="GC195">
        <f t="shared" ca="1" si="524"/>
        <v>4298</v>
      </c>
      <c r="GD195">
        <f t="shared" ca="1" si="525"/>
        <v>0</v>
      </c>
      <c r="GE195">
        <f t="shared" ca="1" si="526"/>
        <v>0</v>
      </c>
      <c r="GF195">
        <f t="shared" ca="1" si="527"/>
        <v>4298</v>
      </c>
      <c r="GG195">
        <f t="shared" ca="1" si="528"/>
        <v>0</v>
      </c>
      <c r="GH195" t="b">
        <f t="shared" ca="1" si="529"/>
        <v>0</v>
      </c>
      <c r="GI195">
        <f t="shared" ca="1" si="530"/>
        <v>0</v>
      </c>
      <c r="GJ195">
        <f t="shared" ca="1" si="531"/>
        <v>4298</v>
      </c>
      <c r="GK195">
        <f t="shared" ca="1" si="532"/>
        <v>0</v>
      </c>
      <c r="GL195">
        <f t="shared" ca="1" si="533"/>
        <v>0</v>
      </c>
      <c r="GM195">
        <f t="shared" ca="1" si="534"/>
        <v>0</v>
      </c>
    </row>
    <row r="196" spans="1:195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537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38">J196*0.14</f>
        <v>7028.0000000000009</v>
      </c>
      <c r="L196">
        <f t="shared" ref="L196:L259" si="539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ref="O196:O259" si="540">IF(J196&gt;0,SUM(J196:N196),0)</f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535"/>
        <v>200</v>
      </c>
      <c r="S196">
        <f t="shared" ref="S196:S259" si="541">O196-P196-Q196-R196</f>
        <v>58552</v>
      </c>
      <c r="T196">
        <f>_xlfn.XLOOKUP(B196,'[2]april-2025'!$A:$A,'[2]april-2025'!$C:$C,0,0)</f>
        <v>50200</v>
      </c>
      <c r="U196">
        <f t="shared" ref="U196:U259" si="542">T196*0.18</f>
        <v>9036</v>
      </c>
      <c r="V196">
        <f t="shared" ref="V196:V259" si="543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ref="Y196:Y259" si="544">IF(T196&gt;0,SUM(T196:X196),0)</f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45">IF($F196="YES",0,IF(Y196&gt;40000,200,IF(Y196&gt;25000,150,IF(Y196&gt;15000,130,IF(Y196&gt;10000,110,0)))))</f>
        <v>200</v>
      </c>
      <c r="AC196">
        <f t="shared" ref="AC196:AC259" si="546">Y196-Z196-AA196-AB196</f>
        <v>60560</v>
      </c>
      <c r="AD196">
        <f>_xlfn.XLOOKUP(B196,'[3]may-2025'!$A:$A,'[3]may-2025'!$C:$C,0,0)</f>
        <v>50200</v>
      </c>
      <c r="AE196">
        <f t="shared" ref="AE196:AE259" si="547">AD196*0.18</f>
        <v>9036</v>
      </c>
      <c r="AF196">
        <f t="shared" ref="AF196:AF259" si="54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ref="AI196:AI259" si="549">IF(AD196&gt;0,SUM(AD196:AH196),0)</f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50">IF($F196="YES",0,IF(AI196&gt;40000,200,IF(AI196&gt;25000,150,IF(AI196&gt;15000,130,IF(AI196&gt;10000,110,0)))))</f>
        <v>200</v>
      </c>
      <c r="AM196">
        <f t="shared" ref="AM196:AM259" si="551">AI196-AJ196-AK196-AL196</f>
        <v>60560</v>
      </c>
      <c r="AN196">
        <f>_xlfn.XLOOKUP(B196,'[4]june-2025'!$A:$A,'[4]june-2025'!$C:$C,0,0)</f>
        <v>50200</v>
      </c>
      <c r="AO196">
        <f t="shared" ref="AO196:AO259" si="552">AN196*0.18</f>
        <v>9036</v>
      </c>
      <c r="AP196">
        <f t="shared" ref="AP196:AP259" si="553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ref="AS196:AS259" si="554">IF(AN196&gt;0,SUM(AN196:AR196),0)</f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55">IF($F196="YES",0,IF(AS196&gt;40000,200,IF(AS196&gt;25000,150,IF(AS196&gt;15000,130,IF(AS196&gt;10000,110,0)))))</f>
        <v>200</v>
      </c>
      <c r="AW196">
        <f t="shared" ref="AW196:AW259" si="556">AS196-AT196-AU196-AV196</f>
        <v>60560</v>
      </c>
      <c r="AX196">
        <f>_xlfn.XLOOKUP(B196,'[5]july-2025'!$A:$A,'[5]july-2025'!$C:$C,0,0)</f>
        <v>51700</v>
      </c>
      <c r="AY196">
        <f t="shared" ref="AY196:AY259" si="557">AX196*0.18</f>
        <v>9306</v>
      </c>
      <c r="AZ196">
        <v>0</v>
      </c>
      <c r="BA196">
        <f t="shared" ref="BA196:BA259" si="558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ref="BD196:BD259" si="559">IF(AX196&gt;0,SUM(AX196:BC196),0)</f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60">IF($F196="YES",0,IF(BD196&gt;40000,200,IF(BD196&gt;25000,150,IF(BD196&gt;15000,130,IF(BD196&gt;10000,110,0)))))</f>
        <v>200</v>
      </c>
      <c r="BH196">
        <f t="shared" ref="BH196:BH259" si="561">BD196-BE196-BF196-BG196</f>
        <v>62510</v>
      </c>
      <c r="BI196">
        <f>_xlfn.XLOOKUP(B196,'[6]august-2025'!$A:$A,'[6]august-2025'!$C:$C,0,0)</f>
        <v>51700</v>
      </c>
      <c r="BJ196">
        <f t="shared" ref="BJ196:BJ259" si="562">BI196*0.18</f>
        <v>9306</v>
      </c>
      <c r="BK196">
        <f t="shared" ref="BK196:BK259" si="563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64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ref="BQ196:BQ259" si="565">IF($F196="YES",0,IF(BN196&gt;40000,200,IF(BN196&gt;25000,150,IF(BN196&gt;15000,130,IF(BN196&gt;10000,110,0)))))</f>
        <v>200</v>
      </c>
      <c r="BR196">
        <f t="shared" ref="BR196:BR259" si="566">BN196-BO196-BP196-BQ196</f>
        <v>62510</v>
      </c>
      <c r="BS196">
        <f>_xlfn.XLOOKUP(B196,'[7]september-2025'!$A:$A,'[7]september-2025'!$C:$C,0,0)</f>
        <v>51700</v>
      </c>
      <c r="BT196">
        <f t="shared" ref="BT196:BT259" si="567">BS196*0.18</f>
        <v>9306</v>
      </c>
      <c r="BU196">
        <f t="shared" ref="BU196:BU259" si="568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ref="BX196:BX259" si="569">IF(BS196&gt;0,SUM(BS196:BW196),0)</f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70">IF($F196="YES",0,IF(BX196&gt;40000,200,IF(BX196&gt;25000,150,IF(BX196&gt;15000,130,IF(BX196&gt;10000,110,0)))))</f>
        <v>200</v>
      </c>
      <c r="CB196">
        <f t="shared" ref="CB196:CB259" si="571">BX196-BY196-BZ196-CA196</f>
        <v>62510</v>
      </c>
      <c r="CC196">
        <f>_xlfn.XLOOKUP(B196,'[8]october-2025'!$A:$A,'[8]october-2025'!$C:$C,0,0)</f>
        <v>51700</v>
      </c>
      <c r="CD196">
        <f t="shared" ref="CD196:CD259" si="572">CC196*0.18</f>
        <v>9306</v>
      </c>
      <c r="CE196">
        <f t="shared" ref="CE196:CE259" si="573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ref="CH196:CH259" si="574">IF(CC196&gt;0,SUM(CC196:CG196),0)</f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75">IF($F196="YES",0,IF(CH196&gt;40000,200,IF(CH196&gt;25000,150,IF(CH196&gt;15000,130,IF(CH196&gt;10000,110,0)))))</f>
        <v>200</v>
      </c>
      <c r="CL196">
        <f t="shared" ref="CL196:CL259" si="576">CH196-CI196-CJ196-CK196</f>
        <v>62510</v>
      </c>
      <c r="CM196">
        <f>_xlfn.XLOOKUP(B196,'[9]november-2025'!$A:$A,'[9]november-2025'!$C:$C,0,0)</f>
        <v>51700</v>
      </c>
      <c r="CN196">
        <f t="shared" ref="CN196:CN259" si="577">CM196*0.18</f>
        <v>9306</v>
      </c>
      <c r="CO196">
        <f t="shared" ref="CO196:CO259" si="578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ref="CR196:CR259" si="579">IF(CM196&gt;0,SUM(CM196:CQ196),0)</f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80">IF($F196="YES",0,IF(CR196&gt;40000,200,IF(CR196&gt;25000,150,IF(CR196&gt;15000,130,IF(CR196&gt;10000,110,0)))))</f>
        <v>200</v>
      </c>
      <c r="CV196">
        <f t="shared" ref="CV196:CV259" si="581">CR196-CS196-CT196-CU196</f>
        <v>62510</v>
      </c>
      <c r="CW196">
        <f>_xlfn.XLOOKUP(B196,'[10]december-2025'!$A:$A,'[10]december-2025'!$C:$C,0,0)</f>
        <v>51700</v>
      </c>
      <c r="CX196">
        <f t="shared" ref="CX196:CX259" si="582">ROUND(CW196*0.18,0)</f>
        <v>9306</v>
      </c>
      <c r="CY196">
        <f t="shared" ref="CY196:CY259" si="583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ref="DB196:DB259" si="584">IF(CW196&gt;0,SUM(CW196:DA196),0)</f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85">IF($F196="YES",0,IF(DB196&gt;40000,200,IF(DB196&gt;25000,150,IF(DB196&gt;15000,130,IF(DB196&gt;10000,110,0)))))</f>
        <v>200</v>
      </c>
      <c r="DF196">
        <f t="shared" ref="DF196:DF259" si="586">DB196-DC196-DD196-DE196</f>
        <v>62510</v>
      </c>
      <c r="DG196">
        <f>_xlfn.XLOOKUP(B196,'[11]january-2026'!$A:$A,'[11]january-2026'!$C:$C,0,0)</f>
        <v>51700</v>
      </c>
      <c r="DH196">
        <f t="shared" ref="DH196:DH259" si="587">DG196*0.18</f>
        <v>9306</v>
      </c>
      <c r="DI196">
        <f t="shared" ref="DI196:DI259" si="588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9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90">IF($F196="YES",0,IF(DL196&gt;40000,200,IF(DL196&gt;25000,150,IF(DL196&gt;15000,130,IF(DL196&gt;10000,110,0)))))</f>
        <v>200</v>
      </c>
      <c r="DP196">
        <f t="shared" ref="DP196:DP259" si="591">DL196-DM196-DN196-DO196</f>
        <v>62510</v>
      </c>
      <c r="DQ196">
        <f>_xlfn.XLOOKUP(B196,'[12]february-2026'!$A:$A,'[12]february-2026'!$C:$C,0,0)</f>
        <v>51700</v>
      </c>
      <c r="DR196">
        <f t="shared" ref="DR196:DR259" si="592">DQ196*0.18</f>
        <v>9306</v>
      </c>
      <c r="DS196">
        <f t="shared" ref="DS196:DS259" si="59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4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5">IF($F196="YES",0,IF(DV196&gt;40000,200,IF(DV196&gt;25000,150,IF(DV196&gt;15000,130,IF(DV196&gt;10000,110,0)))))</f>
        <v>200</v>
      </c>
      <c r="DZ196">
        <f t="shared" ref="DZ196:DZ259" si="596">DV196-DW196-DX196-DY196</f>
        <v>62510</v>
      </c>
      <c r="EA196">
        <f t="shared" ref="EA196:EA259" si="597">DV196+DL196+DB196+CR196+CH196+BX196+BN196+BD196+AS196+AI196+Y196+O196+H196+I196</f>
        <v>809512</v>
      </c>
      <c r="EB196">
        <f t="shared" ref="EB196:EB259" si="598">DY196+DO196+DE196+CU196+CK196+CA196+BQ196+BG196+AV196+AL196+AB196+R196</f>
        <v>2400</v>
      </c>
      <c r="EC196">
        <f t="shared" ref="EC196:EC259" si="599">IF(EA196&gt;0,50000,0)</f>
        <v>50000</v>
      </c>
      <c r="ED196">
        <v>0</v>
      </c>
      <c r="EE196">
        <f t="shared" ref="EE196:EE259" si="600">EA196-EB196-EC196</f>
        <v>757112</v>
      </c>
      <c r="EF196">
        <f t="shared" ref="EF196:EF259" si="601">DW196+DM196+DC196+CS196+CI196+BY196+BO196+BE196+AT196+AJ196+Z196+P196</f>
        <v>60000</v>
      </c>
      <c r="EG196">
        <f t="shared" ref="EG196:EG259" si="602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3">SUM(EF196:EQ196)</f>
        <v>60000</v>
      </c>
      <c r="ES196">
        <f t="shared" ref="ES196:ES259" si="604">IF(ER196&gt;=150000,150000,ER196)</f>
        <v>60000</v>
      </c>
      <c r="ET196">
        <f t="shared" ref="ET196:ET259" si="605">EE196-ES196</f>
        <v>697112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6">SUM(EU196:FA196)+(IF(F196="YES",50000,0))</f>
        <v>0</v>
      </c>
      <c r="FC196">
        <f t="shared" ref="FC196:FC259" si="607">ET196-FB196</f>
        <v>697112</v>
      </c>
      <c r="FD196">
        <f t="shared" ref="FD196:FD259" si="608">ROUND(IF(FC196&gt;0,IF(FC196&gt;500000,12500,(FC196-250000)*0.05),0),0)</f>
        <v>12500</v>
      </c>
      <c r="FE196">
        <f t="shared" ref="FE196:FE259" si="609">IF(ROUND(IF(FC196&gt;0,IF(FC196&gt;1000000,25000,(FC196-500000)*0.2),0),0)&lt;0,0,ROUND(IF(FC196&gt;0,IF(FC196&gt;1000000,25000,(FC196-500000)*0.2),0),0))</f>
        <v>39422</v>
      </c>
      <c r="FF196">
        <f t="shared" ref="FF196:FF259" si="610">FD196+FE196</f>
        <v>51922</v>
      </c>
      <c r="FG196">
        <f t="shared" ref="FG196:FG259" si="611">IF(FF196&lt;12500,0,FF196)</f>
        <v>51922</v>
      </c>
      <c r="FH196">
        <f t="shared" ref="FH196:FH259" si="612">FG196*0.04</f>
        <v>2076.88</v>
      </c>
      <c r="FI196">
        <f t="shared" ref="FI196:FI259" si="613">ROUND(FH196+FG196,0)</f>
        <v>53999</v>
      </c>
      <c r="FJ196">
        <v>0</v>
      </c>
      <c r="FK196">
        <f t="shared" ref="FK196:FK259" si="614">FI196-FJ196</f>
        <v>53999</v>
      </c>
      <c r="FL196" t="b">
        <f t="shared" ref="FL196:FL259" si="615">IF(EA196&gt;500000,TRUE,FALSE)</f>
        <v>1</v>
      </c>
      <c r="FM196">
        <f t="shared" ref="FM196:FM259" ca="1" si="616">IF(FL196,RANDBETWEEN(500,1000),RANDBETWEEN(1000,3000))</f>
        <v>981</v>
      </c>
      <c r="FN196">
        <f t="shared" ref="FN196:FN259" ca="1" si="617">EA196+FM196</f>
        <v>810493</v>
      </c>
      <c r="FO196">
        <f t="shared" ref="FO196:FO259" si="618">IF(EA196&gt;0,75000,0)</f>
        <v>75000</v>
      </c>
      <c r="FP196">
        <f t="shared" ref="FP196:FP259" ca="1" si="619">FN196-FO196</f>
        <v>735493</v>
      </c>
      <c r="FQ196">
        <f t="shared" ref="FQ196:FQ259" ca="1" si="620">IF(FP196&gt;2400000,FP196-2400000,0)</f>
        <v>0</v>
      </c>
      <c r="FR196">
        <f t="shared" ref="FR196:FR259" ca="1" si="621">FQ196*0.3</f>
        <v>0</v>
      </c>
      <c r="FS196">
        <f t="shared" ref="FS196:FS259" ca="1" si="622">IF(FP196&gt;2000000,FP196-2000000,0)</f>
        <v>0</v>
      </c>
      <c r="FT196">
        <f t="shared" ref="FT196:FT259" ca="1" si="623">FS196*0.25</f>
        <v>0</v>
      </c>
      <c r="FU196">
        <f t="shared" ref="FU196:FU259" ca="1" si="624">IF(FP196&gt;1600000,FP196-1600000-FQ196,0)</f>
        <v>0</v>
      </c>
      <c r="FV196">
        <f t="shared" ref="FV196:FV259" ca="1" si="625">FU196*0.2</f>
        <v>0</v>
      </c>
      <c r="FW196">
        <f t="shared" ref="FW196:FW259" ca="1" si="626">IF(FP196&gt;1200000,FP196-1200000-IF(F196="YES",50000,0)-FU196,0)</f>
        <v>0</v>
      </c>
      <c r="FX196">
        <f t="shared" ref="FX196:FX259" ca="1" si="627">FW196*0.15</f>
        <v>0</v>
      </c>
      <c r="FY196">
        <f t="shared" ref="FY196:FY259" ca="1" si="628">IF(FP196&gt;800000,FP196-800000-FQ196-FU196-FW196,0)</f>
        <v>0</v>
      </c>
      <c r="FZ196">
        <f t="shared" ref="FZ196:FZ259" ca="1" si="629">FY196*0.1</f>
        <v>0</v>
      </c>
      <c r="GA196">
        <f t="shared" ref="GA196:GA259" ca="1" si="630">IF(FP196&gt;400000,FP196-400000-FQ196-FU196-FW196-FY196,0)</f>
        <v>335493</v>
      </c>
      <c r="GB196">
        <f t="shared" ref="GB196:GB259" ca="1" si="631">GA196*0.05</f>
        <v>16774.650000000001</v>
      </c>
      <c r="GC196">
        <f t="shared" ref="GC196:GC259" ca="1" si="632">ROUND(FR196+FT196+FV196+FX196+FZ196+GB196,0)</f>
        <v>16775</v>
      </c>
      <c r="GD196">
        <f t="shared" ref="GD196:GD259" ca="1" si="633">IF(FP196&gt;1200000,FP196,0)</f>
        <v>0</v>
      </c>
      <c r="GE196">
        <f t="shared" ref="GE196:GE259" ca="1" si="634">IF(FP196&gt;1200000,GD196-1200000,0)</f>
        <v>0</v>
      </c>
      <c r="GF196">
        <f t="shared" ref="GF196:GF259" ca="1" si="635">IF(FP196&lt;1200001,MIN(GC196,60000),0)</f>
        <v>16775</v>
      </c>
      <c r="GG196">
        <f t="shared" ref="GG196:GG259" ca="1" si="636">IF(FP196&gt;1200000,GC196-GE196,0)</f>
        <v>0</v>
      </c>
      <c r="GH196" t="b">
        <f t="shared" ref="GH196:GH259" ca="1" si="637">IF(GG196&gt;0,TRUE,FALSE)</f>
        <v>0</v>
      </c>
      <c r="GI196">
        <f t="shared" ref="GI196:GI259" ca="1" si="638">IF(GH196,GG196,0)</f>
        <v>0</v>
      </c>
      <c r="GJ196">
        <f t="shared" ref="GJ196:GJ259" ca="1" si="639">GF196+GI196</f>
        <v>16775</v>
      </c>
      <c r="GK196">
        <f t="shared" ref="GK196:GK259" ca="1" si="640">ROUND(GC196-GJ196,0)</f>
        <v>0</v>
      </c>
      <c r="GL196">
        <f t="shared" ref="GL196:GL259" ca="1" si="641">GK196*0.04</f>
        <v>0</v>
      </c>
      <c r="GM196">
        <f t="shared" ref="GM196:GM259" ca="1" si="642">ROUNDUP(GK196+GL196,0)</f>
        <v>0</v>
      </c>
    </row>
    <row r="197" spans="1:195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537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38"/>
        <v>4690</v>
      </c>
      <c r="L197">
        <f t="shared" si="539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540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43">IF($F197="YES",0,IF(O197&gt;40000,200,IF(O197&gt;25000,150,IF(O197&gt;15000,130,IF(O197&gt;10000,110,0)))))</f>
        <v>200</v>
      </c>
      <c r="S197">
        <f t="shared" si="541"/>
        <v>37510</v>
      </c>
      <c r="T197">
        <f>_xlfn.XLOOKUP(B197,'[2]april-2025'!$A:$A,'[2]april-2025'!$C:$C,0,0)</f>
        <v>33500</v>
      </c>
      <c r="U197">
        <f t="shared" si="542"/>
        <v>6030</v>
      </c>
      <c r="V197">
        <f t="shared" si="543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44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45"/>
        <v>200</v>
      </c>
      <c r="AC197">
        <f t="shared" si="546"/>
        <v>38850</v>
      </c>
      <c r="AD197">
        <f>_xlfn.XLOOKUP(B197,'[3]may-2025'!$A:$A,'[3]may-2025'!$C:$C,0,0)</f>
        <v>33500</v>
      </c>
      <c r="AE197">
        <f t="shared" si="547"/>
        <v>6030</v>
      </c>
      <c r="AF197">
        <f t="shared" si="54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49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50"/>
        <v>200</v>
      </c>
      <c r="AM197">
        <f t="shared" si="551"/>
        <v>38850</v>
      </c>
      <c r="AN197">
        <f>_xlfn.XLOOKUP(B197,'[4]june-2025'!$A:$A,'[4]june-2025'!$C:$C,0,0)</f>
        <v>33500</v>
      </c>
      <c r="AO197">
        <f t="shared" si="552"/>
        <v>6030</v>
      </c>
      <c r="AP197">
        <f t="shared" si="553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54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55"/>
        <v>200</v>
      </c>
      <c r="AW197">
        <f t="shared" si="556"/>
        <v>38850</v>
      </c>
      <c r="AX197">
        <f>_xlfn.XLOOKUP(B197,'[5]july-2025'!$A:$A,'[5]july-2025'!$C:$C,0,0)</f>
        <v>34500</v>
      </c>
      <c r="AY197">
        <f t="shared" si="557"/>
        <v>6210</v>
      </c>
      <c r="AZ197">
        <v>0</v>
      </c>
      <c r="BA197">
        <f t="shared" si="558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59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60"/>
        <v>200</v>
      </c>
      <c r="BH197">
        <f t="shared" si="561"/>
        <v>40150</v>
      </c>
      <c r="BI197">
        <f>_xlfn.XLOOKUP(B197,'[6]august-2025'!$A:$A,'[6]august-2025'!$C:$C,0,0)</f>
        <v>34500</v>
      </c>
      <c r="BJ197">
        <f t="shared" si="562"/>
        <v>6210</v>
      </c>
      <c r="BK197">
        <f t="shared" si="563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64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65"/>
        <v>200</v>
      </c>
      <c r="BR197">
        <f t="shared" si="566"/>
        <v>40150</v>
      </c>
      <c r="BS197">
        <f>_xlfn.XLOOKUP(B197,'[7]september-2025'!$A:$A,'[7]september-2025'!$C:$C,0,0)</f>
        <v>34500</v>
      </c>
      <c r="BT197">
        <f t="shared" si="567"/>
        <v>6210</v>
      </c>
      <c r="BU197">
        <f t="shared" si="568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69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70"/>
        <v>200</v>
      </c>
      <c r="CB197">
        <f t="shared" si="571"/>
        <v>40150</v>
      </c>
      <c r="CC197">
        <f>_xlfn.XLOOKUP(B197,'[8]october-2025'!$A:$A,'[8]october-2025'!$C:$C,0,0)</f>
        <v>34500</v>
      </c>
      <c r="CD197">
        <f t="shared" si="572"/>
        <v>6210</v>
      </c>
      <c r="CE197">
        <f t="shared" si="573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7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75"/>
        <v>200</v>
      </c>
      <c r="CL197">
        <f t="shared" si="576"/>
        <v>40150</v>
      </c>
      <c r="CM197">
        <f>_xlfn.XLOOKUP(B197,'[9]november-2025'!$A:$A,'[9]november-2025'!$C:$C,0,0)</f>
        <v>34500</v>
      </c>
      <c r="CN197">
        <f t="shared" si="577"/>
        <v>6210</v>
      </c>
      <c r="CO197">
        <f t="shared" si="578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79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80"/>
        <v>200</v>
      </c>
      <c r="CV197">
        <f t="shared" si="581"/>
        <v>40150</v>
      </c>
      <c r="CW197">
        <f>_xlfn.XLOOKUP(B197,'[10]december-2025'!$A:$A,'[10]december-2025'!$C:$C,0,0)</f>
        <v>34500</v>
      </c>
      <c r="CX197">
        <f t="shared" si="582"/>
        <v>6210</v>
      </c>
      <c r="CY197">
        <f t="shared" si="583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84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85"/>
        <v>200</v>
      </c>
      <c r="DF197">
        <f t="shared" si="586"/>
        <v>40150</v>
      </c>
      <c r="DG197">
        <f>_xlfn.XLOOKUP(B197,'[11]january-2026'!$A:$A,'[11]january-2026'!$C:$C,0,0)</f>
        <v>34500</v>
      </c>
      <c r="DH197">
        <f t="shared" si="587"/>
        <v>6210</v>
      </c>
      <c r="DI197">
        <f t="shared" si="588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9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90"/>
        <v>200</v>
      </c>
      <c r="DP197">
        <f t="shared" si="591"/>
        <v>40150</v>
      </c>
      <c r="DQ197">
        <f>_xlfn.XLOOKUP(B197,'[12]february-2026'!$A:$A,'[12]february-2026'!$C:$C,0,0)</f>
        <v>34500</v>
      </c>
      <c r="DR197">
        <f t="shared" si="592"/>
        <v>6210</v>
      </c>
      <c r="DS197">
        <f t="shared" si="59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4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5"/>
        <v>200</v>
      </c>
      <c r="DZ197">
        <f t="shared" si="596"/>
        <v>40150</v>
      </c>
      <c r="EA197">
        <f t="shared" si="597"/>
        <v>544460</v>
      </c>
      <c r="EB197">
        <f t="shared" si="598"/>
        <v>2400</v>
      </c>
      <c r="EC197">
        <f t="shared" si="599"/>
        <v>50000</v>
      </c>
      <c r="ED197">
        <v>0</v>
      </c>
      <c r="EE197">
        <f t="shared" si="600"/>
        <v>492060</v>
      </c>
      <c r="EF197">
        <f t="shared" si="601"/>
        <v>60000</v>
      </c>
      <c r="EG197">
        <f t="shared" si="602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3"/>
        <v>60000</v>
      </c>
      <c r="ES197">
        <f t="shared" si="604"/>
        <v>60000</v>
      </c>
      <c r="ET197">
        <f t="shared" si="605"/>
        <v>432060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6"/>
        <v>0</v>
      </c>
      <c r="FC197">
        <f t="shared" si="607"/>
        <v>432060</v>
      </c>
      <c r="FD197">
        <f t="shared" si="608"/>
        <v>9103</v>
      </c>
      <c r="FE197">
        <f t="shared" si="609"/>
        <v>0</v>
      </c>
      <c r="FF197">
        <f t="shared" si="610"/>
        <v>9103</v>
      </c>
      <c r="FG197">
        <f t="shared" si="611"/>
        <v>0</v>
      </c>
      <c r="FH197">
        <f t="shared" si="612"/>
        <v>0</v>
      </c>
      <c r="FI197">
        <f t="shared" si="613"/>
        <v>0</v>
      </c>
      <c r="FJ197">
        <v>0</v>
      </c>
      <c r="FK197">
        <f t="shared" si="614"/>
        <v>0</v>
      </c>
      <c r="FL197" t="b">
        <f t="shared" si="615"/>
        <v>1</v>
      </c>
      <c r="FM197">
        <f t="shared" ca="1" si="616"/>
        <v>757</v>
      </c>
      <c r="FN197">
        <f t="shared" ca="1" si="617"/>
        <v>545217</v>
      </c>
      <c r="FO197">
        <f t="shared" si="618"/>
        <v>75000</v>
      </c>
      <c r="FP197">
        <f t="shared" ca="1" si="619"/>
        <v>470217</v>
      </c>
      <c r="FQ197">
        <f t="shared" ca="1" si="620"/>
        <v>0</v>
      </c>
      <c r="FR197">
        <f t="shared" ca="1" si="621"/>
        <v>0</v>
      </c>
      <c r="FS197">
        <f t="shared" ca="1" si="622"/>
        <v>0</v>
      </c>
      <c r="FT197">
        <f t="shared" ca="1" si="623"/>
        <v>0</v>
      </c>
      <c r="FU197">
        <f t="shared" ca="1" si="624"/>
        <v>0</v>
      </c>
      <c r="FV197">
        <f t="shared" ca="1" si="625"/>
        <v>0</v>
      </c>
      <c r="FW197">
        <f t="shared" ca="1" si="626"/>
        <v>0</v>
      </c>
      <c r="FX197">
        <f t="shared" ca="1" si="627"/>
        <v>0</v>
      </c>
      <c r="FY197">
        <f t="shared" ca="1" si="628"/>
        <v>0</v>
      </c>
      <c r="FZ197">
        <f t="shared" ca="1" si="629"/>
        <v>0</v>
      </c>
      <c r="GA197">
        <f t="shared" ca="1" si="630"/>
        <v>70217</v>
      </c>
      <c r="GB197">
        <f t="shared" ca="1" si="631"/>
        <v>3510.8500000000004</v>
      </c>
      <c r="GC197">
        <f t="shared" ca="1" si="632"/>
        <v>3511</v>
      </c>
      <c r="GD197">
        <f t="shared" ca="1" si="633"/>
        <v>0</v>
      </c>
      <c r="GE197">
        <f t="shared" ca="1" si="634"/>
        <v>0</v>
      </c>
      <c r="GF197">
        <f t="shared" ca="1" si="635"/>
        <v>3511</v>
      </c>
      <c r="GG197">
        <f t="shared" ca="1" si="636"/>
        <v>0</v>
      </c>
      <c r="GH197" t="b">
        <f t="shared" ca="1" si="637"/>
        <v>0</v>
      </c>
      <c r="GI197">
        <f t="shared" ca="1" si="638"/>
        <v>0</v>
      </c>
      <c r="GJ197">
        <f t="shared" ca="1" si="639"/>
        <v>3511</v>
      </c>
      <c r="GK197">
        <f t="shared" ca="1" si="640"/>
        <v>0</v>
      </c>
      <c r="GL197">
        <f t="shared" ca="1" si="641"/>
        <v>0</v>
      </c>
      <c r="GM197">
        <f t="shared" ca="1" si="642"/>
        <v>0</v>
      </c>
    </row>
    <row r="198" spans="1:195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537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38"/>
        <v>4690</v>
      </c>
      <c r="L198">
        <f t="shared" si="539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540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43"/>
        <v>200</v>
      </c>
      <c r="S198">
        <f t="shared" si="541"/>
        <v>40010</v>
      </c>
      <c r="T198">
        <f>_xlfn.XLOOKUP(B198,'[2]april-2025'!$A:$A,'[2]april-2025'!$C:$C,0,0)</f>
        <v>33500</v>
      </c>
      <c r="U198">
        <f t="shared" si="542"/>
        <v>6030</v>
      </c>
      <c r="V198">
        <f t="shared" si="543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44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45"/>
        <v>200</v>
      </c>
      <c r="AC198">
        <f t="shared" si="546"/>
        <v>41350</v>
      </c>
      <c r="AD198">
        <f>_xlfn.XLOOKUP(B198,'[3]may-2025'!$A:$A,'[3]may-2025'!$C:$C,0,0)</f>
        <v>33500</v>
      </c>
      <c r="AE198">
        <f t="shared" si="547"/>
        <v>6030</v>
      </c>
      <c r="AF198">
        <f t="shared" si="54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49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50"/>
        <v>200</v>
      </c>
      <c r="AM198">
        <f t="shared" si="551"/>
        <v>41350</v>
      </c>
      <c r="AN198">
        <f>_xlfn.XLOOKUP(B198,'[4]june-2025'!$A:$A,'[4]june-2025'!$C:$C,0,0)</f>
        <v>33500</v>
      </c>
      <c r="AO198">
        <f t="shared" si="552"/>
        <v>6030</v>
      </c>
      <c r="AP198">
        <f t="shared" si="553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54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55"/>
        <v>200</v>
      </c>
      <c r="AW198">
        <f t="shared" si="556"/>
        <v>41350</v>
      </c>
      <c r="AX198">
        <f>_xlfn.XLOOKUP(B198,'[5]july-2025'!$A:$A,'[5]july-2025'!$C:$C,0,0)</f>
        <v>34500</v>
      </c>
      <c r="AY198">
        <f t="shared" si="557"/>
        <v>6210</v>
      </c>
      <c r="AZ198">
        <v>0</v>
      </c>
      <c r="BA198">
        <f t="shared" si="558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59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60"/>
        <v>200</v>
      </c>
      <c r="BH198">
        <f t="shared" si="561"/>
        <v>42650</v>
      </c>
      <c r="BI198">
        <f>_xlfn.XLOOKUP(B198,'[6]august-2025'!$A:$A,'[6]august-2025'!$C:$C,0,0)</f>
        <v>34500</v>
      </c>
      <c r="BJ198">
        <f t="shared" si="562"/>
        <v>6210</v>
      </c>
      <c r="BK198">
        <f t="shared" si="563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64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65"/>
        <v>200</v>
      </c>
      <c r="BR198">
        <f t="shared" si="566"/>
        <v>42650</v>
      </c>
      <c r="BS198">
        <f>_xlfn.XLOOKUP(B198,'[7]september-2025'!$A:$A,'[7]september-2025'!$C:$C,0,0)</f>
        <v>34500</v>
      </c>
      <c r="BT198">
        <f t="shared" si="567"/>
        <v>6210</v>
      </c>
      <c r="BU198">
        <f t="shared" si="568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69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70"/>
        <v>200</v>
      </c>
      <c r="CB198">
        <f t="shared" si="571"/>
        <v>42650</v>
      </c>
      <c r="CC198">
        <f>_xlfn.XLOOKUP(B198,'[8]october-2025'!$A:$A,'[8]october-2025'!$C:$C,0,0)</f>
        <v>34500</v>
      </c>
      <c r="CD198">
        <f t="shared" si="572"/>
        <v>6210</v>
      </c>
      <c r="CE198">
        <f t="shared" si="573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7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75"/>
        <v>200</v>
      </c>
      <c r="CL198">
        <f t="shared" si="576"/>
        <v>42650</v>
      </c>
      <c r="CM198">
        <f>_xlfn.XLOOKUP(B198,'[9]november-2025'!$A:$A,'[9]november-2025'!$C:$C,0,0)</f>
        <v>34500</v>
      </c>
      <c r="CN198">
        <f t="shared" si="577"/>
        <v>6210</v>
      </c>
      <c r="CO198">
        <f t="shared" si="578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79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80"/>
        <v>200</v>
      </c>
      <c r="CV198">
        <f t="shared" si="581"/>
        <v>42650</v>
      </c>
      <c r="CW198">
        <f>_xlfn.XLOOKUP(B198,'[10]december-2025'!$A:$A,'[10]december-2025'!$C:$C,0,0)</f>
        <v>34500</v>
      </c>
      <c r="CX198">
        <f t="shared" si="582"/>
        <v>6210</v>
      </c>
      <c r="CY198">
        <f t="shared" si="583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84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85"/>
        <v>200</v>
      </c>
      <c r="DF198">
        <f t="shared" si="586"/>
        <v>42650</v>
      </c>
      <c r="DG198">
        <f>_xlfn.XLOOKUP(B198,'[11]january-2026'!$A:$A,'[11]january-2026'!$C:$C,0,0)</f>
        <v>34500</v>
      </c>
      <c r="DH198">
        <f t="shared" si="587"/>
        <v>6210</v>
      </c>
      <c r="DI198">
        <f t="shared" si="588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9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90"/>
        <v>200</v>
      </c>
      <c r="DP198">
        <f t="shared" si="591"/>
        <v>42650</v>
      </c>
      <c r="DQ198">
        <f>_xlfn.XLOOKUP(B198,'[12]february-2026'!$A:$A,'[12]february-2026'!$C:$C,0,0)</f>
        <v>34500</v>
      </c>
      <c r="DR198">
        <f t="shared" si="592"/>
        <v>6210</v>
      </c>
      <c r="DS198">
        <f t="shared" si="59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4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5"/>
        <v>200</v>
      </c>
      <c r="DZ198">
        <f t="shared" si="596"/>
        <v>42650</v>
      </c>
      <c r="EA198">
        <f t="shared" si="597"/>
        <v>544460</v>
      </c>
      <c r="EB198">
        <f t="shared" si="598"/>
        <v>2400</v>
      </c>
      <c r="EC198">
        <f t="shared" si="599"/>
        <v>50000</v>
      </c>
      <c r="ED198">
        <v>0</v>
      </c>
      <c r="EE198">
        <f t="shared" si="600"/>
        <v>492060</v>
      </c>
      <c r="EF198">
        <f t="shared" si="601"/>
        <v>30000</v>
      </c>
      <c r="EG198">
        <f t="shared" si="602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3"/>
        <v>30000</v>
      </c>
      <c r="ES198">
        <f t="shared" si="604"/>
        <v>30000</v>
      </c>
      <c r="ET198">
        <f t="shared" si="605"/>
        <v>462060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6"/>
        <v>0</v>
      </c>
      <c r="FC198">
        <f t="shared" si="607"/>
        <v>462060</v>
      </c>
      <c r="FD198">
        <f t="shared" si="608"/>
        <v>10603</v>
      </c>
      <c r="FE198">
        <f t="shared" si="609"/>
        <v>0</v>
      </c>
      <c r="FF198">
        <f t="shared" si="610"/>
        <v>10603</v>
      </c>
      <c r="FG198">
        <f t="shared" si="611"/>
        <v>0</v>
      </c>
      <c r="FH198">
        <f t="shared" si="612"/>
        <v>0</v>
      </c>
      <c r="FI198">
        <f t="shared" si="613"/>
        <v>0</v>
      </c>
      <c r="FJ198">
        <v>0</v>
      </c>
      <c r="FK198">
        <f t="shared" si="614"/>
        <v>0</v>
      </c>
      <c r="FL198" t="b">
        <f t="shared" si="615"/>
        <v>1</v>
      </c>
      <c r="FM198">
        <f t="shared" ca="1" si="616"/>
        <v>821</v>
      </c>
      <c r="FN198">
        <f t="shared" ca="1" si="617"/>
        <v>545281</v>
      </c>
      <c r="FO198">
        <f t="shared" si="618"/>
        <v>75000</v>
      </c>
      <c r="FP198">
        <f t="shared" ca="1" si="619"/>
        <v>470281</v>
      </c>
      <c r="FQ198">
        <f t="shared" ca="1" si="620"/>
        <v>0</v>
      </c>
      <c r="FR198">
        <f t="shared" ca="1" si="621"/>
        <v>0</v>
      </c>
      <c r="FS198">
        <f t="shared" ca="1" si="622"/>
        <v>0</v>
      </c>
      <c r="FT198">
        <f t="shared" ca="1" si="623"/>
        <v>0</v>
      </c>
      <c r="FU198">
        <f t="shared" ca="1" si="624"/>
        <v>0</v>
      </c>
      <c r="FV198">
        <f t="shared" ca="1" si="625"/>
        <v>0</v>
      </c>
      <c r="FW198">
        <f t="shared" ca="1" si="626"/>
        <v>0</v>
      </c>
      <c r="FX198">
        <f t="shared" ca="1" si="627"/>
        <v>0</v>
      </c>
      <c r="FY198">
        <f t="shared" ca="1" si="628"/>
        <v>0</v>
      </c>
      <c r="FZ198">
        <f t="shared" ca="1" si="629"/>
        <v>0</v>
      </c>
      <c r="GA198">
        <f t="shared" ca="1" si="630"/>
        <v>70281</v>
      </c>
      <c r="GB198">
        <f t="shared" ca="1" si="631"/>
        <v>3514.05</v>
      </c>
      <c r="GC198">
        <f t="shared" ca="1" si="632"/>
        <v>3514</v>
      </c>
      <c r="GD198">
        <f t="shared" ca="1" si="633"/>
        <v>0</v>
      </c>
      <c r="GE198">
        <f t="shared" ca="1" si="634"/>
        <v>0</v>
      </c>
      <c r="GF198">
        <f t="shared" ca="1" si="635"/>
        <v>3514</v>
      </c>
      <c r="GG198">
        <f t="shared" ca="1" si="636"/>
        <v>0</v>
      </c>
      <c r="GH198" t="b">
        <f t="shared" ca="1" si="637"/>
        <v>0</v>
      </c>
      <c r="GI198">
        <f t="shared" ca="1" si="638"/>
        <v>0</v>
      </c>
      <c r="GJ198">
        <f t="shared" ca="1" si="639"/>
        <v>3514</v>
      </c>
      <c r="GK198">
        <f t="shared" ca="1" si="640"/>
        <v>0</v>
      </c>
      <c r="GL198">
        <f t="shared" ca="1" si="641"/>
        <v>0</v>
      </c>
      <c r="GM198">
        <f t="shared" ca="1" si="642"/>
        <v>0</v>
      </c>
    </row>
    <row r="199" spans="1:195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644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38"/>
        <v>4690</v>
      </c>
      <c r="L199">
        <f t="shared" si="539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540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43"/>
        <v>200</v>
      </c>
      <c r="S199">
        <f t="shared" si="541"/>
        <v>39510</v>
      </c>
      <c r="T199">
        <f>_xlfn.XLOOKUP(B199,'[2]april-2025'!$A:$A,'[2]april-2025'!$C:$C,0,0)</f>
        <v>33500</v>
      </c>
      <c r="U199">
        <f t="shared" si="542"/>
        <v>6030</v>
      </c>
      <c r="V199">
        <f t="shared" si="543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44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45"/>
        <v>200</v>
      </c>
      <c r="AC199">
        <f t="shared" si="546"/>
        <v>40850</v>
      </c>
      <c r="AD199">
        <f>_xlfn.XLOOKUP(B199,'[3]may-2025'!$A:$A,'[3]may-2025'!$C:$C,0,0)</f>
        <v>33500</v>
      </c>
      <c r="AE199">
        <f t="shared" si="547"/>
        <v>6030</v>
      </c>
      <c r="AF199">
        <f t="shared" si="54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49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50"/>
        <v>200</v>
      </c>
      <c r="AM199">
        <f t="shared" si="551"/>
        <v>40850</v>
      </c>
      <c r="AN199">
        <f>_xlfn.XLOOKUP(B199,'[4]june-2025'!$A:$A,'[4]june-2025'!$C:$C,0,0)</f>
        <v>33500</v>
      </c>
      <c r="AO199">
        <f t="shared" si="552"/>
        <v>6030</v>
      </c>
      <c r="AP199">
        <f t="shared" si="553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54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55"/>
        <v>200</v>
      </c>
      <c r="AW199">
        <f t="shared" si="556"/>
        <v>40850</v>
      </c>
      <c r="AX199">
        <f>_xlfn.XLOOKUP(B199,'[5]july-2025'!$A:$A,'[5]july-2025'!$C:$C,0,0)</f>
        <v>34500</v>
      </c>
      <c r="AY199">
        <f t="shared" si="557"/>
        <v>6210</v>
      </c>
      <c r="AZ199">
        <v>0</v>
      </c>
      <c r="BA199">
        <f t="shared" si="558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59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60"/>
        <v>200</v>
      </c>
      <c r="BH199">
        <f t="shared" si="561"/>
        <v>42150</v>
      </c>
      <c r="BI199">
        <f>_xlfn.XLOOKUP(B199,'[6]august-2025'!$A:$A,'[6]august-2025'!$C:$C,0,0)</f>
        <v>34500</v>
      </c>
      <c r="BJ199">
        <f t="shared" si="562"/>
        <v>6210</v>
      </c>
      <c r="BK199">
        <f t="shared" si="563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64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65"/>
        <v>200</v>
      </c>
      <c r="BR199">
        <f t="shared" si="566"/>
        <v>42150</v>
      </c>
      <c r="BS199">
        <f>_xlfn.XLOOKUP(B199,'[7]september-2025'!$A:$A,'[7]september-2025'!$C:$C,0,0)</f>
        <v>34500</v>
      </c>
      <c r="BT199">
        <f t="shared" si="567"/>
        <v>6210</v>
      </c>
      <c r="BU199">
        <f t="shared" si="568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69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70"/>
        <v>200</v>
      </c>
      <c r="CB199">
        <f t="shared" si="571"/>
        <v>42150</v>
      </c>
      <c r="CC199">
        <f>_xlfn.XLOOKUP(B199,'[8]october-2025'!$A:$A,'[8]october-2025'!$C:$C,0,0)</f>
        <v>34500</v>
      </c>
      <c r="CD199">
        <f t="shared" si="572"/>
        <v>6210</v>
      </c>
      <c r="CE199">
        <f t="shared" si="573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7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75"/>
        <v>200</v>
      </c>
      <c r="CL199">
        <f t="shared" si="576"/>
        <v>42150</v>
      </c>
      <c r="CM199">
        <f>_xlfn.XLOOKUP(B199,'[9]november-2025'!$A:$A,'[9]november-2025'!$C:$C,0,0)</f>
        <v>34500</v>
      </c>
      <c r="CN199">
        <f t="shared" si="577"/>
        <v>6210</v>
      </c>
      <c r="CO199">
        <f t="shared" si="578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79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80"/>
        <v>200</v>
      </c>
      <c r="CV199">
        <f t="shared" si="581"/>
        <v>42150</v>
      </c>
      <c r="CW199">
        <f>_xlfn.XLOOKUP(B199,'[10]december-2025'!$A:$A,'[10]december-2025'!$C:$C,0,0)</f>
        <v>34500</v>
      </c>
      <c r="CX199">
        <f t="shared" si="582"/>
        <v>6210</v>
      </c>
      <c r="CY199">
        <f t="shared" si="583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84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85"/>
        <v>200</v>
      </c>
      <c r="DF199">
        <f t="shared" si="586"/>
        <v>42150</v>
      </c>
      <c r="DG199">
        <f>_xlfn.XLOOKUP(B199,'[11]january-2026'!$A:$A,'[11]january-2026'!$C:$C,0,0)</f>
        <v>34500</v>
      </c>
      <c r="DH199">
        <f t="shared" si="587"/>
        <v>6210</v>
      </c>
      <c r="DI199">
        <f t="shared" si="588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9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90"/>
        <v>200</v>
      </c>
      <c r="DP199">
        <f t="shared" si="591"/>
        <v>42150</v>
      </c>
      <c r="DQ199">
        <f>_xlfn.XLOOKUP(B199,'[12]february-2026'!$A:$A,'[12]february-2026'!$C:$C,0,0)</f>
        <v>34500</v>
      </c>
      <c r="DR199">
        <f t="shared" si="592"/>
        <v>6210</v>
      </c>
      <c r="DS199">
        <f t="shared" si="59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4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5"/>
        <v>200</v>
      </c>
      <c r="DZ199">
        <f t="shared" si="596"/>
        <v>42150</v>
      </c>
      <c r="EA199">
        <f t="shared" si="597"/>
        <v>544460</v>
      </c>
      <c r="EB199">
        <f t="shared" si="598"/>
        <v>2400</v>
      </c>
      <c r="EC199">
        <f t="shared" si="599"/>
        <v>50000</v>
      </c>
      <c r="ED199">
        <v>0</v>
      </c>
      <c r="EE199">
        <f t="shared" si="600"/>
        <v>492060</v>
      </c>
      <c r="EF199">
        <f t="shared" si="601"/>
        <v>36000</v>
      </c>
      <c r="EG199">
        <f t="shared" si="602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3"/>
        <v>36000</v>
      </c>
      <c r="ES199">
        <f t="shared" si="604"/>
        <v>36000</v>
      </c>
      <c r="ET199">
        <f t="shared" si="605"/>
        <v>456060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6"/>
        <v>0</v>
      </c>
      <c r="FC199">
        <f t="shared" si="607"/>
        <v>456060</v>
      </c>
      <c r="FD199">
        <f t="shared" si="608"/>
        <v>10303</v>
      </c>
      <c r="FE199">
        <f t="shared" si="609"/>
        <v>0</v>
      </c>
      <c r="FF199">
        <f t="shared" si="610"/>
        <v>10303</v>
      </c>
      <c r="FG199">
        <f t="shared" si="611"/>
        <v>0</v>
      </c>
      <c r="FH199">
        <f t="shared" si="612"/>
        <v>0</v>
      </c>
      <c r="FI199">
        <f t="shared" si="613"/>
        <v>0</v>
      </c>
      <c r="FJ199">
        <v>0</v>
      </c>
      <c r="FK199">
        <f t="shared" si="614"/>
        <v>0</v>
      </c>
      <c r="FL199" t="b">
        <f t="shared" si="615"/>
        <v>1</v>
      </c>
      <c r="FM199">
        <f t="shared" ca="1" si="616"/>
        <v>855</v>
      </c>
      <c r="FN199">
        <f t="shared" ca="1" si="617"/>
        <v>545315</v>
      </c>
      <c r="FO199">
        <f t="shared" si="618"/>
        <v>75000</v>
      </c>
      <c r="FP199">
        <f t="shared" ca="1" si="619"/>
        <v>470315</v>
      </c>
      <c r="FQ199">
        <f t="shared" ca="1" si="620"/>
        <v>0</v>
      </c>
      <c r="FR199">
        <f t="shared" ca="1" si="621"/>
        <v>0</v>
      </c>
      <c r="FS199">
        <f t="shared" ca="1" si="622"/>
        <v>0</v>
      </c>
      <c r="FT199">
        <f t="shared" ca="1" si="623"/>
        <v>0</v>
      </c>
      <c r="FU199">
        <f t="shared" ca="1" si="624"/>
        <v>0</v>
      </c>
      <c r="FV199">
        <f t="shared" ca="1" si="625"/>
        <v>0</v>
      </c>
      <c r="FW199">
        <f t="shared" ca="1" si="626"/>
        <v>0</v>
      </c>
      <c r="FX199">
        <f t="shared" ca="1" si="627"/>
        <v>0</v>
      </c>
      <c r="FY199">
        <f t="shared" ca="1" si="628"/>
        <v>0</v>
      </c>
      <c r="FZ199">
        <f t="shared" ca="1" si="629"/>
        <v>0</v>
      </c>
      <c r="GA199">
        <f t="shared" ca="1" si="630"/>
        <v>70315</v>
      </c>
      <c r="GB199">
        <f t="shared" ca="1" si="631"/>
        <v>3515.75</v>
      </c>
      <c r="GC199">
        <f t="shared" ca="1" si="632"/>
        <v>3516</v>
      </c>
      <c r="GD199">
        <f t="shared" ca="1" si="633"/>
        <v>0</v>
      </c>
      <c r="GE199">
        <f t="shared" ca="1" si="634"/>
        <v>0</v>
      </c>
      <c r="GF199">
        <f t="shared" ca="1" si="635"/>
        <v>3516</v>
      </c>
      <c r="GG199">
        <f t="shared" ca="1" si="636"/>
        <v>0</v>
      </c>
      <c r="GH199" t="b">
        <f t="shared" ca="1" si="637"/>
        <v>0</v>
      </c>
      <c r="GI199">
        <f t="shared" ca="1" si="638"/>
        <v>0</v>
      </c>
      <c r="GJ199">
        <f t="shared" ca="1" si="639"/>
        <v>3516</v>
      </c>
      <c r="GK199">
        <f t="shared" ca="1" si="640"/>
        <v>0</v>
      </c>
      <c r="GL199">
        <f t="shared" ca="1" si="641"/>
        <v>0</v>
      </c>
      <c r="GM199">
        <f t="shared" ca="1" si="642"/>
        <v>0</v>
      </c>
    </row>
    <row r="200" spans="1:195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644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38"/>
        <v>5278.0000000000009</v>
      </c>
      <c r="L200">
        <f t="shared" si="539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540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43"/>
        <v>0</v>
      </c>
      <c r="S200">
        <f t="shared" si="541"/>
        <v>43002</v>
      </c>
      <c r="T200">
        <f>_xlfn.XLOOKUP(B200,'[2]april-2025'!$A:$A,'[2]april-2025'!$C:$C,0,0)</f>
        <v>37700</v>
      </c>
      <c r="U200">
        <f t="shared" si="542"/>
        <v>6786</v>
      </c>
      <c r="V200">
        <f t="shared" si="543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44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45"/>
        <v>0</v>
      </c>
      <c r="AC200">
        <f t="shared" si="546"/>
        <v>44510</v>
      </c>
      <c r="AD200">
        <f>_xlfn.XLOOKUP(B200,'[3]may-2025'!$A:$A,'[3]may-2025'!$C:$C,0,0)</f>
        <v>37700</v>
      </c>
      <c r="AE200">
        <f t="shared" si="547"/>
        <v>6786</v>
      </c>
      <c r="AF200">
        <f t="shared" si="54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49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50"/>
        <v>0</v>
      </c>
      <c r="AM200">
        <f t="shared" si="551"/>
        <v>44510</v>
      </c>
      <c r="AN200">
        <f>_xlfn.XLOOKUP(B200,'[4]june-2025'!$A:$A,'[4]june-2025'!$C:$C,0,0)</f>
        <v>37700</v>
      </c>
      <c r="AO200">
        <f t="shared" si="552"/>
        <v>6786</v>
      </c>
      <c r="AP200">
        <f t="shared" si="553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54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55"/>
        <v>0</v>
      </c>
      <c r="AW200">
        <f t="shared" si="556"/>
        <v>44510</v>
      </c>
      <c r="AX200">
        <f>_xlfn.XLOOKUP(B200,'[5]july-2025'!$A:$A,'[5]july-2025'!$C:$C,0,0)</f>
        <v>38800</v>
      </c>
      <c r="AY200">
        <f t="shared" si="557"/>
        <v>6984</v>
      </c>
      <c r="AZ200">
        <v>0</v>
      </c>
      <c r="BA200">
        <f t="shared" si="558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59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60"/>
        <v>0</v>
      </c>
      <c r="BH200">
        <f t="shared" si="561"/>
        <v>45940</v>
      </c>
      <c r="BI200">
        <f>_xlfn.XLOOKUP(B200,'[6]august-2025'!$A:$A,'[6]august-2025'!$C:$C,0,0)</f>
        <v>38800</v>
      </c>
      <c r="BJ200">
        <f t="shared" si="562"/>
        <v>6984</v>
      </c>
      <c r="BK200">
        <f t="shared" si="563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64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65"/>
        <v>0</v>
      </c>
      <c r="BR200">
        <f t="shared" si="566"/>
        <v>45940</v>
      </c>
      <c r="BS200">
        <f>_xlfn.XLOOKUP(B200,'[7]september-2025'!$A:$A,'[7]september-2025'!$C:$C,0,0)</f>
        <v>38800</v>
      </c>
      <c r="BT200">
        <f t="shared" si="567"/>
        <v>6984</v>
      </c>
      <c r="BU200">
        <f t="shared" si="568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69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70"/>
        <v>0</v>
      </c>
      <c r="CB200">
        <f t="shared" si="571"/>
        <v>45940</v>
      </c>
      <c r="CC200">
        <f>_xlfn.XLOOKUP(B200,'[8]october-2025'!$A:$A,'[8]october-2025'!$C:$C,0,0)</f>
        <v>38800</v>
      </c>
      <c r="CD200">
        <f t="shared" si="572"/>
        <v>6984</v>
      </c>
      <c r="CE200">
        <f t="shared" si="573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7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75"/>
        <v>0</v>
      </c>
      <c r="CL200">
        <f t="shared" si="576"/>
        <v>45940</v>
      </c>
      <c r="CM200">
        <f>_xlfn.XLOOKUP(B200,'[9]november-2025'!$A:$A,'[9]november-2025'!$C:$C,0,0)</f>
        <v>38800</v>
      </c>
      <c r="CN200">
        <f t="shared" si="577"/>
        <v>6984</v>
      </c>
      <c r="CO200">
        <f t="shared" si="578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79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80"/>
        <v>0</v>
      </c>
      <c r="CV200">
        <f t="shared" si="581"/>
        <v>45940</v>
      </c>
      <c r="CW200">
        <f>_xlfn.XLOOKUP(B200,'[10]december-2025'!$A:$A,'[10]december-2025'!$C:$C,0,0)</f>
        <v>38800</v>
      </c>
      <c r="CX200">
        <f t="shared" si="582"/>
        <v>6984</v>
      </c>
      <c r="CY200">
        <f t="shared" si="583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84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85"/>
        <v>0</v>
      </c>
      <c r="DF200">
        <f t="shared" si="586"/>
        <v>45940</v>
      </c>
      <c r="DG200">
        <f>_xlfn.XLOOKUP(B200,'[11]january-2026'!$A:$A,'[11]january-2026'!$C:$C,0,0)</f>
        <v>38800</v>
      </c>
      <c r="DH200">
        <f t="shared" si="587"/>
        <v>6984</v>
      </c>
      <c r="DI200">
        <f t="shared" si="588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9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90"/>
        <v>0</v>
      </c>
      <c r="DP200">
        <f t="shared" si="591"/>
        <v>45940</v>
      </c>
      <c r="DQ200">
        <f>_xlfn.XLOOKUP(B200,'[12]february-2026'!$A:$A,'[12]february-2026'!$C:$C,0,0)</f>
        <v>38800</v>
      </c>
      <c r="DR200">
        <f t="shared" si="592"/>
        <v>6984</v>
      </c>
      <c r="DS200">
        <f t="shared" si="59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4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5"/>
        <v>0</v>
      </c>
      <c r="DZ200">
        <f t="shared" si="596"/>
        <v>45940</v>
      </c>
      <c r="EA200">
        <f t="shared" si="597"/>
        <v>610852</v>
      </c>
      <c r="EB200">
        <f t="shared" si="598"/>
        <v>0</v>
      </c>
      <c r="EC200">
        <f t="shared" si="599"/>
        <v>50000</v>
      </c>
      <c r="ED200">
        <v>0</v>
      </c>
      <c r="EE200">
        <f t="shared" si="600"/>
        <v>560852</v>
      </c>
      <c r="EF200">
        <f t="shared" si="601"/>
        <v>60000</v>
      </c>
      <c r="EG200">
        <f t="shared" si="602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3"/>
        <v>60000</v>
      </c>
      <c r="ES200">
        <f t="shared" si="604"/>
        <v>60000</v>
      </c>
      <c r="ET200">
        <f t="shared" si="605"/>
        <v>500852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6"/>
        <v>50000</v>
      </c>
      <c r="FC200">
        <f t="shared" si="607"/>
        <v>450852</v>
      </c>
      <c r="FD200">
        <f t="shared" si="608"/>
        <v>10043</v>
      </c>
      <c r="FE200">
        <f t="shared" si="609"/>
        <v>0</v>
      </c>
      <c r="FF200">
        <f t="shared" si="610"/>
        <v>10043</v>
      </c>
      <c r="FG200">
        <f t="shared" si="611"/>
        <v>0</v>
      </c>
      <c r="FH200">
        <f t="shared" si="612"/>
        <v>0</v>
      </c>
      <c r="FI200">
        <f t="shared" si="613"/>
        <v>0</v>
      </c>
      <c r="FJ200">
        <v>0</v>
      </c>
      <c r="FK200">
        <f t="shared" si="614"/>
        <v>0</v>
      </c>
      <c r="FL200" t="b">
        <f t="shared" si="615"/>
        <v>1</v>
      </c>
      <c r="FM200">
        <f t="shared" ca="1" si="616"/>
        <v>768</v>
      </c>
      <c r="FN200">
        <f t="shared" ca="1" si="617"/>
        <v>611620</v>
      </c>
      <c r="FO200">
        <f t="shared" si="618"/>
        <v>75000</v>
      </c>
      <c r="FP200">
        <f t="shared" ca="1" si="619"/>
        <v>536620</v>
      </c>
      <c r="FQ200">
        <f t="shared" ca="1" si="620"/>
        <v>0</v>
      </c>
      <c r="FR200">
        <f t="shared" ca="1" si="621"/>
        <v>0</v>
      </c>
      <c r="FS200">
        <f t="shared" ca="1" si="622"/>
        <v>0</v>
      </c>
      <c r="FT200">
        <f t="shared" ca="1" si="623"/>
        <v>0</v>
      </c>
      <c r="FU200">
        <f t="shared" ca="1" si="624"/>
        <v>0</v>
      </c>
      <c r="FV200">
        <f t="shared" ca="1" si="625"/>
        <v>0</v>
      </c>
      <c r="FW200">
        <f t="shared" ca="1" si="626"/>
        <v>0</v>
      </c>
      <c r="FX200">
        <f t="shared" ca="1" si="627"/>
        <v>0</v>
      </c>
      <c r="FY200">
        <f t="shared" ca="1" si="628"/>
        <v>0</v>
      </c>
      <c r="FZ200">
        <f t="shared" ca="1" si="629"/>
        <v>0</v>
      </c>
      <c r="GA200">
        <f t="shared" ca="1" si="630"/>
        <v>136620</v>
      </c>
      <c r="GB200">
        <f t="shared" ca="1" si="631"/>
        <v>6831</v>
      </c>
      <c r="GC200">
        <f t="shared" ca="1" si="632"/>
        <v>6831</v>
      </c>
      <c r="GD200">
        <f t="shared" ca="1" si="633"/>
        <v>0</v>
      </c>
      <c r="GE200">
        <f t="shared" ca="1" si="634"/>
        <v>0</v>
      </c>
      <c r="GF200">
        <f t="shared" ca="1" si="635"/>
        <v>6831</v>
      </c>
      <c r="GG200">
        <f t="shared" ca="1" si="636"/>
        <v>0</v>
      </c>
      <c r="GH200" t="b">
        <f t="shared" ca="1" si="637"/>
        <v>0</v>
      </c>
      <c r="GI200">
        <f t="shared" ca="1" si="638"/>
        <v>0</v>
      </c>
      <c r="GJ200">
        <f t="shared" ca="1" si="639"/>
        <v>6831</v>
      </c>
      <c r="GK200">
        <f t="shared" ca="1" si="640"/>
        <v>0</v>
      </c>
      <c r="GL200">
        <f t="shared" ca="1" si="641"/>
        <v>0</v>
      </c>
      <c r="GM200">
        <f t="shared" ca="1" si="642"/>
        <v>0</v>
      </c>
    </row>
    <row r="201" spans="1:195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644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38"/>
        <v>4046.0000000000005</v>
      </c>
      <c r="L201">
        <f t="shared" si="539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540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43"/>
        <v>150</v>
      </c>
      <c r="S201">
        <f t="shared" si="541"/>
        <v>34764</v>
      </c>
      <c r="T201">
        <f>_xlfn.XLOOKUP(B201,'[2]april-2025'!$A:$A,'[2]april-2025'!$C:$C,0,0)</f>
        <v>28900</v>
      </c>
      <c r="U201">
        <f t="shared" si="542"/>
        <v>5202</v>
      </c>
      <c r="V201">
        <f t="shared" si="543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44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45"/>
        <v>150</v>
      </c>
      <c r="AC201">
        <f t="shared" si="546"/>
        <v>35920</v>
      </c>
      <c r="AD201">
        <f>_xlfn.XLOOKUP(B201,'[3]may-2025'!$A:$A,'[3]may-2025'!$C:$C,0,0)</f>
        <v>28900</v>
      </c>
      <c r="AE201">
        <f t="shared" si="547"/>
        <v>5202</v>
      </c>
      <c r="AF201">
        <f t="shared" si="54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49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50"/>
        <v>150</v>
      </c>
      <c r="AM201">
        <f t="shared" si="551"/>
        <v>35920</v>
      </c>
      <c r="AN201">
        <f>_xlfn.XLOOKUP(B201,'[4]june-2025'!$A:$A,'[4]june-2025'!$C:$C,0,0)</f>
        <v>28900</v>
      </c>
      <c r="AO201">
        <f t="shared" si="552"/>
        <v>5202</v>
      </c>
      <c r="AP201">
        <f t="shared" si="553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54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55"/>
        <v>150</v>
      </c>
      <c r="AW201">
        <f t="shared" si="556"/>
        <v>35920</v>
      </c>
      <c r="AX201">
        <f>_xlfn.XLOOKUP(B201,'[5]july-2025'!$A:$A,'[5]july-2025'!$C:$C,0,0)</f>
        <v>29800</v>
      </c>
      <c r="AY201">
        <f t="shared" si="557"/>
        <v>5364</v>
      </c>
      <c r="AZ201">
        <v>0</v>
      </c>
      <c r="BA201">
        <f t="shared" si="558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59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60"/>
        <v>150</v>
      </c>
      <c r="BH201">
        <f t="shared" si="561"/>
        <v>37090</v>
      </c>
      <c r="BI201">
        <f>_xlfn.XLOOKUP(B201,'[6]august-2025'!$A:$A,'[6]august-2025'!$C:$C,0,0)</f>
        <v>29800</v>
      </c>
      <c r="BJ201">
        <f t="shared" si="562"/>
        <v>5364</v>
      </c>
      <c r="BK201">
        <f t="shared" si="563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64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65"/>
        <v>150</v>
      </c>
      <c r="BR201">
        <f t="shared" si="566"/>
        <v>37090</v>
      </c>
      <c r="BS201">
        <f>_xlfn.XLOOKUP(B201,'[7]september-2025'!$A:$A,'[7]september-2025'!$C:$C,0,0)</f>
        <v>29800</v>
      </c>
      <c r="BT201">
        <f t="shared" si="567"/>
        <v>5364</v>
      </c>
      <c r="BU201">
        <f t="shared" si="568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69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70"/>
        <v>150</v>
      </c>
      <c r="CB201">
        <f t="shared" si="571"/>
        <v>37090</v>
      </c>
      <c r="CC201">
        <f>_xlfn.XLOOKUP(B201,'[8]october-2025'!$A:$A,'[8]october-2025'!$C:$C,0,0)</f>
        <v>29800</v>
      </c>
      <c r="CD201">
        <f t="shared" si="572"/>
        <v>5364</v>
      </c>
      <c r="CE201">
        <f t="shared" si="573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7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75"/>
        <v>150</v>
      </c>
      <c r="CL201">
        <f t="shared" si="576"/>
        <v>37090</v>
      </c>
      <c r="CM201">
        <f>_xlfn.XLOOKUP(B201,'[9]november-2025'!$A:$A,'[9]november-2025'!$C:$C,0,0)</f>
        <v>29800</v>
      </c>
      <c r="CN201">
        <f t="shared" si="577"/>
        <v>5364</v>
      </c>
      <c r="CO201">
        <f t="shared" si="578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79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80"/>
        <v>150</v>
      </c>
      <c r="CV201">
        <f t="shared" si="581"/>
        <v>37090</v>
      </c>
      <c r="CW201">
        <f>_xlfn.XLOOKUP(B201,'[10]december-2025'!$A:$A,'[10]december-2025'!$C:$C,0,0)</f>
        <v>29800</v>
      </c>
      <c r="CX201">
        <f t="shared" si="582"/>
        <v>5364</v>
      </c>
      <c r="CY201">
        <f t="shared" si="583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84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85"/>
        <v>150</v>
      </c>
      <c r="DF201">
        <f t="shared" si="586"/>
        <v>37090</v>
      </c>
      <c r="DG201">
        <f>_xlfn.XLOOKUP(B201,'[11]january-2026'!$A:$A,'[11]january-2026'!$C:$C,0,0)</f>
        <v>29800</v>
      </c>
      <c r="DH201">
        <f t="shared" si="587"/>
        <v>5364</v>
      </c>
      <c r="DI201">
        <f t="shared" si="588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9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90"/>
        <v>150</v>
      </c>
      <c r="DP201">
        <f t="shared" si="591"/>
        <v>37090</v>
      </c>
      <c r="DQ201">
        <f>_xlfn.XLOOKUP(B201,'[12]february-2026'!$A:$A,'[12]february-2026'!$C:$C,0,0)</f>
        <v>29800</v>
      </c>
      <c r="DR201">
        <f t="shared" si="592"/>
        <v>5364</v>
      </c>
      <c r="DS201">
        <f t="shared" si="59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4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5"/>
        <v>150</v>
      </c>
      <c r="DZ201">
        <f t="shared" si="596"/>
        <v>37090</v>
      </c>
      <c r="EA201">
        <f t="shared" si="597"/>
        <v>471844</v>
      </c>
      <c r="EB201">
        <f t="shared" si="598"/>
        <v>1800</v>
      </c>
      <c r="EC201">
        <f t="shared" si="599"/>
        <v>50000</v>
      </c>
      <c r="ED201">
        <v>0</v>
      </c>
      <c r="EE201">
        <f t="shared" si="600"/>
        <v>420044</v>
      </c>
      <c r="EF201">
        <f t="shared" si="601"/>
        <v>24000</v>
      </c>
      <c r="EG201">
        <f t="shared" si="602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3"/>
        <v>24000</v>
      </c>
      <c r="ES201">
        <f t="shared" si="604"/>
        <v>24000</v>
      </c>
      <c r="ET201">
        <f t="shared" si="605"/>
        <v>396044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6"/>
        <v>0</v>
      </c>
      <c r="FC201">
        <f t="shared" si="607"/>
        <v>396044</v>
      </c>
      <c r="FD201">
        <f t="shared" si="608"/>
        <v>7302</v>
      </c>
      <c r="FE201">
        <f t="shared" si="609"/>
        <v>0</v>
      </c>
      <c r="FF201">
        <f t="shared" si="610"/>
        <v>7302</v>
      </c>
      <c r="FG201">
        <f t="shared" si="611"/>
        <v>0</v>
      </c>
      <c r="FH201">
        <f t="shared" si="612"/>
        <v>0</v>
      </c>
      <c r="FI201">
        <f t="shared" si="613"/>
        <v>0</v>
      </c>
      <c r="FJ201">
        <v>0</v>
      </c>
      <c r="FK201">
        <f t="shared" si="614"/>
        <v>0</v>
      </c>
      <c r="FL201" t="b">
        <f t="shared" si="615"/>
        <v>0</v>
      </c>
      <c r="FM201">
        <f t="shared" ca="1" si="616"/>
        <v>2941</v>
      </c>
      <c r="FN201">
        <f t="shared" ca="1" si="617"/>
        <v>474785</v>
      </c>
      <c r="FO201">
        <f t="shared" si="618"/>
        <v>75000</v>
      </c>
      <c r="FP201">
        <f t="shared" ca="1" si="619"/>
        <v>399785</v>
      </c>
      <c r="FQ201">
        <f t="shared" ca="1" si="620"/>
        <v>0</v>
      </c>
      <c r="FR201">
        <f t="shared" ca="1" si="621"/>
        <v>0</v>
      </c>
      <c r="FS201">
        <f t="shared" ca="1" si="622"/>
        <v>0</v>
      </c>
      <c r="FT201">
        <f t="shared" ca="1" si="623"/>
        <v>0</v>
      </c>
      <c r="FU201">
        <f t="shared" ca="1" si="624"/>
        <v>0</v>
      </c>
      <c r="FV201">
        <f t="shared" ca="1" si="625"/>
        <v>0</v>
      </c>
      <c r="FW201">
        <f t="shared" ca="1" si="626"/>
        <v>0</v>
      </c>
      <c r="FX201">
        <f t="shared" ca="1" si="627"/>
        <v>0</v>
      </c>
      <c r="FY201">
        <f t="shared" ca="1" si="628"/>
        <v>0</v>
      </c>
      <c r="FZ201">
        <f t="shared" ca="1" si="629"/>
        <v>0</v>
      </c>
      <c r="GA201">
        <f t="shared" ca="1" si="630"/>
        <v>0</v>
      </c>
      <c r="GB201">
        <f t="shared" ca="1" si="631"/>
        <v>0</v>
      </c>
      <c r="GC201">
        <f t="shared" ca="1" si="632"/>
        <v>0</v>
      </c>
      <c r="GD201">
        <f t="shared" ca="1" si="633"/>
        <v>0</v>
      </c>
      <c r="GE201">
        <f t="shared" ca="1" si="634"/>
        <v>0</v>
      </c>
      <c r="GF201">
        <f t="shared" ca="1" si="635"/>
        <v>0</v>
      </c>
      <c r="GG201">
        <f t="shared" ca="1" si="636"/>
        <v>0</v>
      </c>
      <c r="GH201" t="b">
        <f t="shared" ca="1" si="637"/>
        <v>0</v>
      </c>
      <c r="GI201">
        <f t="shared" ca="1" si="638"/>
        <v>0</v>
      </c>
      <c r="GJ201">
        <f t="shared" ca="1" si="639"/>
        <v>0</v>
      </c>
      <c r="GK201">
        <f t="shared" ca="1" si="640"/>
        <v>0</v>
      </c>
      <c r="GL201">
        <f t="shared" ca="1" si="641"/>
        <v>0</v>
      </c>
      <c r="GM201">
        <f t="shared" ca="1" si="642"/>
        <v>0</v>
      </c>
    </row>
    <row r="202" spans="1:195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644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38"/>
        <v>4690</v>
      </c>
      <c r="L202">
        <f t="shared" si="539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540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43"/>
        <v>200</v>
      </c>
      <c r="S202">
        <f t="shared" si="541"/>
        <v>39910</v>
      </c>
      <c r="T202">
        <f>_xlfn.XLOOKUP(B202,'[2]april-2025'!$A:$A,'[2]april-2025'!$C:$C,0,0)</f>
        <v>33500</v>
      </c>
      <c r="U202">
        <f t="shared" si="542"/>
        <v>6030</v>
      </c>
      <c r="V202">
        <f t="shared" si="543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44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45"/>
        <v>200</v>
      </c>
      <c r="AC202">
        <f t="shared" si="546"/>
        <v>41250</v>
      </c>
      <c r="AD202">
        <f>_xlfn.XLOOKUP(B202,'[3]may-2025'!$A:$A,'[3]may-2025'!$C:$C,0,0)</f>
        <v>33500</v>
      </c>
      <c r="AE202">
        <f t="shared" si="547"/>
        <v>6030</v>
      </c>
      <c r="AF202">
        <f t="shared" si="54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49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50"/>
        <v>200</v>
      </c>
      <c r="AM202">
        <f t="shared" si="551"/>
        <v>41250</v>
      </c>
      <c r="AN202">
        <f>_xlfn.XLOOKUP(B202,'[4]june-2025'!$A:$A,'[4]june-2025'!$C:$C,0,0)</f>
        <v>33500</v>
      </c>
      <c r="AO202">
        <f t="shared" si="552"/>
        <v>6030</v>
      </c>
      <c r="AP202">
        <f t="shared" si="553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54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55"/>
        <v>200</v>
      </c>
      <c r="AW202">
        <f t="shared" si="556"/>
        <v>41250</v>
      </c>
      <c r="AX202">
        <f>_xlfn.XLOOKUP(B202,'[5]july-2025'!$A:$A,'[5]july-2025'!$C:$C,0,0)</f>
        <v>34500</v>
      </c>
      <c r="AY202">
        <f t="shared" si="557"/>
        <v>6210</v>
      </c>
      <c r="AZ202">
        <v>0</v>
      </c>
      <c r="BA202">
        <f t="shared" si="558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59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60"/>
        <v>200</v>
      </c>
      <c r="BH202">
        <f t="shared" si="561"/>
        <v>42550</v>
      </c>
      <c r="BI202">
        <f>_xlfn.XLOOKUP(B202,'[6]august-2025'!$A:$A,'[6]august-2025'!$C:$C,0,0)</f>
        <v>34500</v>
      </c>
      <c r="BJ202">
        <f t="shared" si="562"/>
        <v>6210</v>
      </c>
      <c r="BK202">
        <f t="shared" si="563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64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65"/>
        <v>200</v>
      </c>
      <c r="BR202">
        <f t="shared" si="566"/>
        <v>42550</v>
      </c>
      <c r="BS202">
        <f>_xlfn.XLOOKUP(B202,'[7]september-2025'!$A:$A,'[7]september-2025'!$C:$C,0,0)</f>
        <v>34500</v>
      </c>
      <c r="BT202">
        <f t="shared" si="567"/>
        <v>6210</v>
      </c>
      <c r="BU202">
        <f t="shared" si="568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69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70"/>
        <v>200</v>
      </c>
      <c r="CB202">
        <f t="shared" si="571"/>
        <v>42550</v>
      </c>
      <c r="CC202">
        <f>_xlfn.XLOOKUP(B202,'[8]october-2025'!$A:$A,'[8]october-2025'!$C:$C,0,0)</f>
        <v>34500</v>
      </c>
      <c r="CD202">
        <f t="shared" si="572"/>
        <v>6210</v>
      </c>
      <c r="CE202">
        <f t="shared" si="573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7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75"/>
        <v>200</v>
      </c>
      <c r="CL202">
        <f t="shared" si="576"/>
        <v>42550</v>
      </c>
      <c r="CM202">
        <f>_xlfn.XLOOKUP(B202,'[9]november-2025'!$A:$A,'[9]november-2025'!$C:$C,0,0)</f>
        <v>34500</v>
      </c>
      <c r="CN202">
        <f t="shared" si="577"/>
        <v>6210</v>
      </c>
      <c r="CO202">
        <f t="shared" si="578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79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80"/>
        <v>200</v>
      </c>
      <c r="CV202">
        <f t="shared" si="581"/>
        <v>42550</v>
      </c>
      <c r="CW202">
        <f>_xlfn.XLOOKUP(B202,'[10]december-2025'!$A:$A,'[10]december-2025'!$C:$C,0,0)</f>
        <v>34500</v>
      </c>
      <c r="CX202">
        <f t="shared" si="582"/>
        <v>6210</v>
      </c>
      <c r="CY202">
        <f t="shared" si="583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84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85"/>
        <v>200</v>
      </c>
      <c r="DF202">
        <f t="shared" si="586"/>
        <v>42550</v>
      </c>
      <c r="DG202">
        <f>_xlfn.XLOOKUP(B202,'[11]january-2026'!$A:$A,'[11]january-2026'!$C:$C,0,0)</f>
        <v>34500</v>
      </c>
      <c r="DH202">
        <f t="shared" si="587"/>
        <v>6210</v>
      </c>
      <c r="DI202">
        <f t="shared" si="588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9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90"/>
        <v>200</v>
      </c>
      <c r="DP202">
        <f t="shared" si="591"/>
        <v>42550</v>
      </c>
      <c r="DQ202">
        <f>_xlfn.XLOOKUP(B202,'[12]february-2026'!$A:$A,'[12]february-2026'!$C:$C,0,0)</f>
        <v>34500</v>
      </c>
      <c r="DR202">
        <f t="shared" si="592"/>
        <v>6210</v>
      </c>
      <c r="DS202">
        <f t="shared" si="59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4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5"/>
        <v>200</v>
      </c>
      <c r="DZ202">
        <f t="shared" si="596"/>
        <v>42550</v>
      </c>
      <c r="EA202">
        <f t="shared" si="597"/>
        <v>549260</v>
      </c>
      <c r="EB202">
        <f t="shared" si="598"/>
        <v>2400</v>
      </c>
      <c r="EC202">
        <f t="shared" si="599"/>
        <v>50000</v>
      </c>
      <c r="ED202">
        <v>0</v>
      </c>
      <c r="EE202">
        <f t="shared" si="600"/>
        <v>496860</v>
      </c>
      <c r="EF202">
        <f t="shared" si="601"/>
        <v>36000</v>
      </c>
      <c r="EG202">
        <f t="shared" si="602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3"/>
        <v>36000</v>
      </c>
      <c r="ES202">
        <f t="shared" si="604"/>
        <v>36000</v>
      </c>
      <c r="ET202">
        <f t="shared" si="605"/>
        <v>460860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6"/>
        <v>0</v>
      </c>
      <c r="FC202">
        <f t="shared" si="607"/>
        <v>460860</v>
      </c>
      <c r="FD202">
        <f t="shared" si="608"/>
        <v>10543</v>
      </c>
      <c r="FE202">
        <f t="shared" si="609"/>
        <v>0</v>
      </c>
      <c r="FF202">
        <f t="shared" si="610"/>
        <v>10543</v>
      </c>
      <c r="FG202">
        <f t="shared" si="611"/>
        <v>0</v>
      </c>
      <c r="FH202">
        <f t="shared" si="612"/>
        <v>0</v>
      </c>
      <c r="FI202">
        <f t="shared" si="613"/>
        <v>0</v>
      </c>
      <c r="FJ202">
        <v>0</v>
      </c>
      <c r="FK202">
        <f t="shared" si="614"/>
        <v>0</v>
      </c>
      <c r="FL202" t="b">
        <f t="shared" si="615"/>
        <v>1</v>
      </c>
      <c r="FM202">
        <f t="shared" ca="1" si="616"/>
        <v>536</v>
      </c>
      <c r="FN202">
        <f t="shared" ca="1" si="617"/>
        <v>549796</v>
      </c>
      <c r="FO202">
        <f t="shared" si="618"/>
        <v>75000</v>
      </c>
      <c r="FP202">
        <f t="shared" ca="1" si="619"/>
        <v>474796</v>
      </c>
      <c r="FQ202">
        <f t="shared" ca="1" si="620"/>
        <v>0</v>
      </c>
      <c r="FR202">
        <f t="shared" ca="1" si="621"/>
        <v>0</v>
      </c>
      <c r="FS202">
        <f t="shared" ca="1" si="622"/>
        <v>0</v>
      </c>
      <c r="FT202">
        <f t="shared" ca="1" si="623"/>
        <v>0</v>
      </c>
      <c r="FU202">
        <f t="shared" ca="1" si="624"/>
        <v>0</v>
      </c>
      <c r="FV202">
        <f t="shared" ca="1" si="625"/>
        <v>0</v>
      </c>
      <c r="FW202">
        <f t="shared" ca="1" si="626"/>
        <v>0</v>
      </c>
      <c r="FX202">
        <f t="shared" ca="1" si="627"/>
        <v>0</v>
      </c>
      <c r="FY202">
        <f t="shared" ca="1" si="628"/>
        <v>0</v>
      </c>
      <c r="FZ202">
        <f t="shared" ca="1" si="629"/>
        <v>0</v>
      </c>
      <c r="GA202">
        <f t="shared" ca="1" si="630"/>
        <v>74796</v>
      </c>
      <c r="GB202">
        <f t="shared" ca="1" si="631"/>
        <v>3739.8</v>
      </c>
      <c r="GC202">
        <f t="shared" ca="1" si="632"/>
        <v>3740</v>
      </c>
      <c r="GD202">
        <f t="shared" ca="1" si="633"/>
        <v>0</v>
      </c>
      <c r="GE202">
        <f t="shared" ca="1" si="634"/>
        <v>0</v>
      </c>
      <c r="GF202">
        <f t="shared" ca="1" si="635"/>
        <v>3740</v>
      </c>
      <c r="GG202">
        <f t="shared" ca="1" si="636"/>
        <v>0</v>
      </c>
      <c r="GH202" t="b">
        <f t="shared" ca="1" si="637"/>
        <v>0</v>
      </c>
      <c r="GI202">
        <f t="shared" ca="1" si="638"/>
        <v>0</v>
      </c>
      <c r="GJ202">
        <f t="shared" ca="1" si="639"/>
        <v>3740</v>
      </c>
      <c r="GK202">
        <f t="shared" ca="1" si="640"/>
        <v>0</v>
      </c>
      <c r="GL202">
        <f t="shared" ca="1" si="641"/>
        <v>0</v>
      </c>
      <c r="GM202">
        <f t="shared" ca="1" si="642"/>
        <v>0</v>
      </c>
    </row>
    <row r="203" spans="1:195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644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38"/>
        <v>3780.0000000000005</v>
      </c>
      <c r="L203">
        <f t="shared" si="539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540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43"/>
        <v>150</v>
      </c>
      <c r="S203">
        <f t="shared" si="541"/>
        <v>32370</v>
      </c>
      <c r="T203">
        <f>_xlfn.XLOOKUP(B203,'[2]april-2025'!$A:$A,'[2]april-2025'!$C:$C,0,0)</f>
        <v>27000</v>
      </c>
      <c r="U203">
        <f t="shared" si="542"/>
        <v>4860</v>
      </c>
      <c r="V203">
        <f t="shared" si="543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44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45"/>
        <v>150</v>
      </c>
      <c r="AC203">
        <f t="shared" si="546"/>
        <v>33450</v>
      </c>
      <c r="AD203">
        <f>_xlfn.XLOOKUP(B203,'[3]may-2025'!$A:$A,'[3]may-2025'!$C:$C,0,0)</f>
        <v>31600</v>
      </c>
      <c r="AE203">
        <f t="shared" si="547"/>
        <v>5688</v>
      </c>
      <c r="AF203">
        <f t="shared" si="54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49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50"/>
        <v>200</v>
      </c>
      <c r="AM203">
        <f t="shared" si="551"/>
        <v>39380</v>
      </c>
      <c r="AN203">
        <f>_xlfn.XLOOKUP(B203,'[4]june-2025'!$A:$A,'[4]june-2025'!$C:$C,0,0)</f>
        <v>31600</v>
      </c>
      <c r="AO203">
        <f t="shared" si="552"/>
        <v>5688</v>
      </c>
      <c r="AP203">
        <f t="shared" si="553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54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55"/>
        <v>200</v>
      </c>
      <c r="AW203">
        <f t="shared" si="556"/>
        <v>39380</v>
      </c>
      <c r="AX203">
        <f>_xlfn.XLOOKUP(B203,'[5]july-2025'!$A:$A,'[5]july-2025'!$C:$C,0,0)</f>
        <v>32500</v>
      </c>
      <c r="AY203">
        <f t="shared" si="557"/>
        <v>5850</v>
      </c>
      <c r="AZ203">
        <v>0</v>
      </c>
      <c r="BA203">
        <f t="shared" si="558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59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60"/>
        <v>200</v>
      </c>
      <c r="BH203">
        <f t="shared" si="561"/>
        <v>40550</v>
      </c>
      <c r="BI203">
        <f>_xlfn.XLOOKUP(B203,'[6]august-2025'!$A:$A,'[6]august-2025'!$C:$C,0,0)</f>
        <v>32500</v>
      </c>
      <c r="BJ203">
        <f t="shared" si="562"/>
        <v>5850</v>
      </c>
      <c r="BK203">
        <f t="shared" si="563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64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65"/>
        <v>200</v>
      </c>
      <c r="BR203">
        <f t="shared" si="566"/>
        <v>40550</v>
      </c>
      <c r="BS203">
        <f>_xlfn.XLOOKUP(B203,'[7]september-2025'!$A:$A,'[7]september-2025'!$C:$C,0,0)</f>
        <v>32500</v>
      </c>
      <c r="BT203">
        <f t="shared" si="567"/>
        <v>5850</v>
      </c>
      <c r="BU203">
        <f t="shared" si="568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69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70"/>
        <v>200</v>
      </c>
      <c r="CB203">
        <f t="shared" si="571"/>
        <v>40550</v>
      </c>
      <c r="CC203">
        <f>_xlfn.XLOOKUP(B203,'[8]october-2025'!$A:$A,'[8]october-2025'!$C:$C,0,0)</f>
        <v>32500</v>
      </c>
      <c r="CD203">
        <f t="shared" si="572"/>
        <v>5850</v>
      </c>
      <c r="CE203">
        <f t="shared" si="573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7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75"/>
        <v>200</v>
      </c>
      <c r="CL203">
        <f t="shared" si="576"/>
        <v>40550</v>
      </c>
      <c r="CM203">
        <f>_xlfn.XLOOKUP(B203,'[9]november-2025'!$A:$A,'[9]november-2025'!$C:$C,0,0)</f>
        <v>32500</v>
      </c>
      <c r="CN203">
        <f t="shared" si="577"/>
        <v>5850</v>
      </c>
      <c r="CO203">
        <f t="shared" si="578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79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80"/>
        <v>200</v>
      </c>
      <c r="CV203">
        <f t="shared" si="581"/>
        <v>40550</v>
      </c>
      <c r="CW203">
        <f>_xlfn.XLOOKUP(B203,'[10]december-2025'!$A:$A,'[10]december-2025'!$C:$C,0,0)</f>
        <v>32500</v>
      </c>
      <c r="CX203">
        <f t="shared" si="582"/>
        <v>5850</v>
      </c>
      <c r="CY203">
        <f t="shared" si="583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84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85"/>
        <v>200</v>
      </c>
      <c r="DF203">
        <f t="shared" si="586"/>
        <v>40550</v>
      </c>
      <c r="DG203">
        <f>_xlfn.XLOOKUP(B203,'[11]january-2026'!$A:$A,'[11]january-2026'!$C:$C,0,0)</f>
        <v>32500</v>
      </c>
      <c r="DH203">
        <f t="shared" si="587"/>
        <v>5850</v>
      </c>
      <c r="DI203">
        <f t="shared" si="588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9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90"/>
        <v>200</v>
      </c>
      <c r="DP203">
        <f t="shared" si="591"/>
        <v>40550</v>
      </c>
      <c r="DQ203">
        <f>_xlfn.XLOOKUP(B203,'[12]february-2026'!$A:$A,'[12]february-2026'!$C:$C,0,0)</f>
        <v>32500</v>
      </c>
      <c r="DR203">
        <f t="shared" si="592"/>
        <v>5850</v>
      </c>
      <c r="DS203">
        <f t="shared" si="59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4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5"/>
        <v>200</v>
      </c>
      <c r="DZ203">
        <f t="shared" si="596"/>
        <v>40550</v>
      </c>
      <c r="EA203">
        <f t="shared" si="597"/>
        <v>502080</v>
      </c>
      <c r="EB203">
        <f t="shared" si="598"/>
        <v>2300</v>
      </c>
      <c r="EC203">
        <f t="shared" si="599"/>
        <v>50000</v>
      </c>
      <c r="ED203">
        <v>0</v>
      </c>
      <c r="EE203">
        <f t="shared" si="600"/>
        <v>449780</v>
      </c>
      <c r="EF203">
        <f t="shared" si="601"/>
        <v>24000</v>
      </c>
      <c r="EG203">
        <f t="shared" si="602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3"/>
        <v>24000</v>
      </c>
      <c r="ES203">
        <f t="shared" si="604"/>
        <v>24000</v>
      </c>
      <c r="ET203">
        <f t="shared" si="605"/>
        <v>425780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6"/>
        <v>0</v>
      </c>
      <c r="FC203">
        <f t="shared" si="607"/>
        <v>425780</v>
      </c>
      <c r="FD203">
        <f t="shared" si="608"/>
        <v>8789</v>
      </c>
      <c r="FE203">
        <f t="shared" si="609"/>
        <v>0</v>
      </c>
      <c r="FF203">
        <f t="shared" si="610"/>
        <v>8789</v>
      </c>
      <c r="FG203">
        <f t="shared" si="611"/>
        <v>0</v>
      </c>
      <c r="FH203">
        <f t="shared" si="612"/>
        <v>0</v>
      </c>
      <c r="FI203">
        <f t="shared" si="613"/>
        <v>0</v>
      </c>
      <c r="FJ203">
        <v>0</v>
      </c>
      <c r="FK203">
        <f t="shared" si="614"/>
        <v>0</v>
      </c>
      <c r="FL203" t="b">
        <f t="shared" si="615"/>
        <v>1</v>
      </c>
      <c r="FM203">
        <f t="shared" ca="1" si="616"/>
        <v>622</v>
      </c>
      <c r="FN203">
        <f t="shared" ca="1" si="617"/>
        <v>502702</v>
      </c>
      <c r="FO203">
        <f t="shared" si="618"/>
        <v>75000</v>
      </c>
      <c r="FP203">
        <f t="shared" ca="1" si="619"/>
        <v>427702</v>
      </c>
      <c r="FQ203">
        <f t="shared" ca="1" si="620"/>
        <v>0</v>
      </c>
      <c r="FR203">
        <f t="shared" ca="1" si="621"/>
        <v>0</v>
      </c>
      <c r="FS203">
        <f t="shared" ca="1" si="622"/>
        <v>0</v>
      </c>
      <c r="FT203">
        <f t="shared" ca="1" si="623"/>
        <v>0</v>
      </c>
      <c r="FU203">
        <f t="shared" ca="1" si="624"/>
        <v>0</v>
      </c>
      <c r="FV203">
        <f t="shared" ca="1" si="625"/>
        <v>0</v>
      </c>
      <c r="FW203">
        <f t="shared" ca="1" si="626"/>
        <v>0</v>
      </c>
      <c r="FX203">
        <f t="shared" ca="1" si="627"/>
        <v>0</v>
      </c>
      <c r="FY203">
        <f t="shared" ca="1" si="628"/>
        <v>0</v>
      </c>
      <c r="FZ203">
        <f t="shared" ca="1" si="629"/>
        <v>0</v>
      </c>
      <c r="GA203">
        <f t="shared" ca="1" si="630"/>
        <v>27702</v>
      </c>
      <c r="GB203">
        <f t="shared" ca="1" si="631"/>
        <v>1385.1000000000001</v>
      </c>
      <c r="GC203">
        <f t="shared" ca="1" si="632"/>
        <v>1385</v>
      </c>
      <c r="GD203">
        <f t="shared" ca="1" si="633"/>
        <v>0</v>
      </c>
      <c r="GE203">
        <f t="shared" ca="1" si="634"/>
        <v>0</v>
      </c>
      <c r="GF203">
        <f t="shared" ca="1" si="635"/>
        <v>1385</v>
      </c>
      <c r="GG203">
        <f t="shared" ca="1" si="636"/>
        <v>0</v>
      </c>
      <c r="GH203" t="b">
        <f t="shared" ca="1" si="637"/>
        <v>0</v>
      </c>
      <c r="GI203">
        <f t="shared" ca="1" si="638"/>
        <v>0</v>
      </c>
      <c r="GJ203">
        <f t="shared" ca="1" si="639"/>
        <v>1385</v>
      </c>
      <c r="GK203">
        <f t="shared" ca="1" si="640"/>
        <v>0</v>
      </c>
      <c r="GL203">
        <f t="shared" ca="1" si="641"/>
        <v>0</v>
      </c>
      <c r="GM203">
        <f t="shared" ca="1" si="642"/>
        <v>0</v>
      </c>
    </row>
    <row r="204" spans="1:195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644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38"/>
        <v>0</v>
      </c>
      <c r="L204">
        <f t="shared" si="539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540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43"/>
        <v>0</v>
      </c>
      <c r="S204">
        <f t="shared" si="541"/>
        <v>0</v>
      </c>
      <c r="T204">
        <f>_xlfn.XLOOKUP(B204,'[2]april-2025'!$A:$A,'[2]april-2025'!$C:$C,0,0)</f>
        <v>0</v>
      </c>
      <c r="U204">
        <f t="shared" si="542"/>
        <v>0</v>
      </c>
      <c r="V204">
        <f t="shared" si="543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44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45"/>
        <v>0</v>
      </c>
      <c r="AC204">
        <f t="shared" si="546"/>
        <v>0</v>
      </c>
      <c r="AD204">
        <f>_xlfn.XLOOKUP(B204,'[3]may-2025'!$A:$A,'[3]may-2025'!$C:$C,0,0)</f>
        <v>24700</v>
      </c>
      <c r="AE204">
        <f t="shared" si="547"/>
        <v>4446</v>
      </c>
      <c r="AF204">
        <f t="shared" si="54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49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50"/>
        <v>0</v>
      </c>
      <c r="AM204">
        <f t="shared" si="551"/>
        <v>32110</v>
      </c>
      <c r="AN204">
        <f>_xlfn.XLOOKUP(B204,'[4]june-2025'!$A:$A,'[4]june-2025'!$C:$C,0,0)</f>
        <v>24700</v>
      </c>
      <c r="AO204">
        <f t="shared" si="552"/>
        <v>4446</v>
      </c>
      <c r="AP204">
        <f t="shared" si="553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54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55"/>
        <v>0</v>
      </c>
      <c r="AW204">
        <f t="shared" si="556"/>
        <v>32110</v>
      </c>
      <c r="AX204">
        <f>_xlfn.XLOOKUP(B204,'[5]july-2025'!$A:$A,'[5]july-2025'!$C:$C,0,0)</f>
        <v>24700</v>
      </c>
      <c r="AY204">
        <f t="shared" si="557"/>
        <v>4446</v>
      </c>
      <c r="AZ204">
        <v>0</v>
      </c>
      <c r="BA204">
        <f t="shared" si="558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59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60"/>
        <v>0</v>
      </c>
      <c r="BH204">
        <f t="shared" si="561"/>
        <v>32110</v>
      </c>
      <c r="BI204">
        <f>_xlfn.XLOOKUP(B204,'[6]august-2025'!$A:$A,'[6]august-2025'!$C:$C,0,0)</f>
        <v>24700</v>
      </c>
      <c r="BJ204">
        <f t="shared" si="562"/>
        <v>4446</v>
      </c>
      <c r="BK204">
        <f t="shared" si="563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64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65"/>
        <v>0</v>
      </c>
      <c r="BR204">
        <f t="shared" si="566"/>
        <v>32110</v>
      </c>
      <c r="BS204">
        <f>_xlfn.XLOOKUP(B204,'[7]september-2025'!$A:$A,'[7]september-2025'!$C:$C,0,0)</f>
        <v>24700</v>
      </c>
      <c r="BT204">
        <f t="shared" si="567"/>
        <v>4446</v>
      </c>
      <c r="BU204">
        <f t="shared" si="568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69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70"/>
        <v>0</v>
      </c>
      <c r="CB204">
        <f t="shared" si="571"/>
        <v>32110</v>
      </c>
      <c r="CC204">
        <f>_xlfn.XLOOKUP(B204,'[8]october-2025'!$A:$A,'[8]october-2025'!$C:$C,0,0)</f>
        <v>24700</v>
      </c>
      <c r="CD204">
        <f t="shared" si="572"/>
        <v>4446</v>
      </c>
      <c r="CE204">
        <f t="shared" si="573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7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75"/>
        <v>0</v>
      </c>
      <c r="CL204">
        <f t="shared" si="576"/>
        <v>32110</v>
      </c>
      <c r="CM204">
        <f>_xlfn.XLOOKUP(B204,'[9]november-2025'!$A:$A,'[9]november-2025'!$C:$C,0,0)</f>
        <v>24700</v>
      </c>
      <c r="CN204">
        <f t="shared" si="577"/>
        <v>4446</v>
      </c>
      <c r="CO204">
        <f t="shared" si="578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79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80"/>
        <v>0</v>
      </c>
      <c r="CV204">
        <f t="shared" si="581"/>
        <v>32110</v>
      </c>
      <c r="CW204">
        <f>_xlfn.XLOOKUP(B204,'[10]december-2025'!$A:$A,'[10]december-2025'!$C:$C,0,0)</f>
        <v>24700</v>
      </c>
      <c r="CX204">
        <f t="shared" si="582"/>
        <v>4446</v>
      </c>
      <c r="CY204">
        <f t="shared" si="583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84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85"/>
        <v>0</v>
      </c>
      <c r="DF204">
        <f t="shared" si="586"/>
        <v>32110</v>
      </c>
      <c r="DG204">
        <f>_xlfn.XLOOKUP(B204,'[11]january-2026'!$A:$A,'[11]january-2026'!$C:$C,0,0)</f>
        <v>24700</v>
      </c>
      <c r="DH204">
        <f t="shared" si="587"/>
        <v>4446</v>
      </c>
      <c r="DI204">
        <f t="shared" si="588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9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90"/>
        <v>0</v>
      </c>
      <c r="DP204">
        <f t="shared" si="591"/>
        <v>30110</v>
      </c>
      <c r="DQ204">
        <f>_xlfn.XLOOKUP(B204,'[12]february-2026'!$A:$A,'[12]february-2026'!$C:$C,0,0)</f>
        <v>24700</v>
      </c>
      <c r="DR204">
        <f t="shared" si="592"/>
        <v>4446</v>
      </c>
      <c r="DS204">
        <f t="shared" si="59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4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5"/>
        <v>0</v>
      </c>
      <c r="DZ204">
        <f t="shared" si="596"/>
        <v>30110</v>
      </c>
      <c r="EA204">
        <f t="shared" si="597"/>
        <v>321100</v>
      </c>
      <c r="EB204">
        <f t="shared" si="598"/>
        <v>0</v>
      </c>
      <c r="EC204">
        <f t="shared" si="599"/>
        <v>50000</v>
      </c>
      <c r="ED204">
        <v>0</v>
      </c>
      <c r="EE204">
        <f t="shared" si="600"/>
        <v>271100</v>
      </c>
      <c r="EF204">
        <f t="shared" si="601"/>
        <v>4000</v>
      </c>
      <c r="EG204">
        <f t="shared" si="602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3"/>
        <v>4000</v>
      </c>
      <c r="ES204">
        <f t="shared" si="604"/>
        <v>4000</v>
      </c>
      <c r="ET204">
        <f t="shared" si="605"/>
        <v>267100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6"/>
        <v>50000</v>
      </c>
      <c r="FC204">
        <f t="shared" si="607"/>
        <v>217100</v>
      </c>
      <c r="FD204">
        <f t="shared" si="608"/>
        <v>-1645</v>
      </c>
      <c r="FE204">
        <f t="shared" si="609"/>
        <v>0</v>
      </c>
      <c r="FF204">
        <f t="shared" si="610"/>
        <v>-1645</v>
      </c>
      <c r="FG204">
        <f t="shared" si="611"/>
        <v>0</v>
      </c>
      <c r="FH204">
        <f t="shared" si="612"/>
        <v>0</v>
      </c>
      <c r="FI204">
        <f t="shared" si="613"/>
        <v>0</v>
      </c>
      <c r="FJ204">
        <v>0</v>
      </c>
      <c r="FK204">
        <f t="shared" si="614"/>
        <v>0</v>
      </c>
      <c r="FL204" t="b">
        <f t="shared" si="615"/>
        <v>0</v>
      </c>
      <c r="FM204">
        <f t="shared" ca="1" si="616"/>
        <v>1434</v>
      </c>
      <c r="FN204">
        <f t="shared" ca="1" si="617"/>
        <v>322534</v>
      </c>
      <c r="FO204">
        <f t="shared" si="618"/>
        <v>75000</v>
      </c>
      <c r="FP204">
        <f t="shared" ca="1" si="619"/>
        <v>247534</v>
      </c>
      <c r="FQ204">
        <f t="shared" ca="1" si="620"/>
        <v>0</v>
      </c>
      <c r="FR204">
        <f t="shared" ca="1" si="621"/>
        <v>0</v>
      </c>
      <c r="FS204">
        <f t="shared" ca="1" si="622"/>
        <v>0</v>
      </c>
      <c r="FT204">
        <f t="shared" ca="1" si="623"/>
        <v>0</v>
      </c>
      <c r="FU204">
        <f t="shared" ca="1" si="624"/>
        <v>0</v>
      </c>
      <c r="FV204">
        <f t="shared" ca="1" si="625"/>
        <v>0</v>
      </c>
      <c r="FW204">
        <f t="shared" ca="1" si="626"/>
        <v>0</v>
      </c>
      <c r="FX204">
        <f t="shared" ca="1" si="627"/>
        <v>0</v>
      </c>
      <c r="FY204">
        <f t="shared" ca="1" si="628"/>
        <v>0</v>
      </c>
      <c r="FZ204">
        <f t="shared" ca="1" si="629"/>
        <v>0</v>
      </c>
      <c r="GA204">
        <f t="shared" ca="1" si="630"/>
        <v>0</v>
      </c>
      <c r="GB204">
        <f t="shared" ca="1" si="631"/>
        <v>0</v>
      </c>
      <c r="GC204">
        <f t="shared" ca="1" si="632"/>
        <v>0</v>
      </c>
      <c r="GD204">
        <f t="shared" ca="1" si="633"/>
        <v>0</v>
      </c>
      <c r="GE204">
        <f t="shared" ca="1" si="634"/>
        <v>0</v>
      </c>
      <c r="GF204">
        <f t="shared" ca="1" si="635"/>
        <v>0</v>
      </c>
      <c r="GG204">
        <f t="shared" ca="1" si="636"/>
        <v>0</v>
      </c>
      <c r="GH204" t="b">
        <f t="shared" ca="1" si="637"/>
        <v>0</v>
      </c>
      <c r="GI204">
        <f t="shared" ca="1" si="638"/>
        <v>0</v>
      </c>
      <c r="GJ204">
        <f t="shared" ca="1" si="639"/>
        <v>0</v>
      </c>
      <c r="GK204">
        <f t="shared" ca="1" si="640"/>
        <v>0</v>
      </c>
      <c r="GL204">
        <f t="shared" ca="1" si="641"/>
        <v>0</v>
      </c>
      <c r="GM204">
        <f t="shared" ca="1" si="642"/>
        <v>0</v>
      </c>
    </row>
    <row r="205" spans="1:195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644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38"/>
        <v>7238.0000000000009</v>
      </c>
      <c r="L205">
        <f t="shared" si="539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540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43"/>
        <v>200</v>
      </c>
      <c r="S205">
        <f t="shared" si="541"/>
        <v>55842</v>
      </c>
      <c r="T205">
        <f>_xlfn.XLOOKUP(B205,'[2]april-2025'!$A:$A,'[2]april-2025'!$C:$C,0,0)</f>
        <v>51700</v>
      </c>
      <c r="U205">
        <f t="shared" si="542"/>
        <v>9306</v>
      </c>
      <c r="V205">
        <f t="shared" si="543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44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45"/>
        <v>200</v>
      </c>
      <c r="AC205">
        <f t="shared" si="546"/>
        <v>57910</v>
      </c>
      <c r="AD205">
        <f>_xlfn.XLOOKUP(B205,'[3]may-2025'!$A:$A,'[3]may-2025'!$C:$C,0,0)</f>
        <v>51700</v>
      </c>
      <c r="AE205">
        <f t="shared" si="547"/>
        <v>9306</v>
      </c>
      <c r="AF205">
        <f t="shared" si="54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49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50"/>
        <v>200</v>
      </c>
      <c r="AM205">
        <f t="shared" si="551"/>
        <v>57910</v>
      </c>
      <c r="AN205">
        <f>_xlfn.XLOOKUP(B205,'[4]june-2025'!$A:$A,'[4]june-2025'!$C:$C,0,0)</f>
        <v>51700</v>
      </c>
      <c r="AO205">
        <f t="shared" si="552"/>
        <v>9306</v>
      </c>
      <c r="AP205">
        <f t="shared" si="553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54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55"/>
        <v>200</v>
      </c>
      <c r="AW205">
        <f t="shared" si="556"/>
        <v>57910</v>
      </c>
      <c r="AX205">
        <f>_xlfn.XLOOKUP(B205,'[5]july-2025'!$A:$A,'[5]july-2025'!$C:$C,0,0)</f>
        <v>53300</v>
      </c>
      <c r="AY205">
        <f t="shared" si="557"/>
        <v>9594</v>
      </c>
      <c r="AZ205">
        <v>0</v>
      </c>
      <c r="BA205">
        <f t="shared" si="558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59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60"/>
        <v>200</v>
      </c>
      <c r="BH205">
        <f t="shared" si="561"/>
        <v>59990</v>
      </c>
      <c r="BI205">
        <f>_xlfn.XLOOKUP(B205,'[6]august-2025'!$A:$A,'[6]august-2025'!$C:$C,0,0)</f>
        <v>53300</v>
      </c>
      <c r="BJ205">
        <f t="shared" si="562"/>
        <v>9594</v>
      </c>
      <c r="BK205">
        <f t="shared" si="563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64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65"/>
        <v>200</v>
      </c>
      <c r="BR205">
        <f t="shared" si="566"/>
        <v>59990</v>
      </c>
      <c r="BS205">
        <f>_xlfn.XLOOKUP(B205,'[7]september-2025'!$A:$A,'[7]september-2025'!$C:$C,0,0)</f>
        <v>53300</v>
      </c>
      <c r="BT205">
        <f t="shared" si="567"/>
        <v>9594</v>
      </c>
      <c r="BU205">
        <f t="shared" si="568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69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70"/>
        <v>200</v>
      </c>
      <c r="CB205">
        <f t="shared" si="571"/>
        <v>59990</v>
      </c>
      <c r="CC205">
        <f>_xlfn.XLOOKUP(B205,'[8]october-2025'!$A:$A,'[8]october-2025'!$C:$C,0,0)</f>
        <v>53300</v>
      </c>
      <c r="CD205">
        <f t="shared" si="572"/>
        <v>9594</v>
      </c>
      <c r="CE205">
        <f t="shared" si="573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7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75"/>
        <v>200</v>
      </c>
      <c r="CL205">
        <f t="shared" si="576"/>
        <v>59990</v>
      </c>
      <c r="CM205">
        <f>_xlfn.XLOOKUP(B205,'[9]november-2025'!$A:$A,'[9]november-2025'!$C:$C,0,0)</f>
        <v>53300</v>
      </c>
      <c r="CN205">
        <f t="shared" si="577"/>
        <v>9594</v>
      </c>
      <c r="CO205">
        <f t="shared" si="578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79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80"/>
        <v>200</v>
      </c>
      <c r="CV205">
        <f t="shared" si="581"/>
        <v>59990</v>
      </c>
      <c r="CW205">
        <f>_xlfn.XLOOKUP(B205,'[10]december-2025'!$A:$A,'[10]december-2025'!$C:$C,0,0)</f>
        <v>53300</v>
      </c>
      <c r="CX205">
        <f t="shared" si="582"/>
        <v>9594</v>
      </c>
      <c r="CY205">
        <f t="shared" si="583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84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85"/>
        <v>200</v>
      </c>
      <c r="DF205">
        <f t="shared" si="586"/>
        <v>59990</v>
      </c>
      <c r="DG205">
        <f>_xlfn.XLOOKUP(B205,'[11]january-2026'!$A:$A,'[11]january-2026'!$C:$C,0,0)</f>
        <v>53300</v>
      </c>
      <c r="DH205">
        <f t="shared" si="587"/>
        <v>9594</v>
      </c>
      <c r="DI205">
        <f t="shared" si="588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9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90"/>
        <v>200</v>
      </c>
      <c r="DP205">
        <f t="shared" si="591"/>
        <v>59990</v>
      </c>
      <c r="DQ205">
        <f>_xlfn.XLOOKUP(B205,'[12]february-2026'!$A:$A,'[12]february-2026'!$C:$C,0,0)</f>
        <v>53300</v>
      </c>
      <c r="DR205">
        <f t="shared" si="592"/>
        <v>9594</v>
      </c>
      <c r="DS205">
        <f t="shared" si="59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4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5"/>
        <v>200</v>
      </c>
      <c r="DZ205">
        <f t="shared" si="596"/>
        <v>59990</v>
      </c>
      <c r="EA205">
        <f t="shared" si="597"/>
        <v>838692</v>
      </c>
      <c r="EB205">
        <f t="shared" si="598"/>
        <v>2400</v>
      </c>
      <c r="EC205">
        <f t="shared" si="599"/>
        <v>50000</v>
      </c>
      <c r="ED205">
        <v>0</v>
      </c>
      <c r="EE205">
        <f t="shared" si="600"/>
        <v>786292</v>
      </c>
      <c r="EF205">
        <f t="shared" si="601"/>
        <v>120000</v>
      </c>
      <c r="EG205">
        <f t="shared" si="602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3"/>
        <v>120000</v>
      </c>
      <c r="ES205">
        <f t="shared" si="604"/>
        <v>120000</v>
      </c>
      <c r="ET205">
        <f t="shared" si="605"/>
        <v>666292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6"/>
        <v>0</v>
      </c>
      <c r="FC205">
        <f t="shared" si="607"/>
        <v>666292</v>
      </c>
      <c r="FD205">
        <f t="shared" si="608"/>
        <v>12500</v>
      </c>
      <c r="FE205">
        <f t="shared" si="609"/>
        <v>33258</v>
      </c>
      <c r="FF205">
        <f t="shared" si="610"/>
        <v>45758</v>
      </c>
      <c r="FG205">
        <f t="shared" si="611"/>
        <v>45758</v>
      </c>
      <c r="FH205">
        <f t="shared" si="612"/>
        <v>1830.32</v>
      </c>
      <c r="FI205">
        <f t="shared" si="613"/>
        <v>47588</v>
      </c>
      <c r="FJ205">
        <v>0</v>
      </c>
      <c r="FK205">
        <f t="shared" si="614"/>
        <v>47588</v>
      </c>
      <c r="FL205" t="b">
        <f t="shared" si="615"/>
        <v>1</v>
      </c>
      <c r="FM205">
        <f t="shared" ca="1" si="616"/>
        <v>643</v>
      </c>
      <c r="FN205">
        <f t="shared" ca="1" si="617"/>
        <v>839335</v>
      </c>
      <c r="FO205">
        <f t="shared" si="618"/>
        <v>75000</v>
      </c>
      <c r="FP205">
        <f t="shared" ca="1" si="619"/>
        <v>764335</v>
      </c>
      <c r="FQ205">
        <f t="shared" ca="1" si="620"/>
        <v>0</v>
      </c>
      <c r="FR205">
        <f t="shared" ca="1" si="621"/>
        <v>0</v>
      </c>
      <c r="FS205">
        <f t="shared" ca="1" si="622"/>
        <v>0</v>
      </c>
      <c r="FT205">
        <f t="shared" ca="1" si="623"/>
        <v>0</v>
      </c>
      <c r="FU205">
        <f t="shared" ca="1" si="624"/>
        <v>0</v>
      </c>
      <c r="FV205">
        <f t="shared" ca="1" si="625"/>
        <v>0</v>
      </c>
      <c r="FW205">
        <f t="shared" ca="1" si="626"/>
        <v>0</v>
      </c>
      <c r="FX205">
        <f t="shared" ca="1" si="627"/>
        <v>0</v>
      </c>
      <c r="FY205">
        <f t="shared" ca="1" si="628"/>
        <v>0</v>
      </c>
      <c r="FZ205">
        <f t="shared" ca="1" si="629"/>
        <v>0</v>
      </c>
      <c r="GA205">
        <f t="shared" ca="1" si="630"/>
        <v>364335</v>
      </c>
      <c r="GB205">
        <f t="shared" ca="1" si="631"/>
        <v>18216.75</v>
      </c>
      <c r="GC205">
        <f t="shared" ca="1" si="632"/>
        <v>18217</v>
      </c>
      <c r="GD205">
        <f t="shared" ca="1" si="633"/>
        <v>0</v>
      </c>
      <c r="GE205">
        <f t="shared" ca="1" si="634"/>
        <v>0</v>
      </c>
      <c r="GF205">
        <f t="shared" ca="1" si="635"/>
        <v>18217</v>
      </c>
      <c r="GG205">
        <f t="shared" ca="1" si="636"/>
        <v>0</v>
      </c>
      <c r="GH205" t="b">
        <f t="shared" ca="1" si="637"/>
        <v>0</v>
      </c>
      <c r="GI205">
        <f t="shared" ca="1" si="638"/>
        <v>0</v>
      </c>
      <c r="GJ205">
        <f t="shared" ca="1" si="639"/>
        <v>18217</v>
      </c>
      <c r="GK205">
        <f t="shared" ca="1" si="640"/>
        <v>0</v>
      </c>
      <c r="GL205">
        <f t="shared" ca="1" si="641"/>
        <v>0</v>
      </c>
      <c r="GM205">
        <f t="shared" ca="1" si="642"/>
        <v>0</v>
      </c>
    </row>
    <row r="206" spans="1:195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644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38"/>
        <v>6622.0000000000009</v>
      </c>
      <c r="L206">
        <f t="shared" si="539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540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43"/>
        <v>200</v>
      </c>
      <c r="S206">
        <f t="shared" si="541"/>
        <v>54898</v>
      </c>
      <c r="T206">
        <f>_xlfn.XLOOKUP(B206,'[2]april-2025'!$A:$A,'[2]april-2025'!$C:$C,0,0)</f>
        <v>47300</v>
      </c>
      <c r="U206">
        <f t="shared" si="542"/>
        <v>8514</v>
      </c>
      <c r="V206">
        <f t="shared" si="543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44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45"/>
        <v>200</v>
      </c>
      <c r="AC206">
        <f t="shared" si="546"/>
        <v>56790</v>
      </c>
      <c r="AD206">
        <f>_xlfn.XLOOKUP(B206,'[3]may-2025'!$A:$A,'[3]may-2025'!$C:$C,0,0)</f>
        <v>47300</v>
      </c>
      <c r="AE206">
        <f t="shared" si="547"/>
        <v>8514</v>
      </c>
      <c r="AF206">
        <f t="shared" si="54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49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50"/>
        <v>200</v>
      </c>
      <c r="AM206">
        <f t="shared" si="551"/>
        <v>56790</v>
      </c>
      <c r="AN206">
        <f>_xlfn.XLOOKUP(B206,'[4]june-2025'!$A:$A,'[4]june-2025'!$C:$C,0,0)</f>
        <v>47300</v>
      </c>
      <c r="AO206">
        <f t="shared" si="552"/>
        <v>8514</v>
      </c>
      <c r="AP206">
        <f t="shared" si="553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54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55"/>
        <v>200</v>
      </c>
      <c r="AW206">
        <f t="shared" si="556"/>
        <v>56790</v>
      </c>
      <c r="AX206">
        <f>_xlfn.XLOOKUP(B206,'[5]july-2025'!$A:$A,'[5]july-2025'!$C:$C,0,0)</f>
        <v>48700</v>
      </c>
      <c r="AY206">
        <f t="shared" si="557"/>
        <v>8766</v>
      </c>
      <c r="AZ206">
        <v>0</v>
      </c>
      <c r="BA206">
        <f t="shared" si="558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59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60"/>
        <v>200</v>
      </c>
      <c r="BH206">
        <f t="shared" si="561"/>
        <v>58610</v>
      </c>
      <c r="BI206">
        <f>_xlfn.XLOOKUP(B206,'[6]august-2025'!$A:$A,'[6]august-2025'!$C:$C,0,0)</f>
        <v>48700</v>
      </c>
      <c r="BJ206">
        <f t="shared" si="562"/>
        <v>8766</v>
      </c>
      <c r="BK206">
        <f t="shared" si="563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64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65"/>
        <v>200</v>
      </c>
      <c r="BR206">
        <f t="shared" si="566"/>
        <v>58610</v>
      </c>
      <c r="BS206">
        <f>_xlfn.XLOOKUP(B206,'[7]september-2025'!$A:$A,'[7]september-2025'!$C:$C,0,0)</f>
        <v>48700</v>
      </c>
      <c r="BT206">
        <f t="shared" si="567"/>
        <v>8766</v>
      </c>
      <c r="BU206">
        <f t="shared" si="568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69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70"/>
        <v>200</v>
      </c>
      <c r="CB206">
        <f t="shared" si="571"/>
        <v>58610</v>
      </c>
      <c r="CC206">
        <f>_xlfn.XLOOKUP(B206,'[8]october-2025'!$A:$A,'[8]october-2025'!$C:$C,0,0)</f>
        <v>48700</v>
      </c>
      <c r="CD206">
        <f t="shared" si="572"/>
        <v>8766</v>
      </c>
      <c r="CE206">
        <f t="shared" si="573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7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75"/>
        <v>200</v>
      </c>
      <c r="CL206">
        <f t="shared" si="576"/>
        <v>58610</v>
      </c>
      <c r="CM206">
        <f>_xlfn.XLOOKUP(B206,'[9]november-2025'!$A:$A,'[9]november-2025'!$C:$C,0,0)</f>
        <v>48700</v>
      </c>
      <c r="CN206">
        <f t="shared" si="577"/>
        <v>8766</v>
      </c>
      <c r="CO206">
        <f t="shared" si="578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79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80"/>
        <v>200</v>
      </c>
      <c r="CV206">
        <f t="shared" si="581"/>
        <v>58610</v>
      </c>
      <c r="CW206">
        <f>_xlfn.XLOOKUP(B206,'[10]december-2025'!$A:$A,'[10]december-2025'!$C:$C,0,0)</f>
        <v>48700</v>
      </c>
      <c r="CX206">
        <f t="shared" si="582"/>
        <v>8766</v>
      </c>
      <c r="CY206">
        <f t="shared" si="583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84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85"/>
        <v>200</v>
      </c>
      <c r="DF206">
        <f t="shared" si="586"/>
        <v>58610</v>
      </c>
      <c r="DG206">
        <f>_xlfn.XLOOKUP(B206,'[11]january-2026'!$A:$A,'[11]january-2026'!$C:$C,0,0)</f>
        <v>48700</v>
      </c>
      <c r="DH206">
        <f t="shared" si="587"/>
        <v>8766</v>
      </c>
      <c r="DI206">
        <f t="shared" si="588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9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90"/>
        <v>200</v>
      </c>
      <c r="DP206">
        <f t="shared" si="591"/>
        <v>58610</v>
      </c>
      <c r="DQ206">
        <f>_xlfn.XLOOKUP(B206,'[12]february-2026'!$A:$A,'[12]february-2026'!$C:$C,0,0)</f>
        <v>48700</v>
      </c>
      <c r="DR206">
        <f t="shared" si="592"/>
        <v>8766</v>
      </c>
      <c r="DS206">
        <f t="shared" si="59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4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5"/>
        <v>200</v>
      </c>
      <c r="DZ206">
        <f t="shared" si="596"/>
        <v>58610</v>
      </c>
      <c r="EA206">
        <f t="shared" si="597"/>
        <v>763348</v>
      </c>
      <c r="EB206">
        <f t="shared" si="598"/>
        <v>2400</v>
      </c>
      <c r="EC206">
        <f t="shared" si="599"/>
        <v>50000</v>
      </c>
      <c r="ED206">
        <v>0</v>
      </c>
      <c r="EE206">
        <f t="shared" si="600"/>
        <v>710948</v>
      </c>
      <c r="EF206">
        <f t="shared" si="601"/>
        <v>60000</v>
      </c>
      <c r="EG206">
        <f t="shared" si="602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3"/>
        <v>60000</v>
      </c>
      <c r="ES206">
        <f t="shared" si="604"/>
        <v>60000</v>
      </c>
      <c r="ET206">
        <f t="shared" si="605"/>
        <v>650948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6"/>
        <v>0</v>
      </c>
      <c r="FC206">
        <f t="shared" si="607"/>
        <v>650948</v>
      </c>
      <c r="FD206">
        <f t="shared" si="608"/>
        <v>12500</v>
      </c>
      <c r="FE206">
        <f t="shared" si="609"/>
        <v>30190</v>
      </c>
      <c r="FF206">
        <f t="shared" si="610"/>
        <v>42690</v>
      </c>
      <c r="FG206">
        <f t="shared" si="611"/>
        <v>42690</v>
      </c>
      <c r="FH206">
        <f t="shared" si="612"/>
        <v>1707.6000000000001</v>
      </c>
      <c r="FI206">
        <f t="shared" si="613"/>
        <v>44398</v>
      </c>
      <c r="FJ206">
        <v>0</v>
      </c>
      <c r="FK206">
        <f t="shared" si="614"/>
        <v>44398</v>
      </c>
      <c r="FL206" t="b">
        <f t="shared" si="615"/>
        <v>1</v>
      </c>
      <c r="FM206">
        <f t="shared" ca="1" si="616"/>
        <v>505</v>
      </c>
      <c r="FN206">
        <f t="shared" ca="1" si="617"/>
        <v>763853</v>
      </c>
      <c r="FO206">
        <f t="shared" si="618"/>
        <v>75000</v>
      </c>
      <c r="FP206">
        <f t="shared" ca="1" si="619"/>
        <v>688853</v>
      </c>
      <c r="FQ206">
        <f t="shared" ca="1" si="620"/>
        <v>0</v>
      </c>
      <c r="FR206">
        <f t="shared" ca="1" si="621"/>
        <v>0</v>
      </c>
      <c r="FS206">
        <f t="shared" ca="1" si="622"/>
        <v>0</v>
      </c>
      <c r="FT206">
        <f t="shared" ca="1" si="623"/>
        <v>0</v>
      </c>
      <c r="FU206">
        <f t="shared" ca="1" si="624"/>
        <v>0</v>
      </c>
      <c r="FV206">
        <f t="shared" ca="1" si="625"/>
        <v>0</v>
      </c>
      <c r="FW206">
        <f t="shared" ca="1" si="626"/>
        <v>0</v>
      </c>
      <c r="FX206">
        <f t="shared" ca="1" si="627"/>
        <v>0</v>
      </c>
      <c r="FY206">
        <f t="shared" ca="1" si="628"/>
        <v>0</v>
      </c>
      <c r="FZ206">
        <f t="shared" ca="1" si="629"/>
        <v>0</v>
      </c>
      <c r="GA206">
        <f t="shared" ca="1" si="630"/>
        <v>288853</v>
      </c>
      <c r="GB206">
        <f t="shared" ca="1" si="631"/>
        <v>14442.650000000001</v>
      </c>
      <c r="GC206">
        <f t="shared" ca="1" si="632"/>
        <v>14443</v>
      </c>
      <c r="GD206">
        <f t="shared" ca="1" si="633"/>
        <v>0</v>
      </c>
      <c r="GE206">
        <f t="shared" ca="1" si="634"/>
        <v>0</v>
      </c>
      <c r="GF206">
        <f t="shared" ca="1" si="635"/>
        <v>14443</v>
      </c>
      <c r="GG206">
        <f t="shared" ca="1" si="636"/>
        <v>0</v>
      </c>
      <c r="GH206" t="b">
        <f t="shared" ca="1" si="637"/>
        <v>0</v>
      </c>
      <c r="GI206">
        <f t="shared" ca="1" si="638"/>
        <v>0</v>
      </c>
      <c r="GJ206">
        <f t="shared" ca="1" si="639"/>
        <v>14443</v>
      </c>
      <c r="GK206">
        <f t="shared" ca="1" si="640"/>
        <v>0</v>
      </c>
      <c r="GL206">
        <f t="shared" ca="1" si="641"/>
        <v>0</v>
      </c>
      <c r="GM206">
        <f t="shared" ca="1" si="642"/>
        <v>0</v>
      </c>
    </row>
    <row r="207" spans="1:195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644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38"/>
        <v>4690</v>
      </c>
      <c r="L207">
        <f t="shared" si="539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540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43"/>
        <v>200</v>
      </c>
      <c r="S207">
        <f t="shared" si="541"/>
        <v>39510</v>
      </c>
      <c r="T207">
        <f>_xlfn.XLOOKUP(B207,'[2]april-2025'!$A:$A,'[2]april-2025'!$C:$C,0,0)</f>
        <v>33500</v>
      </c>
      <c r="U207">
        <f t="shared" si="542"/>
        <v>6030</v>
      </c>
      <c r="V207">
        <f t="shared" si="543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44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45"/>
        <v>200</v>
      </c>
      <c r="AC207">
        <f t="shared" si="546"/>
        <v>40850</v>
      </c>
      <c r="AD207">
        <f>_xlfn.XLOOKUP(B207,'[3]may-2025'!$A:$A,'[3]may-2025'!$C:$C,0,0)</f>
        <v>33500</v>
      </c>
      <c r="AE207">
        <f t="shared" si="547"/>
        <v>6030</v>
      </c>
      <c r="AF207">
        <f t="shared" si="54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49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50"/>
        <v>200</v>
      </c>
      <c r="AM207">
        <f t="shared" si="551"/>
        <v>40850</v>
      </c>
      <c r="AN207">
        <f>_xlfn.XLOOKUP(B207,'[4]june-2025'!$A:$A,'[4]june-2025'!$C:$C,0,0)</f>
        <v>33500</v>
      </c>
      <c r="AO207">
        <f t="shared" si="552"/>
        <v>6030</v>
      </c>
      <c r="AP207">
        <f t="shared" si="553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54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55"/>
        <v>200</v>
      </c>
      <c r="AW207">
        <f t="shared" si="556"/>
        <v>40850</v>
      </c>
      <c r="AX207">
        <f>_xlfn.XLOOKUP(B207,'[5]july-2025'!$A:$A,'[5]july-2025'!$C:$C,0,0)</f>
        <v>34500</v>
      </c>
      <c r="AY207">
        <f t="shared" si="557"/>
        <v>6210</v>
      </c>
      <c r="AZ207">
        <v>0</v>
      </c>
      <c r="BA207">
        <f t="shared" si="558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59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60"/>
        <v>200</v>
      </c>
      <c r="BH207">
        <f t="shared" si="561"/>
        <v>42150</v>
      </c>
      <c r="BI207">
        <f>_xlfn.XLOOKUP(B207,'[6]august-2025'!$A:$A,'[6]august-2025'!$C:$C,0,0)</f>
        <v>34500</v>
      </c>
      <c r="BJ207">
        <f t="shared" si="562"/>
        <v>6210</v>
      </c>
      <c r="BK207">
        <f t="shared" si="563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64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65"/>
        <v>200</v>
      </c>
      <c r="BR207">
        <f t="shared" si="566"/>
        <v>42150</v>
      </c>
      <c r="BS207">
        <f>_xlfn.XLOOKUP(B207,'[7]september-2025'!$A:$A,'[7]september-2025'!$C:$C,0,0)</f>
        <v>34500</v>
      </c>
      <c r="BT207">
        <f t="shared" si="567"/>
        <v>6210</v>
      </c>
      <c r="BU207">
        <f t="shared" si="568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69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70"/>
        <v>200</v>
      </c>
      <c r="CB207">
        <f t="shared" si="571"/>
        <v>42150</v>
      </c>
      <c r="CC207">
        <f>_xlfn.XLOOKUP(B207,'[8]october-2025'!$A:$A,'[8]october-2025'!$C:$C,0,0)</f>
        <v>34500</v>
      </c>
      <c r="CD207">
        <f t="shared" si="572"/>
        <v>6210</v>
      </c>
      <c r="CE207">
        <f t="shared" si="573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7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75"/>
        <v>200</v>
      </c>
      <c r="CL207">
        <f t="shared" si="576"/>
        <v>42150</v>
      </c>
      <c r="CM207">
        <f>_xlfn.XLOOKUP(B207,'[9]november-2025'!$A:$A,'[9]november-2025'!$C:$C,0,0)</f>
        <v>34500</v>
      </c>
      <c r="CN207">
        <f t="shared" si="577"/>
        <v>6210</v>
      </c>
      <c r="CO207">
        <f t="shared" si="578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79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80"/>
        <v>200</v>
      </c>
      <c r="CV207">
        <f t="shared" si="581"/>
        <v>42150</v>
      </c>
      <c r="CW207">
        <f>_xlfn.XLOOKUP(B207,'[10]december-2025'!$A:$A,'[10]december-2025'!$C:$C,0,0)</f>
        <v>34500</v>
      </c>
      <c r="CX207">
        <f t="shared" si="582"/>
        <v>6210</v>
      </c>
      <c r="CY207">
        <f t="shared" si="583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84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85"/>
        <v>200</v>
      </c>
      <c r="DF207">
        <f t="shared" si="586"/>
        <v>42150</v>
      </c>
      <c r="DG207">
        <f>_xlfn.XLOOKUP(B207,'[11]january-2026'!$A:$A,'[11]january-2026'!$C:$C,0,0)</f>
        <v>34500</v>
      </c>
      <c r="DH207">
        <f t="shared" si="587"/>
        <v>6210</v>
      </c>
      <c r="DI207">
        <f t="shared" si="588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9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90"/>
        <v>200</v>
      </c>
      <c r="DP207">
        <f t="shared" si="591"/>
        <v>42150</v>
      </c>
      <c r="DQ207">
        <f>_xlfn.XLOOKUP(B207,'[12]february-2026'!$A:$A,'[12]february-2026'!$C:$C,0,0)</f>
        <v>34500</v>
      </c>
      <c r="DR207">
        <f t="shared" si="592"/>
        <v>6210</v>
      </c>
      <c r="DS207">
        <f t="shared" si="59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4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5"/>
        <v>200</v>
      </c>
      <c r="DZ207">
        <f t="shared" si="596"/>
        <v>42150</v>
      </c>
      <c r="EA207">
        <f t="shared" si="597"/>
        <v>544460</v>
      </c>
      <c r="EB207">
        <f t="shared" si="598"/>
        <v>2400</v>
      </c>
      <c r="EC207">
        <f t="shared" si="599"/>
        <v>50000</v>
      </c>
      <c r="ED207">
        <v>0</v>
      </c>
      <c r="EE207">
        <f t="shared" si="600"/>
        <v>492060</v>
      </c>
      <c r="EF207">
        <f t="shared" si="601"/>
        <v>36000</v>
      </c>
      <c r="EG207">
        <f t="shared" si="602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3"/>
        <v>36000</v>
      </c>
      <c r="ES207">
        <f t="shared" si="604"/>
        <v>36000</v>
      </c>
      <c r="ET207">
        <f t="shared" si="605"/>
        <v>456060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6"/>
        <v>0</v>
      </c>
      <c r="FC207">
        <f t="shared" si="607"/>
        <v>456060</v>
      </c>
      <c r="FD207">
        <f t="shared" si="608"/>
        <v>10303</v>
      </c>
      <c r="FE207">
        <f t="shared" si="609"/>
        <v>0</v>
      </c>
      <c r="FF207">
        <f t="shared" si="610"/>
        <v>10303</v>
      </c>
      <c r="FG207">
        <f t="shared" si="611"/>
        <v>0</v>
      </c>
      <c r="FH207">
        <f t="shared" si="612"/>
        <v>0</v>
      </c>
      <c r="FI207">
        <f t="shared" si="613"/>
        <v>0</v>
      </c>
      <c r="FJ207">
        <v>0</v>
      </c>
      <c r="FK207">
        <f t="shared" si="614"/>
        <v>0</v>
      </c>
      <c r="FL207" t="b">
        <f t="shared" si="615"/>
        <v>1</v>
      </c>
      <c r="FM207">
        <f t="shared" ca="1" si="616"/>
        <v>778</v>
      </c>
      <c r="FN207">
        <f t="shared" ca="1" si="617"/>
        <v>545238</v>
      </c>
      <c r="FO207">
        <f t="shared" si="618"/>
        <v>75000</v>
      </c>
      <c r="FP207">
        <f t="shared" ca="1" si="619"/>
        <v>470238</v>
      </c>
      <c r="FQ207">
        <f t="shared" ca="1" si="620"/>
        <v>0</v>
      </c>
      <c r="FR207">
        <f t="shared" ca="1" si="621"/>
        <v>0</v>
      </c>
      <c r="FS207">
        <f t="shared" ca="1" si="622"/>
        <v>0</v>
      </c>
      <c r="FT207">
        <f t="shared" ca="1" si="623"/>
        <v>0</v>
      </c>
      <c r="FU207">
        <f t="shared" ca="1" si="624"/>
        <v>0</v>
      </c>
      <c r="FV207">
        <f t="shared" ca="1" si="625"/>
        <v>0</v>
      </c>
      <c r="FW207">
        <f t="shared" ca="1" si="626"/>
        <v>0</v>
      </c>
      <c r="FX207">
        <f t="shared" ca="1" si="627"/>
        <v>0</v>
      </c>
      <c r="FY207">
        <f t="shared" ca="1" si="628"/>
        <v>0</v>
      </c>
      <c r="FZ207">
        <f t="shared" ca="1" si="629"/>
        <v>0</v>
      </c>
      <c r="GA207">
        <f t="shared" ca="1" si="630"/>
        <v>70238</v>
      </c>
      <c r="GB207">
        <f t="shared" ca="1" si="631"/>
        <v>3511.9</v>
      </c>
      <c r="GC207">
        <f t="shared" ca="1" si="632"/>
        <v>3512</v>
      </c>
      <c r="GD207">
        <f t="shared" ca="1" si="633"/>
        <v>0</v>
      </c>
      <c r="GE207">
        <f t="shared" ca="1" si="634"/>
        <v>0</v>
      </c>
      <c r="GF207">
        <f t="shared" ca="1" si="635"/>
        <v>3512</v>
      </c>
      <c r="GG207">
        <f t="shared" ca="1" si="636"/>
        <v>0</v>
      </c>
      <c r="GH207" t="b">
        <f t="shared" ca="1" si="637"/>
        <v>0</v>
      </c>
      <c r="GI207">
        <f t="shared" ca="1" si="638"/>
        <v>0</v>
      </c>
      <c r="GJ207">
        <f t="shared" ca="1" si="639"/>
        <v>3512</v>
      </c>
      <c r="GK207">
        <f t="shared" ca="1" si="640"/>
        <v>0</v>
      </c>
      <c r="GL207">
        <f t="shared" ca="1" si="641"/>
        <v>0</v>
      </c>
      <c r="GM207">
        <f t="shared" ca="1" si="642"/>
        <v>0</v>
      </c>
    </row>
    <row r="208" spans="1:195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644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38"/>
        <v>4424</v>
      </c>
      <c r="L208">
        <f t="shared" si="539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540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43"/>
        <v>200</v>
      </c>
      <c r="S208">
        <f t="shared" si="541"/>
        <v>38116</v>
      </c>
      <c r="T208">
        <f>_xlfn.XLOOKUP(B208,'[2]april-2025'!$A:$A,'[2]april-2025'!$C:$C,0,0)</f>
        <v>31600</v>
      </c>
      <c r="U208">
        <f t="shared" si="542"/>
        <v>5688</v>
      </c>
      <c r="V208">
        <f t="shared" si="543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44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45"/>
        <v>200</v>
      </c>
      <c r="AC208">
        <f t="shared" si="546"/>
        <v>39380</v>
      </c>
      <c r="AD208">
        <f>_xlfn.XLOOKUP(B208,'[3]may-2025'!$A:$A,'[3]may-2025'!$C:$C,0,0)</f>
        <v>31600</v>
      </c>
      <c r="AE208">
        <f t="shared" si="547"/>
        <v>5688</v>
      </c>
      <c r="AF208">
        <f t="shared" si="54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49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50"/>
        <v>200</v>
      </c>
      <c r="AM208">
        <f t="shared" si="551"/>
        <v>39380</v>
      </c>
      <c r="AN208">
        <f>_xlfn.XLOOKUP(B208,'[4]june-2025'!$A:$A,'[4]june-2025'!$C:$C,0,0)</f>
        <v>31600</v>
      </c>
      <c r="AO208">
        <f t="shared" si="552"/>
        <v>5688</v>
      </c>
      <c r="AP208">
        <f t="shared" si="553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54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55"/>
        <v>200</v>
      </c>
      <c r="AW208">
        <f t="shared" si="556"/>
        <v>39380</v>
      </c>
      <c r="AX208">
        <f>_xlfn.XLOOKUP(B208,'[5]july-2025'!$A:$A,'[5]july-2025'!$C:$C,0,0)</f>
        <v>32500</v>
      </c>
      <c r="AY208">
        <f t="shared" si="557"/>
        <v>5850</v>
      </c>
      <c r="AZ208">
        <v>0</v>
      </c>
      <c r="BA208">
        <f t="shared" si="558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59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60"/>
        <v>200</v>
      </c>
      <c r="BH208">
        <f t="shared" si="561"/>
        <v>40550</v>
      </c>
      <c r="BI208">
        <f>_xlfn.XLOOKUP(B208,'[6]august-2025'!$A:$A,'[6]august-2025'!$C:$C,0,0)</f>
        <v>32500</v>
      </c>
      <c r="BJ208">
        <f t="shared" si="562"/>
        <v>5850</v>
      </c>
      <c r="BK208">
        <f t="shared" si="563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64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65"/>
        <v>200</v>
      </c>
      <c r="BR208">
        <f t="shared" si="566"/>
        <v>40550</v>
      </c>
      <c r="BS208">
        <f>_xlfn.XLOOKUP(B208,'[7]september-2025'!$A:$A,'[7]september-2025'!$C:$C,0,0)</f>
        <v>32500</v>
      </c>
      <c r="BT208">
        <f t="shared" si="567"/>
        <v>5850</v>
      </c>
      <c r="BU208">
        <f t="shared" si="568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69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70"/>
        <v>200</v>
      </c>
      <c r="CB208">
        <f t="shared" si="571"/>
        <v>40550</v>
      </c>
      <c r="CC208">
        <f>_xlfn.XLOOKUP(B208,'[8]october-2025'!$A:$A,'[8]october-2025'!$C:$C,0,0)</f>
        <v>32500</v>
      </c>
      <c r="CD208">
        <f t="shared" si="572"/>
        <v>5850</v>
      </c>
      <c r="CE208">
        <f t="shared" si="573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7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75"/>
        <v>200</v>
      </c>
      <c r="CL208">
        <f t="shared" si="576"/>
        <v>40550</v>
      </c>
      <c r="CM208">
        <f>_xlfn.XLOOKUP(B208,'[9]november-2025'!$A:$A,'[9]november-2025'!$C:$C,0,0)</f>
        <v>32500</v>
      </c>
      <c r="CN208">
        <f t="shared" si="577"/>
        <v>5850</v>
      </c>
      <c r="CO208">
        <f t="shared" si="578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79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80"/>
        <v>200</v>
      </c>
      <c r="CV208">
        <f t="shared" si="581"/>
        <v>40550</v>
      </c>
      <c r="CW208">
        <f>_xlfn.XLOOKUP(B208,'[10]december-2025'!$A:$A,'[10]december-2025'!$C:$C,0,0)</f>
        <v>32500</v>
      </c>
      <c r="CX208">
        <f t="shared" si="582"/>
        <v>5850</v>
      </c>
      <c r="CY208">
        <f t="shared" si="583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84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85"/>
        <v>200</v>
      </c>
      <c r="DF208">
        <f t="shared" si="586"/>
        <v>40550</v>
      </c>
      <c r="DG208">
        <f>_xlfn.XLOOKUP(B208,'[11]january-2026'!$A:$A,'[11]january-2026'!$C:$C,0,0)</f>
        <v>32500</v>
      </c>
      <c r="DH208">
        <f t="shared" si="587"/>
        <v>5850</v>
      </c>
      <c r="DI208">
        <f t="shared" si="588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9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90"/>
        <v>200</v>
      </c>
      <c r="DP208">
        <f t="shared" si="591"/>
        <v>40550</v>
      </c>
      <c r="DQ208">
        <f>_xlfn.XLOOKUP(B208,'[12]february-2026'!$A:$A,'[12]february-2026'!$C:$C,0,0)</f>
        <v>32500</v>
      </c>
      <c r="DR208">
        <f t="shared" si="592"/>
        <v>5850</v>
      </c>
      <c r="DS208">
        <f t="shared" si="59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4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5"/>
        <v>200</v>
      </c>
      <c r="DZ208">
        <f t="shared" si="596"/>
        <v>40550</v>
      </c>
      <c r="EA208">
        <f t="shared" si="597"/>
        <v>513856</v>
      </c>
      <c r="EB208">
        <f t="shared" si="598"/>
        <v>2400</v>
      </c>
      <c r="EC208">
        <f t="shared" si="599"/>
        <v>50000</v>
      </c>
      <c r="ED208">
        <v>0</v>
      </c>
      <c r="EE208">
        <f t="shared" si="600"/>
        <v>461456</v>
      </c>
      <c r="EF208">
        <f t="shared" si="601"/>
        <v>24000</v>
      </c>
      <c r="EG208">
        <f t="shared" si="602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3"/>
        <v>24000</v>
      </c>
      <c r="ES208">
        <f t="shared" si="604"/>
        <v>24000</v>
      </c>
      <c r="ET208">
        <f t="shared" si="605"/>
        <v>437456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6"/>
        <v>0</v>
      </c>
      <c r="FC208">
        <f t="shared" si="607"/>
        <v>437456</v>
      </c>
      <c r="FD208">
        <f t="shared" si="608"/>
        <v>9373</v>
      </c>
      <c r="FE208">
        <f t="shared" si="609"/>
        <v>0</v>
      </c>
      <c r="FF208">
        <f t="shared" si="610"/>
        <v>9373</v>
      </c>
      <c r="FG208">
        <f t="shared" si="611"/>
        <v>0</v>
      </c>
      <c r="FH208">
        <f t="shared" si="612"/>
        <v>0</v>
      </c>
      <c r="FI208">
        <f t="shared" si="613"/>
        <v>0</v>
      </c>
      <c r="FJ208">
        <v>0</v>
      </c>
      <c r="FK208">
        <f t="shared" si="614"/>
        <v>0</v>
      </c>
      <c r="FL208" t="b">
        <f t="shared" si="615"/>
        <v>1</v>
      </c>
      <c r="FM208">
        <f t="shared" ca="1" si="616"/>
        <v>554</v>
      </c>
      <c r="FN208">
        <f t="shared" ca="1" si="617"/>
        <v>514410</v>
      </c>
      <c r="FO208">
        <f t="shared" si="618"/>
        <v>75000</v>
      </c>
      <c r="FP208">
        <f t="shared" ca="1" si="619"/>
        <v>439410</v>
      </c>
      <c r="FQ208">
        <f t="shared" ca="1" si="620"/>
        <v>0</v>
      </c>
      <c r="FR208">
        <f t="shared" ca="1" si="621"/>
        <v>0</v>
      </c>
      <c r="FS208">
        <f t="shared" ca="1" si="622"/>
        <v>0</v>
      </c>
      <c r="FT208">
        <f t="shared" ca="1" si="623"/>
        <v>0</v>
      </c>
      <c r="FU208">
        <f t="shared" ca="1" si="624"/>
        <v>0</v>
      </c>
      <c r="FV208">
        <f t="shared" ca="1" si="625"/>
        <v>0</v>
      </c>
      <c r="FW208">
        <f t="shared" ca="1" si="626"/>
        <v>0</v>
      </c>
      <c r="FX208">
        <f t="shared" ca="1" si="627"/>
        <v>0</v>
      </c>
      <c r="FY208">
        <f t="shared" ca="1" si="628"/>
        <v>0</v>
      </c>
      <c r="FZ208">
        <f t="shared" ca="1" si="629"/>
        <v>0</v>
      </c>
      <c r="GA208">
        <f t="shared" ca="1" si="630"/>
        <v>39410</v>
      </c>
      <c r="GB208">
        <f t="shared" ca="1" si="631"/>
        <v>1970.5</v>
      </c>
      <c r="GC208">
        <f t="shared" ca="1" si="632"/>
        <v>1971</v>
      </c>
      <c r="GD208">
        <f t="shared" ca="1" si="633"/>
        <v>0</v>
      </c>
      <c r="GE208">
        <f t="shared" ca="1" si="634"/>
        <v>0</v>
      </c>
      <c r="GF208">
        <f t="shared" ca="1" si="635"/>
        <v>1971</v>
      </c>
      <c r="GG208">
        <f t="shared" ca="1" si="636"/>
        <v>0</v>
      </c>
      <c r="GH208" t="b">
        <f t="shared" ca="1" si="637"/>
        <v>0</v>
      </c>
      <c r="GI208">
        <f t="shared" ca="1" si="638"/>
        <v>0</v>
      </c>
      <c r="GJ208">
        <f t="shared" ca="1" si="639"/>
        <v>1971</v>
      </c>
      <c r="GK208">
        <f t="shared" ca="1" si="640"/>
        <v>0</v>
      </c>
      <c r="GL208">
        <f t="shared" ca="1" si="641"/>
        <v>0</v>
      </c>
      <c r="GM208">
        <f t="shared" ca="1" si="642"/>
        <v>0</v>
      </c>
    </row>
    <row r="209" spans="1:195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644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38"/>
        <v>6622.0000000000009</v>
      </c>
      <c r="L209">
        <f t="shared" si="539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540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43"/>
        <v>200</v>
      </c>
      <c r="S209">
        <f t="shared" si="541"/>
        <v>55298</v>
      </c>
      <c r="T209">
        <f>_xlfn.XLOOKUP(B209,'[2]april-2025'!$A:$A,'[2]april-2025'!$C:$C,0,0)</f>
        <v>47300</v>
      </c>
      <c r="U209">
        <f t="shared" si="542"/>
        <v>8514</v>
      </c>
      <c r="V209">
        <f t="shared" si="543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44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45"/>
        <v>200</v>
      </c>
      <c r="AC209">
        <f t="shared" si="546"/>
        <v>57190</v>
      </c>
      <c r="AD209">
        <f>_xlfn.XLOOKUP(B209,'[3]may-2025'!$A:$A,'[3]may-2025'!$C:$C,0,0)</f>
        <v>47300</v>
      </c>
      <c r="AE209">
        <f t="shared" si="547"/>
        <v>8514</v>
      </c>
      <c r="AF209">
        <f t="shared" si="54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49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50"/>
        <v>200</v>
      </c>
      <c r="AM209">
        <f t="shared" si="551"/>
        <v>57190</v>
      </c>
      <c r="AN209">
        <f>_xlfn.XLOOKUP(B209,'[4]june-2025'!$A:$A,'[4]june-2025'!$C:$C,0,0)</f>
        <v>47300</v>
      </c>
      <c r="AO209">
        <f t="shared" si="552"/>
        <v>8514</v>
      </c>
      <c r="AP209">
        <f t="shared" si="553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54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55"/>
        <v>200</v>
      </c>
      <c r="AW209">
        <f t="shared" si="556"/>
        <v>57190</v>
      </c>
      <c r="AX209">
        <f>_xlfn.XLOOKUP(B209,'[5]july-2025'!$A:$A,'[5]july-2025'!$C:$C,0,0)</f>
        <v>48700</v>
      </c>
      <c r="AY209">
        <f t="shared" si="557"/>
        <v>8766</v>
      </c>
      <c r="AZ209">
        <v>0</v>
      </c>
      <c r="BA209">
        <f t="shared" si="558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59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60"/>
        <v>200</v>
      </c>
      <c r="BH209">
        <f t="shared" si="561"/>
        <v>59010</v>
      </c>
      <c r="BI209">
        <f>_xlfn.XLOOKUP(B209,'[6]august-2025'!$A:$A,'[6]august-2025'!$C:$C,0,0)</f>
        <v>48700</v>
      </c>
      <c r="BJ209">
        <f t="shared" si="562"/>
        <v>8766</v>
      </c>
      <c r="BK209">
        <f t="shared" si="563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64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65"/>
        <v>200</v>
      </c>
      <c r="BR209">
        <f t="shared" si="566"/>
        <v>59010</v>
      </c>
      <c r="BS209">
        <f>_xlfn.XLOOKUP(B209,'[7]september-2025'!$A:$A,'[7]september-2025'!$C:$C,0,0)</f>
        <v>48700</v>
      </c>
      <c r="BT209">
        <f t="shared" si="567"/>
        <v>8766</v>
      </c>
      <c r="BU209">
        <f t="shared" si="568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69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70"/>
        <v>200</v>
      </c>
      <c r="CB209">
        <f t="shared" si="571"/>
        <v>59010</v>
      </c>
      <c r="CC209">
        <f>_xlfn.XLOOKUP(B209,'[8]october-2025'!$A:$A,'[8]october-2025'!$C:$C,0,0)</f>
        <v>48700</v>
      </c>
      <c r="CD209">
        <f t="shared" si="572"/>
        <v>8766</v>
      </c>
      <c r="CE209">
        <f t="shared" si="573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7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75"/>
        <v>200</v>
      </c>
      <c r="CL209">
        <f t="shared" si="576"/>
        <v>59010</v>
      </c>
      <c r="CM209">
        <f>_xlfn.XLOOKUP(B209,'[9]november-2025'!$A:$A,'[9]november-2025'!$C:$C,0,0)</f>
        <v>48700</v>
      </c>
      <c r="CN209">
        <f t="shared" si="577"/>
        <v>8766</v>
      </c>
      <c r="CO209">
        <f t="shared" si="578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79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80"/>
        <v>200</v>
      </c>
      <c r="CV209">
        <f t="shared" si="581"/>
        <v>59010</v>
      </c>
      <c r="CW209">
        <f>_xlfn.XLOOKUP(B209,'[10]december-2025'!$A:$A,'[10]december-2025'!$C:$C,0,0)</f>
        <v>48700</v>
      </c>
      <c r="CX209">
        <f t="shared" si="582"/>
        <v>8766</v>
      </c>
      <c r="CY209">
        <f t="shared" si="583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84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85"/>
        <v>200</v>
      </c>
      <c r="DF209">
        <f t="shared" si="586"/>
        <v>59010</v>
      </c>
      <c r="DG209">
        <f>_xlfn.XLOOKUP(B209,'[11]january-2026'!$A:$A,'[11]january-2026'!$C:$C,0,0)</f>
        <v>48700</v>
      </c>
      <c r="DH209">
        <f t="shared" si="587"/>
        <v>8766</v>
      </c>
      <c r="DI209">
        <f t="shared" si="588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9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90"/>
        <v>200</v>
      </c>
      <c r="DP209">
        <f t="shared" si="591"/>
        <v>59010</v>
      </c>
      <c r="DQ209">
        <f>_xlfn.XLOOKUP(B209,'[12]february-2026'!$A:$A,'[12]february-2026'!$C:$C,0,0)</f>
        <v>48700</v>
      </c>
      <c r="DR209">
        <f t="shared" si="592"/>
        <v>8766</v>
      </c>
      <c r="DS209">
        <f t="shared" si="59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4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5"/>
        <v>200</v>
      </c>
      <c r="DZ209">
        <f t="shared" si="596"/>
        <v>59010</v>
      </c>
      <c r="EA209">
        <f t="shared" si="597"/>
        <v>768148</v>
      </c>
      <c r="EB209">
        <f t="shared" si="598"/>
        <v>2400</v>
      </c>
      <c r="EC209">
        <f t="shared" si="599"/>
        <v>50000</v>
      </c>
      <c r="ED209">
        <v>0</v>
      </c>
      <c r="EE209">
        <f t="shared" si="600"/>
        <v>715748</v>
      </c>
      <c r="EF209">
        <f t="shared" si="601"/>
        <v>60000</v>
      </c>
      <c r="EG209">
        <f t="shared" si="602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3"/>
        <v>60000</v>
      </c>
      <c r="ES209">
        <f t="shared" si="604"/>
        <v>60000</v>
      </c>
      <c r="ET209">
        <f t="shared" si="605"/>
        <v>655748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6"/>
        <v>0</v>
      </c>
      <c r="FC209">
        <f t="shared" si="607"/>
        <v>655748</v>
      </c>
      <c r="FD209">
        <f t="shared" si="608"/>
        <v>12500</v>
      </c>
      <c r="FE209">
        <f t="shared" si="609"/>
        <v>31150</v>
      </c>
      <c r="FF209">
        <f t="shared" si="610"/>
        <v>43650</v>
      </c>
      <c r="FG209">
        <f t="shared" si="611"/>
        <v>43650</v>
      </c>
      <c r="FH209">
        <f t="shared" si="612"/>
        <v>1746</v>
      </c>
      <c r="FI209">
        <f t="shared" si="613"/>
        <v>45396</v>
      </c>
      <c r="FJ209">
        <v>0</v>
      </c>
      <c r="FK209">
        <f t="shared" si="614"/>
        <v>45396</v>
      </c>
      <c r="FL209" t="b">
        <f t="shared" si="615"/>
        <v>1</v>
      </c>
      <c r="FM209">
        <f t="shared" ca="1" si="616"/>
        <v>619</v>
      </c>
      <c r="FN209">
        <f t="shared" ca="1" si="617"/>
        <v>768767</v>
      </c>
      <c r="FO209">
        <f t="shared" si="618"/>
        <v>75000</v>
      </c>
      <c r="FP209">
        <f t="shared" ca="1" si="619"/>
        <v>693767</v>
      </c>
      <c r="FQ209">
        <f t="shared" ca="1" si="620"/>
        <v>0</v>
      </c>
      <c r="FR209">
        <f t="shared" ca="1" si="621"/>
        <v>0</v>
      </c>
      <c r="FS209">
        <f t="shared" ca="1" si="622"/>
        <v>0</v>
      </c>
      <c r="FT209">
        <f t="shared" ca="1" si="623"/>
        <v>0</v>
      </c>
      <c r="FU209">
        <f t="shared" ca="1" si="624"/>
        <v>0</v>
      </c>
      <c r="FV209">
        <f t="shared" ca="1" si="625"/>
        <v>0</v>
      </c>
      <c r="FW209">
        <f t="shared" ca="1" si="626"/>
        <v>0</v>
      </c>
      <c r="FX209">
        <f t="shared" ca="1" si="627"/>
        <v>0</v>
      </c>
      <c r="FY209">
        <f t="shared" ca="1" si="628"/>
        <v>0</v>
      </c>
      <c r="FZ209">
        <f t="shared" ca="1" si="629"/>
        <v>0</v>
      </c>
      <c r="GA209">
        <f t="shared" ca="1" si="630"/>
        <v>293767</v>
      </c>
      <c r="GB209">
        <f t="shared" ca="1" si="631"/>
        <v>14688.35</v>
      </c>
      <c r="GC209">
        <f t="shared" ca="1" si="632"/>
        <v>14688</v>
      </c>
      <c r="GD209">
        <f t="shared" ca="1" si="633"/>
        <v>0</v>
      </c>
      <c r="GE209">
        <f t="shared" ca="1" si="634"/>
        <v>0</v>
      </c>
      <c r="GF209">
        <f t="shared" ca="1" si="635"/>
        <v>14688</v>
      </c>
      <c r="GG209">
        <f t="shared" ca="1" si="636"/>
        <v>0</v>
      </c>
      <c r="GH209" t="b">
        <f t="shared" ca="1" si="637"/>
        <v>0</v>
      </c>
      <c r="GI209">
        <f t="shared" ca="1" si="638"/>
        <v>0</v>
      </c>
      <c r="GJ209">
        <f t="shared" ca="1" si="639"/>
        <v>14688</v>
      </c>
      <c r="GK209">
        <f t="shared" ca="1" si="640"/>
        <v>0</v>
      </c>
      <c r="GL209">
        <f t="shared" ca="1" si="641"/>
        <v>0</v>
      </c>
      <c r="GM209">
        <f t="shared" ca="1" si="642"/>
        <v>0</v>
      </c>
    </row>
    <row r="210" spans="1:195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644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38"/>
        <v>6622.0000000000009</v>
      </c>
      <c r="L210">
        <f t="shared" si="539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540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43"/>
        <v>200</v>
      </c>
      <c r="S210">
        <f t="shared" si="541"/>
        <v>53898</v>
      </c>
      <c r="T210">
        <f>_xlfn.XLOOKUP(B210,'[2]april-2025'!$A:$A,'[2]april-2025'!$C:$C,0,0)</f>
        <v>47300</v>
      </c>
      <c r="U210">
        <f t="shared" si="542"/>
        <v>8514</v>
      </c>
      <c r="V210">
        <f t="shared" si="543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44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45"/>
        <v>200</v>
      </c>
      <c r="AC210">
        <f t="shared" si="546"/>
        <v>55790</v>
      </c>
      <c r="AD210">
        <f>_xlfn.XLOOKUP(B210,'[3]may-2025'!$A:$A,'[3]may-2025'!$C:$C,0,0)</f>
        <v>47300</v>
      </c>
      <c r="AE210">
        <f t="shared" si="547"/>
        <v>8514</v>
      </c>
      <c r="AF210">
        <f t="shared" si="54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49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50"/>
        <v>200</v>
      </c>
      <c r="AM210">
        <f t="shared" si="551"/>
        <v>55790</v>
      </c>
      <c r="AN210">
        <f>_xlfn.XLOOKUP(B210,'[4]june-2025'!$A:$A,'[4]june-2025'!$C:$C,0,0)</f>
        <v>47300</v>
      </c>
      <c r="AO210">
        <f t="shared" si="552"/>
        <v>8514</v>
      </c>
      <c r="AP210">
        <f t="shared" si="553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54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55"/>
        <v>200</v>
      </c>
      <c r="AW210">
        <f t="shared" si="556"/>
        <v>55790</v>
      </c>
      <c r="AX210">
        <f>_xlfn.XLOOKUP(B210,'[5]july-2025'!$A:$A,'[5]july-2025'!$C:$C,0,0)</f>
        <v>48700</v>
      </c>
      <c r="AY210">
        <f t="shared" si="557"/>
        <v>8766</v>
      </c>
      <c r="AZ210">
        <v>0</v>
      </c>
      <c r="BA210">
        <f t="shared" si="558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59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60"/>
        <v>200</v>
      </c>
      <c r="BH210">
        <f t="shared" si="561"/>
        <v>57610</v>
      </c>
      <c r="BI210">
        <f>_xlfn.XLOOKUP(B210,'[6]august-2025'!$A:$A,'[6]august-2025'!$C:$C,0,0)</f>
        <v>48700</v>
      </c>
      <c r="BJ210">
        <f t="shared" si="562"/>
        <v>8766</v>
      </c>
      <c r="BK210">
        <f t="shared" si="563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64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65"/>
        <v>200</v>
      </c>
      <c r="BR210">
        <f t="shared" si="566"/>
        <v>57610</v>
      </c>
      <c r="BS210">
        <f>_xlfn.XLOOKUP(B210,'[7]september-2025'!$A:$A,'[7]september-2025'!$C:$C,0,0)</f>
        <v>48700</v>
      </c>
      <c r="BT210">
        <f t="shared" si="567"/>
        <v>8766</v>
      </c>
      <c r="BU210">
        <f t="shared" si="568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69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70"/>
        <v>200</v>
      </c>
      <c r="CB210">
        <f t="shared" si="571"/>
        <v>57610</v>
      </c>
      <c r="CC210">
        <f>_xlfn.XLOOKUP(B210,'[8]october-2025'!$A:$A,'[8]october-2025'!$C:$C,0,0)</f>
        <v>48700</v>
      </c>
      <c r="CD210">
        <f t="shared" si="572"/>
        <v>8766</v>
      </c>
      <c r="CE210">
        <f t="shared" si="573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7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75"/>
        <v>200</v>
      </c>
      <c r="CL210">
        <f t="shared" si="576"/>
        <v>57610</v>
      </c>
      <c r="CM210">
        <f>_xlfn.XLOOKUP(B210,'[9]november-2025'!$A:$A,'[9]november-2025'!$C:$C,0,0)</f>
        <v>48700</v>
      </c>
      <c r="CN210">
        <f t="shared" si="577"/>
        <v>8766</v>
      </c>
      <c r="CO210">
        <f t="shared" si="578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79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80"/>
        <v>200</v>
      </c>
      <c r="CV210">
        <f t="shared" si="581"/>
        <v>57610</v>
      </c>
      <c r="CW210">
        <f>_xlfn.XLOOKUP(B210,'[10]december-2025'!$A:$A,'[10]december-2025'!$C:$C,0,0)</f>
        <v>48700</v>
      </c>
      <c r="CX210">
        <f t="shared" si="582"/>
        <v>8766</v>
      </c>
      <c r="CY210">
        <f t="shared" si="583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84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85"/>
        <v>200</v>
      </c>
      <c r="DF210">
        <f t="shared" si="586"/>
        <v>57610</v>
      </c>
      <c r="DG210">
        <f>_xlfn.XLOOKUP(B210,'[11]january-2026'!$A:$A,'[11]january-2026'!$C:$C,0,0)</f>
        <v>48700</v>
      </c>
      <c r="DH210">
        <f t="shared" si="587"/>
        <v>8766</v>
      </c>
      <c r="DI210">
        <f t="shared" si="588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9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90"/>
        <v>200</v>
      </c>
      <c r="DP210">
        <f t="shared" si="591"/>
        <v>57610</v>
      </c>
      <c r="DQ210">
        <f>_xlfn.XLOOKUP(B210,'[12]february-2026'!$A:$A,'[12]february-2026'!$C:$C,0,0)</f>
        <v>48700</v>
      </c>
      <c r="DR210">
        <f t="shared" si="592"/>
        <v>8766</v>
      </c>
      <c r="DS210">
        <f t="shared" si="59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4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5"/>
        <v>200</v>
      </c>
      <c r="DZ210">
        <f t="shared" si="596"/>
        <v>57610</v>
      </c>
      <c r="EA210">
        <f t="shared" si="597"/>
        <v>763348</v>
      </c>
      <c r="EB210">
        <f t="shared" si="598"/>
        <v>2400</v>
      </c>
      <c r="EC210">
        <f t="shared" si="599"/>
        <v>50000</v>
      </c>
      <c r="ED210">
        <v>0</v>
      </c>
      <c r="EE210">
        <f t="shared" si="600"/>
        <v>710948</v>
      </c>
      <c r="EF210">
        <f t="shared" si="601"/>
        <v>72000</v>
      </c>
      <c r="EG210">
        <f t="shared" si="602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3"/>
        <v>72000</v>
      </c>
      <c r="ES210">
        <f t="shared" si="604"/>
        <v>72000</v>
      </c>
      <c r="ET210">
        <f t="shared" si="605"/>
        <v>638948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6"/>
        <v>0</v>
      </c>
      <c r="FC210">
        <f t="shared" si="607"/>
        <v>638948</v>
      </c>
      <c r="FD210">
        <f t="shared" si="608"/>
        <v>12500</v>
      </c>
      <c r="FE210">
        <f t="shared" si="609"/>
        <v>27790</v>
      </c>
      <c r="FF210">
        <f t="shared" si="610"/>
        <v>40290</v>
      </c>
      <c r="FG210">
        <f t="shared" si="611"/>
        <v>40290</v>
      </c>
      <c r="FH210">
        <f t="shared" si="612"/>
        <v>1611.6000000000001</v>
      </c>
      <c r="FI210">
        <f t="shared" si="613"/>
        <v>41902</v>
      </c>
      <c r="FJ210">
        <v>0</v>
      </c>
      <c r="FK210">
        <f t="shared" si="614"/>
        <v>41902</v>
      </c>
      <c r="FL210" t="b">
        <f t="shared" si="615"/>
        <v>1</v>
      </c>
      <c r="FM210">
        <f t="shared" ca="1" si="616"/>
        <v>818</v>
      </c>
      <c r="FN210">
        <f t="shared" ca="1" si="617"/>
        <v>764166</v>
      </c>
      <c r="FO210">
        <f t="shared" si="618"/>
        <v>75000</v>
      </c>
      <c r="FP210">
        <f t="shared" ca="1" si="619"/>
        <v>689166</v>
      </c>
      <c r="FQ210">
        <f t="shared" ca="1" si="620"/>
        <v>0</v>
      </c>
      <c r="FR210">
        <f t="shared" ca="1" si="621"/>
        <v>0</v>
      </c>
      <c r="FS210">
        <f t="shared" ca="1" si="622"/>
        <v>0</v>
      </c>
      <c r="FT210">
        <f t="shared" ca="1" si="623"/>
        <v>0</v>
      </c>
      <c r="FU210">
        <f t="shared" ca="1" si="624"/>
        <v>0</v>
      </c>
      <c r="FV210">
        <f t="shared" ca="1" si="625"/>
        <v>0</v>
      </c>
      <c r="FW210">
        <f t="shared" ca="1" si="626"/>
        <v>0</v>
      </c>
      <c r="FX210">
        <f t="shared" ca="1" si="627"/>
        <v>0</v>
      </c>
      <c r="FY210">
        <f t="shared" ca="1" si="628"/>
        <v>0</v>
      </c>
      <c r="FZ210">
        <f t="shared" ca="1" si="629"/>
        <v>0</v>
      </c>
      <c r="GA210">
        <f t="shared" ca="1" si="630"/>
        <v>289166</v>
      </c>
      <c r="GB210">
        <f t="shared" ca="1" si="631"/>
        <v>14458.300000000001</v>
      </c>
      <c r="GC210">
        <f t="shared" ca="1" si="632"/>
        <v>14458</v>
      </c>
      <c r="GD210">
        <f t="shared" ca="1" si="633"/>
        <v>0</v>
      </c>
      <c r="GE210">
        <f t="shared" ca="1" si="634"/>
        <v>0</v>
      </c>
      <c r="GF210">
        <f t="shared" ca="1" si="635"/>
        <v>14458</v>
      </c>
      <c r="GG210">
        <f t="shared" ca="1" si="636"/>
        <v>0</v>
      </c>
      <c r="GH210" t="b">
        <f t="shared" ca="1" si="637"/>
        <v>0</v>
      </c>
      <c r="GI210">
        <f t="shared" ca="1" si="638"/>
        <v>0</v>
      </c>
      <c r="GJ210">
        <f t="shared" ca="1" si="639"/>
        <v>14458</v>
      </c>
      <c r="GK210">
        <f t="shared" ca="1" si="640"/>
        <v>0</v>
      </c>
      <c r="GL210">
        <f t="shared" ca="1" si="641"/>
        <v>0</v>
      </c>
      <c r="GM210">
        <f t="shared" ca="1" si="642"/>
        <v>0</v>
      </c>
    </row>
    <row r="211" spans="1:195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644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38"/>
        <v>4424</v>
      </c>
      <c r="L211">
        <f t="shared" si="539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540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43"/>
        <v>200</v>
      </c>
      <c r="S211">
        <f t="shared" si="541"/>
        <v>38116</v>
      </c>
      <c r="T211">
        <f>_xlfn.XLOOKUP(B211,'[2]april-2025'!$A:$A,'[2]april-2025'!$C:$C,0,0)</f>
        <v>31600</v>
      </c>
      <c r="U211">
        <f t="shared" si="542"/>
        <v>5688</v>
      </c>
      <c r="V211">
        <f t="shared" si="543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44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45"/>
        <v>200</v>
      </c>
      <c r="AC211">
        <f t="shared" si="546"/>
        <v>39380</v>
      </c>
      <c r="AD211">
        <f>_xlfn.XLOOKUP(B211,'[3]may-2025'!$A:$A,'[3]may-2025'!$C:$C,0,0)</f>
        <v>31600</v>
      </c>
      <c r="AE211">
        <f t="shared" si="547"/>
        <v>5688</v>
      </c>
      <c r="AF211">
        <f t="shared" si="54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49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50"/>
        <v>200</v>
      </c>
      <c r="AM211">
        <f t="shared" si="551"/>
        <v>39380</v>
      </c>
      <c r="AN211">
        <f>_xlfn.XLOOKUP(B211,'[4]june-2025'!$A:$A,'[4]june-2025'!$C:$C,0,0)</f>
        <v>31600</v>
      </c>
      <c r="AO211">
        <f t="shared" si="552"/>
        <v>5688</v>
      </c>
      <c r="AP211">
        <f t="shared" si="553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54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55"/>
        <v>200</v>
      </c>
      <c r="AW211">
        <f t="shared" si="556"/>
        <v>39380</v>
      </c>
      <c r="AX211">
        <f>_xlfn.XLOOKUP(B211,'[5]july-2025'!$A:$A,'[5]july-2025'!$C:$C,0,0)</f>
        <v>32500</v>
      </c>
      <c r="AY211">
        <f t="shared" si="557"/>
        <v>5850</v>
      </c>
      <c r="AZ211">
        <v>0</v>
      </c>
      <c r="BA211">
        <f t="shared" si="558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59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60"/>
        <v>200</v>
      </c>
      <c r="BH211">
        <f t="shared" si="561"/>
        <v>40550</v>
      </c>
      <c r="BI211">
        <f>_xlfn.XLOOKUP(B211,'[6]august-2025'!$A:$A,'[6]august-2025'!$C:$C,0,0)</f>
        <v>32500</v>
      </c>
      <c r="BJ211">
        <f t="shared" si="562"/>
        <v>5850</v>
      </c>
      <c r="BK211">
        <f t="shared" si="563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64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65"/>
        <v>200</v>
      </c>
      <c r="BR211">
        <f t="shared" si="566"/>
        <v>40550</v>
      </c>
      <c r="BS211">
        <f>_xlfn.XLOOKUP(B211,'[7]september-2025'!$A:$A,'[7]september-2025'!$C:$C,0,0)</f>
        <v>32500</v>
      </c>
      <c r="BT211">
        <f t="shared" si="567"/>
        <v>5850</v>
      </c>
      <c r="BU211">
        <f t="shared" si="568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69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70"/>
        <v>200</v>
      </c>
      <c r="CB211">
        <f t="shared" si="571"/>
        <v>40550</v>
      </c>
      <c r="CC211">
        <f>_xlfn.XLOOKUP(B211,'[8]october-2025'!$A:$A,'[8]october-2025'!$C:$C,0,0)</f>
        <v>32500</v>
      </c>
      <c r="CD211">
        <f t="shared" si="572"/>
        <v>5850</v>
      </c>
      <c r="CE211">
        <f t="shared" si="573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7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75"/>
        <v>200</v>
      </c>
      <c r="CL211">
        <f t="shared" si="576"/>
        <v>40550</v>
      </c>
      <c r="CM211">
        <f>_xlfn.XLOOKUP(B211,'[9]november-2025'!$A:$A,'[9]november-2025'!$C:$C,0,0)</f>
        <v>32500</v>
      </c>
      <c r="CN211">
        <f t="shared" si="577"/>
        <v>5850</v>
      </c>
      <c r="CO211">
        <f t="shared" si="578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79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80"/>
        <v>200</v>
      </c>
      <c r="CV211">
        <f t="shared" si="581"/>
        <v>40550</v>
      </c>
      <c r="CW211">
        <f>_xlfn.XLOOKUP(B211,'[10]december-2025'!$A:$A,'[10]december-2025'!$C:$C,0,0)</f>
        <v>32500</v>
      </c>
      <c r="CX211">
        <f t="shared" si="582"/>
        <v>5850</v>
      </c>
      <c r="CY211">
        <f t="shared" si="583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84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85"/>
        <v>200</v>
      </c>
      <c r="DF211">
        <f t="shared" si="586"/>
        <v>40550</v>
      </c>
      <c r="DG211">
        <f>_xlfn.XLOOKUP(B211,'[11]january-2026'!$A:$A,'[11]january-2026'!$C:$C,0,0)</f>
        <v>32500</v>
      </c>
      <c r="DH211">
        <f t="shared" si="587"/>
        <v>5850</v>
      </c>
      <c r="DI211">
        <f t="shared" si="588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9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90"/>
        <v>200</v>
      </c>
      <c r="DP211">
        <f t="shared" si="591"/>
        <v>40550</v>
      </c>
      <c r="DQ211">
        <f>_xlfn.XLOOKUP(B211,'[12]february-2026'!$A:$A,'[12]february-2026'!$C:$C,0,0)</f>
        <v>32500</v>
      </c>
      <c r="DR211">
        <f t="shared" si="592"/>
        <v>5850</v>
      </c>
      <c r="DS211">
        <f t="shared" si="59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4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5"/>
        <v>200</v>
      </c>
      <c r="DZ211">
        <f t="shared" si="596"/>
        <v>40550</v>
      </c>
      <c r="EA211">
        <f t="shared" si="597"/>
        <v>513856</v>
      </c>
      <c r="EB211">
        <f t="shared" si="598"/>
        <v>2400</v>
      </c>
      <c r="EC211">
        <f t="shared" si="599"/>
        <v>50000</v>
      </c>
      <c r="ED211">
        <v>0</v>
      </c>
      <c r="EE211">
        <f t="shared" si="600"/>
        <v>461456</v>
      </c>
      <c r="EF211">
        <f t="shared" si="601"/>
        <v>24000</v>
      </c>
      <c r="EG211">
        <f t="shared" si="602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3"/>
        <v>24000</v>
      </c>
      <c r="ES211">
        <f t="shared" si="604"/>
        <v>24000</v>
      </c>
      <c r="ET211">
        <f t="shared" si="605"/>
        <v>437456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6"/>
        <v>0</v>
      </c>
      <c r="FC211">
        <f t="shared" si="607"/>
        <v>437456</v>
      </c>
      <c r="FD211">
        <f t="shared" si="608"/>
        <v>9373</v>
      </c>
      <c r="FE211">
        <f t="shared" si="609"/>
        <v>0</v>
      </c>
      <c r="FF211">
        <f t="shared" si="610"/>
        <v>9373</v>
      </c>
      <c r="FG211">
        <f t="shared" si="611"/>
        <v>0</v>
      </c>
      <c r="FH211">
        <f t="shared" si="612"/>
        <v>0</v>
      </c>
      <c r="FI211">
        <f t="shared" si="613"/>
        <v>0</v>
      </c>
      <c r="FJ211">
        <v>0</v>
      </c>
      <c r="FK211">
        <f t="shared" si="614"/>
        <v>0</v>
      </c>
      <c r="FL211" t="b">
        <f t="shared" si="615"/>
        <v>1</v>
      </c>
      <c r="FM211">
        <f t="shared" ca="1" si="616"/>
        <v>899</v>
      </c>
      <c r="FN211">
        <f t="shared" ca="1" si="617"/>
        <v>514755</v>
      </c>
      <c r="FO211">
        <f t="shared" si="618"/>
        <v>75000</v>
      </c>
      <c r="FP211">
        <f t="shared" ca="1" si="619"/>
        <v>439755</v>
      </c>
      <c r="FQ211">
        <f t="shared" ca="1" si="620"/>
        <v>0</v>
      </c>
      <c r="FR211">
        <f t="shared" ca="1" si="621"/>
        <v>0</v>
      </c>
      <c r="FS211">
        <f t="shared" ca="1" si="622"/>
        <v>0</v>
      </c>
      <c r="FT211">
        <f t="shared" ca="1" si="623"/>
        <v>0</v>
      </c>
      <c r="FU211">
        <f t="shared" ca="1" si="624"/>
        <v>0</v>
      </c>
      <c r="FV211">
        <f t="shared" ca="1" si="625"/>
        <v>0</v>
      </c>
      <c r="FW211">
        <f t="shared" ca="1" si="626"/>
        <v>0</v>
      </c>
      <c r="FX211">
        <f t="shared" ca="1" si="627"/>
        <v>0</v>
      </c>
      <c r="FY211">
        <f t="shared" ca="1" si="628"/>
        <v>0</v>
      </c>
      <c r="FZ211">
        <f t="shared" ca="1" si="629"/>
        <v>0</v>
      </c>
      <c r="GA211">
        <f t="shared" ca="1" si="630"/>
        <v>39755</v>
      </c>
      <c r="GB211">
        <f t="shared" ca="1" si="631"/>
        <v>1987.75</v>
      </c>
      <c r="GC211">
        <f t="shared" ca="1" si="632"/>
        <v>1988</v>
      </c>
      <c r="GD211">
        <f t="shared" ca="1" si="633"/>
        <v>0</v>
      </c>
      <c r="GE211">
        <f t="shared" ca="1" si="634"/>
        <v>0</v>
      </c>
      <c r="GF211">
        <f t="shared" ca="1" si="635"/>
        <v>1988</v>
      </c>
      <c r="GG211">
        <f t="shared" ca="1" si="636"/>
        <v>0</v>
      </c>
      <c r="GH211" t="b">
        <f t="shared" ca="1" si="637"/>
        <v>0</v>
      </c>
      <c r="GI211">
        <f t="shared" ca="1" si="638"/>
        <v>0</v>
      </c>
      <c r="GJ211">
        <f t="shared" ca="1" si="639"/>
        <v>1988</v>
      </c>
      <c r="GK211">
        <f t="shared" ca="1" si="640"/>
        <v>0</v>
      </c>
      <c r="GL211">
        <f t="shared" ca="1" si="641"/>
        <v>0</v>
      </c>
      <c r="GM211">
        <f t="shared" ca="1" si="642"/>
        <v>0</v>
      </c>
    </row>
    <row r="212" spans="1:195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644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38"/>
        <v>6818.0000000000009</v>
      </c>
      <c r="L212">
        <f t="shared" si="539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540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43"/>
        <v>200</v>
      </c>
      <c r="S212">
        <f t="shared" si="541"/>
        <v>58002</v>
      </c>
      <c r="T212">
        <f>_xlfn.XLOOKUP(B212,'[2]april-2025'!$A:$A,'[2]april-2025'!$C:$C,0,0)</f>
        <v>48700</v>
      </c>
      <c r="U212">
        <f t="shared" si="542"/>
        <v>8766</v>
      </c>
      <c r="V212">
        <f t="shared" si="543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44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45"/>
        <v>200</v>
      </c>
      <c r="AC212">
        <f t="shared" si="546"/>
        <v>59950</v>
      </c>
      <c r="AD212">
        <f>_xlfn.XLOOKUP(B212,'[3]may-2025'!$A:$A,'[3]may-2025'!$C:$C,0,0)</f>
        <v>48700</v>
      </c>
      <c r="AE212">
        <f t="shared" si="547"/>
        <v>8766</v>
      </c>
      <c r="AF212">
        <f t="shared" si="54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49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50"/>
        <v>200</v>
      </c>
      <c r="AM212">
        <f t="shared" si="551"/>
        <v>59950</v>
      </c>
      <c r="AN212">
        <f>_xlfn.XLOOKUP(B212,'[4]june-2025'!$A:$A,'[4]june-2025'!$C:$C,0,0)</f>
        <v>48700</v>
      </c>
      <c r="AO212">
        <f t="shared" si="552"/>
        <v>8766</v>
      </c>
      <c r="AP212">
        <f t="shared" si="553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54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55"/>
        <v>200</v>
      </c>
      <c r="AW212">
        <f t="shared" si="556"/>
        <v>59950</v>
      </c>
      <c r="AX212">
        <f>_xlfn.XLOOKUP(B212,'[5]july-2025'!$A:$A,'[5]july-2025'!$C:$C,0,0)</f>
        <v>50200</v>
      </c>
      <c r="AY212">
        <f t="shared" si="557"/>
        <v>9036</v>
      </c>
      <c r="AZ212">
        <v>0</v>
      </c>
      <c r="BA212">
        <f t="shared" si="558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59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60"/>
        <v>200</v>
      </c>
      <c r="BH212">
        <f t="shared" si="561"/>
        <v>61900</v>
      </c>
      <c r="BI212">
        <f>_xlfn.XLOOKUP(B212,'[6]august-2025'!$A:$A,'[6]august-2025'!$C:$C,0,0)</f>
        <v>50200</v>
      </c>
      <c r="BJ212">
        <f t="shared" si="562"/>
        <v>9036</v>
      </c>
      <c r="BK212">
        <f t="shared" si="563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64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65"/>
        <v>200</v>
      </c>
      <c r="BR212">
        <f t="shared" si="566"/>
        <v>61900</v>
      </c>
      <c r="BS212">
        <f>_xlfn.XLOOKUP(B212,'[7]september-2025'!$A:$A,'[7]september-2025'!$C:$C,0,0)</f>
        <v>50200</v>
      </c>
      <c r="BT212">
        <f t="shared" si="567"/>
        <v>9036</v>
      </c>
      <c r="BU212">
        <f t="shared" si="568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69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70"/>
        <v>200</v>
      </c>
      <c r="CB212">
        <f t="shared" si="571"/>
        <v>61900</v>
      </c>
      <c r="CC212">
        <f>_xlfn.XLOOKUP(B212,'[8]october-2025'!$A:$A,'[8]october-2025'!$C:$C,0,0)</f>
        <v>50200</v>
      </c>
      <c r="CD212">
        <f t="shared" si="572"/>
        <v>9036</v>
      </c>
      <c r="CE212">
        <f t="shared" si="573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7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75"/>
        <v>200</v>
      </c>
      <c r="CL212">
        <f t="shared" si="576"/>
        <v>61900</v>
      </c>
      <c r="CM212">
        <f>_xlfn.XLOOKUP(B212,'[9]november-2025'!$A:$A,'[9]november-2025'!$C:$C,0,0)</f>
        <v>50200</v>
      </c>
      <c r="CN212">
        <f t="shared" si="577"/>
        <v>9036</v>
      </c>
      <c r="CO212">
        <f t="shared" si="578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79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80"/>
        <v>200</v>
      </c>
      <c r="CV212">
        <f t="shared" si="581"/>
        <v>61900</v>
      </c>
      <c r="CW212">
        <f>_xlfn.XLOOKUP(B212,'[10]december-2025'!$A:$A,'[10]december-2025'!$C:$C,0,0)</f>
        <v>50200</v>
      </c>
      <c r="CX212">
        <f t="shared" si="582"/>
        <v>9036</v>
      </c>
      <c r="CY212">
        <f t="shared" si="583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84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85"/>
        <v>200</v>
      </c>
      <c r="DF212">
        <f t="shared" si="586"/>
        <v>61900</v>
      </c>
      <c r="DG212">
        <f>_xlfn.XLOOKUP(B212,'[11]january-2026'!$A:$A,'[11]january-2026'!$C:$C,0,0)</f>
        <v>50200</v>
      </c>
      <c r="DH212">
        <f t="shared" si="587"/>
        <v>9036</v>
      </c>
      <c r="DI212">
        <f t="shared" si="588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9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90"/>
        <v>200</v>
      </c>
      <c r="DP212">
        <f t="shared" si="591"/>
        <v>61900</v>
      </c>
      <c r="DQ212">
        <f>_xlfn.XLOOKUP(B212,'[12]february-2026'!$A:$A,'[12]february-2026'!$C:$C,0,0)</f>
        <v>50200</v>
      </c>
      <c r="DR212">
        <f t="shared" si="592"/>
        <v>9036</v>
      </c>
      <c r="DS212">
        <f t="shared" si="59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4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5"/>
        <v>200</v>
      </c>
      <c r="DZ212">
        <f t="shared" si="596"/>
        <v>61900</v>
      </c>
      <c r="EA212">
        <f t="shared" si="597"/>
        <v>790972</v>
      </c>
      <c r="EB212">
        <f t="shared" si="598"/>
        <v>2400</v>
      </c>
      <c r="EC212">
        <f t="shared" si="599"/>
        <v>50000</v>
      </c>
      <c r="ED212">
        <v>0</v>
      </c>
      <c r="EE212">
        <f t="shared" si="600"/>
        <v>738572</v>
      </c>
      <c r="EF212">
        <f t="shared" si="601"/>
        <v>48000</v>
      </c>
      <c r="EG212">
        <f t="shared" si="602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3"/>
        <v>48720</v>
      </c>
      <c r="ES212">
        <f t="shared" si="604"/>
        <v>48720</v>
      </c>
      <c r="ET212">
        <f t="shared" si="605"/>
        <v>689852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6"/>
        <v>0</v>
      </c>
      <c r="FC212">
        <f t="shared" si="607"/>
        <v>689852</v>
      </c>
      <c r="FD212">
        <f t="shared" si="608"/>
        <v>12500</v>
      </c>
      <c r="FE212">
        <f t="shared" si="609"/>
        <v>37970</v>
      </c>
      <c r="FF212">
        <f t="shared" si="610"/>
        <v>50470</v>
      </c>
      <c r="FG212">
        <f t="shared" si="611"/>
        <v>50470</v>
      </c>
      <c r="FH212">
        <f t="shared" si="612"/>
        <v>2018.8</v>
      </c>
      <c r="FI212">
        <f t="shared" si="613"/>
        <v>52489</v>
      </c>
      <c r="FJ212">
        <v>0</v>
      </c>
      <c r="FK212">
        <f t="shared" si="614"/>
        <v>52489</v>
      </c>
      <c r="FL212" t="b">
        <f t="shared" si="615"/>
        <v>1</v>
      </c>
      <c r="FM212">
        <f t="shared" ca="1" si="616"/>
        <v>522</v>
      </c>
      <c r="FN212">
        <f t="shared" ca="1" si="617"/>
        <v>791494</v>
      </c>
      <c r="FO212">
        <f t="shared" si="618"/>
        <v>75000</v>
      </c>
      <c r="FP212">
        <f t="shared" ca="1" si="619"/>
        <v>716494</v>
      </c>
      <c r="FQ212">
        <f t="shared" ca="1" si="620"/>
        <v>0</v>
      </c>
      <c r="FR212">
        <f t="shared" ca="1" si="621"/>
        <v>0</v>
      </c>
      <c r="FS212">
        <f t="shared" ca="1" si="622"/>
        <v>0</v>
      </c>
      <c r="FT212">
        <f t="shared" ca="1" si="623"/>
        <v>0</v>
      </c>
      <c r="FU212">
        <f t="shared" ca="1" si="624"/>
        <v>0</v>
      </c>
      <c r="FV212">
        <f t="shared" ca="1" si="625"/>
        <v>0</v>
      </c>
      <c r="FW212">
        <f t="shared" ca="1" si="626"/>
        <v>0</v>
      </c>
      <c r="FX212">
        <f t="shared" ca="1" si="627"/>
        <v>0</v>
      </c>
      <c r="FY212">
        <f t="shared" ca="1" si="628"/>
        <v>0</v>
      </c>
      <c r="FZ212">
        <f t="shared" ca="1" si="629"/>
        <v>0</v>
      </c>
      <c r="GA212">
        <f t="shared" ca="1" si="630"/>
        <v>316494</v>
      </c>
      <c r="GB212">
        <f t="shared" ca="1" si="631"/>
        <v>15824.7</v>
      </c>
      <c r="GC212">
        <f t="shared" ca="1" si="632"/>
        <v>15825</v>
      </c>
      <c r="GD212">
        <f t="shared" ca="1" si="633"/>
        <v>0</v>
      </c>
      <c r="GE212">
        <f t="shared" ca="1" si="634"/>
        <v>0</v>
      </c>
      <c r="GF212">
        <f t="shared" ca="1" si="635"/>
        <v>15825</v>
      </c>
      <c r="GG212">
        <f t="shared" ca="1" si="636"/>
        <v>0</v>
      </c>
      <c r="GH212" t="b">
        <f t="shared" ca="1" si="637"/>
        <v>0</v>
      </c>
      <c r="GI212">
        <f t="shared" ca="1" si="638"/>
        <v>0</v>
      </c>
      <c r="GJ212">
        <f t="shared" ca="1" si="639"/>
        <v>15825</v>
      </c>
      <c r="GK212">
        <f t="shared" ca="1" si="640"/>
        <v>0</v>
      </c>
      <c r="GL212">
        <f t="shared" ca="1" si="641"/>
        <v>0</v>
      </c>
      <c r="GM212">
        <f t="shared" ca="1" si="642"/>
        <v>0</v>
      </c>
    </row>
    <row r="213" spans="1:195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644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38"/>
        <v>4830.0000000000009</v>
      </c>
      <c r="L213">
        <f t="shared" si="539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540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43"/>
        <v>200</v>
      </c>
      <c r="S213">
        <f t="shared" si="541"/>
        <v>41270</v>
      </c>
      <c r="T213">
        <f>_xlfn.XLOOKUP(B213,'[2]april-2025'!$A:$A,'[2]april-2025'!$C:$C,0,0)</f>
        <v>34500</v>
      </c>
      <c r="U213">
        <f t="shared" si="542"/>
        <v>6210</v>
      </c>
      <c r="V213">
        <f t="shared" si="543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44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45"/>
        <v>200</v>
      </c>
      <c r="AC213">
        <f t="shared" si="546"/>
        <v>42650</v>
      </c>
      <c r="AD213">
        <f>_xlfn.XLOOKUP(B213,'[3]may-2025'!$A:$A,'[3]may-2025'!$C:$C,0,0)</f>
        <v>34500</v>
      </c>
      <c r="AE213">
        <f t="shared" si="547"/>
        <v>6210</v>
      </c>
      <c r="AF213">
        <f t="shared" si="54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49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50"/>
        <v>200</v>
      </c>
      <c r="AM213">
        <f t="shared" si="551"/>
        <v>42650</v>
      </c>
      <c r="AN213">
        <f>_xlfn.XLOOKUP(B213,'[4]june-2025'!$A:$A,'[4]june-2025'!$C:$C,0,0)</f>
        <v>34500</v>
      </c>
      <c r="AO213">
        <f t="shared" si="552"/>
        <v>6210</v>
      </c>
      <c r="AP213">
        <f t="shared" si="553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54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55"/>
        <v>200</v>
      </c>
      <c r="AW213">
        <f t="shared" si="556"/>
        <v>42650</v>
      </c>
      <c r="AX213">
        <f>_xlfn.XLOOKUP(B213,'[5]july-2025'!$A:$A,'[5]july-2025'!$C:$C,0,0)</f>
        <v>35500</v>
      </c>
      <c r="AY213">
        <f t="shared" si="557"/>
        <v>6390</v>
      </c>
      <c r="AZ213">
        <v>0</v>
      </c>
      <c r="BA213">
        <f t="shared" si="558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59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60"/>
        <v>200</v>
      </c>
      <c r="BH213">
        <f t="shared" si="561"/>
        <v>43950</v>
      </c>
      <c r="BI213">
        <f>_xlfn.XLOOKUP(B213,'[6]august-2025'!$A:$A,'[6]august-2025'!$C:$C,0,0)</f>
        <v>35500</v>
      </c>
      <c r="BJ213">
        <f t="shared" si="562"/>
        <v>6390</v>
      </c>
      <c r="BK213">
        <f t="shared" si="563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64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65"/>
        <v>200</v>
      </c>
      <c r="BR213">
        <f t="shared" si="566"/>
        <v>43950</v>
      </c>
      <c r="BS213">
        <f>_xlfn.XLOOKUP(B213,'[7]september-2025'!$A:$A,'[7]september-2025'!$C:$C,0,0)</f>
        <v>35500</v>
      </c>
      <c r="BT213">
        <f t="shared" si="567"/>
        <v>6390</v>
      </c>
      <c r="BU213">
        <f t="shared" si="568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69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70"/>
        <v>200</v>
      </c>
      <c r="CB213">
        <f t="shared" si="571"/>
        <v>43950</v>
      </c>
      <c r="CC213">
        <f>_xlfn.XLOOKUP(B213,'[8]october-2025'!$A:$A,'[8]october-2025'!$C:$C,0,0)</f>
        <v>35500</v>
      </c>
      <c r="CD213">
        <f t="shared" si="572"/>
        <v>6390</v>
      </c>
      <c r="CE213">
        <f t="shared" si="573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7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75"/>
        <v>200</v>
      </c>
      <c r="CL213">
        <f t="shared" si="576"/>
        <v>43950</v>
      </c>
      <c r="CM213">
        <f>_xlfn.XLOOKUP(B213,'[9]november-2025'!$A:$A,'[9]november-2025'!$C:$C,0,0)</f>
        <v>35500</v>
      </c>
      <c r="CN213">
        <f t="shared" si="577"/>
        <v>6390</v>
      </c>
      <c r="CO213">
        <f t="shared" si="578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79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80"/>
        <v>200</v>
      </c>
      <c r="CV213">
        <f t="shared" si="581"/>
        <v>43950</v>
      </c>
      <c r="CW213">
        <f>_xlfn.XLOOKUP(B213,'[10]december-2025'!$A:$A,'[10]december-2025'!$C:$C,0,0)</f>
        <v>35500</v>
      </c>
      <c r="CX213">
        <f t="shared" si="582"/>
        <v>6390</v>
      </c>
      <c r="CY213">
        <f t="shared" si="583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84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85"/>
        <v>200</v>
      </c>
      <c r="DF213">
        <f t="shared" si="586"/>
        <v>43950</v>
      </c>
      <c r="DG213">
        <f>_xlfn.XLOOKUP(B213,'[11]january-2026'!$A:$A,'[11]january-2026'!$C:$C,0,0)</f>
        <v>35500</v>
      </c>
      <c r="DH213">
        <f t="shared" si="587"/>
        <v>6390</v>
      </c>
      <c r="DI213">
        <f t="shared" si="588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9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90"/>
        <v>200</v>
      </c>
      <c r="DP213">
        <f t="shared" si="591"/>
        <v>43950</v>
      </c>
      <c r="DQ213">
        <f>_xlfn.XLOOKUP(B213,'[12]february-2026'!$A:$A,'[12]february-2026'!$C:$C,0,0)</f>
        <v>35500</v>
      </c>
      <c r="DR213">
        <f t="shared" si="592"/>
        <v>6390</v>
      </c>
      <c r="DS213">
        <f t="shared" si="59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4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5"/>
        <v>200</v>
      </c>
      <c r="DZ213">
        <f t="shared" si="596"/>
        <v>43950</v>
      </c>
      <c r="EA213">
        <f t="shared" si="597"/>
        <v>560020</v>
      </c>
      <c r="EB213">
        <f t="shared" si="598"/>
        <v>2400</v>
      </c>
      <c r="EC213">
        <f t="shared" si="599"/>
        <v>50000</v>
      </c>
      <c r="ED213">
        <v>0</v>
      </c>
      <c r="EE213">
        <f t="shared" si="600"/>
        <v>507620</v>
      </c>
      <c r="EF213">
        <f t="shared" si="601"/>
        <v>30000</v>
      </c>
      <c r="EG213">
        <f t="shared" si="602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3"/>
        <v>30000</v>
      </c>
      <c r="ES213">
        <f t="shared" si="604"/>
        <v>30000</v>
      </c>
      <c r="ET213">
        <f t="shared" si="605"/>
        <v>477620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6"/>
        <v>0</v>
      </c>
      <c r="FC213">
        <f t="shared" si="607"/>
        <v>477620</v>
      </c>
      <c r="FD213">
        <f t="shared" si="608"/>
        <v>11381</v>
      </c>
      <c r="FE213">
        <f t="shared" si="609"/>
        <v>0</v>
      </c>
      <c r="FF213">
        <f t="shared" si="610"/>
        <v>11381</v>
      </c>
      <c r="FG213">
        <f t="shared" si="611"/>
        <v>0</v>
      </c>
      <c r="FH213">
        <f t="shared" si="612"/>
        <v>0</v>
      </c>
      <c r="FI213">
        <f t="shared" si="613"/>
        <v>0</v>
      </c>
      <c r="FJ213">
        <v>0</v>
      </c>
      <c r="FK213">
        <f t="shared" si="614"/>
        <v>0</v>
      </c>
      <c r="FL213" t="b">
        <f t="shared" si="615"/>
        <v>1</v>
      </c>
      <c r="FM213">
        <f t="shared" ca="1" si="616"/>
        <v>917</v>
      </c>
      <c r="FN213">
        <f t="shared" ca="1" si="617"/>
        <v>560937</v>
      </c>
      <c r="FO213">
        <f t="shared" si="618"/>
        <v>75000</v>
      </c>
      <c r="FP213">
        <f t="shared" ca="1" si="619"/>
        <v>485937</v>
      </c>
      <c r="FQ213">
        <f t="shared" ca="1" si="620"/>
        <v>0</v>
      </c>
      <c r="FR213">
        <f t="shared" ca="1" si="621"/>
        <v>0</v>
      </c>
      <c r="FS213">
        <f t="shared" ca="1" si="622"/>
        <v>0</v>
      </c>
      <c r="FT213">
        <f t="shared" ca="1" si="623"/>
        <v>0</v>
      </c>
      <c r="FU213">
        <f t="shared" ca="1" si="624"/>
        <v>0</v>
      </c>
      <c r="FV213">
        <f t="shared" ca="1" si="625"/>
        <v>0</v>
      </c>
      <c r="FW213">
        <f t="shared" ca="1" si="626"/>
        <v>0</v>
      </c>
      <c r="FX213">
        <f t="shared" ca="1" si="627"/>
        <v>0</v>
      </c>
      <c r="FY213">
        <f t="shared" ca="1" si="628"/>
        <v>0</v>
      </c>
      <c r="FZ213">
        <f t="shared" ca="1" si="629"/>
        <v>0</v>
      </c>
      <c r="GA213">
        <f t="shared" ca="1" si="630"/>
        <v>85937</v>
      </c>
      <c r="GB213">
        <f t="shared" ca="1" si="631"/>
        <v>4296.8500000000004</v>
      </c>
      <c r="GC213">
        <f t="shared" ca="1" si="632"/>
        <v>4297</v>
      </c>
      <c r="GD213">
        <f t="shared" ca="1" si="633"/>
        <v>0</v>
      </c>
      <c r="GE213">
        <f t="shared" ca="1" si="634"/>
        <v>0</v>
      </c>
      <c r="GF213">
        <f t="shared" ca="1" si="635"/>
        <v>4297</v>
      </c>
      <c r="GG213">
        <f t="shared" ca="1" si="636"/>
        <v>0</v>
      </c>
      <c r="GH213" t="b">
        <f t="shared" ca="1" si="637"/>
        <v>0</v>
      </c>
      <c r="GI213">
        <f t="shared" ca="1" si="638"/>
        <v>0</v>
      </c>
      <c r="GJ213">
        <f t="shared" ca="1" si="639"/>
        <v>4297</v>
      </c>
      <c r="GK213">
        <f t="shared" ca="1" si="640"/>
        <v>0</v>
      </c>
      <c r="GL213">
        <f t="shared" ca="1" si="641"/>
        <v>0</v>
      </c>
      <c r="GM213">
        <f t="shared" ca="1" si="642"/>
        <v>0</v>
      </c>
    </row>
    <row r="214" spans="1:195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644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38"/>
        <v>4830.0000000000009</v>
      </c>
      <c r="L214">
        <f t="shared" si="539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540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43"/>
        <v>200</v>
      </c>
      <c r="S214">
        <f t="shared" si="541"/>
        <v>41270</v>
      </c>
      <c r="T214">
        <f>_xlfn.XLOOKUP(B214,'[2]april-2025'!$A:$A,'[2]april-2025'!$C:$C,0,0)</f>
        <v>34500</v>
      </c>
      <c r="U214">
        <f t="shared" si="542"/>
        <v>6210</v>
      </c>
      <c r="V214">
        <f t="shared" si="543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44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45"/>
        <v>200</v>
      </c>
      <c r="AC214">
        <f t="shared" si="546"/>
        <v>42650</v>
      </c>
      <c r="AD214">
        <f>_xlfn.XLOOKUP(B214,'[3]may-2025'!$A:$A,'[3]may-2025'!$C:$C,0,0)</f>
        <v>34500</v>
      </c>
      <c r="AE214">
        <f t="shared" si="547"/>
        <v>6210</v>
      </c>
      <c r="AF214">
        <f t="shared" si="54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49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50"/>
        <v>200</v>
      </c>
      <c r="AM214">
        <f t="shared" si="551"/>
        <v>42650</v>
      </c>
      <c r="AN214">
        <f>_xlfn.XLOOKUP(B214,'[4]june-2025'!$A:$A,'[4]june-2025'!$C:$C,0,0)</f>
        <v>34500</v>
      </c>
      <c r="AO214">
        <f t="shared" si="552"/>
        <v>6210</v>
      </c>
      <c r="AP214">
        <f t="shared" si="553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54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55"/>
        <v>200</v>
      </c>
      <c r="AW214">
        <f t="shared" si="556"/>
        <v>42650</v>
      </c>
      <c r="AX214">
        <f>_xlfn.XLOOKUP(B214,'[5]july-2025'!$A:$A,'[5]july-2025'!$C:$C,0,0)</f>
        <v>35500</v>
      </c>
      <c r="AY214">
        <f t="shared" si="557"/>
        <v>6390</v>
      </c>
      <c r="AZ214">
        <v>0</v>
      </c>
      <c r="BA214">
        <f t="shared" si="558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59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60"/>
        <v>200</v>
      </c>
      <c r="BH214">
        <f t="shared" si="561"/>
        <v>43950</v>
      </c>
      <c r="BI214">
        <f>_xlfn.XLOOKUP(B214,'[6]august-2025'!$A:$A,'[6]august-2025'!$C:$C,0,0)</f>
        <v>35500</v>
      </c>
      <c r="BJ214">
        <f t="shared" si="562"/>
        <v>6390</v>
      </c>
      <c r="BK214">
        <f t="shared" si="563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64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65"/>
        <v>200</v>
      </c>
      <c r="BR214">
        <f t="shared" si="566"/>
        <v>43950</v>
      </c>
      <c r="BS214">
        <f>_xlfn.XLOOKUP(B214,'[7]september-2025'!$A:$A,'[7]september-2025'!$C:$C,0,0)</f>
        <v>35500</v>
      </c>
      <c r="BT214">
        <f t="shared" si="567"/>
        <v>6390</v>
      </c>
      <c r="BU214">
        <f t="shared" si="568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69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70"/>
        <v>200</v>
      </c>
      <c r="CB214">
        <f t="shared" si="571"/>
        <v>43950</v>
      </c>
      <c r="CC214">
        <f>_xlfn.XLOOKUP(B214,'[8]october-2025'!$A:$A,'[8]october-2025'!$C:$C,0,0)</f>
        <v>35500</v>
      </c>
      <c r="CD214">
        <f t="shared" si="572"/>
        <v>6390</v>
      </c>
      <c r="CE214">
        <f t="shared" si="573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7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75"/>
        <v>200</v>
      </c>
      <c r="CL214">
        <f t="shared" si="576"/>
        <v>43950</v>
      </c>
      <c r="CM214">
        <f>_xlfn.XLOOKUP(B214,'[9]november-2025'!$A:$A,'[9]november-2025'!$C:$C,0,0)</f>
        <v>35500</v>
      </c>
      <c r="CN214">
        <f t="shared" si="577"/>
        <v>6390</v>
      </c>
      <c r="CO214">
        <f t="shared" si="578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79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80"/>
        <v>200</v>
      </c>
      <c r="CV214">
        <f t="shared" si="581"/>
        <v>43950</v>
      </c>
      <c r="CW214">
        <f>_xlfn.XLOOKUP(B214,'[10]december-2025'!$A:$A,'[10]december-2025'!$C:$C,0,0)</f>
        <v>35500</v>
      </c>
      <c r="CX214">
        <f t="shared" si="582"/>
        <v>6390</v>
      </c>
      <c r="CY214">
        <f t="shared" si="583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84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85"/>
        <v>200</v>
      </c>
      <c r="DF214">
        <f t="shared" si="586"/>
        <v>43950</v>
      </c>
      <c r="DG214">
        <f>_xlfn.XLOOKUP(B214,'[11]january-2026'!$A:$A,'[11]january-2026'!$C:$C,0,0)</f>
        <v>35500</v>
      </c>
      <c r="DH214">
        <f t="shared" si="587"/>
        <v>6390</v>
      </c>
      <c r="DI214">
        <f t="shared" si="588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9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90"/>
        <v>200</v>
      </c>
      <c r="DP214">
        <f t="shared" si="591"/>
        <v>43950</v>
      </c>
      <c r="DQ214">
        <f>_xlfn.XLOOKUP(B214,'[12]february-2026'!$A:$A,'[12]february-2026'!$C:$C,0,0)</f>
        <v>35500</v>
      </c>
      <c r="DR214">
        <f t="shared" si="592"/>
        <v>6390</v>
      </c>
      <c r="DS214">
        <f t="shared" si="59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4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5"/>
        <v>200</v>
      </c>
      <c r="DZ214">
        <f t="shared" si="596"/>
        <v>43950</v>
      </c>
      <c r="EA214">
        <f t="shared" si="597"/>
        <v>560020</v>
      </c>
      <c r="EB214">
        <f t="shared" si="598"/>
        <v>2400</v>
      </c>
      <c r="EC214">
        <f t="shared" si="599"/>
        <v>50000</v>
      </c>
      <c r="ED214">
        <v>0</v>
      </c>
      <c r="EE214">
        <f t="shared" si="600"/>
        <v>507620</v>
      </c>
      <c r="EF214">
        <f t="shared" si="601"/>
        <v>30000</v>
      </c>
      <c r="EG214">
        <f t="shared" si="602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3"/>
        <v>30000</v>
      </c>
      <c r="ES214">
        <f t="shared" si="604"/>
        <v>30000</v>
      </c>
      <c r="ET214">
        <f t="shared" si="605"/>
        <v>477620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6"/>
        <v>0</v>
      </c>
      <c r="FC214">
        <f t="shared" si="607"/>
        <v>477620</v>
      </c>
      <c r="FD214">
        <f t="shared" si="608"/>
        <v>11381</v>
      </c>
      <c r="FE214">
        <f t="shared" si="609"/>
        <v>0</v>
      </c>
      <c r="FF214">
        <f t="shared" si="610"/>
        <v>11381</v>
      </c>
      <c r="FG214">
        <f t="shared" si="611"/>
        <v>0</v>
      </c>
      <c r="FH214">
        <f t="shared" si="612"/>
        <v>0</v>
      </c>
      <c r="FI214">
        <f t="shared" si="613"/>
        <v>0</v>
      </c>
      <c r="FJ214">
        <v>0</v>
      </c>
      <c r="FK214">
        <f t="shared" si="614"/>
        <v>0</v>
      </c>
      <c r="FL214" t="b">
        <f t="shared" si="615"/>
        <v>1</v>
      </c>
      <c r="FM214">
        <f t="shared" ca="1" si="616"/>
        <v>888</v>
      </c>
      <c r="FN214">
        <f t="shared" ca="1" si="617"/>
        <v>560908</v>
      </c>
      <c r="FO214">
        <f t="shared" si="618"/>
        <v>75000</v>
      </c>
      <c r="FP214">
        <f t="shared" ca="1" si="619"/>
        <v>485908</v>
      </c>
      <c r="FQ214">
        <f t="shared" ca="1" si="620"/>
        <v>0</v>
      </c>
      <c r="FR214">
        <f t="shared" ca="1" si="621"/>
        <v>0</v>
      </c>
      <c r="FS214">
        <f t="shared" ca="1" si="622"/>
        <v>0</v>
      </c>
      <c r="FT214">
        <f t="shared" ca="1" si="623"/>
        <v>0</v>
      </c>
      <c r="FU214">
        <f t="shared" ca="1" si="624"/>
        <v>0</v>
      </c>
      <c r="FV214">
        <f t="shared" ca="1" si="625"/>
        <v>0</v>
      </c>
      <c r="FW214">
        <f t="shared" ca="1" si="626"/>
        <v>0</v>
      </c>
      <c r="FX214">
        <f t="shared" ca="1" si="627"/>
        <v>0</v>
      </c>
      <c r="FY214">
        <f t="shared" ca="1" si="628"/>
        <v>0</v>
      </c>
      <c r="FZ214">
        <f t="shared" ca="1" si="629"/>
        <v>0</v>
      </c>
      <c r="GA214">
        <f t="shared" ca="1" si="630"/>
        <v>85908</v>
      </c>
      <c r="GB214">
        <f t="shared" ca="1" si="631"/>
        <v>4295.4000000000005</v>
      </c>
      <c r="GC214">
        <f t="shared" ca="1" si="632"/>
        <v>4295</v>
      </c>
      <c r="GD214">
        <f t="shared" ca="1" si="633"/>
        <v>0</v>
      </c>
      <c r="GE214">
        <f t="shared" ca="1" si="634"/>
        <v>0</v>
      </c>
      <c r="GF214">
        <f t="shared" ca="1" si="635"/>
        <v>4295</v>
      </c>
      <c r="GG214">
        <f t="shared" ca="1" si="636"/>
        <v>0</v>
      </c>
      <c r="GH214" t="b">
        <f t="shared" ca="1" si="637"/>
        <v>0</v>
      </c>
      <c r="GI214">
        <f t="shared" ca="1" si="638"/>
        <v>0</v>
      </c>
      <c r="GJ214">
        <f t="shared" ca="1" si="639"/>
        <v>4295</v>
      </c>
      <c r="GK214">
        <f t="shared" ca="1" si="640"/>
        <v>0</v>
      </c>
      <c r="GL214">
        <f t="shared" ca="1" si="641"/>
        <v>0</v>
      </c>
      <c r="GM214">
        <f t="shared" ca="1" si="642"/>
        <v>0</v>
      </c>
    </row>
    <row r="215" spans="1:195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644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38"/>
        <v>4690</v>
      </c>
      <c r="L215">
        <f t="shared" si="539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540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43"/>
        <v>200</v>
      </c>
      <c r="S215">
        <f t="shared" si="541"/>
        <v>39510</v>
      </c>
      <c r="T215">
        <f>_xlfn.XLOOKUP(B215,'[2]april-2025'!$A:$A,'[2]april-2025'!$C:$C,0,0)</f>
        <v>33500</v>
      </c>
      <c r="U215">
        <f t="shared" si="542"/>
        <v>6030</v>
      </c>
      <c r="V215">
        <f t="shared" si="543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44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45"/>
        <v>200</v>
      </c>
      <c r="AC215">
        <f t="shared" si="546"/>
        <v>40850</v>
      </c>
      <c r="AD215">
        <f>_xlfn.XLOOKUP(B215,'[3]may-2025'!$A:$A,'[3]may-2025'!$C:$C,0,0)</f>
        <v>33500</v>
      </c>
      <c r="AE215">
        <f t="shared" si="547"/>
        <v>6030</v>
      </c>
      <c r="AF215">
        <f t="shared" si="54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49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50"/>
        <v>200</v>
      </c>
      <c r="AM215">
        <f t="shared" si="551"/>
        <v>40850</v>
      </c>
      <c r="AN215">
        <f>_xlfn.XLOOKUP(B215,'[4]june-2025'!$A:$A,'[4]june-2025'!$C:$C,0,0)</f>
        <v>33500</v>
      </c>
      <c r="AO215">
        <f t="shared" si="552"/>
        <v>6030</v>
      </c>
      <c r="AP215">
        <f t="shared" si="553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54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55"/>
        <v>200</v>
      </c>
      <c r="AW215">
        <f t="shared" si="556"/>
        <v>40850</v>
      </c>
      <c r="AX215">
        <f>_xlfn.XLOOKUP(B215,'[5]july-2025'!$A:$A,'[5]july-2025'!$C:$C,0,0)</f>
        <v>34500</v>
      </c>
      <c r="AY215">
        <f t="shared" si="557"/>
        <v>6210</v>
      </c>
      <c r="AZ215">
        <v>0</v>
      </c>
      <c r="BA215">
        <f t="shared" si="558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59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60"/>
        <v>200</v>
      </c>
      <c r="BH215">
        <f t="shared" si="561"/>
        <v>42150</v>
      </c>
      <c r="BI215">
        <f>_xlfn.XLOOKUP(B215,'[6]august-2025'!$A:$A,'[6]august-2025'!$C:$C,0,0)</f>
        <v>34500</v>
      </c>
      <c r="BJ215">
        <f t="shared" si="562"/>
        <v>6210</v>
      </c>
      <c r="BK215">
        <f t="shared" si="563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64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65"/>
        <v>200</v>
      </c>
      <c r="BR215">
        <f t="shared" si="566"/>
        <v>42150</v>
      </c>
      <c r="BS215">
        <f>_xlfn.XLOOKUP(B215,'[7]september-2025'!$A:$A,'[7]september-2025'!$C:$C,0,0)</f>
        <v>34500</v>
      </c>
      <c r="BT215">
        <f t="shared" si="567"/>
        <v>6210</v>
      </c>
      <c r="BU215">
        <f t="shared" si="568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69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70"/>
        <v>200</v>
      </c>
      <c r="CB215">
        <f t="shared" si="571"/>
        <v>42150</v>
      </c>
      <c r="CC215">
        <f>_xlfn.XLOOKUP(B215,'[8]october-2025'!$A:$A,'[8]october-2025'!$C:$C,0,0)</f>
        <v>34500</v>
      </c>
      <c r="CD215">
        <f t="shared" si="572"/>
        <v>6210</v>
      </c>
      <c r="CE215">
        <f t="shared" si="573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7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75"/>
        <v>200</v>
      </c>
      <c r="CL215">
        <f t="shared" si="576"/>
        <v>42150</v>
      </c>
      <c r="CM215">
        <f>_xlfn.XLOOKUP(B215,'[9]november-2025'!$A:$A,'[9]november-2025'!$C:$C,0,0)</f>
        <v>34500</v>
      </c>
      <c r="CN215">
        <f t="shared" si="577"/>
        <v>6210</v>
      </c>
      <c r="CO215">
        <f t="shared" si="578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79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80"/>
        <v>200</v>
      </c>
      <c r="CV215">
        <f t="shared" si="581"/>
        <v>42150</v>
      </c>
      <c r="CW215">
        <f>_xlfn.XLOOKUP(B215,'[10]december-2025'!$A:$A,'[10]december-2025'!$C:$C,0,0)</f>
        <v>34500</v>
      </c>
      <c r="CX215">
        <f t="shared" si="582"/>
        <v>6210</v>
      </c>
      <c r="CY215">
        <f t="shared" si="583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84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85"/>
        <v>200</v>
      </c>
      <c r="DF215">
        <f t="shared" si="586"/>
        <v>42150</v>
      </c>
      <c r="DG215">
        <f>_xlfn.XLOOKUP(B215,'[11]january-2026'!$A:$A,'[11]january-2026'!$C:$C,0,0)</f>
        <v>34500</v>
      </c>
      <c r="DH215">
        <f t="shared" si="587"/>
        <v>6210</v>
      </c>
      <c r="DI215">
        <f t="shared" si="588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9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90"/>
        <v>200</v>
      </c>
      <c r="DP215">
        <f t="shared" si="591"/>
        <v>42150</v>
      </c>
      <c r="DQ215">
        <f>_xlfn.XLOOKUP(B215,'[12]february-2026'!$A:$A,'[12]february-2026'!$C:$C,0,0)</f>
        <v>34500</v>
      </c>
      <c r="DR215">
        <f t="shared" si="592"/>
        <v>6210</v>
      </c>
      <c r="DS215">
        <f t="shared" si="59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4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5"/>
        <v>200</v>
      </c>
      <c r="DZ215">
        <f t="shared" si="596"/>
        <v>42150</v>
      </c>
      <c r="EA215">
        <f t="shared" si="597"/>
        <v>538460</v>
      </c>
      <c r="EB215">
        <f t="shared" si="598"/>
        <v>2400</v>
      </c>
      <c r="EC215">
        <f t="shared" si="599"/>
        <v>50000</v>
      </c>
      <c r="ED215">
        <v>0</v>
      </c>
      <c r="EE215">
        <f t="shared" si="600"/>
        <v>486060</v>
      </c>
      <c r="EF215">
        <f t="shared" si="601"/>
        <v>30000</v>
      </c>
      <c r="EG215">
        <f t="shared" si="602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3"/>
        <v>30000</v>
      </c>
      <c r="ES215">
        <f t="shared" si="604"/>
        <v>30000</v>
      </c>
      <c r="ET215">
        <f t="shared" si="605"/>
        <v>456060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6"/>
        <v>0</v>
      </c>
      <c r="FC215">
        <f t="shared" si="607"/>
        <v>456060</v>
      </c>
      <c r="FD215">
        <f t="shared" si="608"/>
        <v>10303</v>
      </c>
      <c r="FE215">
        <f t="shared" si="609"/>
        <v>0</v>
      </c>
      <c r="FF215">
        <f t="shared" si="610"/>
        <v>10303</v>
      </c>
      <c r="FG215">
        <f t="shared" si="611"/>
        <v>0</v>
      </c>
      <c r="FH215">
        <f t="shared" si="612"/>
        <v>0</v>
      </c>
      <c r="FI215">
        <f t="shared" si="613"/>
        <v>0</v>
      </c>
      <c r="FJ215">
        <v>0</v>
      </c>
      <c r="FK215">
        <f t="shared" si="614"/>
        <v>0</v>
      </c>
      <c r="FL215" t="b">
        <f t="shared" si="615"/>
        <v>1</v>
      </c>
      <c r="FM215">
        <f t="shared" ca="1" si="616"/>
        <v>848</v>
      </c>
      <c r="FN215">
        <f t="shared" ca="1" si="617"/>
        <v>539308</v>
      </c>
      <c r="FO215">
        <f t="shared" si="618"/>
        <v>75000</v>
      </c>
      <c r="FP215">
        <f t="shared" ca="1" si="619"/>
        <v>464308</v>
      </c>
      <c r="FQ215">
        <f t="shared" ca="1" si="620"/>
        <v>0</v>
      </c>
      <c r="FR215">
        <f t="shared" ca="1" si="621"/>
        <v>0</v>
      </c>
      <c r="FS215">
        <f t="shared" ca="1" si="622"/>
        <v>0</v>
      </c>
      <c r="FT215">
        <f t="shared" ca="1" si="623"/>
        <v>0</v>
      </c>
      <c r="FU215">
        <f t="shared" ca="1" si="624"/>
        <v>0</v>
      </c>
      <c r="FV215">
        <f t="shared" ca="1" si="625"/>
        <v>0</v>
      </c>
      <c r="FW215">
        <f t="shared" ca="1" si="626"/>
        <v>0</v>
      </c>
      <c r="FX215">
        <f t="shared" ca="1" si="627"/>
        <v>0</v>
      </c>
      <c r="FY215">
        <f t="shared" ca="1" si="628"/>
        <v>0</v>
      </c>
      <c r="FZ215">
        <f t="shared" ca="1" si="629"/>
        <v>0</v>
      </c>
      <c r="GA215">
        <f t="shared" ca="1" si="630"/>
        <v>64308</v>
      </c>
      <c r="GB215">
        <f t="shared" ca="1" si="631"/>
        <v>3215.4</v>
      </c>
      <c r="GC215">
        <f t="shared" ca="1" si="632"/>
        <v>3215</v>
      </c>
      <c r="GD215">
        <f t="shared" ca="1" si="633"/>
        <v>0</v>
      </c>
      <c r="GE215">
        <f t="shared" ca="1" si="634"/>
        <v>0</v>
      </c>
      <c r="GF215">
        <f t="shared" ca="1" si="635"/>
        <v>3215</v>
      </c>
      <c r="GG215">
        <f t="shared" ca="1" si="636"/>
        <v>0</v>
      </c>
      <c r="GH215" t="b">
        <f t="shared" ca="1" si="637"/>
        <v>0</v>
      </c>
      <c r="GI215">
        <f t="shared" ca="1" si="638"/>
        <v>0</v>
      </c>
      <c r="GJ215">
        <f t="shared" ca="1" si="639"/>
        <v>3215</v>
      </c>
      <c r="GK215">
        <f t="shared" ca="1" si="640"/>
        <v>0</v>
      </c>
      <c r="GL215">
        <f t="shared" ca="1" si="641"/>
        <v>0</v>
      </c>
      <c r="GM215">
        <f t="shared" ca="1" si="642"/>
        <v>0</v>
      </c>
    </row>
    <row r="216" spans="1:195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644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38"/>
        <v>4690</v>
      </c>
      <c r="L216">
        <f t="shared" si="539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540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43"/>
        <v>200</v>
      </c>
      <c r="S216">
        <f t="shared" si="541"/>
        <v>38510</v>
      </c>
      <c r="T216">
        <f>_xlfn.XLOOKUP(B216,'[2]april-2025'!$A:$A,'[2]april-2025'!$C:$C,0,0)</f>
        <v>33500</v>
      </c>
      <c r="U216">
        <f t="shared" si="542"/>
        <v>6030</v>
      </c>
      <c r="V216">
        <f t="shared" si="543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44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45"/>
        <v>200</v>
      </c>
      <c r="AC216">
        <f t="shared" si="546"/>
        <v>39850</v>
      </c>
      <c r="AD216">
        <f>_xlfn.XLOOKUP(B216,'[3]may-2025'!$A:$A,'[3]may-2025'!$C:$C,0,0)</f>
        <v>33500</v>
      </c>
      <c r="AE216">
        <f t="shared" si="547"/>
        <v>6030</v>
      </c>
      <c r="AF216">
        <f t="shared" si="54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49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50"/>
        <v>200</v>
      </c>
      <c r="AM216">
        <f t="shared" si="551"/>
        <v>39850</v>
      </c>
      <c r="AN216">
        <f>_xlfn.XLOOKUP(B216,'[4]june-2025'!$A:$A,'[4]june-2025'!$C:$C,0,0)</f>
        <v>33500</v>
      </c>
      <c r="AO216">
        <f t="shared" si="552"/>
        <v>6030</v>
      </c>
      <c r="AP216">
        <f t="shared" si="553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54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55"/>
        <v>200</v>
      </c>
      <c r="AW216">
        <f t="shared" si="556"/>
        <v>39850</v>
      </c>
      <c r="AX216">
        <f>_xlfn.XLOOKUP(B216,'[5]july-2025'!$A:$A,'[5]july-2025'!$C:$C,0,0)</f>
        <v>34500</v>
      </c>
      <c r="AY216">
        <f t="shared" si="557"/>
        <v>6210</v>
      </c>
      <c r="AZ216">
        <v>0</v>
      </c>
      <c r="BA216">
        <f t="shared" si="558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59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60"/>
        <v>200</v>
      </c>
      <c r="BH216">
        <f t="shared" si="561"/>
        <v>41150</v>
      </c>
      <c r="BI216">
        <f>_xlfn.XLOOKUP(B216,'[6]august-2025'!$A:$A,'[6]august-2025'!$C:$C,0,0)</f>
        <v>34500</v>
      </c>
      <c r="BJ216">
        <f t="shared" si="562"/>
        <v>6210</v>
      </c>
      <c r="BK216">
        <f t="shared" si="563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64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65"/>
        <v>200</v>
      </c>
      <c r="BR216">
        <f t="shared" si="566"/>
        <v>41150</v>
      </c>
      <c r="BS216">
        <f>_xlfn.XLOOKUP(B216,'[7]september-2025'!$A:$A,'[7]september-2025'!$C:$C,0,0)</f>
        <v>34500</v>
      </c>
      <c r="BT216">
        <f t="shared" si="567"/>
        <v>6210</v>
      </c>
      <c r="BU216">
        <f t="shared" si="568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69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70"/>
        <v>200</v>
      </c>
      <c r="CB216">
        <f t="shared" si="571"/>
        <v>41150</v>
      </c>
      <c r="CC216">
        <f>_xlfn.XLOOKUP(B216,'[8]october-2025'!$A:$A,'[8]october-2025'!$C:$C,0,0)</f>
        <v>34500</v>
      </c>
      <c r="CD216">
        <f t="shared" si="572"/>
        <v>6210</v>
      </c>
      <c r="CE216">
        <f t="shared" si="573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7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75"/>
        <v>200</v>
      </c>
      <c r="CL216">
        <f t="shared" si="576"/>
        <v>41150</v>
      </c>
      <c r="CM216">
        <f>_xlfn.XLOOKUP(B216,'[9]november-2025'!$A:$A,'[9]november-2025'!$C:$C,0,0)</f>
        <v>34500</v>
      </c>
      <c r="CN216">
        <f t="shared" si="577"/>
        <v>6210</v>
      </c>
      <c r="CO216">
        <f t="shared" si="578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79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80"/>
        <v>200</v>
      </c>
      <c r="CV216">
        <f t="shared" si="581"/>
        <v>41150</v>
      </c>
      <c r="CW216">
        <f>_xlfn.XLOOKUP(B216,'[10]december-2025'!$A:$A,'[10]december-2025'!$C:$C,0,0)</f>
        <v>34500</v>
      </c>
      <c r="CX216">
        <f t="shared" si="582"/>
        <v>6210</v>
      </c>
      <c r="CY216">
        <f t="shared" si="583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84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85"/>
        <v>200</v>
      </c>
      <c r="DF216">
        <f t="shared" si="586"/>
        <v>41150</v>
      </c>
      <c r="DG216">
        <f>_xlfn.XLOOKUP(B216,'[11]january-2026'!$A:$A,'[11]january-2026'!$C:$C,0,0)</f>
        <v>34500</v>
      </c>
      <c r="DH216">
        <f t="shared" si="587"/>
        <v>6210</v>
      </c>
      <c r="DI216">
        <f t="shared" si="588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9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90"/>
        <v>200</v>
      </c>
      <c r="DP216">
        <f t="shared" si="591"/>
        <v>41150</v>
      </c>
      <c r="DQ216">
        <f>_xlfn.XLOOKUP(B216,'[12]february-2026'!$A:$A,'[12]february-2026'!$C:$C,0,0)</f>
        <v>34500</v>
      </c>
      <c r="DR216">
        <f t="shared" si="592"/>
        <v>6210</v>
      </c>
      <c r="DS216">
        <f t="shared" si="59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4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5"/>
        <v>200</v>
      </c>
      <c r="DZ216">
        <f t="shared" si="596"/>
        <v>41150</v>
      </c>
      <c r="EA216">
        <f t="shared" si="597"/>
        <v>544460</v>
      </c>
      <c r="EB216">
        <f t="shared" si="598"/>
        <v>2400</v>
      </c>
      <c r="EC216">
        <f t="shared" si="599"/>
        <v>50000</v>
      </c>
      <c r="ED216">
        <v>0</v>
      </c>
      <c r="EE216">
        <f t="shared" si="600"/>
        <v>492060</v>
      </c>
      <c r="EF216">
        <f t="shared" si="601"/>
        <v>48000</v>
      </c>
      <c r="EG216">
        <f t="shared" si="602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3"/>
        <v>48000</v>
      </c>
      <c r="ES216">
        <f t="shared" si="604"/>
        <v>48000</v>
      </c>
      <c r="ET216">
        <f t="shared" si="605"/>
        <v>444060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6"/>
        <v>0</v>
      </c>
      <c r="FC216">
        <f t="shared" si="607"/>
        <v>444060</v>
      </c>
      <c r="FD216">
        <f t="shared" si="608"/>
        <v>9703</v>
      </c>
      <c r="FE216">
        <f t="shared" si="609"/>
        <v>0</v>
      </c>
      <c r="FF216">
        <f t="shared" si="610"/>
        <v>9703</v>
      </c>
      <c r="FG216">
        <f t="shared" si="611"/>
        <v>0</v>
      </c>
      <c r="FH216">
        <f t="shared" si="612"/>
        <v>0</v>
      </c>
      <c r="FI216">
        <f t="shared" si="613"/>
        <v>0</v>
      </c>
      <c r="FJ216">
        <v>0</v>
      </c>
      <c r="FK216">
        <f t="shared" si="614"/>
        <v>0</v>
      </c>
      <c r="FL216" t="b">
        <f t="shared" si="615"/>
        <v>1</v>
      </c>
      <c r="FM216">
        <f t="shared" ca="1" si="616"/>
        <v>537</v>
      </c>
      <c r="FN216">
        <f t="shared" ca="1" si="617"/>
        <v>544997</v>
      </c>
      <c r="FO216">
        <f t="shared" si="618"/>
        <v>75000</v>
      </c>
      <c r="FP216">
        <f t="shared" ca="1" si="619"/>
        <v>469997</v>
      </c>
      <c r="FQ216">
        <f t="shared" ca="1" si="620"/>
        <v>0</v>
      </c>
      <c r="FR216">
        <f t="shared" ca="1" si="621"/>
        <v>0</v>
      </c>
      <c r="FS216">
        <f t="shared" ca="1" si="622"/>
        <v>0</v>
      </c>
      <c r="FT216">
        <f t="shared" ca="1" si="623"/>
        <v>0</v>
      </c>
      <c r="FU216">
        <f t="shared" ca="1" si="624"/>
        <v>0</v>
      </c>
      <c r="FV216">
        <f t="shared" ca="1" si="625"/>
        <v>0</v>
      </c>
      <c r="FW216">
        <f t="shared" ca="1" si="626"/>
        <v>0</v>
      </c>
      <c r="FX216">
        <f t="shared" ca="1" si="627"/>
        <v>0</v>
      </c>
      <c r="FY216">
        <f t="shared" ca="1" si="628"/>
        <v>0</v>
      </c>
      <c r="FZ216">
        <f t="shared" ca="1" si="629"/>
        <v>0</v>
      </c>
      <c r="GA216">
        <f t="shared" ca="1" si="630"/>
        <v>69997</v>
      </c>
      <c r="GB216">
        <f t="shared" ca="1" si="631"/>
        <v>3499.8500000000004</v>
      </c>
      <c r="GC216">
        <f t="shared" ca="1" si="632"/>
        <v>3500</v>
      </c>
      <c r="GD216">
        <f t="shared" ca="1" si="633"/>
        <v>0</v>
      </c>
      <c r="GE216">
        <f t="shared" ca="1" si="634"/>
        <v>0</v>
      </c>
      <c r="GF216">
        <f t="shared" ca="1" si="635"/>
        <v>3500</v>
      </c>
      <c r="GG216">
        <f t="shared" ca="1" si="636"/>
        <v>0</v>
      </c>
      <c r="GH216" t="b">
        <f t="shared" ca="1" si="637"/>
        <v>0</v>
      </c>
      <c r="GI216">
        <f t="shared" ca="1" si="638"/>
        <v>0</v>
      </c>
      <c r="GJ216">
        <f t="shared" ca="1" si="639"/>
        <v>3500</v>
      </c>
      <c r="GK216">
        <f t="shared" ca="1" si="640"/>
        <v>0</v>
      </c>
      <c r="GL216">
        <f t="shared" ca="1" si="641"/>
        <v>0</v>
      </c>
      <c r="GM216">
        <f t="shared" ca="1" si="642"/>
        <v>0</v>
      </c>
    </row>
    <row r="217" spans="1:195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644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38"/>
        <v>3458.0000000000005</v>
      </c>
      <c r="L217">
        <f t="shared" si="539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540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43"/>
        <v>150</v>
      </c>
      <c r="S217">
        <f t="shared" si="541"/>
        <v>31472</v>
      </c>
      <c r="T217">
        <f>_xlfn.XLOOKUP(B217,'[2]april-2025'!$A:$A,'[2]april-2025'!$C:$C,0,0)</f>
        <v>24700</v>
      </c>
      <c r="U217">
        <f t="shared" si="542"/>
        <v>4446</v>
      </c>
      <c r="V217">
        <f t="shared" si="543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44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45"/>
        <v>150</v>
      </c>
      <c r="AC217">
        <f t="shared" si="546"/>
        <v>32460</v>
      </c>
      <c r="AD217">
        <f>_xlfn.XLOOKUP(B217,'[3]may-2025'!$A:$A,'[3]may-2025'!$C:$C,0,0)</f>
        <v>24700</v>
      </c>
      <c r="AE217">
        <f t="shared" si="547"/>
        <v>4446</v>
      </c>
      <c r="AF217">
        <f t="shared" si="54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49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50"/>
        <v>150</v>
      </c>
      <c r="AM217">
        <f t="shared" si="551"/>
        <v>32460</v>
      </c>
      <c r="AN217">
        <f>_xlfn.XLOOKUP(B217,'[4]june-2025'!$A:$A,'[4]june-2025'!$C:$C,0,0)</f>
        <v>24700</v>
      </c>
      <c r="AO217">
        <f t="shared" si="552"/>
        <v>4446</v>
      </c>
      <c r="AP217">
        <f t="shared" si="553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54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55"/>
        <v>150</v>
      </c>
      <c r="AW217">
        <f t="shared" si="556"/>
        <v>32460</v>
      </c>
      <c r="AX217">
        <f>_xlfn.XLOOKUP(B217,'[5]july-2025'!$A:$A,'[5]july-2025'!$C:$C,0,0)</f>
        <v>25400</v>
      </c>
      <c r="AY217">
        <f t="shared" si="557"/>
        <v>4572</v>
      </c>
      <c r="AZ217">
        <v>0</v>
      </c>
      <c r="BA217">
        <f t="shared" si="558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59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60"/>
        <v>150</v>
      </c>
      <c r="BH217">
        <f t="shared" si="561"/>
        <v>33370</v>
      </c>
      <c r="BI217">
        <f>_xlfn.XLOOKUP(B217,'[6]august-2025'!$A:$A,'[6]august-2025'!$C:$C,0,0)</f>
        <v>25400</v>
      </c>
      <c r="BJ217">
        <f t="shared" si="562"/>
        <v>4572</v>
      </c>
      <c r="BK217">
        <f t="shared" si="563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64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65"/>
        <v>150</v>
      </c>
      <c r="BR217">
        <f t="shared" si="566"/>
        <v>31370</v>
      </c>
      <c r="BS217">
        <f>_xlfn.XLOOKUP(B217,'[7]september-2025'!$A:$A,'[7]september-2025'!$C:$C,0,0)</f>
        <v>25400</v>
      </c>
      <c r="BT217">
        <f t="shared" si="567"/>
        <v>4572</v>
      </c>
      <c r="BU217">
        <f t="shared" si="568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69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70"/>
        <v>150</v>
      </c>
      <c r="CB217">
        <f t="shared" si="571"/>
        <v>31370</v>
      </c>
      <c r="CC217">
        <f>_xlfn.XLOOKUP(B217,'[8]october-2025'!$A:$A,'[8]october-2025'!$C:$C,0,0)</f>
        <v>25400</v>
      </c>
      <c r="CD217">
        <f t="shared" si="572"/>
        <v>4572</v>
      </c>
      <c r="CE217">
        <f t="shared" si="573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7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75"/>
        <v>150</v>
      </c>
      <c r="CL217">
        <f t="shared" si="576"/>
        <v>31370</v>
      </c>
      <c r="CM217">
        <f>_xlfn.XLOOKUP(B217,'[9]november-2025'!$A:$A,'[9]november-2025'!$C:$C,0,0)</f>
        <v>25400</v>
      </c>
      <c r="CN217">
        <f t="shared" si="577"/>
        <v>4572</v>
      </c>
      <c r="CO217">
        <f t="shared" si="578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79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80"/>
        <v>150</v>
      </c>
      <c r="CV217">
        <f t="shared" si="581"/>
        <v>31370</v>
      </c>
      <c r="CW217">
        <f>_xlfn.XLOOKUP(B217,'[10]december-2025'!$A:$A,'[10]december-2025'!$C:$C,0,0)</f>
        <v>25400</v>
      </c>
      <c r="CX217">
        <f t="shared" si="582"/>
        <v>4572</v>
      </c>
      <c r="CY217">
        <f t="shared" si="583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84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85"/>
        <v>150</v>
      </c>
      <c r="DF217">
        <f t="shared" si="586"/>
        <v>31370</v>
      </c>
      <c r="DG217">
        <f>_xlfn.XLOOKUP(B217,'[11]january-2026'!$A:$A,'[11]january-2026'!$C:$C,0,0)</f>
        <v>25400</v>
      </c>
      <c r="DH217">
        <f t="shared" si="587"/>
        <v>4572</v>
      </c>
      <c r="DI217">
        <f t="shared" si="588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9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90"/>
        <v>150</v>
      </c>
      <c r="DP217">
        <f t="shared" si="591"/>
        <v>31370</v>
      </c>
      <c r="DQ217">
        <f>_xlfn.XLOOKUP(B217,'[12]february-2026'!$A:$A,'[12]february-2026'!$C:$C,0,0)</f>
        <v>25400</v>
      </c>
      <c r="DR217">
        <f t="shared" si="592"/>
        <v>4572</v>
      </c>
      <c r="DS217">
        <f t="shared" si="59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4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5"/>
        <v>150</v>
      </c>
      <c r="DZ217">
        <f t="shared" si="596"/>
        <v>31370</v>
      </c>
      <c r="EA217">
        <f t="shared" si="597"/>
        <v>404412</v>
      </c>
      <c r="EB217">
        <f t="shared" si="598"/>
        <v>1800</v>
      </c>
      <c r="EC217">
        <f t="shared" si="599"/>
        <v>50000</v>
      </c>
      <c r="ED217">
        <v>0</v>
      </c>
      <c r="EE217">
        <f t="shared" si="600"/>
        <v>352612</v>
      </c>
      <c r="EF217">
        <f t="shared" si="601"/>
        <v>14000</v>
      </c>
      <c r="EG217">
        <f t="shared" si="602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3"/>
        <v>14000</v>
      </c>
      <c r="ES217">
        <f t="shared" si="604"/>
        <v>14000</v>
      </c>
      <c r="ET217">
        <f t="shared" si="605"/>
        <v>338612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6"/>
        <v>0</v>
      </c>
      <c r="FC217">
        <f t="shared" si="607"/>
        <v>338612</v>
      </c>
      <c r="FD217">
        <f t="shared" si="608"/>
        <v>4431</v>
      </c>
      <c r="FE217">
        <f t="shared" si="609"/>
        <v>0</v>
      </c>
      <c r="FF217">
        <f t="shared" si="610"/>
        <v>4431</v>
      </c>
      <c r="FG217">
        <f t="shared" si="611"/>
        <v>0</v>
      </c>
      <c r="FH217">
        <f t="shared" si="612"/>
        <v>0</v>
      </c>
      <c r="FI217">
        <f t="shared" si="613"/>
        <v>0</v>
      </c>
      <c r="FJ217">
        <v>0</v>
      </c>
      <c r="FK217">
        <f t="shared" si="614"/>
        <v>0</v>
      </c>
      <c r="FL217" t="b">
        <f t="shared" si="615"/>
        <v>0</v>
      </c>
      <c r="FM217">
        <f t="shared" ca="1" si="616"/>
        <v>2976</v>
      </c>
      <c r="FN217">
        <f t="shared" ca="1" si="617"/>
        <v>407388</v>
      </c>
      <c r="FO217">
        <f t="shared" si="618"/>
        <v>75000</v>
      </c>
      <c r="FP217">
        <f t="shared" ca="1" si="619"/>
        <v>332388</v>
      </c>
      <c r="FQ217">
        <f t="shared" ca="1" si="620"/>
        <v>0</v>
      </c>
      <c r="FR217">
        <f t="shared" ca="1" si="621"/>
        <v>0</v>
      </c>
      <c r="FS217">
        <f t="shared" ca="1" si="622"/>
        <v>0</v>
      </c>
      <c r="FT217">
        <f t="shared" ca="1" si="623"/>
        <v>0</v>
      </c>
      <c r="FU217">
        <f t="shared" ca="1" si="624"/>
        <v>0</v>
      </c>
      <c r="FV217">
        <f t="shared" ca="1" si="625"/>
        <v>0</v>
      </c>
      <c r="FW217">
        <f t="shared" ca="1" si="626"/>
        <v>0</v>
      </c>
      <c r="FX217">
        <f t="shared" ca="1" si="627"/>
        <v>0</v>
      </c>
      <c r="FY217">
        <f t="shared" ca="1" si="628"/>
        <v>0</v>
      </c>
      <c r="FZ217">
        <f t="shared" ca="1" si="629"/>
        <v>0</v>
      </c>
      <c r="GA217">
        <f t="shared" ca="1" si="630"/>
        <v>0</v>
      </c>
      <c r="GB217">
        <f t="shared" ca="1" si="631"/>
        <v>0</v>
      </c>
      <c r="GC217">
        <f t="shared" ca="1" si="632"/>
        <v>0</v>
      </c>
      <c r="GD217">
        <f t="shared" ca="1" si="633"/>
        <v>0</v>
      </c>
      <c r="GE217">
        <f t="shared" ca="1" si="634"/>
        <v>0</v>
      </c>
      <c r="GF217">
        <f t="shared" ca="1" si="635"/>
        <v>0</v>
      </c>
      <c r="GG217">
        <f t="shared" ca="1" si="636"/>
        <v>0</v>
      </c>
      <c r="GH217" t="b">
        <f t="shared" ca="1" si="637"/>
        <v>0</v>
      </c>
      <c r="GI217">
        <f t="shared" ca="1" si="638"/>
        <v>0</v>
      </c>
      <c r="GJ217">
        <f t="shared" ca="1" si="639"/>
        <v>0</v>
      </c>
      <c r="GK217">
        <f t="shared" ca="1" si="640"/>
        <v>0</v>
      </c>
      <c r="GL217">
        <f t="shared" ca="1" si="641"/>
        <v>0</v>
      </c>
      <c r="GM217">
        <f t="shared" ca="1" si="642"/>
        <v>0</v>
      </c>
    </row>
    <row r="218" spans="1:195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644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38"/>
        <v>7238.0000000000009</v>
      </c>
      <c r="L218">
        <f t="shared" si="539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540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43"/>
        <v>200</v>
      </c>
      <c r="S218">
        <f t="shared" si="541"/>
        <v>55842</v>
      </c>
      <c r="T218">
        <f>_xlfn.XLOOKUP(B218,'[2]april-2025'!$A:$A,'[2]april-2025'!$C:$C,0,0)</f>
        <v>51700</v>
      </c>
      <c r="U218">
        <f t="shared" si="542"/>
        <v>9306</v>
      </c>
      <c r="V218">
        <f t="shared" si="543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44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45"/>
        <v>200</v>
      </c>
      <c r="AC218">
        <f t="shared" si="546"/>
        <v>57910</v>
      </c>
      <c r="AD218">
        <f>_xlfn.XLOOKUP(B218,'[3]may-2025'!$A:$A,'[3]may-2025'!$C:$C,0,0)</f>
        <v>51700</v>
      </c>
      <c r="AE218">
        <f t="shared" si="547"/>
        <v>9306</v>
      </c>
      <c r="AF218">
        <f t="shared" si="54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49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50"/>
        <v>200</v>
      </c>
      <c r="AM218">
        <f t="shared" si="551"/>
        <v>57910</v>
      </c>
      <c r="AN218">
        <f>_xlfn.XLOOKUP(B218,'[4]june-2025'!$A:$A,'[4]june-2025'!$C:$C,0,0)</f>
        <v>51700</v>
      </c>
      <c r="AO218">
        <f t="shared" si="552"/>
        <v>9306</v>
      </c>
      <c r="AP218">
        <f t="shared" si="553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54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55"/>
        <v>200</v>
      </c>
      <c r="AW218">
        <f t="shared" si="556"/>
        <v>57910</v>
      </c>
      <c r="AX218">
        <f>_xlfn.XLOOKUP(B218,'[5]july-2025'!$A:$A,'[5]july-2025'!$C:$C,0,0)</f>
        <v>53300</v>
      </c>
      <c r="AY218">
        <f t="shared" si="557"/>
        <v>9594</v>
      </c>
      <c r="AZ218">
        <v>0</v>
      </c>
      <c r="BA218">
        <f t="shared" si="558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59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60"/>
        <v>200</v>
      </c>
      <c r="BH218">
        <f t="shared" si="561"/>
        <v>59990</v>
      </c>
      <c r="BI218">
        <f>_xlfn.XLOOKUP(B218,'[6]august-2025'!$A:$A,'[6]august-2025'!$C:$C,0,0)</f>
        <v>53300</v>
      </c>
      <c r="BJ218">
        <f t="shared" si="562"/>
        <v>9594</v>
      </c>
      <c r="BK218">
        <f t="shared" si="563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64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65"/>
        <v>200</v>
      </c>
      <c r="BR218">
        <f t="shared" si="566"/>
        <v>59990</v>
      </c>
      <c r="BS218">
        <f>_xlfn.XLOOKUP(B218,'[7]september-2025'!$A:$A,'[7]september-2025'!$C:$C,0,0)</f>
        <v>53300</v>
      </c>
      <c r="BT218">
        <f t="shared" si="567"/>
        <v>9594</v>
      </c>
      <c r="BU218">
        <f t="shared" si="568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69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70"/>
        <v>200</v>
      </c>
      <c r="CB218">
        <f t="shared" si="571"/>
        <v>59990</v>
      </c>
      <c r="CC218">
        <f>_xlfn.XLOOKUP(B218,'[8]october-2025'!$A:$A,'[8]october-2025'!$C:$C,0,0)</f>
        <v>53300</v>
      </c>
      <c r="CD218">
        <f t="shared" si="572"/>
        <v>9594</v>
      </c>
      <c r="CE218">
        <f t="shared" si="573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7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75"/>
        <v>200</v>
      </c>
      <c r="CL218">
        <f t="shared" si="576"/>
        <v>59990</v>
      </c>
      <c r="CM218">
        <f>_xlfn.XLOOKUP(B218,'[9]november-2025'!$A:$A,'[9]november-2025'!$C:$C,0,0)</f>
        <v>53300</v>
      </c>
      <c r="CN218">
        <f t="shared" si="577"/>
        <v>9594</v>
      </c>
      <c r="CO218">
        <f t="shared" si="578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79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80"/>
        <v>200</v>
      </c>
      <c r="CV218">
        <f t="shared" si="581"/>
        <v>59990</v>
      </c>
      <c r="CW218">
        <f>_xlfn.XLOOKUP(B218,'[10]december-2025'!$A:$A,'[10]december-2025'!$C:$C,0,0)</f>
        <v>53300</v>
      </c>
      <c r="CX218">
        <f t="shared" si="582"/>
        <v>9594</v>
      </c>
      <c r="CY218">
        <f t="shared" si="583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84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85"/>
        <v>200</v>
      </c>
      <c r="DF218">
        <f t="shared" si="586"/>
        <v>59990</v>
      </c>
      <c r="DG218">
        <f>_xlfn.XLOOKUP(B218,'[11]january-2026'!$A:$A,'[11]january-2026'!$C:$C,0,0)</f>
        <v>53300</v>
      </c>
      <c r="DH218">
        <f t="shared" si="587"/>
        <v>9594</v>
      </c>
      <c r="DI218">
        <f t="shared" si="588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9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90"/>
        <v>200</v>
      </c>
      <c r="DP218">
        <f t="shared" si="591"/>
        <v>59990</v>
      </c>
      <c r="DQ218">
        <f>_xlfn.XLOOKUP(B218,'[12]february-2026'!$A:$A,'[12]february-2026'!$C:$C,0,0)</f>
        <v>53300</v>
      </c>
      <c r="DR218">
        <f t="shared" si="592"/>
        <v>9594</v>
      </c>
      <c r="DS218">
        <f t="shared" si="59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4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5"/>
        <v>200</v>
      </c>
      <c r="DZ218">
        <f t="shared" si="596"/>
        <v>59990</v>
      </c>
      <c r="EA218">
        <f t="shared" si="597"/>
        <v>838692</v>
      </c>
      <c r="EB218">
        <f t="shared" si="598"/>
        <v>2400</v>
      </c>
      <c r="EC218">
        <f t="shared" si="599"/>
        <v>50000</v>
      </c>
      <c r="ED218">
        <v>0</v>
      </c>
      <c r="EE218">
        <f t="shared" si="600"/>
        <v>786292</v>
      </c>
      <c r="EF218">
        <f t="shared" si="601"/>
        <v>120000</v>
      </c>
      <c r="EG218">
        <f t="shared" si="602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3"/>
        <v>120000</v>
      </c>
      <c r="ES218">
        <f t="shared" si="604"/>
        <v>120000</v>
      </c>
      <c r="ET218">
        <f t="shared" si="605"/>
        <v>666292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6"/>
        <v>0</v>
      </c>
      <c r="FC218">
        <f t="shared" si="607"/>
        <v>666292</v>
      </c>
      <c r="FD218">
        <f t="shared" si="608"/>
        <v>12500</v>
      </c>
      <c r="FE218">
        <f t="shared" si="609"/>
        <v>33258</v>
      </c>
      <c r="FF218">
        <f t="shared" si="610"/>
        <v>45758</v>
      </c>
      <c r="FG218">
        <f t="shared" si="611"/>
        <v>45758</v>
      </c>
      <c r="FH218">
        <f t="shared" si="612"/>
        <v>1830.32</v>
      </c>
      <c r="FI218">
        <f t="shared" si="613"/>
        <v>47588</v>
      </c>
      <c r="FJ218">
        <v>0</v>
      </c>
      <c r="FK218">
        <f t="shared" si="614"/>
        <v>47588</v>
      </c>
      <c r="FL218" t="b">
        <f t="shared" si="615"/>
        <v>1</v>
      </c>
      <c r="FM218">
        <f t="shared" ca="1" si="616"/>
        <v>827</v>
      </c>
      <c r="FN218">
        <f t="shared" ca="1" si="617"/>
        <v>839519</v>
      </c>
      <c r="FO218">
        <f t="shared" si="618"/>
        <v>75000</v>
      </c>
      <c r="FP218">
        <f t="shared" ca="1" si="619"/>
        <v>764519</v>
      </c>
      <c r="FQ218">
        <f t="shared" ca="1" si="620"/>
        <v>0</v>
      </c>
      <c r="FR218">
        <f t="shared" ca="1" si="621"/>
        <v>0</v>
      </c>
      <c r="FS218">
        <f t="shared" ca="1" si="622"/>
        <v>0</v>
      </c>
      <c r="FT218">
        <f t="shared" ca="1" si="623"/>
        <v>0</v>
      </c>
      <c r="FU218">
        <f t="shared" ca="1" si="624"/>
        <v>0</v>
      </c>
      <c r="FV218">
        <f t="shared" ca="1" si="625"/>
        <v>0</v>
      </c>
      <c r="FW218">
        <f t="shared" ca="1" si="626"/>
        <v>0</v>
      </c>
      <c r="FX218">
        <f t="shared" ca="1" si="627"/>
        <v>0</v>
      </c>
      <c r="FY218">
        <f t="shared" ca="1" si="628"/>
        <v>0</v>
      </c>
      <c r="FZ218">
        <f t="shared" ca="1" si="629"/>
        <v>0</v>
      </c>
      <c r="GA218">
        <f t="shared" ca="1" si="630"/>
        <v>364519</v>
      </c>
      <c r="GB218">
        <f t="shared" ca="1" si="631"/>
        <v>18225.95</v>
      </c>
      <c r="GC218">
        <f t="shared" ca="1" si="632"/>
        <v>18226</v>
      </c>
      <c r="GD218">
        <f t="shared" ca="1" si="633"/>
        <v>0</v>
      </c>
      <c r="GE218">
        <f t="shared" ca="1" si="634"/>
        <v>0</v>
      </c>
      <c r="GF218">
        <f t="shared" ca="1" si="635"/>
        <v>18226</v>
      </c>
      <c r="GG218">
        <f t="shared" ca="1" si="636"/>
        <v>0</v>
      </c>
      <c r="GH218" t="b">
        <f t="shared" ca="1" si="637"/>
        <v>0</v>
      </c>
      <c r="GI218">
        <f t="shared" ca="1" si="638"/>
        <v>0</v>
      </c>
      <c r="GJ218">
        <f t="shared" ca="1" si="639"/>
        <v>18226</v>
      </c>
      <c r="GK218">
        <f t="shared" ca="1" si="640"/>
        <v>0</v>
      </c>
      <c r="GL218">
        <f t="shared" ca="1" si="641"/>
        <v>0</v>
      </c>
      <c r="GM218">
        <f t="shared" ca="1" si="642"/>
        <v>0</v>
      </c>
    </row>
    <row r="219" spans="1:195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644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38"/>
        <v>6622.0000000000009</v>
      </c>
      <c r="L219">
        <f t="shared" si="539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540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43"/>
        <v>200</v>
      </c>
      <c r="S219">
        <f t="shared" si="541"/>
        <v>54398</v>
      </c>
      <c r="T219">
        <f>_xlfn.XLOOKUP(B219,'[2]april-2025'!$A:$A,'[2]april-2025'!$C:$C,0,0)</f>
        <v>47300</v>
      </c>
      <c r="U219">
        <f t="shared" si="542"/>
        <v>8514</v>
      </c>
      <c r="V219">
        <f t="shared" si="543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44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45"/>
        <v>200</v>
      </c>
      <c r="AC219">
        <f t="shared" si="546"/>
        <v>56290</v>
      </c>
      <c r="AD219">
        <f>_xlfn.XLOOKUP(B219,'[3]may-2025'!$A:$A,'[3]may-2025'!$C:$C,0,0)</f>
        <v>47300</v>
      </c>
      <c r="AE219">
        <f t="shared" si="547"/>
        <v>8514</v>
      </c>
      <c r="AF219">
        <f t="shared" si="54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49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50"/>
        <v>200</v>
      </c>
      <c r="AM219">
        <f t="shared" si="551"/>
        <v>56290</v>
      </c>
      <c r="AN219">
        <f>_xlfn.XLOOKUP(B219,'[4]june-2025'!$A:$A,'[4]june-2025'!$C:$C,0,0)</f>
        <v>47300</v>
      </c>
      <c r="AO219">
        <f t="shared" si="552"/>
        <v>8514</v>
      </c>
      <c r="AP219">
        <f t="shared" si="553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54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55"/>
        <v>200</v>
      </c>
      <c r="AW219">
        <f t="shared" si="556"/>
        <v>56290</v>
      </c>
      <c r="AX219">
        <f>_xlfn.XLOOKUP(B219,'[5]july-2025'!$A:$A,'[5]july-2025'!$C:$C,0,0)</f>
        <v>48700</v>
      </c>
      <c r="AY219">
        <f t="shared" si="557"/>
        <v>8766</v>
      </c>
      <c r="AZ219">
        <v>0</v>
      </c>
      <c r="BA219">
        <f t="shared" si="558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59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60"/>
        <v>200</v>
      </c>
      <c r="BH219">
        <f t="shared" si="561"/>
        <v>58110</v>
      </c>
      <c r="BI219">
        <f>_xlfn.XLOOKUP(B219,'[6]august-2025'!$A:$A,'[6]august-2025'!$C:$C,0,0)</f>
        <v>48700</v>
      </c>
      <c r="BJ219">
        <f t="shared" si="562"/>
        <v>8766</v>
      </c>
      <c r="BK219">
        <f t="shared" si="563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64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65"/>
        <v>200</v>
      </c>
      <c r="BR219">
        <f t="shared" si="566"/>
        <v>58110</v>
      </c>
      <c r="BS219">
        <f>_xlfn.XLOOKUP(B219,'[7]september-2025'!$A:$A,'[7]september-2025'!$C:$C,0,0)</f>
        <v>48700</v>
      </c>
      <c r="BT219">
        <f t="shared" si="567"/>
        <v>8766</v>
      </c>
      <c r="BU219">
        <f t="shared" si="568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69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70"/>
        <v>200</v>
      </c>
      <c r="CB219">
        <f t="shared" si="571"/>
        <v>58110</v>
      </c>
      <c r="CC219">
        <f>_xlfn.XLOOKUP(B219,'[8]october-2025'!$A:$A,'[8]october-2025'!$C:$C,0,0)</f>
        <v>48700</v>
      </c>
      <c r="CD219">
        <f t="shared" si="572"/>
        <v>8766</v>
      </c>
      <c r="CE219">
        <f t="shared" si="573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7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75"/>
        <v>200</v>
      </c>
      <c r="CL219">
        <f t="shared" si="576"/>
        <v>58110</v>
      </c>
      <c r="CM219">
        <f>_xlfn.XLOOKUP(B219,'[9]november-2025'!$A:$A,'[9]november-2025'!$C:$C,0,0)</f>
        <v>48700</v>
      </c>
      <c r="CN219">
        <f t="shared" si="577"/>
        <v>8766</v>
      </c>
      <c r="CO219">
        <f t="shared" si="578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79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80"/>
        <v>200</v>
      </c>
      <c r="CV219">
        <f t="shared" si="581"/>
        <v>58110</v>
      </c>
      <c r="CW219">
        <f>_xlfn.XLOOKUP(B219,'[10]december-2025'!$A:$A,'[10]december-2025'!$C:$C,0,0)</f>
        <v>48700</v>
      </c>
      <c r="CX219">
        <f t="shared" si="582"/>
        <v>8766</v>
      </c>
      <c r="CY219">
        <f t="shared" si="583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84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85"/>
        <v>200</v>
      </c>
      <c r="DF219">
        <f t="shared" si="586"/>
        <v>58110</v>
      </c>
      <c r="DG219">
        <f>_xlfn.XLOOKUP(B219,'[11]january-2026'!$A:$A,'[11]january-2026'!$C:$C,0,0)</f>
        <v>48700</v>
      </c>
      <c r="DH219">
        <f t="shared" si="587"/>
        <v>8766</v>
      </c>
      <c r="DI219">
        <f t="shared" si="588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9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90"/>
        <v>200</v>
      </c>
      <c r="DP219">
        <f t="shared" si="591"/>
        <v>58110</v>
      </c>
      <c r="DQ219">
        <f>_xlfn.XLOOKUP(B219,'[12]february-2026'!$A:$A,'[12]february-2026'!$C:$C,0,0)</f>
        <v>48700</v>
      </c>
      <c r="DR219">
        <f t="shared" si="592"/>
        <v>8766</v>
      </c>
      <c r="DS219">
        <f t="shared" si="59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4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5"/>
        <v>200</v>
      </c>
      <c r="DZ219">
        <f t="shared" si="596"/>
        <v>58110</v>
      </c>
      <c r="EA219">
        <f t="shared" si="597"/>
        <v>757348</v>
      </c>
      <c r="EB219">
        <f t="shared" si="598"/>
        <v>2400</v>
      </c>
      <c r="EC219">
        <f t="shared" si="599"/>
        <v>50000</v>
      </c>
      <c r="ED219">
        <v>0</v>
      </c>
      <c r="EE219">
        <f t="shared" si="600"/>
        <v>704948</v>
      </c>
      <c r="EF219">
        <f t="shared" si="601"/>
        <v>60000</v>
      </c>
      <c r="EG219">
        <f t="shared" si="602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3"/>
        <v>60000</v>
      </c>
      <c r="ES219">
        <f t="shared" si="604"/>
        <v>60000</v>
      </c>
      <c r="ET219">
        <f t="shared" si="605"/>
        <v>644948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6"/>
        <v>0</v>
      </c>
      <c r="FC219">
        <f t="shared" si="607"/>
        <v>644948</v>
      </c>
      <c r="FD219">
        <f t="shared" si="608"/>
        <v>12500</v>
      </c>
      <c r="FE219">
        <f t="shared" si="609"/>
        <v>28990</v>
      </c>
      <c r="FF219">
        <f t="shared" si="610"/>
        <v>41490</v>
      </c>
      <c r="FG219">
        <f t="shared" si="611"/>
        <v>41490</v>
      </c>
      <c r="FH219">
        <f t="shared" si="612"/>
        <v>1659.6000000000001</v>
      </c>
      <c r="FI219">
        <f t="shared" si="613"/>
        <v>43150</v>
      </c>
      <c r="FJ219">
        <v>0</v>
      </c>
      <c r="FK219">
        <f t="shared" si="614"/>
        <v>43150</v>
      </c>
      <c r="FL219" t="b">
        <f t="shared" si="615"/>
        <v>1</v>
      </c>
      <c r="FM219">
        <f t="shared" ca="1" si="616"/>
        <v>978</v>
      </c>
      <c r="FN219">
        <f t="shared" ca="1" si="617"/>
        <v>758326</v>
      </c>
      <c r="FO219">
        <f t="shared" si="618"/>
        <v>75000</v>
      </c>
      <c r="FP219">
        <f t="shared" ca="1" si="619"/>
        <v>683326</v>
      </c>
      <c r="FQ219">
        <f t="shared" ca="1" si="620"/>
        <v>0</v>
      </c>
      <c r="FR219">
        <f t="shared" ca="1" si="621"/>
        <v>0</v>
      </c>
      <c r="FS219">
        <f t="shared" ca="1" si="622"/>
        <v>0</v>
      </c>
      <c r="FT219">
        <f t="shared" ca="1" si="623"/>
        <v>0</v>
      </c>
      <c r="FU219">
        <f t="shared" ca="1" si="624"/>
        <v>0</v>
      </c>
      <c r="FV219">
        <f t="shared" ca="1" si="625"/>
        <v>0</v>
      </c>
      <c r="FW219">
        <f t="shared" ca="1" si="626"/>
        <v>0</v>
      </c>
      <c r="FX219">
        <f t="shared" ca="1" si="627"/>
        <v>0</v>
      </c>
      <c r="FY219">
        <f t="shared" ca="1" si="628"/>
        <v>0</v>
      </c>
      <c r="FZ219">
        <f t="shared" ca="1" si="629"/>
        <v>0</v>
      </c>
      <c r="GA219">
        <f t="shared" ca="1" si="630"/>
        <v>283326</v>
      </c>
      <c r="GB219">
        <f t="shared" ca="1" si="631"/>
        <v>14166.300000000001</v>
      </c>
      <c r="GC219">
        <f t="shared" ca="1" si="632"/>
        <v>14166</v>
      </c>
      <c r="GD219">
        <f t="shared" ca="1" si="633"/>
        <v>0</v>
      </c>
      <c r="GE219">
        <f t="shared" ca="1" si="634"/>
        <v>0</v>
      </c>
      <c r="GF219">
        <f t="shared" ca="1" si="635"/>
        <v>14166</v>
      </c>
      <c r="GG219">
        <f t="shared" ca="1" si="636"/>
        <v>0</v>
      </c>
      <c r="GH219" t="b">
        <f t="shared" ca="1" si="637"/>
        <v>0</v>
      </c>
      <c r="GI219">
        <f t="shared" ca="1" si="638"/>
        <v>0</v>
      </c>
      <c r="GJ219">
        <f t="shared" ca="1" si="639"/>
        <v>14166</v>
      </c>
      <c r="GK219">
        <f t="shared" ca="1" si="640"/>
        <v>0</v>
      </c>
      <c r="GL219">
        <f t="shared" ca="1" si="641"/>
        <v>0</v>
      </c>
      <c r="GM219">
        <f t="shared" ca="1" si="642"/>
        <v>0</v>
      </c>
    </row>
    <row r="220" spans="1:195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644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38"/>
        <v>7028.0000000000009</v>
      </c>
      <c r="L220">
        <f t="shared" si="539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540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43"/>
        <v>200</v>
      </c>
      <c r="S220">
        <f t="shared" si="541"/>
        <v>58992</v>
      </c>
      <c r="T220">
        <f>_xlfn.XLOOKUP(B220,'[2]april-2025'!$A:$A,'[2]april-2025'!$C:$C,0,0)</f>
        <v>50200</v>
      </c>
      <c r="U220">
        <f t="shared" si="542"/>
        <v>9036</v>
      </c>
      <c r="V220">
        <f t="shared" si="543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44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45"/>
        <v>200</v>
      </c>
      <c r="AC220">
        <f t="shared" si="546"/>
        <v>61000</v>
      </c>
      <c r="AD220">
        <f>_xlfn.XLOOKUP(B220,'[3]may-2025'!$A:$A,'[3]may-2025'!$C:$C,0,0)</f>
        <v>50200</v>
      </c>
      <c r="AE220">
        <f t="shared" si="547"/>
        <v>9036</v>
      </c>
      <c r="AF220">
        <f t="shared" si="54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49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50"/>
        <v>200</v>
      </c>
      <c r="AM220">
        <f t="shared" si="551"/>
        <v>61000</v>
      </c>
      <c r="AN220">
        <f>_xlfn.XLOOKUP(B220,'[4]june-2025'!$A:$A,'[4]june-2025'!$C:$C,0,0)</f>
        <v>50200</v>
      </c>
      <c r="AO220">
        <f t="shared" si="552"/>
        <v>9036</v>
      </c>
      <c r="AP220">
        <f t="shared" si="553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54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55"/>
        <v>200</v>
      </c>
      <c r="AW220">
        <f t="shared" si="556"/>
        <v>61000</v>
      </c>
      <c r="AX220">
        <f>_xlfn.XLOOKUP(B220,'[5]july-2025'!$A:$A,'[5]july-2025'!$C:$C,0,0)</f>
        <v>51700</v>
      </c>
      <c r="AY220">
        <f t="shared" si="557"/>
        <v>9306</v>
      </c>
      <c r="AZ220">
        <v>0</v>
      </c>
      <c r="BA220">
        <f t="shared" si="558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59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60"/>
        <v>200</v>
      </c>
      <c r="BH220">
        <f t="shared" si="561"/>
        <v>62950</v>
      </c>
      <c r="BI220">
        <f>_xlfn.XLOOKUP(B220,'[6]august-2025'!$A:$A,'[6]august-2025'!$C:$C,0,0)</f>
        <v>51700</v>
      </c>
      <c r="BJ220">
        <f t="shared" si="562"/>
        <v>9306</v>
      </c>
      <c r="BK220">
        <f t="shared" si="563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64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65"/>
        <v>200</v>
      </c>
      <c r="BR220">
        <f t="shared" si="566"/>
        <v>62950</v>
      </c>
      <c r="BS220">
        <f>_xlfn.XLOOKUP(B220,'[7]september-2025'!$A:$A,'[7]september-2025'!$C:$C,0,0)</f>
        <v>51700</v>
      </c>
      <c r="BT220">
        <f t="shared" si="567"/>
        <v>9306</v>
      </c>
      <c r="BU220">
        <f t="shared" si="568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69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70"/>
        <v>200</v>
      </c>
      <c r="CB220">
        <f t="shared" si="571"/>
        <v>62950</v>
      </c>
      <c r="CC220">
        <f>_xlfn.XLOOKUP(B220,'[8]october-2025'!$A:$A,'[8]october-2025'!$C:$C,0,0)</f>
        <v>51700</v>
      </c>
      <c r="CD220">
        <f t="shared" si="572"/>
        <v>9306</v>
      </c>
      <c r="CE220">
        <f t="shared" si="573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7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75"/>
        <v>200</v>
      </c>
      <c r="CL220">
        <f t="shared" si="576"/>
        <v>62950</v>
      </c>
      <c r="CM220">
        <f>_xlfn.XLOOKUP(B220,'[9]november-2025'!$A:$A,'[9]november-2025'!$C:$C,0,0)</f>
        <v>51700</v>
      </c>
      <c r="CN220">
        <f t="shared" si="577"/>
        <v>9306</v>
      </c>
      <c r="CO220">
        <f t="shared" si="578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79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80"/>
        <v>200</v>
      </c>
      <c r="CV220">
        <f t="shared" si="581"/>
        <v>62950</v>
      </c>
      <c r="CW220">
        <f>_xlfn.XLOOKUP(B220,'[10]december-2025'!$A:$A,'[10]december-2025'!$C:$C,0,0)</f>
        <v>51700</v>
      </c>
      <c r="CX220">
        <f t="shared" si="582"/>
        <v>9306</v>
      </c>
      <c r="CY220">
        <f t="shared" si="583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84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85"/>
        <v>200</v>
      </c>
      <c r="DF220">
        <f t="shared" si="586"/>
        <v>62950</v>
      </c>
      <c r="DG220">
        <f>_xlfn.XLOOKUP(B220,'[11]january-2026'!$A:$A,'[11]january-2026'!$C:$C,0,0)</f>
        <v>51700</v>
      </c>
      <c r="DH220">
        <f t="shared" si="587"/>
        <v>9306</v>
      </c>
      <c r="DI220">
        <f t="shared" si="588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9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90"/>
        <v>200</v>
      </c>
      <c r="DP220">
        <f t="shared" si="591"/>
        <v>62950</v>
      </c>
      <c r="DQ220">
        <f>_xlfn.XLOOKUP(B220,'[12]february-2026'!$A:$A,'[12]february-2026'!$C:$C,0,0)</f>
        <v>51700</v>
      </c>
      <c r="DR220">
        <f t="shared" si="592"/>
        <v>9306</v>
      </c>
      <c r="DS220">
        <f t="shared" si="59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4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5"/>
        <v>200</v>
      </c>
      <c r="DZ220">
        <f t="shared" si="596"/>
        <v>62950</v>
      </c>
      <c r="EA220">
        <f t="shared" si="597"/>
        <v>803512</v>
      </c>
      <c r="EB220">
        <f t="shared" si="598"/>
        <v>2400</v>
      </c>
      <c r="EC220">
        <f t="shared" si="599"/>
        <v>50000</v>
      </c>
      <c r="ED220">
        <v>0</v>
      </c>
      <c r="EE220">
        <f t="shared" si="600"/>
        <v>751112</v>
      </c>
      <c r="EF220">
        <f t="shared" si="601"/>
        <v>48000</v>
      </c>
      <c r="EG220">
        <f t="shared" si="602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3"/>
        <v>48720</v>
      </c>
      <c r="ES220">
        <f t="shared" si="604"/>
        <v>48720</v>
      </c>
      <c r="ET220">
        <f t="shared" si="605"/>
        <v>702392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6"/>
        <v>0</v>
      </c>
      <c r="FC220">
        <f t="shared" si="607"/>
        <v>702392</v>
      </c>
      <c r="FD220">
        <f t="shared" si="608"/>
        <v>12500</v>
      </c>
      <c r="FE220">
        <f t="shared" si="609"/>
        <v>40478</v>
      </c>
      <c r="FF220">
        <f t="shared" si="610"/>
        <v>52978</v>
      </c>
      <c r="FG220">
        <f t="shared" si="611"/>
        <v>52978</v>
      </c>
      <c r="FH220">
        <f t="shared" si="612"/>
        <v>2119.12</v>
      </c>
      <c r="FI220">
        <f t="shared" si="613"/>
        <v>55097</v>
      </c>
      <c r="FJ220">
        <v>0</v>
      </c>
      <c r="FK220">
        <f t="shared" si="614"/>
        <v>55097</v>
      </c>
      <c r="FL220" t="b">
        <f t="shared" si="615"/>
        <v>1</v>
      </c>
      <c r="FM220">
        <f t="shared" ca="1" si="616"/>
        <v>929</v>
      </c>
      <c r="FN220">
        <f t="shared" ca="1" si="617"/>
        <v>804441</v>
      </c>
      <c r="FO220">
        <f t="shared" si="618"/>
        <v>75000</v>
      </c>
      <c r="FP220">
        <f t="shared" ca="1" si="619"/>
        <v>729441</v>
      </c>
      <c r="FQ220">
        <f t="shared" ca="1" si="620"/>
        <v>0</v>
      </c>
      <c r="FR220">
        <f t="shared" ca="1" si="621"/>
        <v>0</v>
      </c>
      <c r="FS220">
        <f t="shared" ca="1" si="622"/>
        <v>0</v>
      </c>
      <c r="FT220">
        <f t="shared" ca="1" si="623"/>
        <v>0</v>
      </c>
      <c r="FU220">
        <f t="shared" ca="1" si="624"/>
        <v>0</v>
      </c>
      <c r="FV220">
        <f t="shared" ca="1" si="625"/>
        <v>0</v>
      </c>
      <c r="FW220">
        <f t="shared" ca="1" si="626"/>
        <v>0</v>
      </c>
      <c r="FX220">
        <f t="shared" ca="1" si="627"/>
        <v>0</v>
      </c>
      <c r="FY220">
        <f t="shared" ca="1" si="628"/>
        <v>0</v>
      </c>
      <c r="FZ220">
        <f t="shared" ca="1" si="629"/>
        <v>0</v>
      </c>
      <c r="GA220">
        <f t="shared" ca="1" si="630"/>
        <v>329441</v>
      </c>
      <c r="GB220">
        <f t="shared" ca="1" si="631"/>
        <v>16472.05</v>
      </c>
      <c r="GC220">
        <f t="shared" ca="1" si="632"/>
        <v>16472</v>
      </c>
      <c r="GD220">
        <f t="shared" ca="1" si="633"/>
        <v>0</v>
      </c>
      <c r="GE220">
        <f t="shared" ca="1" si="634"/>
        <v>0</v>
      </c>
      <c r="GF220">
        <f t="shared" ca="1" si="635"/>
        <v>16472</v>
      </c>
      <c r="GG220">
        <f t="shared" ca="1" si="636"/>
        <v>0</v>
      </c>
      <c r="GH220" t="b">
        <f t="shared" ca="1" si="637"/>
        <v>0</v>
      </c>
      <c r="GI220">
        <f t="shared" ca="1" si="638"/>
        <v>0</v>
      </c>
      <c r="GJ220">
        <f t="shared" ca="1" si="639"/>
        <v>16472</v>
      </c>
      <c r="GK220">
        <f t="shared" ca="1" si="640"/>
        <v>0</v>
      </c>
      <c r="GL220">
        <f t="shared" ca="1" si="641"/>
        <v>0</v>
      </c>
      <c r="GM220">
        <f t="shared" ca="1" si="642"/>
        <v>0</v>
      </c>
    </row>
    <row r="221" spans="1:195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644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38"/>
        <v>4690</v>
      </c>
      <c r="L221">
        <f t="shared" si="539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540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43"/>
        <v>200</v>
      </c>
      <c r="S221">
        <f t="shared" si="541"/>
        <v>37010</v>
      </c>
      <c r="T221">
        <f>_xlfn.XLOOKUP(B221,'[2]april-2025'!$A:$A,'[2]april-2025'!$C:$C,0,0)</f>
        <v>33500</v>
      </c>
      <c r="U221">
        <f t="shared" si="542"/>
        <v>6030</v>
      </c>
      <c r="V221">
        <f t="shared" si="543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44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45"/>
        <v>200</v>
      </c>
      <c r="AC221">
        <f t="shared" si="546"/>
        <v>38350</v>
      </c>
      <c r="AD221">
        <f>_xlfn.XLOOKUP(B221,'[3]may-2025'!$A:$A,'[3]may-2025'!$C:$C,0,0)</f>
        <v>33500</v>
      </c>
      <c r="AE221">
        <f t="shared" si="547"/>
        <v>6030</v>
      </c>
      <c r="AF221">
        <f t="shared" si="54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49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50"/>
        <v>200</v>
      </c>
      <c r="AM221">
        <f t="shared" si="551"/>
        <v>38350</v>
      </c>
      <c r="AN221">
        <f>_xlfn.XLOOKUP(B221,'[4]june-2025'!$A:$A,'[4]june-2025'!$C:$C,0,0)</f>
        <v>33500</v>
      </c>
      <c r="AO221">
        <f t="shared" si="552"/>
        <v>6030</v>
      </c>
      <c r="AP221">
        <f t="shared" si="553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54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55"/>
        <v>200</v>
      </c>
      <c r="AW221">
        <f t="shared" si="556"/>
        <v>38350</v>
      </c>
      <c r="AX221">
        <f>_xlfn.XLOOKUP(B221,'[5]july-2025'!$A:$A,'[5]july-2025'!$C:$C,0,0)</f>
        <v>34500</v>
      </c>
      <c r="AY221">
        <f t="shared" si="557"/>
        <v>6210</v>
      </c>
      <c r="AZ221">
        <v>0</v>
      </c>
      <c r="BA221">
        <f t="shared" si="558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59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60"/>
        <v>200</v>
      </c>
      <c r="BH221">
        <f t="shared" si="561"/>
        <v>39650</v>
      </c>
      <c r="BI221">
        <f>_xlfn.XLOOKUP(B221,'[6]august-2025'!$A:$A,'[6]august-2025'!$C:$C,0,0)</f>
        <v>34500</v>
      </c>
      <c r="BJ221">
        <f t="shared" si="562"/>
        <v>6210</v>
      </c>
      <c r="BK221">
        <f t="shared" si="563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64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65"/>
        <v>200</v>
      </c>
      <c r="BR221">
        <f t="shared" si="566"/>
        <v>39650</v>
      </c>
      <c r="BS221">
        <f>_xlfn.XLOOKUP(B221,'[7]september-2025'!$A:$A,'[7]september-2025'!$C:$C,0,0)</f>
        <v>34500</v>
      </c>
      <c r="BT221">
        <f t="shared" si="567"/>
        <v>6210</v>
      </c>
      <c r="BU221">
        <f t="shared" si="568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69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70"/>
        <v>200</v>
      </c>
      <c r="CB221">
        <f t="shared" si="571"/>
        <v>39650</v>
      </c>
      <c r="CC221">
        <f>_xlfn.XLOOKUP(B221,'[8]october-2025'!$A:$A,'[8]october-2025'!$C:$C,0,0)</f>
        <v>34500</v>
      </c>
      <c r="CD221">
        <f t="shared" si="572"/>
        <v>6210</v>
      </c>
      <c r="CE221">
        <f t="shared" si="573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7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75"/>
        <v>200</v>
      </c>
      <c r="CL221">
        <f t="shared" si="576"/>
        <v>39650</v>
      </c>
      <c r="CM221">
        <f>_xlfn.XLOOKUP(B221,'[9]november-2025'!$A:$A,'[9]november-2025'!$C:$C,0,0)</f>
        <v>34500</v>
      </c>
      <c r="CN221">
        <f t="shared" si="577"/>
        <v>6210</v>
      </c>
      <c r="CO221">
        <f t="shared" si="578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79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80"/>
        <v>200</v>
      </c>
      <c r="CV221">
        <f t="shared" si="581"/>
        <v>39650</v>
      </c>
      <c r="CW221">
        <f>_xlfn.XLOOKUP(B221,'[10]december-2025'!$A:$A,'[10]december-2025'!$C:$C,0,0)</f>
        <v>34500</v>
      </c>
      <c r="CX221">
        <f t="shared" si="582"/>
        <v>6210</v>
      </c>
      <c r="CY221">
        <f t="shared" si="583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84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85"/>
        <v>200</v>
      </c>
      <c r="DF221">
        <f t="shared" si="586"/>
        <v>39650</v>
      </c>
      <c r="DG221">
        <f>_xlfn.XLOOKUP(B221,'[11]january-2026'!$A:$A,'[11]january-2026'!$C:$C,0,0)</f>
        <v>34500</v>
      </c>
      <c r="DH221">
        <f t="shared" si="587"/>
        <v>6210</v>
      </c>
      <c r="DI221">
        <f t="shared" si="588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9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90"/>
        <v>200</v>
      </c>
      <c r="DP221">
        <f t="shared" si="591"/>
        <v>39650</v>
      </c>
      <c r="DQ221">
        <f>_xlfn.XLOOKUP(B221,'[12]february-2026'!$A:$A,'[12]february-2026'!$C:$C,0,0)</f>
        <v>34500</v>
      </c>
      <c r="DR221">
        <f t="shared" si="592"/>
        <v>6210</v>
      </c>
      <c r="DS221">
        <f t="shared" si="59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4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5"/>
        <v>200</v>
      </c>
      <c r="DZ221">
        <f t="shared" si="596"/>
        <v>39650</v>
      </c>
      <c r="EA221">
        <f t="shared" si="597"/>
        <v>538460</v>
      </c>
      <c r="EB221">
        <f t="shared" si="598"/>
        <v>2400</v>
      </c>
      <c r="EC221">
        <f t="shared" si="599"/>
        <v>50000</v>
      </c>
      <c r="ED221">
        <v>0</v>
      </c>
      <c r="EE221">
        <f t="shared" si="600"/>
        <v>486060</v>
      </c>
      <c r="EF221">
        <f t="shared" si="601"/>
        <v>60000</v>
      </c>
      <c r="EG221">
        <f t="shared" si="602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3"/>
        <v>60000</v>
      </c>
      <c r="ES221">
        <f t="shared" si="604"/>
        <v>60000</v>
      </c>
      <c r="ET221">
        <f t="shared" si="605"/>
        <v>426060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6"/>
        <v>0</v>
      </c>
      <c r="FC221">
        <f t="shared" si="607"/>
        <v>426060</v>
      </c>
      <c r="FD221">
        <f t="shared" si="608"/>
        <v>8803</v>
      </c>
      <c r="FE221">
        <f t="shared" si="609"/>
        <v>0</v>
      </c>
      <c r="FF221">
        <f t="shared" si="610"/>
        <v>8803</v>
      </c>
      <c r="FG221">
        <f t="shared" si="611"/>
        <v>0</v>
      </c>
      <c r="FH221">
        <f t="shared" si="612"/>
        <v>0</v>
      </c>
      <c r="FI221">
        <f t="shared" si="613"/>
        <v>0</v>
      </c>
      <c r="FJ221">
        <v>0</v>
      </c>
      <c r="FK221">
        <f t="shared" si="614"/>
        <v>0</v>
      </c>
      <c r="FL221" t="b">
        <f t="shared" si="615"/>
        <v>1</v>
      </c>
      <c r="FM221">
        <f t="shared" ca="1" si="616"/>
        <v>585</v>
      </c>
      <c r="FN221">
        <f t="shared" ca="1" si="617"/>
        <v>539045</v>
      </c>
      <c r="FO221">
        <f t="shared" si="618"/>
        <v>75000</v>
      </c>
      <c r="FP221">
        <f t="shared" ca="1" si="619"/>
        <v>464045</v>
      </c>
      <c r="FQ221">
        <f t="shared" ca="1" si="620"/>
        <v>0</v>
      </c>
      <c r="FR221">
        <f t="shared" ca="1" si="621"/>
        <v>0</v>
      </c>
      <c r="FS221">
        <f t="shared" ca="1" si="622"/>
        <v>0</v>
      </c>
      <c r="FT221">
        <f t="shared" ca="1" si="623"/>
        <v>0</v>
      </c>
      <c r="FU221">
        <f t="shared" ca="1" si="624"/>
        <v>0</v>
      </c>
      <c r="FV221">
        <f t="shared" ca="1" si="625"/>
        <v>0</v>
      </c>
      <c r="FW221">
        <f t="shared" ca="1" si="626"/>
        <v>0</v>
      </c>
      <c r="FX221">
        <f t="shared" ca="1" si="627"/>
        <v>0</v>
      </c>
      <c r="FY221">
        <f t="shared" ca="1" si="628"/>
        <v>0</v>
      </c>
      <c r="FZ221">
        <f t="shared" ca="1" si="629"/>
        <v>0</v>
      </c>
      <c r="GA221">
        <f t="shared" ca="1" si="630"/>
        <v>64045</v>
      </c>
      <c r="GB221">
        <f t="shared" ca="1" si="631"/>
        <v>3202.25</v>
      </c>
      <c r="GC221">
        <f t="shared" ca="1" si="632"/>
        <v>3202</v>
      </c>
      <c r="GD221">
        <f t="shared" ca="1" si="633"/>
        <v>0</v>
      </c>
      <c r="GE221">
        <f t="shared" ca="1" si="634"/>
        <v>0</v>
      </c>
      <c r="GF221">
        <f t="shared" ca="1" si="635"/>
        <v>3202</v>
      </c>
      <c r="GG221">
        <f t="shared" ca="1" si="636"/>
        <v>0</v>
      </c>
      <c r="GH221" t="b">
        <f t="shared" ca="1" si="637"/>
        <v>0</v>
      </c>
      <c r="GI221">
        <f t="shared" ca="1" si="638"/>
        <v>0</v>
      </c>
      <c r="GJ221">
        <f t="shared" ca="1" si="639"/>
        <v>3202</v>
      </c>
      <c r="GK221">
        <f t="shared" ca="1" si="640"/>
        <v>0</v>
      </c>
      <c r="GL221">
        <f t="shared" ca="1" si="641"/>
        <v>0</v>
      </c>
      <c r="GM221">
        <f t="shared" ca="1" si="642"/>
        <v>0</v>
      </c>
    </row>
    <row r="222" spans="1:195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644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38"/>
        <v>6888.0000000000009</v>
      </c>
      <c r="L222">
        <f t="shared" si="539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540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43"/>
        <v>200</v>
      </c>
      <c r="S222">
        <f t="shared" si="541"/>
        <v>52292</v>
      </c>
      <c r="T222">
        <f>_xlfn.XLOOKUP(B222,'[2]april-2025'!$A:$A,'[2]april-2025'!$C:$C,0,0)</f>
        <v>49200</v>
      </c>
      <c r="U222">
        <f t="shared" si="542"/>
        <v>8856</v>
      </c>
      <c r="V222">
        <f t="shared" si="543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44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45"/>
        <v>200</v>
      </c>
      <c r="AC222">
        <f t="shared" si="546"/>
        <v>54260</v>
      </c>
      <c r="AD222">
        <f>_xlfn.XLOOKUP(B222,'[3]may-2025'!$A:$A,'[3]may-2025'!$C:$C,0,0)</f>
        <v>49200</v>
      </c>
      <c r="AE222">
        <f t="shared" si="547"/>
        <v>8856</v>
      </c>
      <c r="AF222">
        <f t="shared" si="54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49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50"/>
        <v>200</v>
      </c>
      <c r="AM222">
        <f t="shared" si="551"/>
        <v>54260</v>
      </c>
      <c r="AN222">
        <f>_xlfn.XLOOKUP(B222,'[4]june-2025'!$A:$A,'[4]june-2025'!$C:$C,0,0)</f>
        <v>49200</v>
      </c>
      <c r="AO222">
        <f t="shared" si="552"/>
        <v>8856</v>
      </c>
      <c r="AP222">
        <f t="shared" si="553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54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55"/>
        <v>200</v>
      </c>
      <c r="AW222">
        <f t="shared" si="556"/>
        <v>54260</v>
      </c>
      <c r="AX222">
        <f>_xlfn.XLOOKUP(B222,'[5]july-2025'!$A:$A,'[5]july-2025'!$C:$C,0,0)</f>
        <v>50700</v>
      </c>
      <c r="AY222">
        <f t="shared" si="557"/>
        <v>9126</v>
      </c>
      <c r="AZ222">
        <v>0</v>
      </c>
      <c r="BA222">
        <f t="shared" si="558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59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60"/>
        <v>200</v>
      </c>
      <c r="BH222">
        <f t="shared" si="561"/>
        <v>56210</v>
      </c>
      <c r="BI222">
        <f>_xlfn.XLOOKUP(B222,'[6]august-2025'!$A:$A,'[6]august-2025'!$C:$C,0,0)</f>
        <v>50700</v>
      </c>
      <c r="BJ222">
        <f t="shared" si="562"/>
        <v>9126</v>
      </c>
      <c r="BK222">
        <f t="shared" si="563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64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65"/>
        <v>200</v>
      </c>
      <c r="BR222">
        <f t="shared" si="566"/>
        <v>56210</v>
      </c>
      <c r="BS222">
        <f>_xlfn.XLOOKUP(B222,'[7]september-2025'!$A:$A,'[7]september-2025'!$C:$C,0,0)</f>
        <v>50700</v>
      </c>
      <c r="BT222">
        <f t="shared" si="567"/>
        <v>9126</v>
      </c>
      <c r="BU222">
        <f t="shared" si="568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69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70"/>
        <v>200</v>
      </c>
      <c r="CB222">
        <f t="shared" si="571"/>
        <v>56210</v>
      </c>
      <c r="CC222">
        <f>_xlfn.XLOOKUP(B222,'[8]october-2025'!$A:$A,'[8]october-2025'!$C:$C,0,0)</f>
        <v>50700</v>
      </c>
      <c r="CD222">
        <f t="shared" si="572"/>
        <v>9126</v>
      </c>
      <c r="CE222">
        <f t="shared" si="573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7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75"/>
        <v>200</v>
      </c>
      <c r="CL222">
        <f t="shared" si="576"/>
        <v>56210</v>
      </c>
      <c r="CM222">
        <f>_xlfn.XLOOKUP(B222,'[9]november-2025'!$A:$A,'[9]november-2025'!$C:$C,0,0)</f>
        <v>50700</v>
      </c>
      <c r="CN222">
        <f t="shared" si="577"/>
        <v>9126</v>
      </c>
      <c r="CO222">
        <f t="shared" si="578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79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80"/>
        <v>200</v>
      </c>
      <c r="CV222">
        <f t="shared" si="581"/>
        <v>56210</v>
      </c>
      <c r="CW222">
        <f>_xlfn.XLOOKUP(B222,'[10]december-2025'!$A:$A,'[10]december-2025'!$C:$C,0,0)</f>
        <v>50700</v>
      </c>
      <c r="CX222">
        <f t="shared" si="582"/>
        <v>9126</v>
      </c>
      <c r="CY222">
        <f t="shared" si="583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84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85"/>
        <v>200</v>
      </c>
      <c r="DF222">
        <f t="shared" si="586"/>
        <v>56210</v>
      </c>
      <c r="DG222">
        <f>_xlfn.XLOOKUP(B222,'[11]january-2026'!$A:$A,'[11]january-2026'!$C:$C,0,0)</f>
        <v>50700</v>
      </c>
      <c r="DH222">
        <f t="shared" si="587"/>
        <v>9126</v>
      </c>
      <c r="DI222">
        <f t="shared" si="588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9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90"/>
        <v>200</v>
      </c>
      <c r="DP222">
        <f t="shared" si="591"/>
        <v>56210</v>
      </c>
      <c r="DQ222">
        <f>_xlfn.XLOOKUP(B222,'[12]february-2026'!$A:$A,'[12]february-2026'!$C:$C,0,0)</f>
        <v>50700</v>
      </c>
      <c r="DR222">
        <f t="shared" si="592"/>
        <v>9126</v>
      </c>
      <c r="DS222">
        <f t="shared" si="59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4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5"/>
        <v>200</v>
      </c>
      <c r="DZ222">
        <f t="shared" si="596"/>
        <v>56210</v>
      </c>
      <c r="EA222">
        <f t="shared" si="597"/>
        <v>793952</v>
      </c>
      <c r="EB222">
        <f t="shared" si="598"/>
        <v>2400</v>
      </c>
      <c r="EC222">
        <f t="shared" si="599"/>
        <v>50000</v>
      </c>
      <c r="ED222">
        <v>0</v>
      </c>
      <c r="EE222">
        <f t="shared" si="600"/>
        <v>741552</v>
      </c>
      <c r="EF222">
        <f t="shared" si="601"/>
        <v>120000</v>
      </c>
      <c r="EG222">
        <f t="shared" si="602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3"/>
        <v>120000</v>
      </c>
      <c r="ES222">
        <f t="shared" si="604"/>
        <v>120000</v>
      </c>
      <c r="ET222">
        <f t="shared" si="605"/>
        <v>621552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6"/>
        <v>0</v>
      </c>
      <c r="FC222">
        <f t="shared" si="607"/>
        <v>621552</v>
      </c>
      <c r="FD222">
        <f t="shared" si="608"/>
        <v>12500</v>
      </c>
      <c r="FE222">
        <f t="shared" si="609"/>
        <v>24310</v>
      </c>
      <c r="FF222">
        <f t="shared" si="610"/>
        <v>36810</v>
      </c>
      <c r="FG222">
        <f t="shared" si="611"/>
        <v>36810</v>
      </c>
      <c r="FH222">
        <f t="shared" si="612"/>
        <v>1472.4</v>
      </c>
      <c r="FI222">
        <f t="shared" si="613"/>
        <v>38282</v>
      </c>
      <c r="FJ222">
        <v>0</v>
      </c>
      <c r="FK222">
        <f t="shared" si="614"/>
        <v>38282</v>
      </c>
      <c r="FL222" t="b">
        <f t="shared" si="615"/>
        <v>1</v>
      </c>
      <c r="FM222">
        <f t="shared" ca="1" si="616"/>
        <v>583</v>
      </c>
      <c r="FN222">
        <f t="shared" ca="1" si="617"/>
        <v>794535</v>
      </c>
      <c r="FO222">
        <f t="shared" si="618"/>
        <v>75000</v>
      </c>
      <c r="FP222">
        <f t="shared" ca="1" si="619"/>
        <v>719535</v>
      </c>
      <c r="FQ222">
        <f t="shared" ca="1" si="620"/>
        <v>0</v>
      </c>
      <c r="FR222">
        <f t="shared" ca="1" si="621"/>
        <v>0</v>
      </c>
      <c r="FS222">
        <f t="shared" ca="1" si="622"/>
        <v>0</v>
      </c>
      <c r="FT222">
        <f t="shared" ca="1" si="623"/>
        <v>0</v>
      </c>
      <c r="FU222">
        <f t="shared" ca="1" si="624"/>
        <v>0</v>
      </c>
      <c r="FV222">
        <f t="shared" ca="1" si="625"/>
        <v>0</v>
      </c>
      <c r="FW222">
        <f t="shared" ca="1" si="626"/>
        <v>0</v>
      </c>
      <c r="FX222">
        <f t="shared" ca="1" si="627"/>
        <v>0</v>
      </c>
      <c r="FY222">
        <f t="shared" ca="1" si="628"/>
        <v>0</v>
      </c>
      <c r="FZ222">
        <f t="shared" ca="1" si="629"/>
        <v>0</v>
      </c>
      <c r="GA222">
        <f t="shared" ca="1" si="630"/>
        <v>319535</v>
      </c>
      <c r="GB222">
        <f t="shared" ca="1" si="631"/>
        <v>15976.75</v>
      </c>
      <c r="GC222">
        <f t="shared" ca="1" si="632"/>
        <v>15977</v>
      </c>
      <c r="GD222">
        <f t="shared" ca="1" si="633"/>
        <v>0</v>
      </c>
      <c r="GE222">
        <f t="shared" ca="1" si="634"/>
        <v>0</v>
      </c>
      <c r="GF222">
        <f t="shared" ca="1" si="635"/>
        <v>15977</v>
      </c>
      <c r="GG222">
        <f t="shared" ca="1" si="636"/>
        <v>0</v>
      </c>
      <c r="GH222" t="b">
        <f t="shared" ca="1" si="637"/>
        <v>0</v>
      </c>
      <c r="GI222">
        <f t="shared" ca="1" si="638"/>
        <v>0</v>
      </c>
      <c r="GJ222">
        <f t="shared" ca="1" si="639"/>
        <v>15977</v>
      </c>
      <c r="GK222">
        <f t="shared" ca="1" si="640"/>
        <v>0</v>
      </c>
      <c r="GL222">
        <f t="shared" ca="1" si="641"/>
        <v>0</v>
      </c>
      <c r="GM222">
        <f t="shared" ca="1" si="642"/>
        <v>0</v>
      </c>
    </row>
    <row r="223" spans="1:195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644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38"/>
        <v>7028.0000000000009</v>
      </c>
      <c r="L223">
        <f t="shared" si="539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540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43"/>
        <v>200</v>
      </c>
      <c r="S223">
        <f t="shared" si="541"/>
        <v>58952</v>
      </c>
      <c r="T223">
        <f>_xlfn.XLOOKUP(B223,'[2]april-2025'!$A:$A,'[2]april-2025'!$C:$C,0,0)</f>
        <v>50200</v>
      </c>
      <c r="U223">
        <f t="shared" si="542"/>
        <v>9036</v>
      </c>
      <c r="V223">
        <f t="shared" si="543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44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45"/>
        <v>200</v>
      </c>
      <c r="AC223">
        <f t="shared" si="546"/>
        <v>60960</v>
      </c>
      <c r="AD223">
        <f>_xlfn.XLOOKUP(B223,'[3]may-2025'!$A:$A,'[3]may-2025'!$C:$C,0,0)</f>
        <v>50200</v>
      </c>
      <c r="AE223">
        <f t="shared" si="547"/>
        <v>9036</v>
      </c>
      <c r="AF223">
        <f t="shared" si="54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49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50"/>
        <v>200</v>
      </c>
      <c r="AM223">
        <f t="shared" si="551"/>
        <v>60960</v>
      </c>
      <c r="AN223">
        <f>_xlfn.XLOOKUP(B223,'[4]june-2025'!$A:$A,'[4]june-2025'!$C:$C,0,0)</f>
        <v>50200</v>
      </c>
      <c r="AO223">
        <f t="shared" si="552"/>
        <v>9036</v>
      </c>
      <c r="AP223">
        <f t="shared" si="553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54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55"/>
        <v>200</v>
      </c>
      <c r="AW223">
        <f t="shared" si="556"/>
        <v>60960</v>
      </c>
      <c r="AX223">
        <f>_xlfn.XLOOKUP(B223,'[5]july-2025'!$A:$A,'[5]july-2025'!$C:$C,0,0)</f>
        <v>51700</v>
      </c>
      <c r="AY223">
        <f t="shared" si="557"/>
        <v>9306</v>
      </c>
      <c r="AZ223">
        <v>0</v>
      </c>
      <c r="BA223">
        <f t="shared" si="558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59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60"/>
        <v>200</v>
      </c>
      <c r="BH223">
        <f t="shared" si="561"/>
        <v>62910</v>
      </c>
      <c r="BI223">
        <f>_xlfn.XLOOKUP(B223,'[6]august-2025'!$A:$A,'[6]august-2025'!$C:$C,0,0)</f>
        <v>51700</v>
      </c>
      <c r="BJ223">
        <f t="shared" si="562"/>
        <v>9306</v>
      </c>
      <c r="BK223">
        <f t="shared" si="563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64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65"/>
        <v>200</v>
      </c>
      <c r="BR223">
        <f t="shared" si="566"/>
        <v>62910</v>
      </c>
      <c r="BS223">
        <f>_xlfn.XLOOKUP(B223,'[7]september-2025'!$A:$A,'[7]september-2025'!$C:$C,0,0)</f>
        <v>51700</v>
      </c>
      <c r="BT223">
        <f t="shared" si="567"/>
        <v>9306</v>
      </c>
      <c r="BU223">
        <f t="shared" si="568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69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70"/>
        <v>200</v>
      </c>
      <c r="CB223">
        <f t="shared" si="571"/>
        <v>62910</v>
      </c>
      <c r="CC223">
        <f>_xlfn.XLOOKUP(B223,'[8]october-2025'!$A:$A,'[8]october-2025'!$C:$C,0,0)</f>
        <v>51700</v>
      </c>
      <c r="CD223">
        <f t="shared" si="572"/>
        <v>9306</v>
      </c>
      <c r="CE223">
        <f t="shared" si="573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7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75"/>
        <v>200</v>
      </c>
      <c r="CL223">
        <f t="shared" si="576"/>
        <v>62910</v>
      </c>
      <c r="CM223">
        <f>_xlfn.XLOOKUP(B223,'[9]november-2025'!$A:$A,'[9]november-2025'!$C:$C,0,0)</f>
        <v>51700</v>
      </c>
      <c r="CN223">
        <f t="shared" si="577"/>
        <v>9306</v>
      </c>
      <c r="CO223">
        <f t="shared" si="578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79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80"/>
        <v>200</v>
      </c>
      <c r="CV223">
        <f t="shared" si="581"/>
        <v>62910</v>
      </c>
      <c r="CW223">
        <f>_xlfn.XLOOKUP(B223,'[10]december-2025'!$A:$A,'[10]december-2025'!$C:$C,0,0)</f>
        <v>51700</v>
      </c>
      <c r="CX223">
        <f t="shared" si="582"/>
        <v>9306</v>
      </c>
      <c r="CY223">
        <f t="shared" si="583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84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85"/>
        <v>200</v>
      </c>
      <c r="DF223">
        <f t="shared" si="586"/>
        <v>62910</v>
      </c>
      <c r="DG223">
        <f>_xlfn.XLOOKUP(B223,'[11]january-2026'!$A:$A,'[11]january-2026'!$C:$C,0,0)</f>
        <v>51700</v>
      </c>
      <c r="DH223">
        <f t="shared" si="587"/>
        <v>9306</v>
      </c>
      <c r="DI223">
        <f t="shared" si="588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9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90"/>
        <v>200</v>
      </c>
      <c r="DP223">
        <f t="shared" si="591"/>
        <v>62910</v>
      </c>
      <c r="DQ223">
        <f>_xlfn.XLOOKUP(B223,'[12]february-2026'!$A:$A,'[12]february-2026'!$C:$C,0,0)</f>
        <v>51700</v>
      </c>
      <c r="DR223">
        <f t="shared" si="592"/>
        <v>9306</v>
      </c>
      <c r="DS223">
        <f t="shared" si="59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4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5"/>
        <v>200</v>
      </c>
      <c r="DZ223">
        <f t="shared" si="596"/>
        <v>62910</v>
      </c>
      <c r="EA223">
        <f t="shared" si="597"/>
        <v>814312</v>
      </c>
      <c r="EB223">
        <f t="shared" si="598"/>
        <v>2400</v>
      </c>
      <c r="EC223">
        <f t="shared" si="599"/>
        <v>50000</v>
      </c>
      <c r="ED223">
        <v>0</v>
      </c>
      <c r="EE223">
        <f t="shared" si="600"/>
        <v>761912</v>
      </c>
      <c r="EF223">
        <f t="shared" si="601"/>
        <v>60000</v>
      </c>
      <c r="EG223">
        <f t="shared" si="602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3"/>
        <v>60000</v>
      </c>
      <c r="ES223">
        <f t="shared" si="604"/>
        <v>60000</v>
      </c>
      <c r="ET223">
        <f t="shared" si="605"/>
        <v>701912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6"/>
        <v>0</v>
      </c>
      <c r="FC223">
        <f t="shared" si="607"/>
        <v>701912</v>
      </c>
      <c r="FD223">
        <f t="shared" si="608"/>
        <v>12500</v>
      </c>
      <c r="FE223">
        <f t="shared" si="609"/>
        <v>40382</v>
      </c>
      <c r="FF223">
        <f t="shared" si="610"/>
        <v>52882</v>
      </c>
      <c r="FG223">
        <f t="shared" si="611"/>
        <v>52882</v>
      </c>
      <c r="FH223">
        <f t="shared" si="612"/>
        <v>2115.2800000000002</v>
      </c>
      <c r="FI223">
        <f t="shared" si="613"/>
        <v>54997</v>
      </c>
      <c r="FJ223">
        <v>0</v>
      </c>
      <c r="FK223">
        <f t="shared" si="614"/>
        <v>54997</v>
      </c>
      <c r="FL223" t="b">
        <f t="shared" si="615"/>
        <v>1</v>
      </c>
      <c r="FM223">
        <f t="shared" ca="1" si="616"/>
        <v>552</v>
      </c>
      <c r="FN223">
        <f t="shared" ca="1" si="617"/>
        <v>814864</v>
      </c>
      <c r="FO223">
        <f t="shared" si="618"/>
        <v>75000</v>
      </c>
      <c r="FP223">
        <f t="shared" ca="1" si="619"/>
        <v>739864</v>
      </c>
      <c r="FQ223">
        <f t="shared" ca="1" si="620"/>
        <v>0</v>
      </c>
      <c r="FR223">
        <f t="shared" ca="1" si="621"/>
        <v>0</v>
      </c>
      <c r="FS223">
        <f t="shared" ca="1" si="622"/>
        <v>0</v>
      </c>
      <c r="FT223">
        <f t="shared" ca="1" si="623"/>
        <v>0</v>
      </c>
      <c r="FU223">
        <f t="shared" ca="1" si="624"/>
        <v>0</v>
      </c>
      <c r="FV223">
        <f t="shared" ca="1" si="625"/>
        <v>0</v>
      </c>
      <c r="FW223">
        <f t="shared" ca="1" si="626"/>
        <v>0</v>
      </c>
      <c r="FX223">
        <f t="shared" ca="1" si="627"/>
        <v>0</v>
      </c>
      <c r="FY223">
        <f t="shared" ca="1" si="628"/>
        <v>0</v>
      </c>
      <c r="FZ223">
        <f t="shared" ca="1" si="629"/>
        <v>0</v>
      </c>
      <c r="GA223">
        <f t="shared" ca="1" si="630"/>
        <v>339864</v>
      </c>
      <c r="GB223">
        <f t="shared" ca="1" si="631"/>
        <v>16993.2</v>
      </c>
      <c r="GC223">
        <f t="shared" ca="1" si="632"/>
        <v>16993</v>
      </c>
      <c r="GD223">
        <f t="shared" ca="1" si="633"/>
        <v>0</v>
      </c>
      <c r="GE223">
        <f t="shared" ca="1" si="634"/>
        <v>0</v>
      </c>
      <c r="GF223">
        <f t="shared" ca="1" si="635"/>
        <v>16993</v>
      </c>
      <c r="GG223">
        <f t="shared" ca="1" si="636"/>
        <v>0</v>
      </c>
      <c r="GH223" t="b">
        <f t="shared" ca="1" si="637"/>
        <v>0</v>
      </c>
      <c r="GI223">
        <f t="shared" ca="1" si="638"/>
        <v>0</v>
      </c>
      <c r="GJ223">
        <f t="shared" ca="1" si="639"/>
        <v>16993</v>
      </c>
      <c r="GK223">
        <f t="shared" ca="1" si="640"/>
        <v>0</v>
      </c>
      <c r="GL223">
        <f t="shared" ca="1" si="641"/>
        <v>0</v>
      </c>
      <c r="GM223">
        <f t="shared" ca="1" si="642"/>
        <v>0</v>
      </c>
    </row>
    <row r="224" spans="1:195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644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38"/>
        <v>4830.0000000000009</v>
      </c>
      <c r="L224">
        <f t="shared" si="539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540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43"/>
        <v>200</v>
      </c>
      <c r="S224">
        <f t="shared" si="541"/>
        <v>38770</v>
      </c>
      <c r="T224">
        <f>_xlfn.XLOOKUP(B224,'[2]april-2025'!$A:$A,'[2]april-2025'!$C:$C,0,0)</f>
        <v>34500</v>
      </c>
      <c r="U224">
        <f t="shared" si="542"/>
        <v>6210</v>
      </c>
      <c r="V224">
        <f t="shared" si="543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44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45"/>
        <v>200</v>
      </c>
      <c r="AC224">
        <f t="shared" si="546"/>
        <v>40150</v>
      </c>
      <c r="AD224">
        <f>_xlfn.XLOOKUP(B224,'[3]may-2025'!$A:$A,'[3]may-2025'!$C:$C,0,0)</f>
        <v>34500</v>
      </c>
      <c r="AE224">
        <f t="shared" si="547"/>
        <v>6210</v>
      </c>
      <c r="AF224">
        <f t="shared" si="54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49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50"/>
        <v>200</v>
      </c>
      <c r="AM224">
        <f t="shared" si="551"/>
        <v>40150</v>
      </c>
      <c r="AN224">
        <f>_xlfn.XLOOKUP(B224,'[4]june-2025'!$A:$A,'[4]june-2025'!$C:$C,0,0)</f>
        <v>34500</v>
      </c>
      <c r="AO224">
        <f t="shared" si="552"/>
        <v>6210</v>
      </c>
      <c r="AP224">
        <f t="shared" si="553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54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55"/>
        <v>200</v>
      </c>
      <c r="AW224">
        <f t="shared" si="556"/>
        <v>40150</v>
      </c>
      <c r="AX224">
        <f>_xlfn.XLOOKUP(B224,'[5]july-2025'!$A:$A,'[5]july-2025'!$C:$C,0,0)</f>
        <v>35500</v>
      </c>
      <c r="AY224">
        <f t="shared" si="557"/>
        <v>6390</v>
      </c>
      <c r="AZ224">
        <v>0</v>
      </c>
      <c r="BA224">
        <f t="shared" si="558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59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60"/>
        <v>200</v>
      </c>
      <c r="BH224">
        <f t="shared" si="561"/>
        <v>41450</v>
      </c>
      <c r="BI224">
        <f>_xlfn.XLOOKUP(B224,'[6]august-2025'!$A:$A,'[6]august-2025'!$C:$C,0,0)</f>
        <v>35500</v>
      </c>
      <c r="BJ224">
        <f t="shared" si="562"/>
        <v>6390</v>
      </c>
      <c r="BK224">
        <f t="shared" si="563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64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65"/>
        <v>200</v>
      </c>
      <c r="BR224">
        <f t="shared" si="566"/>
        <v>41450</v>
      </c>
      <c r="BS224">
        <f>_xlfn.XLOOKUP(B224,'[7]september-2025'!$A:$A,'[7]september-2025'!$C:$C,0,0)</f>
        <v>35500</v>
      </c>
      <c r="BT224">
        <f t="shared" si="567"/>
        <v>6390</v>
      </c>
      <c r="BU224">
        <f t="shared" si="568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69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70"/>
        <v>200</v>
      </c>
      <c r="CB224">
        <f t="shared" si="571"/>
        <v>41450</v>
      </c>
      <c r="CC224">
        <f>_xlfn.XLOOKUP(B224,'[8]october-2025'!$A:$A,'[8]october-2025'!$C:$C,0,0)</f>
        <v>35500</v>
      </c>
      <c r="CD224">
        <f t="shared" si="572"/>
        <v>6390</v>
      </c>
      <c r="CE224">
        <f t="shared" si="573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7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75"/>
        <v>200</v>
      </c>
      <c r="CL224">
        <f t="shared" si="576"/>
        <v>41450</v>
      </c>
      <c r="CM224">
        <f>_xlfn.XLOOKUP(B224,'[9]november-2025'!$A:$A,'[9]november-2025'!$C:$C,0,0)</f>
        <v>35500</v>
      </c>
      <c r="CN224">
        <f t="shared" si="577"/>
        <v>6390</v>
      </c>
      <c r="CO224">
        <f t="shared" si="578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79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80"/>
        <v>200</v>
      </c>
      <c r="CV224">
        <f t="shared" si="581"/>
        <v>41450</v>
      </c>
      <c r="CW224">
        <f>_xlfn.XLOOKUP(B224,'[10]december-2025'!$A:$A,'[10]december-2025'!$C:$C,0,0)</f>
        <v>35500</v>
      </c>
      <c r="CX224">
        <f t="shared" si="582"/>
        <v>6390</v>
      </c>
      <c r="CY224">
        <f t="shared" si="583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84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85"/>
        <v>200</v>
      </c>
      <c r="DF224">
        <f t="shared" si="586"/>
        <v>41450</v>
      </c>
      <c r="DG224">
        <f>_xlfn.XLOOKUP(B224,'[11]january-2026'!$A:$A,'[11]january-2026'!$C:$C,0,0)</f>
        <v>35500</v>
      </c>
      <c r="DH224">
        <f t="shared" si="587"/>
        <v>6390</v>
      </c>
      <c r="DI224">
        <f t="shared" si="588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9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90"/>
        <v>200</v>
      </c>
      <c r="DP224">
        <f t="shared" si="591"/>
        <v>41450</v>
      </c>
      <c r="DQ224">
        <f>_xlfn.XLOOKUP(B224,'[12]february-2026'!$A:$A,'[12]february-2026'!$C:$C,0,0)</f>
        <v>35500</v>
      </c>
      <c r="DR224">
        <f t="shared" si="592"/>
        <v>6390</v>
      </c>
      <c r="DS224">
        <f t="shared" si="59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4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5"/>
        <v>200</v>
      </c>
      <c r="DZ224">
        <f t="shared" si="596"/>
        <v>41450</v>
      </c>
      <c r="EA224">
        <f t="shared" si="597"/>
        <v>560020</v>
      </c>
      <c r="EB224">
        <f t="shared" si="598"/>
        <v>2400</v>
      </c>
      <c r="EC224">
        <f t="shared" si="599"/>
        <v>50000</v>
      </c>
      <c r="ED224">
        <v>0</v>
      </c>
      <c r="EE224">
        <f t="shared" si="600"/>
        <v>507620</v>
      </c>
      <c r="EF224">
        <f t="shared" si="601"/>
        <v>60000</v>
      </c>
      <c r="EG224">
        <f t="shared" si="602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3"/>
        <v>60000</v>
      </c>
      <c r="ES224">
        <f t="shared" si="604"/>
        <v>60000</v>
      </c>
      <c r="ET224">
        <f t="shared" si="605"/>
        <v>447620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6"/>
        <v>0</v>
      </c>
      <c r="FC224">
        <f t="shared" si="607"/>
        <v>447620</v>
      </c>
      <c r="FD224">
        <f t="shared" si="608"/>
        <v>9881</v>
      </c>
      <c r="FE224">
        <f t="shared" si="609"/>
        <v>0</v>
      </c>
      <c r="FF224">
        <f t="shared" si="610"/>
        <v>9881</v>
      </c>
      <c r="FG224">
        <f t="shared" si="611"/>
        <v>0</v>
      </c>
      <c r="FH224">
        <f t="shared" si="612"/>
        <v>0</v>
      </c>
      <c r="FI224">
        <f t="shared" si="613"/>
        <v>0</v>
      </c>
      <c r="FJ224">
        <v>0</v>
      </c>
      <c r="FK224">
        <f t="shared" si="614"/>
        <v>0</v>
      </c>
      <c r="FL224" t="b">
        <f t="shared" si="615"/>
        <v>1</v>
      </c>
      <c r="FM224">
        <f t="shared" ca="1" si="616"/>
        <v>581</v>
      </c>
      <c r="FN224">
        <f t="shared" ca="1" si="617"/>
        <v>560601</v>
      </c>
      <c r="FO224">
        <f t="shared" si="618"/>
        <v>75000</v>
      </c>
      <c r="FP224">
        <f t="shared" ca="1" si="619"/>
        <v>485601</v>
      </c>
      <c r="FQ224">
        <f t="shared" ca="1" si="620"/>
        <v>0</v>
      </c>
      <c r="FR224">
        <f t="shared" ca="1" si="621"/>
        <v>0</v>
      </c>
      <c r="FS224">
        <f t="shared" ca="1" si="622"/>
        <v>0</v>
      </c>
      <c r="FT224">
        <f t="shared" ca="1" si="623"/>
        <v>0</v>
      </c>
      <c r="FU224">
        <f t="shared" ca="1" si="624"/>
        <v>0</v>
      </c>
      <c r="FV224">
        <f t="shared" ca="1" si="625"/>
        <v>0</v>
      </c>
      <c r="FW224">
        <f t="shared" ca="1" si="626"/>
        <v>0</v>
      </c>
      <c r="FX224">
        <f t="shared" ca="1" si="627"/>
        <v>0</v>
      </c>
      <c r="FY224">
        <f t="shared" ca="1" si="628"/>
        <v>0</v>
      </c>
      <c r="FZ224">
        <f t="shared" ca="1" si="629"/>
        <v>0</v>
      </c>
      <c r="GA224">
        <f t="shared" ca="1" si="630"/>
        <v>85601</v>
      </c>
      <c r="GB224">
        <f t="shared" ca="1" si="631"/>
        <v>4280.05</v>
      </c>
      <c r="GC224">
        <f t="shared" ca="1" si="632"/>
        <v>4280</v>
      </c>
      <c r="GD224">
        <f t="shared" ca="1" si="633"/>
        <v>0</v>
      </c>
      <c r="GE224">
        <f t="shared" ca="1" si="634"/>
        <v>0</v>
      </c>
      <c r="GF224">
        <f t="shared" ca="1" si="635"/>
        <v>4280</v>
      </c>
      <c r="GG224">
        <f t="shared" ca="1" si="636"/>
        <v>0</v>
      </c>
      <c r="GH224" t="b">
        <f t="shared" ca="1" si="637"/>
        <v>0</v>
      </c>
      <c r="GI224">
        <f t="shared" ca="1" si="638"/>
        <v>0</v>
      </c>
      <c r="GJ224">
        <f t="shared" ca="1" si="639"/>
        <v>4280</v>
      </c>
      <c r="GK224">
        <f t="shared" ca="1" si="640"/>
        <v>0</v>
      </c>
      <c r="GL224">
        <f t="shared" ca="1" si="641"/>
        <v>0</v>
      </c>
      <c r="GM224">
        <f t="shared" ca="1" si="642"/>
        <v>0</v>
      </c>
    </row>
    <row r="225" spans="1:195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644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38"/>
        <v>4046.0000000000005</v>
      </c>
      <c r="L225">
        <f t="shared" si="539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540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43"/>
        <v>150</v>
      </c>
      <c r="S225">
        <f t="shared" si="541"/>
        <v>34764</v>
      </c>
      <c r="T225">
        <f>_xlfn.XLOOKUP(B225,'[2]april-2025'!$A:$A,'[2]april-2025'!$C:$C,0,0)</f>
        <v>28900</v>
      </c>
      <c r="U225">
        <f t="shared" si="542"/>
        <v>5202</v>
      </c>
      <c r="V225">
        <f t="shared" si="543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44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45"/>
        <v>150</v>
      </c>
      <c r="AC225">
        <f t="shared" si="546"/>
        <v>35920</v>
      </c>
      <c r="AD225">
        <f>_xlfn.XLOOKUP(B225,'[3]may-2025'!$A:$A,'[3]may-2025'!$C:$C,0,0)</f>
        <v>28900</v>
      </c>
      <c r="AE225">
        <f t="shared" si="547"/>
        <v>5202</v>
      </c>
      <c r="AF225">
        <f t="shared" si="54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49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50"/>
        <v>150</v>
      </c>
      <c r="AM225">
        <f t="shared" si="551"/>
        <v>35920</v>
      </c>
      <c r="AN225">
        <f>_xlfn.XLOOKUP(B225,'[4]june-2025'!$A:$A,'[4]june-2025'!$C:$C,0,0)</f>
        <v>28900</v>
      </c>
      <c r="AO225">
        <f t="shared" si="552"/>
        <v>5202</v>
      </c>
      <c r="AP225">
        <f t="shared" si="553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54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55"/>
        <v>150</v>
      </c>
      <c r="AW225">
        <f t="shared" si="556"/>
        <v>35920</v>
      </c>
      <c r="AX225">
        <f>_xlfn.XLOOKUP(B225,'[5]july-2025'!$A:$A,'[5]july-2025'!$C:$C,0,0)</f>
        <v>29800</v>
      </c>
      <c r="AY225">
        <f t="shared" si="557"/>
        <v>5364</v>
      </c>
      <c r="AZ225">
        <v>0</v>
      </c>
      <c r="BA225">
        <f t="shared" si="558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59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60"/>
        <v>150</v>
      </c>
      <c r="BH225">
        <f t="shared" si="561"/>
        <v>37090</v>
      </c>
      <c r="BI225">
        <f>_xlfn.XLOOKUP(B225,'[6]august-2025'!$A:$A,'[6]august-2025'!$C:$C,0,0)</f>
        <v>29800</v>
      </c>
      <c r="BJ225">
        <f t="shared" si="562"/>
        <v>5364</v>
      </c>
      <c r="BK225">
        <f t="shared" si="563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64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65"/>
        <v>150</v>
      </c>
      <c r="BR225">
        <f t="shared" si="566"/>
        <v>37090</v>
      </c>
      <c r="BS225">
        <f>_xlfn.XLOOKUP(B225,'[7]september-2025'!$A:$A,'[7]september-2025'!$C:$C,0,0)</f>
        <v>29800</v>
      </c>
      <c r="BT225">
        <f t="shared" si="567"/>
        <v>5364</v>
      </c>
      <c r="BU225">
        <f t="shared" si="568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69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70"/>
        <v>150</v>
      </c>
      <c r="CB225">
        <f t="shared" si="571"/>
        <v>37090</v>
      </c>
      <c r="CC225">
        <f>_xlfn.XLOOKUP(B225,'[8]october-2025'!$A:$A,'[8]october-2025'!$C:$C,0,0)</f>
        <v>29800</v>
      </c>
      <c r="CD225">
        <f t="shared" si="572"/>
        <v>5364</v>
      </c>
      <c r="CE225">
        <f t="shared" si="573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7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75"/>
        <v>150</v>
      </c>
      <c r="CL225">
        <f t="shared" si="576"/>
        <v>37090</v>
      </c>
      <c r="CM225">
        <f>_xlfn.XLOOKUP(B225,'[9]november-2025'!$A:$A,'[9]november-2025'!$C:$C,0,0)</f>
        <v>29800</v>
      </c>
      <c r="CN225">
        <f t="shared" si="577"/>
        <v>5364</v>
      </c>
      <c r="CO225">
        <f t="shared" si="578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79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80"/>
        <v>150</v>
      </c>
      <c r="CV225">
        <f t="shared" si="581"/>
        <v>37090</v>
      </c>
      <c r="CW225">
        <f>_xlfn.XLOOKUP(B225,'[10]december-2025'!$A:$A,'[10]december-2025'!$C:$C,0,0)</f>
        <v>29800</v>
      </c>
      <c r="CX225">
        <f t="shared" si="582"/>
        <v>5364</v>
      </c>
      <c r="CY225">
        <f t="shared" si="583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84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85"/>
        <v>150</v>
      </c>
      <c r="DF225">
        <f t="shared" si="586"/>
        <v>37090</v>
      </c>
      <c r="DG225">
        <f>_xlfn.XLOOKUP(B225,'[11]january-2026'!$A:$A,'[11]january-2026'!$C:$C,0,0)</f>
        <v>29800</v>
      </c>
      <c r="DH225">
        <f t="shared" si="587"/>
        <v>5364</v>
      </c>
      <c r="DI225">
        <f t="shared" si="588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9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90"/>
        <v>150</v>
      </c>
      <c r="DP225">
        <f t="shared" si="591"/>
        <v>37090</v>
      </c>
      <c r="DQ225">
        <f>_xlfn.XLOOKUP(B225,'[12]february-2026'!$A:$A,'[12]february-2026'!$C:$C,0,0)</f>
        <v>29800</v>
      </c>
      <c r="DR225">
        <f t="shared" si="592"/>
        <v>5364</v>
      </c>
      <c r="DS225">
        <f t="shared" si="59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4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5"/>
        <v>150</v>
      </c>
      <c r="DZ225">
        <f t="shared" si="596"/>
        <v>37090</v>
      </c>
      <c r="EA225">
        <f t="shared" si="597"/>
        <v>471844</v>
      </c>
      <c r="EB225">
        <f t="shared" si="598"/>
        <v>1800</v>
      </c>
      <c r="EC225">
        <f t="shared" si="599"/>
        <v>50000</v>
      </c>
      <c r="ED225">
        <v>0</v>
      </c>
      <c r="EE225">
        <f t="shared" si="600"/>
        <v>420044</v>
      </c>
      <c r="EF225">
        <f t="shared" si="601"/>
        <v>24000</v>
      </c>
      <c r="EG225">
        <f t="shared" si="602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3"/>
        <v>24000</v>
      </c>
      <c r="ES225">
        <f t="shared" si="604"/>
        <v>24000</v>
      </c>
      <c r="ET225">
        <f t="shared" si="605"/>
        <v>396044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6"/>
        <v>0</v>
      </c>
      <c r="FC225">
        <f t="shared" si="607"/>
        <v>396044</v>
      </c>
      <c r="FD225">
        <f t="shared" si="608"/>
        <v>7302</v>
      </c>
      <c r="FE225">
        <f t="shared" si="609"/>
        <v>0</v>
      </c>
      <c r="FF225">
        <f t="shared" si="610"/>
        <v>7302</v>
      </c>
      <c r="FG225">
        <f t="shared" si="611"/>
        <v>0</v>
      </c>
      <c r="FH225">
        <f t="shared" si="612"/>
        <v>0</v>
      </c>
      <c r="FI225">
        <f t="shared" si="613"/>
        <v>0</v>
      </c>
      <c r="FJ225">
        <v>0</v>
      </c>
      <c r="FK225">
        <f t="shared" si="614"/>
        <v>0</v>
      </c>
      <c r="FL225" t="b">
        <f t="shared" si="615"/>
        <v>0</v>
      </c>
      <c r="FM225">
        <f t="shared" ca="1" si="616"/>
        <v>1643</v>
      </c>
      <c r="FN225">
        <f t="shared" ca="1" si="617"/>
        <v>473487</v>
      </c>
      <c r="FO225">
        <f t="shared" si="618"/>
        <v>75000</v>
      </c>
      <c r="FP225">
        <f t="shared" ca="1" si="619"/>
        <v>398487</v>
      </c>
      <c r="FQ225">
        <f t="shared" ca="1" si="620"/>
        <v>0</v>
      </c>
      <c r="FR225">
        <f t="shared" ca="1" si="621"/>
        <v>0</v>
      </c>
      <c r="FS225">
        <f t="shared" ca="1" si="622"/>
        <v>0</v>
      </c>
      <c r="FT225">
        <f t="shared" ca="1" si="623"/>
        <v>0</v>
      </c>
      <c r="FU225">
        <f t="shared" ca="1" si="624"/>
        <v>0</v>
      </c>
      <c r="FV225">
        <f t="shared" ca="1" si="625"/>
        <v>0</v>
      </c>
      <c r="FW225">
        <f t="shared" ca="1" si="626"/>
        <v>0</v>
      </c>
      <c r="FX225">
        <f t="shared" ca="1" si="627"/>
        <v>0</v>
      </c>
      <c r="FY225">
        <f t="shared" ca="1" si="628"/>
        <v>0</v>
      </c>
      <c r="FZ225">
        <f t="shared" ca="1" si="629"/>
        <v>0</v>
      </c>
      <c r="GA225">
        <f t="shared" ca="1" si="630"/>
        <v>0</v>
      </c>
      <c r="GB225">
        <f t="shared" ca="1" si="631"/>
        <v>0</v>
      </c>
      <c r="GC225">
        <f t="shared" ca="1" si="632"/>
        <v>0</v>
      </c>
      <c r="GD225">
        <f t="shared" ca="1" si="633"/>
        <v>0</v>
      </c>
      <c r="GE225">
        <f t="shared" ca="1" si="634"/>
        <v>0</v>
      </c>
      <c r="GF225">
        <f t="shared" ca="1" si="635"/>
        <v>0</v>
      </c>
      <c r="GG225">
        <f t="shared" ca="1" si="636"/>
        <v>0</v>
      </c>
      <c r="GH225" t="b">
        <f t="shared" ca="1" si="637"/>
        <v>0</v>
      </c>
      <c r="GI225">
        <f t="shared" ca="1" si="638"/>
        <v>0</v>
      </c>
      <c r="GJ225">
        <f t="shared" ca="1" si="639"/>
        <v>0</v>
      </c>
      <c r="GK225">
        <f t="shared" ca="1" si="640"/>
        <v>0</v>
      </c>
      <c r="GL225">
        <f t="shared" ca="1" si="641"/>
        <v>0</v>
      </c>
      <c r="GM225">
        <f t="shared" ca="1" si="642"/>
        <v>0</v>
      </c>
    </row>
    <row r="226" spans="1:195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644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38"/>
        <v>4970.0000000000009</v>
      </c>
      <c r="L226">
        <f t="shared" si="539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540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43"/>
        <v>200</v>
      </c>
      <c r="S226">
        <f t="shared" si="541"/>
        <v>39930</v>
      </c>
      <c r="T226">
        <f>_xlfn.XLOOKUP(B226,'[2]april-2025'!$A:$A,'[2]april-2025'!$C:$C,0,0)</f>
        <v>35500</v>
      </c>
      <c r="U226">
        <f t="shared" si="542"/>
        <v>6390</v>
      </c>
      <c r="V226">
        <f t="shared" si="543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44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45"/>
        <v>200</v>
      </c>
      <c r="AC226">
        <f t="shared" si="546"/>
        <v>41350</v>
      </c>
      <c r="AD226">
        <f>_xlfn.XLOOKUP(B226,'[3]may-2025'!$A:$A,'[3]may-2025'!$C:$C,0,0)</f>
        <v>35500</v>
      </c>
      <c r="AE226">
        <f t="shared" si="547"/>
        <v>6390</v>
      </c>
      <c r="AF226">
        <f t="shared" si="54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49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50"/>
        <v>200</v>
      </c>
      <c r="AM226">
        <f t="shared" si="551"/>
        <v>41350</v>
      </c>
      <c r="AN226">
        <f>_xlfn.XLOOKUP(B226,'[4]june-2025'!$A:$A,'[4]june-2025'!$C:$C,0,0)</f>
        <v>35500</v>
      </c>
      <c r="AO226">
        <f t="shared" si="552"/>
        <v>6390</v>
      </c>
      <c r="AP226">
        <f t="shared" si="553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54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55"/>
        <v>200</v>
      </c>
      <c r="AW226">
        <f t="shared" si="556"/>
        <v>41350</v>
      </c>
      <c r="AX226">
        <f>_xlfn.XLOOKUP(B226,'[5]july-2025'!$A:$A,'[5]july-2025'!$C:$C,0,0)</f>
        <v>36600</v>
      </c>
      <c r="AY226">
        <f t="shared" si="557"/>
        <v>6588</v>
      </c>
      <c r="AZ226">
        <v>0</v>
      </c>
      <c r="BA226">
        <f t="shared" si="558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59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60"/>
        <v>200</v>
      </c>
      <c r="BH226">
        <f t="shared" si="561"/>
        <v>42780</v>
      </c>
      <c r="BI226">
        <f>_xlfn.XLOOKUP(B226,'[6]august-2025'!$A:$A,'[6]august-2025'!$C:$C,0,0)</f>
        <v>36600</v>
      </c>
      <c r="BJ226">
        <f t="shared" si="562"/>
        <v>6588</v>
      </c>
      <c r="BK226">
        <f t="shared" si="563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64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65"/>
        <v>200</v>
      </c>
      <c r="BR226">
        <f t="shared" si="566"/>
        <v>42780</v>
      </c>
      <c r="BS226">
        <f>_xlfn.XLOOKUP(B226,'[7]september-2025'!$A:$A,'[7]september-2025'!$C:$C,0,0)</f>
        <v>36600</v>
      </c>
      <c r="BT226">
        <f t="shared" si="567"/>
        <v>6588</v>
      </c>
      <c r="BU226">
        <f t="shared" si="568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69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70"/>
        <v>200</v>
      </c>
      <c r="CB226">
        <f t="shared" si="571"/>
        <v>42780</v>
      </c>
      <c r="CC226">
        <f>_xlfn.XLOOKUP(B226,'[8]october-2025'!$A:$A,'[8]october-2025'!$C:$C,0,0)</f>
        <v>36600</v>
      </c>
      <c r="CD226">
        <f t="shared" si="572"/>
        <v>6588</v>
      </c>
      <c r="CE226">
        <f t="shared" si="573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7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75"/>
        <v>200</v>
      </c>
      <c r="CL226">
        <f t="shared" si="576"/>
        <v>42780</v>
      </c>
      <c r="CM226">
        <f>_xlfn.XLOOKUP(B226,'[9]november-2025'!$A:$A,'[9]november-2025'!$C:$C,0,0)</f>
        <v>36600</v>
      </c>
      <c r="CN226">
        <f t="shared" si="577"/>
        <v>6588</v>
      </c>
      <c r="CO226">
        <f t="shared" si="578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79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80"/>
        <v>200</v>
      </c>
      <c r="CV226">
        <f t="shared" si="581"/>
        <v>42780</v>
      </c>
      <c r="CW226">
        <f>_xlfn.XLOOKUP(B226,'[10]december-2025'!$A:$A,'[10]december-2025'!$C:$C,0,0)</f>
        <v>36600</v>
      </c>
      <c r="CX226">
        <f t="shared" si="582"/>
        <v>6588</v>
      </c>
      <c r="CY226">
        <f t="shared" si="583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84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85"/>
        <v>200</v>
      </c>
      <c r="DF226">
        <f t="shared" si="586"/>
        <v>42780</v>
      </c>
      <c r="DG226">
        <f>_xlfn.XLOOKUP(B226,'[11]january-2026'!$A:$A,'[11]january-2026'!$C:$C,0,0)</f>
        <v>36600</v>
      </c>
      <c r="DH226">
        <f t="shared" si="587"/>
        <v>6588</v>
      </c>
      <c r="DI226">
        <f t="shared" si="588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9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90"/>
        <v>200</v>
      </c>
      <c r="DP226">
        <f t="shared" si="591"/>
        <v>42780</v>
      </c>
      <c r="DQ226">
        <f>_xlfn.XLOOKUP(B226,'[12]february-2026'!$A:$A,'[12]february-2026'!$C:$C,0,0)</f>
        <v>36600</v>
      </c>
      <c r="DR226">
        <f t="shared" si="592"/>
        <v>6588</v>
      </c>
      <c r="DS226">
        <f t="shared" si="59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4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5"/>
        <v>200</v>
      </c>
      <c r="DZ226">
        <f t="shared" si="596"/>
        <v>42780</v>
      </c>
      <c r="EA226">
        <f t="shared" si="597"/>
        <v>575420</v>
      </c>
      <c r="EB226">
        <f t="shared" si="598"/>
        <v>2400</v>
      </c>
      <c r="EC226">
        <f t="shared" si="599"/>
        <v>50000</v>
      </c>
      <c r="ED226">
        <v>0</v>
      </c>
      <c r="EE226">
        <f t="shared" si="600"/>
        <v>523020</v>
      </c>
      <c r="EF226">
        <f t="shared" si="601"/>
        <v>60000</v>
      </c>
      <c r="EG226">
        <f t="shared" si="602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3"/>
        <v>60000</v>
      </c>
      <c r="ES226">
        <f t="shared" si="604"/>
        <v>60000</v>
      </c>
      <c r="ET226">
        <f t="shared" si="605"/>
        <v>463020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6"/>
        <v>0</v>
      </c>
      <c r="FC226">
        <f t="shared" si="607"/>
        <v>463020</v>
      </c>
      <c r="FD226">
        <f t="shared" si="608"/>
        <v>10651</v>
      </c>
      <c r="FE226">
        <f t="shared" si="609"/>
        <v>0</v>
      </c>
      <c r="FF226">
        <f t="shared" si="610"/>
        <v>10651</v>
      </c>
      <c r="FG226">
        <f t="shared" si="611"/>
        <v>0</v>
      </c>
      <c r="FH226">
        <f t="shared" si="612"/>
        <v>0</v>
      </c>
      <c r="FI226">
        <f t="shared" si="613"/>
        <v>0</v>
      </c>
      <c r="FJ226">
        <v>0</v>
      </c>
      <c r="FK226">
        <f t="shared" si="614"/>
        <v>0</v>
      </c>
      <c r="FL226" t="b">
        <f t="shared" si="615"/>
        <v>1</v>
      </c>
      <c r="FM226">
        <f t="shared" ca="1" si="616"/>
        <v>662</v>
      </c>
      <c r="FN226">
        <f t="shared" ca="1" si="617"/>
        <v>576082</v>
      </c>
      <c r="FO226">
        <f t="shared" si="618"/>
        <v>75000</v>
      </c>
      <c r="FP226">
        <f t="shared" ca="1" si="619"/>
        <v>501082</v>
      </c>
      <c r="FQ226">
        <f t="shared" ca="1" si="620"/>
        <v>0</v>
      </c>
      <c r="FR226">
        <f t="shared" ca="1" si="621"/>
        <v>0</v>
      </c>
      <c r="FS226">
        <f t="shared" ca="1" si="622"/>
        <v>0</v>
      </c>
      <c r="FT226">
        <f t="shared" ca="1" si="623"/>
        <v>0</v>
      </c>
      <c r="FU226">
        <f t="shared" ca="1" si="624"/>
        <v>0</v>
      </c>
      <c r="FV226">
        <f t="shared" ca="1" si="625"/>
        <v>0</v>
      </c>
      <c r="FW226">
        <f t="shared" ca="1" si="626"/>
        <v>0</v>
      </c>
      <c r="FX226">
        <f t="shared" ca="1" si="627"/>
        <v>0</v>
      </c>
      <c r="FY226">
        <f t="shared" ca="1" si="628"/>
        <v>0</v>
      </c>
      <c r="FZ226">
        <f t="shared" ca="1" si="629"/>
        <v>0</v>
      </c>
      <c r="GA226">
        <f t="shared" ca="1" si="630"/>
        <v>101082</v>
      </c>
      <c r="GB226">
        <f t="shared" ca="1" si="631"/>
        <v>5054.1000000000004</v>
      </c>
      <c r="GC226">
        <f t="shared" ca="1" si="632"/>
        <v>5054</v>
      </c>
      <c r="GD226">
        <f t="shared" ca="1" si="633"/>
        <v>0</v>
      </c>
      <c r="GE226">
        <f t="shared" ca="1" si="634"/>
        <v>0</v>
      </c>
      <c r="GF226">
        <f t="shared" ca="1" si="635"/>
        <v>5054</v>
      </c>
      <c r="GG226">
        <f t="shared" ca="1" si="636"/>
        <v>0</v>
      </c>
      <c r="GH226" t="b">
        <f t="shared" ca="1" si="637"/>
        <v>0</v>
      </c>
      <c r="GI226">
        <f t="shared" ca="1" si="638"/>
        <v>0</v>
      </c>
      <c r="GJ226">
        <f t="shared" ca="1" si="639"/>
        <v>5054</v>
      </c>
      <c r="GK226">
        <f t="shared" ca="1" si="640"/>
        <v>0</v>
      </c>
      <c r="GL226">
        <f t="shared" ca="1" si="641"/>
        <v>0</v>
      </c>
      <c r="GM226">
        <f t="shared" ca="1" si="642"/>
        <v>0</v>
      </c>
    </row>
    <row r="227" spans="1:195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644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38"/>
        <v>4690</v>
      </c>
      <c r="L227">
        <f t="shared" si="539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540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43"/>
        <v>200</v>
      </c>
      <c r="S227">
        <f t="shared" si="541"/>
        <v>39510</v>
      </c>
      <c r="T227">
        <f>_xlfn.XLOOKUP(B227,'[2]april-2025'!$A:$A,'[2]april-2025'!$C:$C,0,0)</f>
        <v>33500</v>
      </c>
      <c r="U227">
        <f t="shared" si="542"/>
        <v>6030</v>
      </c>
      <c r="V227">
        <f t="shared" si="543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44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45"/>
        <v>200</v>
      </c>
      <c r="AC227">
        <f t="shared" si="546"/>
        <v>40850</v>
      </c>
      <c r="AD227">
        <f>_xlfn.XLOOKUP(B227,'[3]may-2025'!$A:$A,'[3]may-2025'!$C:$C,0,0)</f>
        <v>33500</v>
      </c>
      <c r="AE227">
        <f t="shared" si="547"/>
        <v>6030</v>
      </c>
      <c r="AF227">
        <f t="shared" si="54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49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50"/>
        <v>200</v>
      </c>
      <c r="AM227">
        <f t="shared" si="551"/>
        <v>40850</v>
      </c>
      <c r="AN227">
        <f>_xlfn.XLOOKUP(B227,'[4]june-2025'!$A:$A,'[4]june-2025'!$C:$C,0,0)</f>
        <v>33500</v>
      </c>
      <c r="AO227">
        <f t="shared" si="552"/>
        <v>6030</v>
      </c>
      <c r="AP227">
        <f t="shared" si="553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54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55"/>
        <v>200</v>
      </c>
      <c r="AW227">
        <f t="shared" si="556"/>
        <v>40850</v>
      </c>
      <c r="AX227">
        <f>_xlfn.XLOOKUP(B227,'[5]july-2025'!$A:$A,'[5]july-2025'!$C:$C,0,0)</f>
        <v>35500</v>
      </c>
      <c r="AY227">
        <f t="shared" si="557"/>
        <v>6390</v>
      </c>
      <c r="AZ227">
        <v>0</v>
      </c>
      <c r="BA227">
        <f t="shared" si="558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59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60"/>
        <v>200</v>
      </c>
      <c r="BH227">
        <f t="shared" si="561"/>
        <v>43450</v>
      </c>
      <c r="BI227">
        <f>_xlfn.XLOOKUP(B227,'[6]august-2025'!$A:$A,'[6]august-2025'!$C:$C,0,0)</f>
        <v>35500</v>
      </c>
      <c r="BJ227">
        <f t="shared" si="562"/>
        <v>6390</v>
      </c>
      <c r="BK227">
        <f t="shared" si="563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64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65"/>
        <v>200</v>
      </c>
      <c r="BR227">
        <f t="shared" si="566"/>
        <v>43450</v>
      </c>
      <c r="BS227">
        <f>_xlfn.XLOOKUP(B227,'[7]september-2025'!$A:$A,'[7]september-2025'!$C:$C,0,0)</f>
        <v>35500</v>
      </c>
      <c r="BT227">
        <f t="shared" si="567"/>
        <v>6390</v>
      </c>
      <c r="BU227">
        <f t="shared" si="568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69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70"/>
        <v>200</v>
      </c>
      <c r="CB227">
        <f t="shared" si="571"/>
        <v>43450</v>
      </c>
      <c r="CC227">
        <f>_xlfn.XLOOKUP(B227,'[8]october-2025'!$A:$A,'[8]october-2025'!$C:$C,0,0)</f>
        <v>35500</v>
      </c>
      <c r="CD227">
        <f t="shared" si="572"/>
        <v>6390</v>
      </c>
      <c r="CE227">
        <f t="shared" si="573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7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75"/>
        <v>200</v>
      </c>
      <c r="CL227">
        <f t="shared" si="576"/>
        <v>43450</v>
      </c>
      <c r="CM227">
        <f>_xlfn.XLOOKUP(B227,'[9]november-2025'!$A:$A,'[9]november-2025'!$C:$C,0,0)</f>
        <v>35500</v>
      </c>
      <c r="CN227">
        <f t="shared" si="577"/>
        <v>6390</v>
      </c>
      <c r="CO227">
        <f t="shared" si="578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79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80"/>
        <v>200</v>
      </c>
      <c r="CV227">
        <f t="shared" si="581"/>
        <v>43450</v>
      </c>
      <c r="CW227">
        <f>_xlfn.XLOOKUP(B227,'[10]december-2025'!$A:$A,'[10]december-2025'!$C:$C,0,0)</f>
        <v>35500</v>
      </c>
      <c r="CX227">
        <f t="shared" si="582"/>
        <v>6390</v>
      </c>
      <c r="CY227">
        <f t="shared" si="583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84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85"/>
        <v>200</v>
      </c>
      <c r="DF227">
        <f t="shared" si="586"/>
        <v>43450</v>
      </c>
      <c r="DG227">
        <f>_xlfn.XLOOKUP(B227,'[11]january-2026'!$A:$A,'[11]january-2026'!$C:$C,0,0)</f>
        <v>35500</v>
      </c>
      <c r="DH227">
        <f t="shared" si="587"/>
        <v>6390</v>
      </c>
      <c r="DI227">
        <f t="shared" si="588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9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90"/>
        <v>200</v>
      </c>
      <c r="DP227">
        <f t="shared" si="591"/>
        <v>43450</v>
      </c>
      <c r="DQ227">
        <f>_xlfn.XLOOKUP(B227,'[12]february-2026'!$A:$A,'[12]february-2026'!$C:$C,0,0)</f>
        <v>35500</v>
      </c>
      <c r="DR227">
        <f t="shared" si="592"/>
        <v>6390</v>
      </c>
      <c r="DS227">
        <f t="shared" si="59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4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5"/>
        <v>200</v>
      </c>
      <c r="DZ227">
        <f t="shared" si="596"/>
        <v>43450</v>
      </c>
      <c r="EA227">
        <f t="shared" si="597"/>
        <v>554860</v>
      </c>
      <c r="EB227">
        <f t="shared" si="598"/>
        <v>2400</v>
      </c>
      <c r="EC227">
        <f t="shared" si="599"/>
        <v>50000</v>
      </c>
      <c r="ED227">
        <v>0</v>
      </c>
      <c r="EE227">
        <f t="shared" si="600"/>
        <v>502460</v>
      </c>
      <c r="EF227">
        <f t="shared" si="601"/>
        <v>36000</v>
      </c>
      <c r="EG227">
        <f t="shared" si="602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3"/>
        <v>36000</v>
      </c>
      <c r="ES227">
        <f t="shared" si="604"/>
        <v>36000</v>
      </c>
      <c r="ET227">
        <f t="shared" si="605"/>
        <v>466460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6"/>
        <v>0</v>
      </c>
      <c r="FC227">
        <f t="shared" si="607"/>
        <v>466460</v>
      </c>
      <c r="FD227">
        <f t="shared" si="608"/>
        <v>10823</v>
      </c>
      <c r="FE227">
        <f t="shared" si="609"/>
        <v>0</v>
      </c>
      <c r="FF227">
        <f t="shared" si="610"/>
        <v>10823</v>
      </c>
      <c r="FG227">
        <f t="shared" si="611"/>
        <v>0</v>
      </c>
      <c r="FH227">
        <f t="shared" si="612"/>
        <v>0</v>
      </c>
      <c r="FI227">
        <f t="shared" si="613"/>
        <v>0</v>
      </c>
      <c r="FJ227">
        <v>0</v>
      </c>
      <c r="FK227">
        <f t="shared" si="614"/>
        <v>0</v>
      </c>
      <c r="FL227" t="b">
        <f t="shared" si="615"/>
        <v>1</v>
      </c>
      <c r="FM227">
        <f t="shared" ca="1" si="616"/>
        <v>962</v>
      </c>
      <c r="FN227">
        <f t="shared" ca="1" si="617"/>
        <v>555822</v>
      </c>
      <c r="FO227">
        <f t="shared" si="618"/>
        <v>75000</v>
      </c>
      <c r="FP227">
        <f t="shared" ca="1" si="619"/>
        <v>480822</v>
      </c>
      <c r="FQ227">
        <f t="shared" ca="1" si="620"/>
        <v>0</v>
      </c>
      <c r="FR227">
        <f t="shared" ca="1" si="621"/>
        <v>0</v>
      </c>
      <c r="FS227">
        <f t="shared" ca="1" si="622"/>
        <v>0</v>
      </c>
      <c r="FT227">
        <f t="shared" ca="1" si="623"/>
        <v>0</v>
      </c>
      <c r="FU227">
        <f t="shared" ca="1" si="624"/>
        <v>0</v>
      </c>
      <c r="FV227">
        <f t="shared" ca="1" si="625"/>
        <v>0</v>
      </c>
      <c r="FW227">
        <f t="shared" ca="1" si="626"/>
        <v>0</v>
      </c>
      <c r="FX227">
        <f t="shared" ca="1" si="627"/>
        <v>0</v>
      </c>
      <c r="FY227">
        <f t="shared" ca="1" si="628"/>
        <v>0</v>
      </c>
      <c r="FZ227">
        <f t="shared" ca="1" si="629"/>
        <v>0</v>
      </c>
      <c r="GA227">
        <f t="shared" ca="1" si="630"/>
        <v>80822</v>
      </c>
      <c r="GB227">
        <f t="shared" ca="1" si="631"/>
        <v>4041.1000000000004</v>
      </c>
      <c r="GC227">
        <f t="shared" ca="1" si="632"/>
        <v>4041</v>
      </c>
      <c r="GD227">
        <f t="shared" ca="1" si="633"/>
        <v>0</v>
      </c>
      <c r="GE227">
        <f t="shared" ca="1" si="634"/>
        <v>0</v>
      </c>
      <c r="GF227">
        <f t="shared" ca="1" si="635"/>
        <v>4041</v>
      </c>
      <c r="GG227">
        <f t="shared" ca="1" si="636"/>
        <v>0</v>
      </c>
      <c r="GH227" t="b">
        <f t="shared" ca="1" si="637"/>
        <v>0</v>
      </c>
      <c r="GI227">
        <f t="shared" ca="1" si="638"/>
        <v>0</v>
      </c>
      <c r="GJ227">
        <f t="shared" ca="1" si="639"/>
        <v>4041</v>
      </c>
      <c r="GK227">
        <f t="shared" ca="1" si="640"/>
        <v>0</v>
      </c>
      <c r="GL227">
        <f t="shared" ca="1" si="641"/>
        <v>0</v>
      </c>
      <c r="GM227">
        <f t="shared" ca="1" si="642"/>
        <v>0</v>
      </c>
    </row>
    <row r="228" spans="1:195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644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38"/>
        <v>4424</v>
      </c>
      <c r="L228">
        <f t="shared" si="539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540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43"/>
        <v>200</v>
      </c>
      <c r="S228">
        <f t="shared" si="541"/>
        <v>38116</v>
      </c>
      <c r="T228">
        <f>_xlfn.XLOOKUP(B228,'[2]april-2025'!$A:$A,'[2]april-2025'!$C:$C,0,0)</f>
        <v>31600</v>
      </c>
      <c r="U228">
        <f t="shared" si="542"/>
        <v>5688</v>
      </c>
      <c r="V228">
        <f t="shared" si="543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44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45"/>
        <v>200</v>
      </c>
      <c r="AC228">
        <f t="shared" si="546"/>
        <v>39380</v>
      </c>
      <c r="AD228">
        <f>_xlfn.XLOOKUP(B228,'[3]may-2025'!$A:$A,'[3]may-2025'!$C:$C,0,0)</f>
        <v>31600</v>
      </c>
      <c r="AE228">
        <f t="shared" si="547"/>
        <v>5688</v>
      </c>
      <c r="AF228">
        <f t="shared" si="54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49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50"/>
        <v>200</v>
      </c>
      <c r="AM228">
        <f t="shared" si="551"/>
        <v>39380</v>
      </c>
      <c r="AN228">
        <f>_xlfn.XLOOKUP(B228,'[4]june-2025'!$A:$A,'[4]june-2025'!$C:$C,0,0)</f>
        <v>31600</v>
      </c>
      <c r="AO228">
        <f t="shared" si="552"/>
        <v>5688</v>
      </c>
      <c r="AP228">
        <f t="shared" si="553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54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55"/>
        <v>200</v>
      </c>
      <c r="AW228">
        <f t="shared" si="556"/>
        <v>39380</v>
      </c>
      <c r="AX228">
        <f>_xlfn.XLOOKUP(B228,'[5]july-2025'!$A:$A,'[5]july-2025'!$C:$C,0,0)</f>
        <v>32500</v>
      </c>
      <c r="AY228">
        <f t="shared" si="557"/>
        <v>5850</v>
      </c>
      <c r="AZ228">
        <v>0</v>
      </c>
      <c r="BA228">
        <f t="shared" si="558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59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60"/>
        <v>200</v>
      </c>
      <c r="BH228">
        <f t="shared" si="561"/>
        <v>40550</v>
      </c>
      <c r="BI228">
        <f>_xlfn.XLOOKUP(B228,'[6]august-2025'!$A:$A,'[6]august-2025'!$C:$C,0,0)</f>
        <v>32500</v>
      </c>
      <c r="BJ228">
        <f t="shared" si="562"/>
        <v>5850</v>
      </c>
      <c r="BK228">
        <f t="shared" si="563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64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65"/>
        <v>200</v>
      </c>
      <c r="BR228">
        <f t="shared" si="566"/>
        <v>40550</v>
      </c>
      <c r="BS228">
        <f>_xlfn.XLOOKUP(B228,'[7]september-2025'!$A:$A,'[7]september-2025'!$C:$C,0,0)</f>
        <v>32500</v>
      </c>
      <c r="BT228">
        <f t="shared" si="567"/>
        <v>5850</v>
      </c>
      <c r="BU228">
        <f t="shared" si="568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69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70"/>
        <v>200</v>
      </c>
      <c r="CB228">
        <f t="shared" si="571"/>
        <v>40550</v>
      </c>
      <c r="CC228">
        <f>_xlfn.XLOOKUP(B228,'[8]october-2025'!$A:$A,'[8]october-2025'!$C:$C,0,0)</f>
        <v>32500</v>
      </c>
      <c r="CD228">
        <f t="shared" si="572"/>
        <v>5850</v>
      </c>
      <c r="CE228">
        <f t="shared" si="573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7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75"/>
        <v>200</v>
      </c>
      <c r="CL228">
        <f t="shared" si="576"/>
        <v>40550</v>
      </c>
      <c r="CM228">
        <f>_xlfn.XLOOKUP(B228,'[9]november-2025'!$A:$A,'[9]november-2025'!$C:$C,0,0)</f>
        <v>32500</v>
      </c>
      <c r="CN228">
        <f t="shared" si="577"/>
        <v>5850</v>
      </c>
      <c r="CO228">
        <f t="shared" si="578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79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80"/>
        <v>200</v>
      </c>
      <c r="CV228">
        <f t="shared" si="581"/>
        <v>40550</v>
      </c>
      <c r="CW228">
        <f>_xlfn.XLOOKUP(B228,'[10]december-2025'!$A:$A,'[10]december-2025'!$C:$C,0,0)</f>
        <v>32500</v>
      </c>
      <c r="CX228">
        <f t="shared" si="582"/>
        <v>5850</v>
      </c>
      <c r="CY228">
        <f t="shared" si="583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84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85"/>
        <v>200</v>
      </c>
      <c r="DF228">
        <f t="shared" si="586"/>
        <v>40550</v>
      </c>
      <c r="DG228">
        <f>_xlfn.XLOOKUP(B228,'[11]january-2026'!$A:$A,'[11]january-2026'!$C:$C,0,0)</f>
        <v>32500</v>
      </c>
      <c r="DH228">
        <f t="shared" si="587"/>
        <v>5850</v>
      </c>
      <c r="DI228">
        <f t="shared" si="588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9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90"/>
        <v>200</v>
      </c>
      <c r="DP228">
        <f t="shared" si="591"/>
        <v>40550</v>
      </c>
      <c r="DQ228">
        <f>_xlfn.XLOOKUP(B228,'[12]february-2026'!$A:$A,'[12]february-2026'!$C:$C,0,0)</f>
        <v>32500</v>
      </c>
      <c r="DR228">
        <f t="shared" si="592"/>
        <v>5850</v>
      </c>
      <c r="DS228">
        <f t="shared" si="59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4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5"/>
        <v>200</v>
      </c>
      <c r="DZ228">
        <f t="shared" si="596"/>
        <v>40550</v>
      </c>
      <c r="EA228">
        <f t="shared" si="597"/>
        <v>513856</v>
      </c>
      <c r="EB228">
        <f t="shared" si="598"/>
        <v>2400</v>
      </c>
      <c r="EC228">
        <f t="shared" si="599"/>
        <v>50000</v>
      </c>
      <c r="ED228">
        <v>0</v>
      </c>
      <c r="EE228">
        <f t="shared" si="600"/>
        <v>461456</v>
      </c>
      <c r="EF228">
        <f t="shared" si="601"/>
        <v>24000</v>
      </c>
      <c r="EG228">
        <f t="shared" si="602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3"/>
        <v>24000</v>
      </c>
      <c r="ES228">
        <f t="shared" si="604"/>
        <v>24000</v>
      </c>
      <c r="ET228">
        <f t="shared" si="605"/>
        <v>437456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6"/>
        <v>0</v>
      </c>
      <c r="FC228">
        <f t="shared" si="607"/>
        <v>437456</v>
      </c>
      <c r="FD228">
        <f t="shared" si="608"/>
        <v>9373</v>
      </c>
      <c r="FE228">
        <f t="shared" si="609"/>
        <v>0</v>
      </c>
      <c r="FF228">
        <f t="shared" si="610"/>
        <v>9373</v>
      </c>
      <c r="FG228">
        <f t="shared" si="611"/>
        <v>0</v>
      </c>
      <c r="FH228">
        <f t="shared" si="612"/>
        <v>0</v>
      </c>
      <c r="FI228">
        <f t="shared" si="613"/>
        <v>0</v>
      </c>
      <c r="FJ228">
        <v>0</v>
      </c>
      <c r="FK228">
        <f t="shared" si="614"/>
        <v>0</v>
      </c>
      <c r="FL228" t="b">
        <f t="shared" si="615"/>
        <v>1</v>
      </c>
      <c r="FM228">
        <f t="shared" ca="1" si="616"/>
        <v>591</v>
      </c>
      <c r="FN228">
        <f t="shared" ca="1" si="617"/>
        <v>514447</v>
      </c>
      <c r="FO228">
        <f t="shared" si="618"/>
        <v>75000</v>
      </c>
      <c r="FP228">
        <f t="shared" ca="1" si="619"/>
        <v>439447</v>
      </c>
      <c r="FQ228">
        <f t="shared" ca="1" si="620"/>
        <v>0</v>
      </c>
      <c r="FR228">
        <f t="shared" ca="1" si="621"/>
        <v>0</v>
      </c>
      <c r="FS228">
        <f t="shared" ca="1" si="622"/>
        <v>0</v>
      </c>
      <c r="FT228">
        <f t="shared" ca="1" si="623"/>
        <v>0</v>
      </c>
      <c r="FU228">
        <f t="shared" ca="1" si="624"/>
        <v>0</v>
      </c>
      <c r="FV228">
        <f t="shared" ca="1" si="625"/>
        <v>0</v>
      </c>
      <c r="FW228">
        <f t="shared" ca="1" si="626"/>
        <v>0</v>
      </c>
      <c r="FX228">
        <f t="shared" ca="1" si="627"/>
        <v>0</v>
      </c>
      <c r="FY228">
        <f t="shared" ca="1" si="628"/>
        <v>0</v>
      </c>
      <c r="FZ228">
        <f t="shared" ca="1" si="629"/>
        <v>0</v>
      </c>
      <c r="GA228">
        <f t="shared" ca="1" si="630"/>
        <v>39447</v>
      </c>
      <c r="GB228">
        <f t="shared" ca="1" si="631"/>
        <v>1972.3500000000001</v>
      </c>
      <c r="GC228">
        <f t="shared" ca="1" si="632"/>
        <v>1972</v>
      </c>
      <c r="GD228">
        <f t="shared" ca="1" si="633"/>
        <v>0</v>
      </c>
      <c r="GE228">
        <f t="shared" ca="1" si="634"/>
        <v>0</v>
      </c>
      <c r="GF228">
        <f t="shared" ca="1" si="635"/>
        <v>1972</v>
      </c>
      <c r="GG228">
        <f t="shared" ca="1" si="636"/>
        <v>0</v>
      </c>
      <c r="GH228" t="b">
        <f t="shared" ca="1" si="637"/>
        <v>0</v>
      </c>
      <c r="GI228">
        <f t="shared" ca="1" si="638"/>
        <v>0</v>
      </c>
      <c r="GJ228">
        <f t="shared" ca="1" si="639"/>
        <v>1972</v>
      </c>
      <c r="GK228">
        <f t="shared" ca="1" si="640"/>
        <v>0</v>
      </c>
      <c r="GL228">
        <f t="shared" ca="1" si="641"/>
        <v>0</v>
      </c>
      <c r="GM228">
        <f t="shared" ca="1" si="642"/>
        <v>0</v>
      </c>
    </row>
    <row r="229" spans="1:195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644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38"/>
        <v>4830.0000000000009</v>
      </c>
      <c r="L229">
        <f t="shared" si="539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540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43"/>
        <v>200</v>
      </c>
      <c r="S229">
        <f t="shared" si="541"/>
        <v>41170</v>
      </c>
      <c r="T229">
        <f>_xlfn.XLOOKUP(B229,'[2]april-2025'!$A:$A,'[2]april-2025'!$C:$C,0,0)</f>
        <v>34500</v>
      </c>
      <c r="U229">
        <f t="shared" si="542"/>
        <v>6210</v>
      </c>
      <c r="V229">
        <f t="shared" si="543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44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45"/>
        <v>200</v>
      </c>
      <c r="AC229">
        <f t="shared" si="546"/>
        <v>42550</v>
      </c>
      <c r="AD229">
        <f>_xlfn.XLOOKUP(B229,'[3]may-2025'!$A:$A,'[3]may-2025'!$C:$C,0,0)</f>
        <v>34500</v>
      </c>
      <c r="AE229">
        <f t="shared" si="547"/>
        <v>6210</v>
      </c>
      <c r="AF229">
        <f t="shared" si="54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49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50"/>
        <v>200</v>
      </c>
      <c r="AM229">
        <f t="shared" si="551"/>
        <v>42550</v>
      </c>
      <c r="AN229">
        <f>_xlfn.XLOOKUP(B229,'[4]june-2025'!$A:$A,'[4]june-2025'!$C:$C,0,0)</f>
        <v>34500</v>
      </c>
      <c r="AO229">
        <f t="shared" si="552"/>
        <v>6210</v>
      </c>
      <c r="AP229">
        <f t="shared" si="553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54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55"/>
        <v>200</v>
      </c>
      <c r="AW229">
        <f t="shared" si="556"/>
        <v>42550</v>
      </c>
      <c r="AX229">
        <f>_xlfn.XLOOKUP(B229,'[5]july-2025'!$A:$A,'[5]july-2025'!$C:$C,0,0)</f>
        <v>35500</v>
      </c>
      <c r="AY229">
        <f t="shared" si="557"/>
        <v>6390</v>
      </c>
      <c r="AZ229">
        <v>0</v>
      </c>
      <c r="BA229">
        <f t="shared" si="558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59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60"/>
        <v>200</v>
      </c>
      <c r="BH229">
        <f t="shared" si="561"/>
        <v>43850</v>
      </c>
      <c r="BI229">
        <f>_xlfn.XLOOKUP(B229,'[6]august-2025'!$A:$A,'[6]august-2025'!$C:$C,0,0)</f>
        <v>35500</v>
      </c>
      <c r="BJ229">
        <f t="shared" si="562"/>
        <v>6390</v>
      </c>
      <c r="BK229">
        <f t="shared" si="563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64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65"/>
        <v>200</v>
      </c>
      <c r="BR229">
        <f t="shared" si="566"/>
        <v>43850</v>
      </c>
      <c r="BS229">
        <f>_xlfn.XLOOKUP(B229,'[7]september-2025'!$A:$A,'[7]september-2025'!$C:$C,0,0)</f>
        <v>35500</v>
      </c>
      <c r="BT229">
        <f t="shared" si="567"/>
        <v>6390</v>
      </c>
      <c r="BU229">
        <f t="shared" si="568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69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70"/>
        <v>200</v>
      </c>
      <c r="CB229">
        <f t="shared" si="571"/>
        <v>43850</v>
      </c>
      <c r="CC229">
        <f>_xlfn.XLOOKUP(B229,'[8]october-2025'!$A:$A,'[8]october-2025'!$C:$C,0,0)</f>
        <v>35500</v>
      </c>
      <c r="CD229">
        <f t="shared" si="572"/>
        <v>6390</v>
      </c>
      <c r="CE229">
        <f t="shared" si="573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7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75"/>
        <v>200</v>
      </c>
      <c r="CL229">
        <f t="shared" si="576"/>
        <v>43850</v>
      </c>
      <c r="CM229">
        <f>_xlfn.XLOOKUP(B229,'[9]november-2025'!$A:$A,'[9]november-2025'!$C:$C,0,0)</f>
        <v>35500</v>
      </c>
      <c r="CN229">
        <f t="shared" si="577"/>
        <v>6390</v>
      </c>
      <c r="CO229">
        <f t="shared" si="578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79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80"/>
        <v>200</v>
      </c>
      <c r="CV229">
        <f t="shared" si="581"/>
        <v>43850</v>
      </c>
      <c r="CW229">
        <f>_xlfn.XLOOKUP(B229,'[10]december-2025'!$A:$A,'[10]december-2025'!$C:$C,0,0)</f>
        <v>35500</v>
      </c>
      <c r="CX229">
        <f t="shared" si="582"/>
        <v>6390</v>
      </c>
      <c r="CY229">
        <f t="shared" si="583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84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85"/>
        <v>200</v>
      </c>
      <c r="DF229">
        <f t="shared" si="586"/>
        <v>43850</v>
      </c>
      <c r="DG229">
        <f>_xlfn.XLOOKUP(B229,'[11]january-2026'!$A:$A,'[11]january-2026'!$C:$C,0,0)</f>
        <v>35500</v>
      </c>
      <c r="DH229">
        <f t="shared" si="587"/>
        <v>6390</v>
      </c>
      <c r="DI229">
        <f t="shared" si="588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9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90"/>
        <v>200</v>
      </c>
      <c r="DP229">
        <f t="shared" si="591"/>
        <v>43850</v>
      </c>
      <c r="DQ229">
        <f>_xlfn.XLOOKUP(B229,'[12]february-2026'!$A:$A,'[12]february-2026'!$C:$C,0,0)</f>
        <v>35500</v>
      </c>
      <c r="DR229">
        <f t="shared" si="592"/>
        <v>6390</v>
      </c>
      <c r="DS229">
        <f t="shared" si="59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4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5"/>
        <v>200</v>
      </c>
      <c r="DZ229">
        <f t="shared" si="596"/>
        <v>43850</v>
      </c>
      <c r="EA229">
        <f t="shared" si="597"/>
        <v>564820</v>
      </c>
      <c r="EB229">
        <f t="shared" si="598"/>
        <v>2400</v>
      </c>
      <c r="EC229">
        <f t="shared" si="599"/>
        <v>50000</v>
      </c>
      <c r="ED229">
        <v>0</v>
      </c>
      <c r="EE229">
        <f t="shared" si="600"/>
        <v>512420</v>
      </c>
      <c r="EF229">
        <f t="shared" si="601"/>
        <v>36000</v>
      </c>
      <c r="EG229">
        <f t="shared" si="602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3"/>
        <v>36000</v>
      </c>
      <c r="ES229">
        <f t="shared" si="604"/>
        <v>36000</v>
      </c>
      <c r="ET229">
        <f t="shared" si="605"/>
        <v>476420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6"/>
        <v>0</v>
      </c>
      <c r="FC229">
        <f t="shared" si="607"/>
        <v>476420</v>
      </c>
      <c r="FD229">
        <f t="shared" si="608"/>
        <v>11321</v>
      </c>
      <c r="FE229">
        <f t="shared" si="609"/>
        <v>0</v>
      </c>
      <c r="FF229">
        <f t="shared" si="610"/>
        <v>11321</v>
      </c>
      <c r="FG229">
        <f t="shared" si="611"/>
        <v>0</v>
      </c>
      <c r="FH229">
        <f t="shared" si="612"/>
        <v>0</v>
      </c>
      <c r="FI229">
        <f t="shared" si="613"/>
        <v>0</v>
      </c>
      <c r="FJ229">
        <v>0</v>
      </c>
      <c r="FK229">
        <f t="shared" si="614"/>
        <v>0</v>
      </c>
      <c r="FL229" t="b">
        <f t="shared" si="615"/>
        <v>1</v>
      </c>
      <c r="FM229">
        <f t="shared" ca="1" si="616"/>
        <v>869</v>
      </c>
      <c r="FN229">
        <f t="shared" ca="1" si="617"/>
        <v>565689</v>
      </c>
      <c r="FO229">
        <f t="shared" si="618"/>
        <v>75000</v>
      </c>
      <c r="FP229">
        <f t="shared" ca="1" si="619"/>
        <v>490689</v>
      </c>
      <c r="FQ229">
        <f t="shared" ca="1" si="620"/>
        <v>0</v>
      </c>
      <c r="FR229">
        <f t="shared" ca="1" si="621"/>
        <v>0</v>
      </c>
      <c r="FS229">
        <f t="shared" ca="1" si="622"/>
        <v>0</v>
      </c>
      <c r="FT229">
        <f t="shared" ca="1" si="623"/>
        <v>0</v>
      </c>
      <c r="FU229">
        <f t="shared" ca="1" si="624"/>
        <v>0</v>
      </c>
      <c r="FV229">
        <f t="shared" ca="1" si="625"/>
        <v>0</v>
      </c>
      <c r="FW229">
        <f t="shared" ca="1" si="626"/>
        <v>0</v>
      </c>
      <c r="FX229">
        <f t="shared" ca="1" si="627"/>
        <v>0</v>
      </c>
      <c r="FY229">
        <f t="shared" ca="1" si="628"/>
        <v>0</v>
      </c>
      <c r="FZ229">
        <f t="shared" ca="1" si="629"/>
        <v>0</v>
      </c>
      <c r="GA229">
        <f t="shared" ca="1" si="630"/>
        <v>90689</v>
      </c>
      <c r="GB229">
        <f t="shared" ca="1" si="631"/>
        <v>4534.45</v>
      </c>
      <c r="GC229">
        <f t="shared" ca="1" si="632"/>
        <v>4534</v>
      </c>
      <c r="GD229">
        <f t="shared" ca="1" si="633"/>
        <v>0</v>
      </c>
      <c r="GE229">
        <f t="shared" ca="1" si="634"/>
        <v>0</v>
      </c>
      <c r="GF229">
        <f t="shared" ca="1" si="635"/>
        <v>4534</v>
      </c>
      <c r="GG229">
        <f t="shared" ca="1" si="636"/>
        <v>0</v>
      </c>
      <c r="GH229" t="b">
        <f t="shared" ca="1" si="637"/>
        <v>0</v>
      </c>
      <c r="GI229">
        <f t="shared" ca="1" si="638"/>
        <v>0</v>
      </c>
      <c r="GJ229">
        <f t="shared" ca="1" si="639"/>
        <v>4534</v>
      </c>
      <c r="GK229">
        <f t="shared" ca="1" si="640"/>
        <v>0</v>
      </c>
      <c r="GL229">
        <f t="shared" ca="1" si="641"/>
        <v>0</v>
      </c>
      <c r="GM229">
        <f t="shared" ca="1" si="642"/>
        <v>0</v>
      </c>
    </row>
    <row r="230" spans="1:195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644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38"/>
        <v>4830.0000000000009</v>
      </c>
      <c r="L230">
        <f t="shared" si="539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540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43"/>
        <v>200</v>
      </c>
      <c r="S230">
        <f t="shared" si="541"/>
        <v>40770</v>
      </c>
      <c r="T230">
        <f>_xlfn.XLOOKUP(B230,'[2]april-2025'!$A:$A,'[2]april-2025'!$C:$C,0,0)</f>
        <v>34500</v>
      </c>
      <c r="U230">
        <f t="shared" si="542"/>
        <v>6210</v>
      </c>
      <c r="V230">
        <f t="shared" si="543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44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45"/>
        <v>200</v>
      </c>
      <c r="AC230">
        <f t="shared" si="546"/>
        <v>42150</v>
      </c>
      <c r="AD230">
        <f>_xlfn.XLOOKUP(B230,'[3]may-2025'!$A:$A,'[3]may-2025'!$C:$C,0,0)</f>
        <v>34500</v>
      </c>
      <c r="AE230">
        <f t="shared" si="547"/>
        <v>6210</v>
      </c>
      <c r="AF230">
        <f t="shared" si="54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49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50"/>
        <v>200</v>
      </c>
      <c r="AM230">
        <f t="shared" si="551"/>
        <v>42150</v>
      </c>
      <c r="AN230">
        <f>_xlfn.XLOOKUP(B230,'[4]june-2025'!$A:$A,'[4]june-2025'!$C:$C,0,0)</f>
        <v>34500</v>
      </c>
      <c r="AO230">
        <f t="shared" si="552"/>
        <v>6210</v>
      </c>
      <c r="AP230">
        <f t="shared" si="553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54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55"/>
        <v>200</v>
      </c>
      <c r="AW230">
        <f t="shared" si="556"/>
        <v>42150</v>
      </c>
      <c r="AX230">
        <f>_xlfn.XLOOKUP(B230,'[5]july-2025'!$A:$A,'[5]july-2025'!$C:$C,0,0)</f>
        <v>35500</v>
      </c>
      <c r="AY230">
        <f t="shared" si="557"/>
        <v>6390</v>
      </c>
      <c r="AZ230">
        <v>0</v>
      </c>
      <c r="BA230">
        <f t="shared" si="558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59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60"/>
        <v>200</v>
      </c>
      <c r="BH230">
        <f t="shared" si="561"/>
        <v>43450</v>
      </c>
      <c r="BI230">
        <f>_xlfn.XLOOKUP(B230,'[6]august-2025'!$A:$A,'[6]august-2025'!$C:$C,0,0)</f>
        <v>35500</v>
      </c>
      <c r="BJ230">
        <f t="shared" si="562"/>
        <v>6390</v>
      </c>
      <c r="BK230">
        <f t="shared" si="563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64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65"/>
        <v>200</v>
      </c>
      <c r="BR230">
        <f t="shared" si="566"/>
        <v>43450</v>
      </c>
      <c r="BS230">
        <f>_xlfn.XLOOKUP(B230,'[7]september-2025'!$A:$A,'[7]september-2025'!$C:$C,0,0)</f>
        <v>35500</v>
      </c>
      <c r="BT230">
        <f t="shared" si="567"/>
        <v>6390</v>
      </c>
      <c r="BU230">
        <f t="shared" si="568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69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70"/>
        <v>200</v>
      </c>
      <c r="CB230">
        <f t="shared" si="571"/>
        <v>43450</v>
      </c>
      <c r="CC230">
        <f>_xlfn.XLOOKUP(B230,'[8]october-2025'!$A:$A,'[8]october-2025'!$C:$C,0,0)</f>
        <v>35500</v>
      </c>
      <c r="CD230">
        <f t="shared" si="572"/>
        <v>6390</v>
      </c>
      <c r="CE230">
        <f t="shared" si="573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7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75"/>
        <v>200</v>
      </c>
      <c r="CL230">
        <f t="shared" si="576"/>
        <v>43450</v>
      </c>
      <c r="CM230">
        <f>_xlfn.XLOOKUP(B230,'[9]november-2025'!$A:$A,'[9]november-2025'!$C:$C,0,0)</f>
        <v>35500</v>
      </c>
      <c r="CN230">
        <f t="shared" si="577"/>
        <v>6390</v>
      </c>
      <c r="CO230">
        <f t="shared" si="578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79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80"/>
        <v>200</v>
      </c>
      <c r="CV230">
        <f t="shared" si="581"/>
        <v>43450</v>
      </c>
      <c r="CW230">
        <f>_xlfn.XLOOKUP(B230,'[10]december-2025'!$A:$A,'[10]december-2025'!$C:$C,0,0)</f>
        <v>35500</v>
      </c>
      <c r="CX230">
        <f t="shared" si="582"/>
        <v>6390</v>
      </c>
      <c r="CY230">
        <f t="shared" si="583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84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85"/>
        <v>200</v>
      </c>
      <c r="DF230">
        <f t="shared" si="586"/>
        <v>43450</v>
      </c>
      <c r="DG230">
        <f>_xlfn.XLOOKUP(B230,'[11]january-2026'!$A:$A,'[11]january-2026'!$C:$C,0,0)</f>
        <v>35500</v>
      </c>
      <c r="DH230">
        <f t="shared" si="587"/>
        <v>6390</v>
      </c>
      <c r="DI230">
        <f t="shared" si="588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9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90"/>
        <v>200</v>
      </c>
      <c r="DP230">
        <f t="shared" si="591"/>
        <v>43450</v>
      </c>
      <c r="DQ230">
        <f>_xlfn.XLOOKUP(B230,'[12]february-2026'!$A:$A,'[12]february-2026'!$C:$C,0,0)</f>
        <v>35500</v>
      </c>
      <c r="DR230">
        <f t="shared" si="592"/>
        <v>6390</v>
      </c>
      <c r="DS230">
        <f t="shared" si="59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4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5"/>
        <v>200</v>
      </c>
      <c r="DZ230">
        <f t="shared" si="596"/>
        <v>43450</v>
      </c>
      <c r="EA230">
        <f t="shared" si="597"/>
        <v>560020</v>
      </c>
      <c r="EB230">
        <f t="shared" si="598"/>
        <v>2400</v>
      </c>
      <c r="EC230">
        <f t="shared" si="599"/>
        <v>50000</v>
      </c>
      <c r="ED230">
        <v>0</v>
      </c>
      <c r="EE230">
        <f t="shared" si="600"/>
        <v>507620</v>
      </c>
      <c r="EF230">
        <f t="shared" si="601"/>
        <v>36000</v>
      </c>
      <c r="EG230">
        <f t="shared" si="602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3"/>
        <v>36000</v>
      </c>
      <c r="ES230">
        <f t="shared" si="604"/>
        <v>36000</v>
      </c>
      <c r="ET230">
        <f t="shared" si="605"/>
        <v>471620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6"/>
        <v>0</v>
      </c>
      <c r="FC230">
        <f t="shared" si="607"/>
        <v>471620</v>
      </c>
      <c r="FD230">
        <f t="shared" si="608"/>
        <v>11081</v>
      </c>
      <c r="FE230">
        <f t="shared" si="609"/>
        <v>0</v>
      </c>
      <c r="FF230">
        <f t="shared" si="610"/>
        <v>11081</v>
      </c>
      <c r="FG230">
        <f t="shared" si="611"/>
        <v>0</v>
      </c>
      <c r="FH230">
        <f t="shared" si="612"/>
        <v>0</v>
      </c>
      <c r="FI230">
        <f t="shared" si="613"/>
        <v>0</v>
      </c>
      <c r="FJ230">
        <v>0</v>
      </c>
      <c r="FK230">
        <f t="shared" si="614"/>
        <v>0</v>
      </c>
      <c r="FL230" t="b">
        <f t="shared" si="615"/>
        <v>1</v>
      </c>
      <c r="FM230">
        <f t="shared" ca="1" si="616"/>
        <v>577</v>
      </c>
      <c r="FN230">
        <f t="shared" ca="1" si="617"/>
        <v>560597</v>
      </c>
      <c r="FO230">
        <f t="shared" si="618"/>
        <v>75000</v>
      </c>
      <c r="FP230">
        <f t="shared" ca="1" si="619"/>
        <v>485597</v>
      </c>
      <c r="FQ230">
        <f t="shared" ca="1" si="620"/>
        <v>0</v>
      </c>
      <c r="FR230">
        <f t="shared" ca="1" si="621"/>
        <v>0</v>
      </c>
      <c r="FS230">
        <f t="shared" ca="1" si="622"/>
        <v>0</v>
      </c>
      <c r="FT230">
        <f t="shared" ca="1" si="623"/>
        <v>0</v>
      </c>
      <c r="FU230">
        <f t="shared" ca="1" si="624"/>
        <v>0</v>
      </c>
      <c r="FV230">
        <f t="shared" ca="1" si="625"/>
        <v>0</v>
      </c>
      <c r="FW230">
        <f t="shared" ca="1" si="626"/>
        <v>0</v>
      </c>
      <c r="FX230">
        <f t="shared" ca="1" si="627"/>
        <v>0</v>
      </c>
      <c r="FY230">
        <f t="shared" ca="1" si="628"/>
        <v>0</v>
      </c>
      <c r="FZ230">
        <f t="shared" ca="1" si="629"/>
        <v>0</v>
      </c>
      <c r="GA230">
        <f t="shared" ca="1" si="630"/>
        <v>85597</v>
      </c>
      <c r="GB230">
        <f t="shared" ca="1" si="631"/>
        <v>4279.8500000000004</v>
      </c>
      <c r="GC230">
        <f t="shared" ca="1" si="632"/>
        <v>4280</v>
      </c>
      <c r="GD230">
        <f t="shared" ca="1" si="633"/>
        <v>0</v>
      </c>
      <c r="GE230">
        <f t="shared" ca="1" si="634"/>
        <v>0</v>
      </c>
      <c r="GF230">
        <f t="shared" ca="1" si="635"/>
        <v>4280</v>
      </c>
      <c r="GG230">
        <f t="shared" ca="1" si="636"/>
        <v>0</v>
      </c>
      <c r="GH230" t="b">
        <f t="shared" ca="1" si="637"/>
        <v>0</v>
      </c>
      <c r="GI230">
        <f t="shared" ca="1" si="638"/>
        <v>0</v>
      </c>
      <c r="GJ230">
        <f t="shared" ca="1" si="639"/>
        <v>4280</v>
      </c>
      <c r="GK230">
        <f t="shared" ca="1" si="640"/>
        <v>0</v>
      </c>
      <c r="GL230">
        <f t="shared" ca="1" si="641"/>
        <v>0</v>
      </c>
      <c r="GM230">
        <f t="shared" ca="1" si="642"/>
        <v>0</v>
      </c>
    </row>
    <row r="231" spans="1:195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645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38"/>
        <v>4690</v>
      </c>
      <c r="L231">
        <f t="shared" si="539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540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43"/>
        <v>200</v>
      </c>
      <c r="S231">
        <f t="shared" si="541"/>
        <v>40410</v>
      </c>
      <c r="T231">
        <f>_xlfn.XLOOKUP(B231,'[2]april-2025'!$A:$A,'[2]april-2025'!$C:$C,0,0)</f>
        <v>33500</v>
      </c>
      <c r="U231">
        <f t="shared" si="542"/>
        <v>6030</v>
      </c>
      <c r="V231">
        <f t="shared" si="543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44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45"/>
        <v>200</v>
      </c>
      <c r="AC231">
        <f t="shared" si="546"/>
        <v>41750</v>
      </c>
      <c r="AD231">
        <f>_xlfn.XLOOKUP(B231,'[3]may-2025'!$A:$A,'[3]may-2025'!$C:$C,0,0)</f>
        <v>33500</v>
      </c>
      <c r="AE231">
        <f t="shared" si="547"/>
        <v>6030</v>
      </c>
      <c r="AF231">
        <f t="shared" si="54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49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50"/>
        <v>200</v>
      </c>
      <c r="AM231">
        <f t="shared" si="551"/>
        <v>41750</v>
      </c>
      <c r="AN231">
        <f>_xlfn.XLOOKUP(B231,'[4]june-2025'!$A:$A,'[4]june-2025'!$C:$C,0,0)</f>
        <v>33500</v>
      </c>
      <c r="AO231">
        <f t="shared" si="552"/>
        <v>6030</v>
      </c>
      <c r="AP231">
        <f t="shared" si="553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54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55"/>
        <v>200</v>
      </c>
      <c r="AW231">
        <f t="shared" si="556"/>
        <v>41750</v>
      </c>
      <c r="AX231">
        <f>_xlfn.XLOOKUP(B231,'[5]july-2025'!$A:$A,'[5]july-2025'!$C:$C,0,0)</f>
        <v>35500</v>
      </c>
      <c r="AY231">
        <f t="shared" si="557"/>
        <v>6390</v>
      </c>
      <c r="AZ231">
        <v>0</v>
      </c>
      <c r="BA231">
        <f t="shared" si="558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59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60"/>
        <v>200</v>
      </c>
      <c r="BH231">
        <f t="shared" si="561"/>
        <v>44350</v>
      </c>
      <c r="BI231">
        <f>_xlfn.XLOOKUP(B231,'[6]august-2025'!$A:$A,'[6]august-2025'!$C:$C,0,0)</f>
        <v>35500</v>
      </c>
      <c r="BJ231">
        <f t="shared" si="562"/>
        <v>6390</v>
      </c>
      <c r="BK231">
        <f t="shared" si="563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64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65"/>
        <v>200</v>
      </c>
      <c r="BR231">
        <f t="shared" si="566"/>
        <v>44350</v>
      </c>
      <c r="BS231">
        <f>_xlfn.XLOOKUP(B231,'[7]september-2025'!$A:$A,'[7]september-2025'!$C:$C,0,0)</f>
        <v>35500</v>
      </c>
      <c r="BT231">
        <f t="shared" si="567"/>
        <v>6390</v>
      </c>
      <c r="BU231">
        <f t="shared" si="568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69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70"/>
        <v>200</v>
      </c>
      <c r="CB231">
        <f t="shared" si="571"/>
        <v>44350</v>
      </c>
      <c r="CC231">
        <f>_xlfn.XLOOKUP(B231,'[8]october-2025'!$A:$A,'[8]october-2025'!$C:$C,0,0)</f>
        <v>35500</v>
      </c>
      <c r="CD231">
        <f t="shared" si="572"/>
        <v>6390</v>
      </c>
      <c r="CE231">
        <f t="shared" si="573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7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75"/>
        <v>200</v>
      </c>
      <c r="CL231">
        <f t="shared" si="576"/>
        <v>44350</v>
      </c>
      <c r="CM231">
        <f>_xlfn.XLOOKUP(B231,'[9]november-2025'!$A:$A,'[9]november-2025'!$C:$C,0,0)</f>
        <v>35500</v>
      </c>
      <c r="CN231">
        <f t="shared" si="577"/>
        <v>6390</v>
      </c>
      <c r="CO231">
        <f t="shared" si="578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79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80"/>
        <v>200</v>
      </c>
      <c r="CV231">
        <f t="shared" si="581"/>
        <v>44350</v>
      </c>
      <c r="CW231">
        <f>_xlfn.XLOOKUP(B231,'[10]december-2025'!$A:$A,'[10]december-2025'!$C:$C,0,0)</f>
        <v>35500</v>
      </c>
      <c r="CX231">
        <f t="shared" si="582"/>
        <v>6390</v>
      </c>
      <c r="CY231">
        <f t="shared" si="583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84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85"/>
        <v>200</v>
      </c>
      <c r="DF231">
        <f t="shared" si="586"/>
        <v>44350</v>
      </c>
      <c r="DG231">
        <f>_xlfn.XLOOKUP(B231,'[11]january-2026'!$A:$A,'[11]january-2026'!$C:$C,0,0)</f>
        <v>35500</v>
      </c>
      <c r="DH231">
        <f t="shared" si="587"/>
        <v>6390</v>
      </c>
      <c r="DI231">
        <f t="shared" si="588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9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90"/>
        <v>200</v>
      </c>
      <c r="DP231">
        <f t="shared" si="591"/>
        <v>44350</v>
      </c>
      <c r="DQ231">
        <f>_xlfn.XLOOKUP(B231,'[12]february-2026'!$A:$A,'[12]february-2026'!$C:$C,0,0)</f>
        <v>35500</v>
      </c>
      <c r="DR231">
        <f t="shared" si="592"/>
        <v>6390</v>
      </c>
      <c r="DS231">
        <f t="shared" si="59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4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5"/>
        <v>200</v>
      </c>
      <c r="DZ231">
        <f t="shared" si="596"/>
        <v>44350</v>
      </c>
      <c r="EA231">
        <f t="shared" si="597"/>
        <v>559660</v>
      </c>
      <c r="EB231">
        <f t="shared" si="598"/>
        <v>2400</v>
      </c>
      <c r="EC231">
        <f t="shared" si="599"/>
        <v>50000</v>
      </c>
      <c r="ED231">
        <v>0</v>
      </c>
      <c r="EE231">
        <f t="shared" si="600"/>
        <v>507260</v>
      </c>
      <c r="EF231">
        <f t="shared" si="601"/>
        <v>30000</v>
      </c>
      <c r="EG231">
        <f t="shared" si="602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3"/>
        <v>30000</v>
      </c>
      <c r="ES231">
        <f t="shared" si="604"/>
        <v>30000</v>
      </c>
      <c r="ET231">
        <f t="shared" si="605"/>
        <v>477260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6"/>
        <v>0</v>
      </c>
      <c r="FC231">
        <f t="shared" si="607"/>
        <v>477260</v>
      </c>
      <c r="FD231">
        <f t="shared" si="608"/>
        <v>11363</v>
      </c>
      <c r="FE231">
        <f t="shared" si="609"/>
        <v>0</v>
      </c>
      <c r="FF231">
        <f t="shared" si="610"/>
        <v>11363</v>
      </c>
      <c r="FG231">
        <f t="shared" si="611"/>
        <v>0</v>
      </c>
      <c r="FH231">
        <f t="shared" si="612"/>
        <v>0</v>
      </c>
      <c r="FI231">
        <f t="shared" si="613"/>
        <v>0</v>
      </c>
      <c r="FJ231">
        <v>0</v>
      </c>
      <c r="FK231">
        <f t="shared" si="614"/>
        <v>0</v>
      </c>
      <c r="FL231" t="b">
        <f t="shared" si="615"/>
        <v>1</v>
      </c>
      <c r="FM231">
        <f t="shared" ca="1" si="616"/>
        <v>966</v>
      </c>
      <c r="FN231">
        <f t="shared" ca="1" si="617"/>
        <v>560626</v>
      </c>
      <c r="FO231">
        <f t="shared" si="618"/>
        <v>75000</v>
      </c>
      <c r="FP231">
        <f t="shared" ca="1" si="619"/>
        <v>485626</v>
      </c>
      <c r="FQ231">
        <f t="shared" ca="1" si="620"/>
        <v>0</v>
      </c>
      <c r="FR231">
        <f t="shared" ca="1" si="621"/>
        <v>0</v>
      </c>
      <c r="FS231">
        <f t="shared" ca="1" si="622"/>
        <v>0</v>
      </c>
      <c r="FT231">
        <f t="shared" ca="1" si="623"/>
        <v>0</v>
      </c>
      <c r="FU231">
        <f t="shared" ca="1" si="624"/>
        <v>0</v>
      </c>
      <c r="FV231">
        <f t="shared" ca="1" si="625"/>
        <v>0</v>
      </c>
      <c r="FW231">
        <f t="shared" ca="1" si="626"/>
        <v>0</v>
      </c>
      <c r="FX231">
        <f t="shared" ca="1" si="627"/>
        <v>0</v>
      </c>
      <c r="FY231">
        <f t="shared" ca="1" si="628"/>
        <v>0</v>
      </c>
      <c r="FZ231">
        <f t="shared" ca="1" si="629"/>
        <v>0</v>
      </c>
      <c r="GA231">
        <f t="shared" ca="1" si="630"/>
        <v>85626</v>
      </c>
      <c r="GB231">
        <f t="shared" ca="1" si="631"/>
        <v>4281.3</v>
      </c>
      <c r="GC231">
        <f t="shared" ca="1" si="632"/>
        <v>4281</v>
      </c>
      <c r="GD231">
        <f t="shared" ca="1" si="633"/>
        <v>0</v>
      </c>
      <c r="GE231">
        <f t="shared" ca="1" si="634"/>
        <v>0</v>
      </c>
      <c r="GF231">
        <f t="shared" ca="1" si="635"/>
        <v>4281</v>
      </c>
      <c r="GG231">
        <f t="shared" ca="1" si="636"/>
        <v>0</v>
      </c>
      <c r="GH231" t="b">
        <f t="shared" ca="1" si="637"/>
        <v>0</v>
      </c>
      <c r="GI231">
        <f t="shared" ca="1" si="638"/>
        <v>0</v>
      </c>
      <c r="GJ231">
        <f t="shared" ca="1" si="639"/>
        <v>4281</v>
      </c>
      <c r="GK231">
        <f t="shared" ca="1" si="640"/>
        <v>0</v>
      </c>
      <c r="GL231">
        <f t="shared" ca="1" si="641"/>
        <v>0</v>
      </c>
      <c r="GM231">
        <f t="shared" ca="1" si="642"/>
        <v>0</v>
      </c>
    </row>
    <row r="232" spans="1:195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645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38"/>
        <v>4690</v>
      </c>
      <c r="L232">
        <f t="shared" si="539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540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43"/>
        <v>200</v>
      </c>
      <c r="S232">
        <f t="shared" si="541"/>
        <v>40010</v>
      </c>
      <c r="T232">
        <f>_xlfn.XLOOKUP(B232,'[2]april-2025'!$A:$A,'[2]april-2025'!$C:$C,0,0)</f>
        <v>33500</v>
      </c>
      <c r="U232">
        <f t="shared" si="542"/>
        <v>6030</v>
      </c>
      <c r="V232">
        <f t="shared" si="543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44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45"/>
        <v>200</v>
      </c>
      <c r="AC232">
        <f t="shared" si="546"/>
        <v>41350</v>
      </c>
      <c r="AD232">
        <f>_xlfn.XLOOKUP(B232,'[3]may-2025'!$A:$A,'[3]may-2025'!$C:$C,0,0)</f>
        <v>33500</v>
      </c>
      <c r="AE232">
        <f t="shared" si="547"/>
        <v>6030</v>
      </c>
      <c r="AF232">
        <f t="shared" si="54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49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50"/>
        <v>200</v>
      </c>
      <c r="AM232">
        <f t="shared" si="551"/>
        <v>41350</v>
      </c>
      <c r="AN232">
        <f>_xlfn.XLOOKUP(B232,'[4]june-2025'!$A:$A,'[4]june-2025'!$C:$C,0,0)</f>
        <v>33500</v>
      </c>
      <c r="AO232">
        <f t="shared" si="552"/>
        <v>6030</v>
      </c>
      <c r="AP232">
        <f t="shared" si="553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54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55"/>
        <v>200</v>
      </c>
      <c r="AW232">
        <f t="shared" si="556"/>
        <v>41350</v>
      </c>
      <c r="AX232">
        <f>_xlfn.XLOOKUP(B232,'[5]july-2025'!$A:$A,'[5]july-2025'!$C:$C,0,0)</f>
        <v>34500</v>
      </c>
      <c r="AY232">
        <f t="shared" si="557"/>
        <v>6210</v>
      </c>
      <c r="AZ232">
        <v>0</v>
      </c>
      <c r="BA232">
        <f t="shared" si="558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59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60"/>
        <v>200</v>
      </c>
      <c r="BH232">
        <f t="shared" si="561"/>
        <v>42650</v>
      </c>
      <c r="BI232">
        <f>_xlfn.XLOOKUP(B232,'[6]august-2025'!$A:$A,'[6]august-2025'!$C:$C,0,0)</f>
        <v>34500</v>
      </c>
      <c r="BJ232">
        <f t="shared" si="562"/>
        <v>6210</v>
      </c>
      <c r="BK232">
        <f t="shared" si="563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64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65"/>
        <v>200</v>
      </c>
      <c r="BR232">
        <f t="shared" si="566"/>
        <v>42650</v>
      </c>
      <c r="BS232">
        <f>_xlfn.XLOOKUP(B232,'[7]september-2025'!$A:$A,'[7]september-2025'!$C:$C,0,0)</f>
        <v>34500</v>
      </c>
      <c r="BT232">
        <f t="shared" si="567"/>
        <v>6210</v>
      </c>
      <c r="BU232">
        <f t="shared" si="568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69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70"/>
        <v>200</v>
      </c>
      <c r="CB232">
        <f t="shared" si="571"/>
        <v>42650</v>
      </c>
      <c r="CC232">
        <f>_xlfn.XLOOKUP(B232,'[8]october-2025'!$A:$A,'[8]october-2025'!$C:$C,0,0)</f>
        <v>34500</v>
      </c>
      <c r="CD232">
        <f t="shared" si="572"/>
        <v>6210</v>
      </c>
      <c r="CE232">
        <f t="shared" si="573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7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75"/>
        <v>200</v>
      </c>
      <c r="CL232">
        <f t="shared" si="576"/>
        <v>42650</v>
      </c>
      <c r="CM232">
        <f>_xlfn.XLOOKUP(B232,'[9]november-2025'!$A:$A,'[9]november-2025'!$C:$C,0,0)</f>
        <v>34500</v>
      </c>
      <c r="CN232">
        <f t="shared" si="577"/>
        <v>6210</v>
      </c>
      <c r="CO232">
        <f t="shared" si="578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79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80"/>
        <v>200</v>
      </c>
      <c r="CV232">
        <f t="shared" si="581"/>
        <v>42650</v>
      </c>
      <c r="CW232">
        <f>_xlfn.XLOOKUP(B232,'[10]december-2025'!$A:$A,'[10]december-2025'!$C:$C,0,0)</f>
        <v>34500</v>
      </c>
      <c r="CX232">
        <f t="shared" si="582"/>
        <v>6210</v>
      </c>
      <c r="CY232">
        <f t="shared" si="583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84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85"/>
        <v>200</v>
      </c>
      <c r="DF232">
        <f t="shared" si="586"/>
        <v>42650</v>
      </c>
      <c r="DG232">
        <f>_xlfn.XLOOKUP(B232,'[11]january-2026'!$A:$A,'[11]january-2026'!$C:$C,0,0)</f>
        <v>34500</v>
      </c>
      <c r="DH232">
        <f t="shared" si="587"/>
        <v>6210</v>
      </c>
      <c r="DI232">
        <f t="shared" si="588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9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90"/>
        <v>200</v>
      </c>
      <c r="DP232">
        <f t="shared" si="591"/>
        <v>42650</v>
      </c>
      <c r="DQ232">
        <f>_xlfn.XLOOKUP(B232,'[12]february-2026'!$A:$A,'[12]february-2026'!$C:$C,0,0)</f>
        <v>34500</v>
      </c>
      <c r="DR232">
        <f t="shared" si="592"/>
        <v>6210</v>
      </c>
      <c r="DS232">
        <f t="shared" si="59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4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5"/>
        <v>200</v>
      </c>
      <c r="DZ232">
        <f t="shared" si="596"/>
        <v>42650</v>
      </c>
      <c r="EA232">
        <f t="shared" si="597"/>
        <v>544460</v>
      </c>
      <c r="EB232">
        <f t="shared" si="598"/>
        <v>2400</v>
      </c>
      <c r="EC232">
        <f t="shared" si="599"/>
        <v>50000</v>
      </c>
      <c r="ED232">
        <v>0</v>
      </c>
      <c r="EE232">
        <f t="shared" si="600"/>
        <v>492060</v>
      </c>
      <c r="EF232">
        <f t="shared" si="601"/>
        <v>30000</v>
      </c>
      <c r="EG232">
        <f t="shared" si="602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3"/>
        <v>30000</v>
      </c>
      <c r="ES232">
        <f t="shared" si="604"/>
        <v>30000</v>
      </c>
      <c r="ET232">
        <f t="shared" si="605"/>
        <v>462060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6"/>
        <v>0</v>
      </c>
      <c r="FC232">
        <f t="shared" si="607"/>
        <v>462060</v>
      </c>
      <c r="FD232">
        <f t="shared" si="608"/>
        <v>10603</v>
      </c>
      <c r="FE232">
        <f t="shared" si="609"/>
        <v>0</v>
      </c>
      <c r="FF232">
        <f t="shared" si="610"/>
        <v>10603</v>
      </c>
      <c r="FG232">
        <f t="shared" si="611"/>
        <v>0</v>
      </c>
      <c r="FH232">
        <f t="shared" si="612"/>
        <v>0</v>
      </c>
      <c r="FI232">
        <f t="shared" si="613"/>
        <v>0</v>
      </c>
      <c r="FJ232">
        <v>0</v>
      </c>
      <c r="FK232">
        <f t="shared" si="614"/>
        <v>0</v>
      </c>
      <c r="FL232" t="b">
        <f t="shared" si="615"/>
        <v>1</v>
      </c>
      <c r="FM232">
        <f t="shared" ca="1" si="616"/>
        <v>667</v>
      </c>
      <c r="FN232">
        <f t="shared" ca="1" si="617"/>
        <v>545127</v>
      </c>
      <c r="FO232">
        <f t="shared" si="618"/>
        <v>75000</v>
      </c>
      <c r="FP232">
        <f t="shared" ca="1" si="619"/>
        <v>470127</v>
      </c>
      <c r="FQ232">
        <f t="shared" ca="1" si="620"/>
        <v>0</v>
      </c>
      <c r="FR232">
        <f t="shared" ca="1" si="621"/>
        <v>0</v>
      </c>
      <c r="FS232">
        <f t="shared" ca="1" si="622"/>
        <v>0</v>
      </c>
      <c r="FT232">
        <f t="shared" ca="1" si="623"/>
        <v>0</v>
      </c>
      <c r="FU232">
        <f t="shared" ca="1" si="624"/>
        <v>0</v>
      </c>
      <c r="FV232">
        <f t="shared" ca="1" si="625"/>
        <v>0</v>
      </c>
      <c r="FW232">
        <f t="shared" ca="1" si="626"/>
        <v>0</v>
      </c>
      <c r="FX232">
        <f t="shared" ca="1" si="627"/>
        <v>0</v>
      </c>
      <c r="FY232">
        <f t="shared" ca="1" si="628"/>
        <v>0</v>
      </c>
      <c r="FZ232">
        <f t="shared" ca="1" si="629"/>
        <v>0</v>
      </c>
      <c r="GA232">
        <f t="shared" ca="1" si="630"/>
        <v>70127</v>
      </c>
      <c r="GB232">
        <f t="shared" ca="1" si="631"/>
        <v>3506.3500000000004</v>
      </c>
      <c r="GC232">
        <f t="shared" ca="1" si="632"/>
        <v>3506</v>
      </c>
      <c r="GD232">
        <f t="shared" ca="1" si="633"/>
        <v>0</v>
      </c>
      <c r="GE232">
        <f t="shared" ca="1" si="634"/>
        <v>0</v>
      </c>
      <c r="GF232">
        <f t="shared" ca="1" si="635"/>
        <v>3506</v>
      </c>
      <c r="GG232">
        <f t="shared" ca="1" si="636"/>
        <v>0</v>
      </c>
      <c r="GH232" t="b">
        <f t="shared" ca="1" si="637"/>
        <v>0</v>
      </c>
      <c r="GI232">
        <f t="shared" ca="1" si="638"/>
        <v>0</v>
      </c>
      <c r="GJ232">
        <f t="shared" ca="1" si="639"/>
        <v>3506</v>
      </c>
      <c r="GK232">
        <f t="shared" ca="1" si="640"/>
        <v>0</v>
      </c>
      <c r="GL232">
        <f t="shared" ca="1" si="641"/>
        <v>0</v>
      </c>
      <c r="GM232">
        <f t="shared" ca="1" si="642"/>
        <v>0</v>
      </c>
    </row>
    <row r="233" spans="1:195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645"/>
        <v>6800</v>
      </c>
      <c r="I233">
        <f>_xlfn.XLOOKUP(B233,'[1]march-2025'!$A:$A,'[1]march-2025'!$J:$J,0,0)</f>
        <v>61490</v>
      </c>
      <c r="J233">
        <f>_xlfn.XLOOKUP(B233,'[1]march-2025'!$A:$A,'[1]march-2025'!$C:$C,0,0)</f>
        <v>28900</v>
      </c>
      <c r="K233">
        <f t="shared" si="538"/>
        <v>4046.0000000000005</v>
      </c>
      <c r="L233">
        <f t="shared" si="539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540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43"/>
        <v>150</v>
      </c>
      <c r="S233">
        <f t="shared" si="541"/>
        <v>34764</v>
      </c>
      <c r="T233">
        <f>_xlfn.XLOOKUP(B233,'[2]april-2025'!$A:$A,'[2]april-2025'!$C:$C,0,0)</f>
        <v>28900</v>
      </c>
      <c r="U233">
        <f t="shared" si="542"/>
        <v>5202</v>
      </c>
      <c r="V233">
        <f t="shared" si="543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44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45"/>
        <v>150</v>
      </c>
      <c r="AC233">
        <f t="shared" si="546"/>
        <v>35920</v>
      </c>
      <c r="AD233">
        <f>_xlfn.XLOOKUP(B233,'[3]may-2025'!$A:$A,'[3]may-2025'!$C:$C,0,0)</f>
        <v>28900</v>
      </c>
      <c r="AE233">
        <f t="shared" si="547"/>
        <v>5202</v>
      </c>
      <c r="AF233">
        <f t="shared" si="54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49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50"/>
        <v>150</v>
      </c>
      <c r="AM233">
        <f t="shared" si="551"/>
        <v>35920</v>
      </c>
      <c r="AN233">
        <f>_xlfn.XLOOKUP(B233,'[4]june-2025'!$A:$A,'[4]june-2025'!$C:$C,0,0)</f>
        <v>28900</v>
      </c>
      <c r="AO233">
        <f t="shared" si="552"/>
        <v>5202</v>
      </c>
      <c r="AP233">
        <f t="shared" si="553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54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55"/>
        <v>150</v>
      </c>
      <c r="AW233">
        <f t="shared" si="556"/>
        <v>35920</v>
      </c>
      <c r="AX233">
        <f>_xlfn.XLOOKUP(B233,'[5]july-2025'!$A:$A,'[5]july-2025'!$C:$C,0,0)</f>
        <v>29800</v>
      </c>
      <c r="AY233">
        <f t="shared" si="557"/>
        <v>5364</v>
      </c>
      <c r="AZ233">
        <v>0</v>
      </c>
      <c r="BA233">
        <f t="shared" si="558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59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60"/>
        <v>150</v>
      </c>
      <c r="BH233">
        <f t="shared" si="561"/>
        <v>37090</v>
      </c>
      <c r="BI233">
        <f>_xlfn.XLOOKUP(B233,'[6]august-2025'!$A:$A,'[6]august-2025'!$C:$C,0,0)</f>
        <v>29800</v>
      </c>
      <c r="BJ233">
        <f t="shared" si="562"/>
        <v>5364</v>
      </c>
      <c r="BK233">
        <f t="shared" si="563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64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65"/>
        <v>150</v>
      </c>
      <c r="BR233">
        <f t="shared" si="566"/>
        <v>37090</v>
      </c>
      <c r="BS233">
        <f>_xlfn.XLOOKUP(B233,'[7]september-2025'!$A:$A,'[7]september-2025'!$C:$C,0,0)</f>
        <v>29800</v>
      </c>
      <c r="BT233">
        <f t="shared" si="567"/>
        <v>5364</v>
      </c>
      <c r="BU233">
        <f t="shared" si="568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69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70"/>
        <v>150</v>
      </c>
      <c r="CB233">
        <f t="shared" si="571"/>
        <v>37090</v>
      </c>
      <c r="CC233">
        <f>_xlfn.XLOOKUP(B233,'[8]october-2025'!$A:$A,'[8]october-2025'!$C:$C,0,0)</f>
        <v>29800</v>
      </c>
      <c r="CD233">
        <f t="shared" si="572"/>
        <v>5364</v>
      </c>
      <c r="CE233">
        <f t="shared" si="573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7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75"/>
        <v>150</v>
      </c>
      <c r="CL233">
        <f t="shared" si="576"/>
        <v>37090</v>
      </c>
      <c r="CM233">
        <f>_xlfn.XLOOKUP(B233,'[9]november-2025'!$A:$A,'[9]november-2025'!$C:$C,0,0)</f>
        <v>29800</v>
      </c>
      <c r="CN233">
        <f t="shared" si="577"/>
        <v>5364</v>
      </c>
      <c r="CO233">
        <f t="shared" si="578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79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80"/>
        <v>150</v>
      </c>
      <c r="CV233">
        <f t="shared" si="581"/>
        <v>37090</v>
      </c>
      <c r="CW233">
        <f>_xlfn.XLOOKUP(B233,'[10]december-2025'!$A:$A,'[10]december-2025'!$C:$C,0,0)</f>
        <v>29800</v>
      </c>
      <c r="CX233">
        <f t="shared" si="582"/>
        <v>5364</v>
      </c>
      <c r="CY233">
        <f t="shared" si="583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84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85"/>
        <v>150</v>
      </c>
      <c r="DF233">
        <f t="shared" si="586"/>
        <v>37090</v>
      </c>
      <c r="DG233">
        <f>_xlfn.XLOOKUP(B233,'[11]january-2026'!$A:$A,'[11]january-2026'!$C:$C,0,0)</f>
        <v>29800</v>
      </c>
      <c r="DH233">
        <f t="shared" si="587"/>
        <v>5364</v>
      </c>
      <c r="DI233">
        <f t="shared" si="588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9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90"/>
        <v>150</v>
      </c>
      <c r="DP233">
        <f t="shared" si="591"/>
        <v>37090</v>
      </c>
      <c r="DQ233">
        <f>_xlfn.XLOOKUP(B233,'[12]february-2026'!$A:$A,'[12]february-2026'!$C:$C,0,0)</f>
        <v>29800</v>
      </c>
      <c r="DR233">
        <f t="shared" si="592"/>
        <v>5364</v>
      </c>
      <c r="DS233">
        <f t="shared" si="59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4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5"/>
        <v>150</v>
      </c>
      <c r="DZ233">
        <f t="shared" si="596"/>
        <v>37090</v>
      </c>
      <c r="EA233">
        <f t="shared" si="597"/>
        <v>533334</v>
      </c>
      <c r="EB233">
        <f t="shared" si="598"/>
        <v>1800</v>
      </c>
      <c r="EC233">
        <f t="shared" si="599"/>
        <v>50000</v>
      </c>
      <c r="ED233">
        <v>0</v>
      </c>
      <c r="EE233">
        <f t="shared" si="600"/>
        <v>481534</v>
      </c>
      <c r="EF233">
        <f t="shared" si="601"/>
        <v>24000</v>
      </c>
      <c r="EG233">
        <f t="shared" si="602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3"/>
        <v>24000</v>
      </c>
      <c r="ES233">
        <f t="shared" si="604"/>
        <v>24000</v>
      </c>
      <c r="ET233">
        <f t="shared" si="605"/>
        <v>457534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6"/>
        <v>0</v>
      </c>
      <c r="FC233">
        <f t="shared" si="607"/>
        <v>457534</v>
      </c>
      <c r="FD233">
        <f t="shared" si="608"/>
        <v>10377</v>
      </c>
      <c r="FE233">
        <f t="shared" si="609"/>
        <v>0</v>
      </c>
      <c r="FF233">
        <f t="shared" si="610"/>
        <v>10377</v>
      </c>
      <c r="FG233">
        <f t="shared" si="611"/>
        <v>0</v>
      </c>
      <c r="FH233">
        <f t="shared" si="612"/>
        <v>0</v>
      </c>
      <c r="FI233">
        <f t="shared" si="613"/>
        <v>0</v>
      </c>
      <c r="FJ233">
        <v>0</v>
      </c>
      <c r="FK233">
        <f t="shared" si="614"/>
        <v>0</v>
      </c>
      <c r="FL233" t="b">
        <f t="shared" si="615"/>
        <v>1</v>
      </c>
      <c r="FM233">
        <f t="shared" ca="1" si="616"/>
        <v>716</v>
      </c>
      <c r="FN233">
        <f t="shared" ca="1" si="617"/>
        <v>534050</v>
      </c>
      <c r="FO233">
        <f t="shared" si="618"/>
        <v>75000</v>
      </c>
      <c r="FP233">
        <f t="shared" ca="1" si="619"/>
        <v>459050</v>
      </c>
      <c r="FQ233">
        <f t="shared" ca="1" si="620"/>
        <v>0</v>
      </c>
      <c r="FR233">
        <f t="shared" ca="1" si="621"/>
        <v>0</v>
      </c>
      <c r="FS233">
        <f t="shared" ca="1" si="622"/>
        <v>0</v>
      </c>
      <c r="FT233">
        <f t="shared" ca="1" si="623"/>
        <v>0</v>
      </c>
      <c r="FU233">
        <f t="shared" ca="1" si="624"/>
        <v>0</v>
      </c>
      <c r="FV233">
        <f t="shared" ca="1" si="625"/>
        <v>0</v>
      </c>
      <c r="FW233">
        <f t="shared" ca="1" si="626"/>
        <v>0</v>
      </c>
      <c r="FX233">
        <f t="shared" ca="1" si="627"/>
        <v>0</v>
      </c>
      <c r="FY233">
        <f t="shared" ca="1" si="628"/>
        <v>0</v>
      </c>
      <c r="FZ233">
        <f t="shared" ca="1" si="629"/>
        <v>0</v>
      </c>
      <c r="GA233">
        <f t="shared" ca="1" si="630"/>
        <v>59050</v>
      </c>
      <c r="GB233">
        <f t="shared" ca="1" si="631"/>
        <v>2952.5</v>
      </c>
      <c r="GC233">
        <f t="shared" ca="1" si="632"/>
        <v>2953</v>
      </c>
      <c r="GD233">
        <f t="shared" ca="1" si="633"/>
        <v>0</v>
      </c>
      <c r="GE233">
        <f t="shared" ca="1" si="634"/>
        <v>0</v>
      </c>
      <c r="GF233">
        <f t="shared" ca="1" si="635"/>
        <v>2953</v>
      </c>
      <c r="GG233">
        <f t="shared" ca="1" si="636"/>
        <v>0</v>
      </c>
      <c r="GH233" t="b">
        <f t="shared" ca="1" si="637"/>
        <v>0</v>
      </c>
      <c r="GI233">
        <f t="shared" ca="1" si="638"/>
        <v>0</v>
      </c>
      <c r="GJ233">
        <f t="shared" ca="1" si="639"/>
        <v>2953</v>
      </c>
      <c r="GK233">
        <f t="shared" ca="1" si="640"/>
        <v>0</v>
      </c>
      <c r="GL233">
        <f t="shared" ca="1" si="641"/>
        <v>0</v>
      </c>
      <c r="GM233">
        <f t="shared" ca="1" si="642"/>
        <v>0</v>
      </c>
    </row>
    <row r="234" spans="1:195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645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38"/>
        <v>6622.0000000000009</v>
      </c>
      <c r="L234">
        <f t="shared" si="539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540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43"/>
        <v>200</v>
      </c>
      <c r="S234">
        <f t="shared" si="541"/>
        <v>49338</v>
      </c>
      <c r="T234">
        <f>_xlfn.XLOOKUP(B234,'[2]april-2025'!$A:$A,'[2]april-2025'!$C:$C,0,0)</f>
        <v>47300</v>
      </c>
      <c r="U234">
        <f t="shared" si="542"/>
        <v>8514</v>
      </c>
      <c r="V234">
        <f t="shared" si="543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44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45"/>
        <v>200</v>
      </c>
      <c r="AC234">
        <f t="shared" si="546"/>
        <v>51230</v>
      </c>
      <c r="AD234">
        <f>_xlfn.XLOOKUP(B234,'[3]may-2025'!$A:$A,'[3]may-2025'!$C:$C,0,0)</f>
        <v>47300</v>
      </c>
      <c r="AE234">
        <f t="shared" si="547"/>
        <v>8514</v>
      </c>
      <c r="AF234">
        <f t="shared" si="54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49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50"/>
        <v>200</v>
      </c>
      <c r="AM234">
        <f t="shared" si="551"/>
        <v>51230</v>
      </c>
      <c r="AN234">
        <f>_xlfn.XLOOKUP(B234,'[4]june-2025'!$A:$A,'[4]june-2025'!$C:$C,0,0)</f>
        <v>47300</v>
      </c>
      <c r="AO234">
        <f t="shared" si="552"/>
        <v>8514</v>
      </c>
      <c r="AP234">
        <f t="shared" si="553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54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55"/>
        <v>200</v>
      </c>
      <c r="AW234">
        <f t="shared" si="556"/>
        <v>51230</v>
      </c>
      <c r="AX234">
        <f>_xlfn.XLOOKUP(B234,'[5]july-2025'!$A:$A,'[5]july-2025'!$C:$C,0,0)</f>
        <v>48700</v>
      </c>
      <c r="AY234">
        <f t="shared" si="557"/>
        <v>8766</v>
      </c>
      <c r="AZ234">
        <v>0</v>
      </c>
      <c r="BA234">
        <f t="shared" si="558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59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60"/>
        <v>200</v>
      </c>
      <c r="BH234">
        <f t="shared" si="561"/>
        <v>53050</v>
      </c>
      <c r="BI234">
        <f>_xlfn.XLOOKUP(B234,'[6]august-2025'!$A:$A,'[6]august-2025'!$C:$C,0,0)</f>
        <v>48700</v>
      </c>
      <c r="BJ234">
        <f t="shared" si="562"/>
        <v>8766</v>
      </c>
      <c r="BK234">
        <f t="shared" si="563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64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65"/>
        <v>200</v>
      </c>
      <c r="BR234">
        <f t="shared" si="566"/>
        <v>53050</v>
      </c>
      <c r="BS234">
        <f>_xlfn.XLOOKUP(B234,'[7]september-2025'!$A:$A,'[7]september-2025'!$C:$C,0,0)</f>
        <v>48700</v>
      </c>
      <c r="BT234">
        <f t="shared" si="567"/>
        <v>8766</v>
      </c>
      <c r="BU234">
        <f t="shared" si="568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69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70"/>
        <v>200</v>
      </c>
      <c r="CB234">
        <f t="shared" si="571"/>
        <v>53050</v>
      </c>
      <c r="CC234">
        <f>_xlfn.XLOOKUP(B234,'[8]october-2025'!$A:$A,'[8]october-2025'!$C:$C,0,0)</f>
        <v>48700</v>
      </c>
      <c r="CD234">
        <f t="shared" si="572"/>
        <v>8766</v>
      </c>
      <c r="CE234">
        <f t="shared" si="573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7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75"/>
        <v>200</v>
      </c>
      <c r="CL234">
        <f t="shared" si="576"/>
        <v>53050</v>
      </c>
      <c r="CM234">
        <f>_xlfn.XLOOKUP(B234,'[9]november-2025'!$A:$A,'[9]november-2025'!$C:$C,0,0)</f>
        <v>48700</v>
      </c>
      <c r="CN234">
        <f t="shared" si="577"/>
        <v>8766</v>
      </c>
      <c r="CO234">
        <f t="shared" si="578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79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80"/>
        <v>200</v>
      </c>
      <c r="CV234">
        <f t="shared" si="581"/>
        <v>53050</v>
      </c>
      <c r="CW234">
        <f>_xlfn.XLOOKUP(B234,'[10]december-2025'!$A:$A,'[10]december-2025'!$C:$C,0,0)</f>
        <v>48700</v>
      </c>
      <c r="CX234">
        <f t="shared" si="582"/>
        <v>8766</v>
      </c>
      <c r="CY234">
        <f t="shared" si="583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84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85"/>
        <v>200</v>
      </c>
      <c r="DF234">
        <f t="shared" si="586"/>
        <v>53050</v>
      </c>
      <c r="DG234">
        <f>_xlfn.XLOOKUP(B234,'[11]january-2026'!$A:$A,'[11]january-2026'!$C:$C,0,0)</f>
        <v>48700</v>
      </c>
      <c r="DH234">
        <f t="shared" si="587"/>
        <v>8766</v>
      </c>
      <c r="DI234">
        <f t="shared" si="588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9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90"/>
        <v>200</v>
      </c>
      <c r="DP234">
        <f t="shared" si="591"/>
        <v>53050</v>
      </c>
      <c r="DQ234">
        <f>_xlfn.XLOOKUP(B234,'[12]february-2026'!$A:$A,'[12]february-2026'!$C:$C,0,0)</f>
        <v>48700</v>
      </c>
      <c r="DR234">
        <f t="shared" si="592"/>
        <v>8766</v>
      </c>
      <c r="DS234">
        <f t="shared" si="59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4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5"/>
        <v>200</v>
      </c>
      <c r="DZ234">
        <f t="shared" si="596"/>
        <v>53050</v>
      </c>
      <c r="EA234">
        <f t="shared" si="597"/>
        <v>757348</v>
      </c>
      <c r="EB234">
        <f t="shared" si="598"/>
        <v>2400</v>
      </c>
      <c r="EC234">
        <f t="shared" si="599"/>
        <v>50000</v>
      </c>
      <c r="ED234">
        <v>0</v>
      </c>
      <c r="EE234">
        <f t="shared" si="600"/>
        <v>704948</v>
      </c>
      <c r="EF234">
        <f t="shared" si="601"/>
        <v>120000</v>
      </c>
      <c r="EG234">
        <f t="shared" si="602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3"/>
        <v>120720</v>
      </c>
      <c r="ES234">
        <f t="shared" si="604"/>
        <v>120720</v>
      </c>
      <c r="ET234">
        <f t="shared" si="605"/>
        <v>584228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6"/>
        <v>0</v>
      </c>
      <c r="FC234">
        <f t="shared" si="607"/>
        <v>584228</v>
      </c>
      <c r="FD234">
        <f t="shared" si="608"/>
        <v>12500</v>
      </c>
      <c r="FE234">
        <f t="shared" si="609"/>
        <v>16846</v>
      </c>
      <c r="FF234">
        <f t="shared" si="610"/>
        <v>29346</v>
      </c>
      <c r="FG234">
        <f t="shared" si="611"/>
        <v>29346</v>
      </c>
      <c r="FH234">
        <f t="shared" si="612"/>
        <v>1173.8399999999999</v>
      </c>
      <c r="FI234">
        <f t="shared" si="613"/>
        <v>30520</v>
      </c>
      <c r="FJ234">
        <v>0</v>
      </c>
      <c r="FK234">
        <f t="shared" si="614"/>
        <v>30520</v>
      </c>
      <c r="FL234" t="b">
        <f t="shared" si="615"/>
        <v>1</v>
      </c>
      <c r="FM234">
        <f t="shared" ca="1" si="616"/>
        <v>898</v>
      </c>
      <c r="FN234">
        <f t="shared" ca="1" si="617"/>
        <v>758246</v>
      </c>
      <c r="FO234">
        <f t="shared" si="618"/>
        <v>75000</v>
      </c>
      <c r="FP234">
        <f t="shared" ca="1" si="619"/>
        <v>683246</v>
      </c>
      <c r="FQ234">
        <f t="shared" ca="1" si="620"/>
        <v>0</v>
      </c>
      <c r="FR234">
        <f t="shared" ca="1" si="621"/>
        <v>0</v>
      </c>
      <c r="FS234">
        <f t="shared" ca="1" si="622"/>
        <v>0</v>
      </c>
      <c r="FT234">
        <f t="shared" ca="1" si="623"/>
        <v>0</v>
      </c>
      <c r="FU234">
        <f t="shared" ca="1" si="624"/>
        <v>0</v>
      </c>
      <c r="FV234">
        <f t="shared" ca="1" si="625"/>
        <v>0</v>
      </c>
      <c r="FW234">
        <f t="shared" ca="1" si="626"/>
        <v>0</v>
      </c>
      <c r="FX234">
        <f t="shared" ca="1" si="627"/>
        <v>0</v>
      </c>
      <c r="FY234">
        <f t="shared" ca="1" si="628"/>
        <v>0</v>
      </c>
      <c r="FZ234">
        <f t="shared" ca="1" si="629"/>
        <v>0</v>
      </c>
      <c r="GA234">
        <f t="shared" ca="1" si="630"/>
        <v>283246</v>
      </c>
      <c r="GB234">
        <f t="shared" ca="1" si="631"/>
        <v>14162.300000000001</v>
      </c>
      <c r="GC234">
        <f t="shared" ca="1" si="632"/>
        <v>14162</v>
      </c>
      <c r="GD234">
        <f t="shared" ca="1" si="633"/>
        <v>0</v>
      </c>
      <c r="GE234">
        <f t="shared" ca="1" si="634"/>
        <v>0</v>
      </c>
      <c r="GF234">
        <f t="shared" ca="1" si="635"/>
        <v>14162</v>
      </c>
      <c r="GG234">
        <f t="shared" ca="1" si="636"/>
        <v>0</v>
      </c>
      <c r="GH234" t="b">
        <f t="shared" ca="1" si="637"/>
        <v>0</v>
      </c>
      <c r="GI234">
        <f t="shared" ca="1" si="638"/>
        <v>0</v>
      </c>
      <c r="GJ234">
        <f t="shared" ca="1" si="639"/>
        <v>14162</v>
      </c>
      <c r="GK234">
        <f t="shared" ca="1" si="640"/>
        <v>0</v>
      </c>
      <c r="GL234">
        <f t="shared" ca="1" si="641"/>
        <v>0</v>
      </c>
      <c r="GM234">
        <f t="shared" ca="1" si="642"/>
        <v>0</v>
      </c>
    </row>
    <row r="235" spans="1:195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645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38"/>
        <v>4830.0000000000009</v>
      </c>
      <c r="L235">
        <f t="shared" si="539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540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43"/>
        <v>200</v>
      </c>
      <c r="S235">
        <f t="shared" si="541"/>
        <v>41270</v>
      </c>
      <c r="T235">
        <f>_xlfn.XLOOKUP(B235,'[2]april-2025'!$A:$A,'[2]april-2025'!$C:$C,0,0)</f>
        <v>34500</v>
      </c>
      <c r="U235">
        <f t="shared" si="542"/>
        <v>6210</v>
      </c>
      <c r="V235">
        <f t="shared" si="543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44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45"/>
        <v>200</v>
      </c>
      <c r="AC235">
        <f t="shared" si="546"/>
        <v>42650</v>
      </c>
      <c r="AD235">
        <f>_xlfn.XLOOKUP(B235,'[3]may-2025'!$A:$A,'[3]may-2025'!$C:$C,0,0)</f>
        <v>34500</v>
      </c>
      <c r="AE235">
        <f t="shared" si="547"/>
        <v>6210</v>
      </c>
      <c r="AF235">
        <f t="shared" si="54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49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50"/>
        <v>200</v>
      </c>
      <c r="AM235">
        <f t="shared" si="551"/>
        <v>42650</v>
      </c>
      <c r="AN235">
        <f>_xlfn.XLOOKUP(B235,'[4]june-2025'!$A:$A,'[4]june-2025'!$C:$C,0,0)</f>
        <v>34500</v>
      </c>
      <c r="AO235">
        <f t="shared" si="552"/>
        <v>6210</v>
      </c>
      <c r="AP235">
        <f t="shared" si="553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54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55"/>
        <v>200</v>
      </c>
      <c r="AW235">
        <f t="shared" si="556"/>
        <v>42650</v>
      </c>
      <c r="AX235">
        <f>_xlfn.XLOOKUP(B235,'[5]july-2025'!$A:$A,'[5]july-2025'!$C:$C,0,0)</f>
        <v>35500</v>
      </c>
      <c r="AY235">
        <f t="shared" si="557"/>
        <v>6390</v>
      </c>
      <c r="AZ235">
        <v>0</v>
      </c>
      <c r="BA235">
        <f t="shared" si="558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59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60"/>
        <v>200</v>
      </c>
      <c r="BH235">
        <f t="shared" si="561"/>
        <v>43950</v>
      </c>
      <c r="BI235">
        <f>_xlfn.XLOOKUP(B235,'[6]august-2025'!$A:$A,'[6]august-2025'!$C:$C,0,0)</f>
        <v>35500</v>
      </c>
      <c r="BJ235">
        <f t="shared" si="562"/>
        <v>6390</v>
      </c>
      <c r="BK235">
        <f t="shared" si="563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64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65"/>
        <v>200</v>
      </c>
      <c r="BR235">
        <f t="shared" si="566"/>
        <v>43950</v>
      </c>
      <c r="BS235">
        <f>_xlfn.XLOOKUP(B235,'[7]september-2025'!$A:$A,'[7]september-2025'!$C:$C,0,0)</f>
        <v>35500</v>
      </c>
      <c r="BT235">
        <f t="shared" si="567"/>
        <v>6390</v>
      </c>
      <c r="BU235">
        <f t="shared" si="568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69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70"/>
        <v>200</v>
      </c>
      <c r="CB235">
        <f t="shared" si="571"/>
        <v>43950</v>
      </c>
      <c r="CC235">
        <f>_xlfn.XLOOKUP(B235,'[8]october-2025'!$A:$A,'[8]october-2025'!$C:$C,0,0)</f>
        <v>35500</v>
      </c>
      <c r="CD235">
        <f t="shared" si="572"/>
        <v>6390</v>
      </c>
      <c r="CE235">
        <f t="shared" si="573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7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75"/>
        <v>200</v>
      </c>
      <c r="CL235">
        <f t="shared" si="576"/>
        <v>43950</v>
      </c>
      <c r="CM235">
        <f>_xlfn.XLOOKUP(B235,'[9]november-2025'!$A:$A,'[9]november-2025'!$C:$C,0,0)</f>
        <v>35500</v>
      </c>
      <c r="CN235">
        <f t="shared" si="577"/>
        <v>6390</v>
      </c>
      <c r="CO235">
        <f t="shared" si="578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79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80"/>
        <v>200</v>
      </c>
      <c r="CV235">
        <f t="shared" si="581"/>
        <v>43950</v>
      </c>
      <c r="CW235">
        <f>_xlfn.XLOOKUP(B235,'[10]december-2025'!$A:$A,'[10]december-2025'!$C:$C,0,0)</f>
        <v>35500</v>
      </c>
      <c r="CX235">
        <f t="shared" si="582"/>
        <v>6390</v>
      </c>
      <c r="CY235">
        <f t="shared" si="583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84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85"/>
        <v>200</v>
      </c>
      <c r="DF235">
        <f t="shared" si="586"/>
        <v>43950</v>
      </c>
      <c r="DG235">
        <f>_xlfn.XLOOKUP(B235,'[11]january-2026'!$A:$A,'[11]january-2026'!$C:$C,0,0)</f>
        <v>35500</v>
      </c>
      <c r="DH235">
        <f t="shared" si="587"/>
        <v>6390</v>
      </c>
      <c r="DI235">
        <f t="shared" si="588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9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90"/>
        <v>200</v>
      </c>
      <c r="DP235">
        <f t="shared" si="591"/>
        <v>43950</v>
      </c>
      <c r="DQ235">
        <f>_xlfn.XLOOKUP(B235,'[12]february-2026'!$A:$A,'[12]february-2026'!$C:$C,0,0)</f>
        <v>35500</v>
      </c>
      <c r="DR235">
        <f t="shared" si="592"/>
        <v>6390</v>
      </c>
      <c r="DS235">
        <f t="shared" si="59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4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5"/>
        <v>200</v>
      </c>
      <c r="DZ235">
        <f t="shared" si="596"/>
        <v>43950</v>
      </c>
      <c r="EA235">
        <f t="shared" si="597"/>
        <v>560020</v>
      </c>
      <c r="EB235">
        <f t="shared" si="598"/>
        <v>2400</v>
      </c>
      <c r="EC235">
        <f t="shared" si="599"/>
        <v>50000</v>
      </c>
      <c r="ED235">
        <v>0</v>
      </c>
      <c r="EE235">
        <f t="shared" si="600"/>
        <v>507620</v>
      </c>
      <c r="EF235">
        <f t="shared" si="601"/>
        <v>30000</v>
      </c>
      <c r="EG235">
        <f t="shared" si="602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3"/>
        <v>30000</v>
      </c>
      <c r="ES235">
        <f t="shared" si="604"/>
        <v>30000</v>
      </c>
      <c r="ET235">
        <f t="shared" si="605"/>
        <v>477620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6"/>
        <v>0</v>
      </c>
      <c r="FC235">
        <f t="shared" si="607"/>
        <v>477620</v>
      </c>
      <c r="FD235">
        <f t="shared" si="608"/>
        <v>11381</v>
      </c>
      <c r="FE235">
        <f t="shared" si="609"/>
        <v>0</v>
      </c>
      <c r="FF235">
        <f t="shared" si="610"/>
        <v>11381</v>
      </c>
      <c r="FG235">
        <f t="shared" si="611"/>
        <v>0</v>
      </c>
      <c r="FH235">
        <f t="shared" si="612"/>
        <v>0</v>
      </c>
      <c r="FI235">
        <f t="shared" si="613"/>
        <v>0</v>
      </c>
      <c r="FJ235">
        <v>0</v>
      </c>
      <c r="FK235">
        <f t="shared" si="614"/>
        <v>0</v>
      </c>
      <c r="FL235" t="b">
        <f t="shared" si="615"/>
        <v>1</v>
      </c>
      <c r="FM235">
        <f t="shared" ca="1" si="616"/>
        <v>994</v>
      </c>
      <c r="FN235">
        <f t="shared" ca="1" si="617"/>
        <v>561014</v>
      </c>
      <c r="FO235">
        <f t="shared" si="618"/>
        <v>75000</v>
      </c>
      <c r="FP235">
        <f t="shared" ca="1" si="619"/>
        <v>486014</v>
      </c>
      <c r="FQ235">
        <f t="shared" ca="1" si="620"/>
        <v>0</v>
      </c>
      <c r="FR235">
        <f t="shared" ca="1" si="621"/>
        <v>0</v>
      </c>
      <c r="FS235">
        <f t="shared" ca="1" si="622"/>
        <v>0</v>
      </c>
      <c r="FT235">
        <f t="shared" ca="1" si="623"/>
        <v>0</v>
      </c>
      <c r="FU235">
        <f t="shared" ca="1" si="624"/>
        <v>0</v>
      </c>
      <c r="FV235">
        <f t="shared" ca="1" si="625"/>
        <v>0</v>
      </c>
      <c r="FW235">
        <f t="shared" ca="1" si="626"/>
        <v>0</v>
      </c>
      <c r="FX235">
        <f t="shared" ca="1" si="627"/>
        <v>0</v>
      </c>
      <c r="FY235">
        <f t="shared" ca="1" si="628"/>
        <v>0</v>
      </c>
      <c r="FZ235">
        <f t="shared" ca="1" si="629"/>
        <v>0</v>
      </c>
      <c r="GA235">
        <f t="shared" ca="1" si="630"/>
        <v>86014</v>
      </c>
      <c r="GB235">
        <f t="shared" ca="1" si="631"/>
        <v>4300.7</v>
      </c>
      <c r="GC235">
        <f t="shared" ca="1" si="632"/>
        <v>4301</v>
      </c>
      <c r="GD235">
        <f t="shared" ca="1" si="633"/>
        <v>0</v>
      </c>
      <c r="GE235">
        <f t="shared" ca="1" si="634"/>
        <v>0</v>
      </c>
      <c r="GF235">
        <f t="shared" ca="1" si="635"/>
        <v>4301</v>
      </c>
      <c r="GG235">
        <f t="shared" ca="1" si="636"/>
        <v>0</v>
      </c>
      <c r="GH235" t="b">
        <f t="shared" ca="1" si="637"/>
        <v>0</v>
      </c>
      <c r="GI235">
        <f t="shared" ca="1" si="638"/>
        <v>0</v>
      </c>
      <c r="GJ235">
        <f t="shared" ca="1" si="639"/>
        <v>4301</v>
      </c>
      <c r="GK235">
        <f t="shared" ca="1" si="640"/>
        <v>0</v>
      </c>
      <c r="GL235">
        <f t="shared" ca="1" si="641"/>
        <v>0</v>
      </c>
      <c r="GM235">
        <f t="shared" ca="1" si="642"/>
        <v>0</v>
      </c>
    </row>
    <row r="236" spans="1:195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645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38"/>
        <v>4046.0000000000005</v>
      </c>
      <c r="L236">
        <f t="shared" si="539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540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43"/>
        <v>150</v>
      </c>
      <c r="S236">
        <f t="shared" si="541"/>
        <v>34764</v>
      </c>
      <c r="T236">
        <f>_xlfn.XLOOKUP(B236,'[2]april-2025'!$A:$A,'[2]april-2025'!$C:$C,0,0)</f>
        <v>28900</v>
      </c>
      <c r="U236">
        <f t="shared" si="542"/>
        <v>5202</v>
      </c>
      <c r="V236">
        <f t="shared" si="543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44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45"/>
        <v>150</v>
      </c>
      <c r="AC236">
        <f t="shared" si="546"/>
        <v>35920</v>
      </c>
      <c r="AD236">
        <f>_xlfn.XLOOKUP(B236,'[3]may-2025'!$A:$A,'[3]may-2025'!$C:$C,0,0)</f>
        <v>28900</v>
      </c>
      <c r="AE236">
        <f t="shared" si="547"/>
        <v>5202</v>
      </c>
      <c r="AF236">
        <f t="shared" si="54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49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50"/>
        <v>150</v>
      </c>
      <c r="AM236">
        <f t="shared" si="551"/>
        <v>35920</v>
      </c>
      <c r="AN236">
        <f>_xlfn.XLOOKUP(B236,'[4]june-2025'!$A:$A,'[4]june-2025'!$C:$C,0,0)</f>
        <v>28900</v>
      </c>
      <c r="AO236">
        <f t="shared" si="552"/>
        <v>5202</v>
      </c>
      <c r="AP236">
        <f t="shared" si="553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54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55"/>
        <v>150</v>
      </c>
      <c r="AW236">
        <f t="shared" si="556"/>
        <v>35920</v>
      </c>
      <c r="AX236">
        <f>_xlfn.XLOOKUP(B236,'[5]july-2025'!$A:$A,'[5]july-2025'!$C:$C,0,0)</f>
        <v>29800</v>
      </c>
      <c r="AY236">
        <f t="shared" si="557"/>
        <v>5364</v>
      </c>
      <c r="AZ236">
        <v>0</v>
      </c>
      <c r="BA236">
        <f t="shared" si="558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59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60"/>
        <v>150</v>
      </c>
      <c r="BH236">
        <f t="shared" si="561"/>
        <v>37090</v>
      </c>
      <c r="BI236">
        <f>_xlfn.XLOOKUP(B236,'[6]august-2025'!$A:$A,'[6]august-2025'!$C:$C,0,0)</f>
        <v>29800</v>
      </c>
      <c r="BJ236">
        <f t="shared" si="562"/>
        <v>5364</v>
      </c>
      <c r="BK236">
        <f t="shared" si="563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64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65"/>
        <v>150</v>
      </c>
      <c r="BR236">
        <f t="shared" si="566"/>
        <v>37090</v>
      </c>
      <c r="BS236">
        <f>_xlfn.XLOOKUP(B236,'[7]september-2025'!$A:$A,'[7]september-2025'!$C:$C,0,0)</f>
        <v>29800</v>
      </c>
      <c r="BT236">
        <f t="shared" si="567"/>
        <v>5364</v>
      </c>
      <c r="BU236">
        <f t="shared" si="568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69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70"/>
        <v>150</v>
      </c>
      <c r="CB236">
        <f t="shared" si="571"/>
        <v>37090</v>
      </c>
      <c r="CC236">
        <f>_xlfn.XLOOKUP(B236,'[8]october-2025'!$A:$A,'[8]october-2025'!$C:$C,0,0)</f>
        <v>29800</v>
      </c>
      <c r="CD236">
        <f t="shared" si="572"/>
        <v>5364</v>
      </c>
      <c r="CE236">
        <f t="shared" si="573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7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75"/>
        <v>150</v>
      </c>
      <c r="CL236">
        <f t="shared" si="576"/>
        <v>37090</v>
      </c>
      <c r="CM236">
        <f>_xlfn.XLOOKUP(B236,'[9]november-2025'!$A:$A,'[9]november-2025'!$C:$C,0,0)</f>
        <v>29800</v>
      </c>
      <c r="CN236">
        <f t="shared" si="577"/>
        <v>5364</v>
      </c>
      <c r="CO236">
        <f t="shared" si="578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79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80"/>
        <v>150</v>
      </c>
      <c r="CV236">
        <f t="shared" si="581"/>
        <v>37090</v>
      </c>
      <c r="CW236">
        <f>_xlfn.XLOOKUP(B236,'[10]december-2025'!$A:$A,'[10]december-2025'!$C:$C,0,0)</f>
        <v>29800</v>
      </c>
      <c r="CX236">
        <f t="shared" si="582"/>
        <v>5364</v>
      </c>
      <c r="CY236">
        <f t="shared" si="583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84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85"/>
        <v>150</v>
      </c>
      <c r="DF236">
        <f t="shared" si="586"/>
        <v>37090</v>
      </c>
      <c r="DG236">
        <f>_xlfn.XLOOKUP(B236,'[11]january-2026'!$A:$A,'[11]january-2026'!$C:$C,0,0)</f>
        <v>29800</v>
      </c>
      <c r="DH236">
        <f t="shared" si="587"/>
        <v>5364</v>
      </c>
      <c r="DI236">
        <f t="shared" si="588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9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90"/>
        <v>150</v>
      </c>
      <c r="DP236">
        <f t="shared" si="591"/>
        <v>37090</v>
      </c>
      <c r="DQ236">
        <f>_xlfn.XLOOKUP(B236,'[12]february-2026'!$A:$A,'[12]february-2026'!$C:$C,0,0)</f>
        <v>29800</v>
      </c>
      <c r="DR236">
        <f t="shared" si="592"/>
        <v>5364</v>
      </c>
      <c r="DS236">
        <f t="shared" si="59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4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5"/>
        <v>150</v>
      </c>
      <c r="DZ236">
        <f t="shared" si="596"/>
        <v>37090</v>
      </c>
      <c r="EA236">
        <f t="shared" si="597"/>
        <v>471844</v>
      </c>
      <c r="EB236">
        <f t="shared" si="598"/>
        <v>1800</v>
      </c>
      <c r="EC236">
        <f t="shared" si="599"/>
        <v>50000</v>
      </c>
      <c r="ED236">
        <v>0</v>
      </c>
      <c r="EE236">
        <f t="shared" si="600"/>
        <v>420044</v>
      </c>
      <c r="EF236">
        <f t="shared" si="601"/>
        <v>24000</v>
      </c>
      <c r="EG236">
        <f t="shared" si="602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3"/>
        <v>24000</v>
      </c>
      <c r="ES236">
        <f t="shared" si="604"/>
        <v>24000</v>
      </c>
      <c r="ET236">
        <f t="shared" si="605"/>
        <v>396044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6"/>
        <v>0</v>
      </c>
      <c r="FC236">
        <f t="shared" si="607"/>
        <v>396044</v>
      </c>
      <c r="FD236">
        <f t="shared" si="608"/>
        <v>7302</v>
      </c>
      <c r="FE236">
        <f t="shared" si="609"/>
        <v>0</v>
      </c>
      <c r="FF236">
        <f t="shared" si="610"/>
        <v>7302</v>
      </c>
      <c r="FG236">
        <f t="shared" si="611"/>
        <v>0</v>
      </c>
      <c r="FH236">
        <f t="shared" si="612"/>
        <v>0</v>
      </c>
      <c r="FI236">
        <f t="shared" si="613"/>
        <v>0</v>
      </c>
      <c r="FJ236">
        <v>0</v>
      </c>
      <c r="FK236">
        <f t="shared" si="614"/>
        <v>0</v>
      </c>
      <c r="FL236" t="b">
        <f t="shared" si="615"/>
        <v>0</v>
      </c>
      <c r="FM236">
        <f t="shared" ca="1" si="616"/>
        <v>1104</v>
      </c>
      <c r="FN236">
        <f t="shared" ca="1" si="617"/>
        <v>472948</v>
      </c>
      <c r="FO236">
        <f t="shared" si="618"/>
        <v>75000</v>
      </c>
      <c r="FP236">
        <f t="shared" ca="1" si="619"/>
        <v>397948</v>
      </c>
      <c r="FQ236">
        <f t="shared" ca="1" si="620"/>
        <v>0</v>
      </c>
      <c r="FR236">
        <f t="shared" ca="1" si="621"/>
        <v>0</v>
      </c>
      <c r="FS236">
        <f t="shared" ca="1" si="622"/>
        <v>0</v>
      </c>
      <c r="FT236">
        <f t="shared" ca="1" si="623"/>
        <v>0</v>
      </c>
      <c r="FU236">
        <f t="shared" ca="1" si="624"/>
        <v>0</v>
      </c>
      <c r="FV236">
        <f t="shared" ca="1" si="625"/>
        <v>0</v>
      </c>
      <c r="FW236">
        <f t="shared" ca="1" si="626"/>
        <v>0</v>
      </c>
      <c r="FX236">
        <f t="shared" ca="1" si="627"/>
        <v>0</v>
      </c>
      <c r="FY236">
        <f t="shared" ca="1" si="628"/>
        <v>0</v>
      </c>
      <c r="FZ236">
        <f t="shared" ca="1" si="629"/>
        <v>0</v>
      </c>
      <c r="GA236">
        <f t="shared" ca="1" si="630"/>
        <v>0</v>
      </c>
      <c r="GB236">
        <f t="shared" ca="1" si="631"/>
        <v>0</v>
      </c>
      <c r="GC236">
        <f t="shared" ca="1" si="632"/>
        <v>0</v>
      </c>
      <c r="GD236">
        <f t="shared" ca="1" si="633"/>
        <v>0</v>
      </c>
      <c r="GE236">
        <f t="shared" ca="1" si="634"/>
        <v>0</v>
      </c>
      <c r="GF236">
        <f t="shared" ca="1" si="635"/>
        <v>0</v>
      </c>
      <c r="GG236">
        <f t="shared" ca="1" si="636"/>
        <v>0</v>
      </c>
      <c r="GH236" t="b">
        <f t="shared" ca="1" si="637"/>
        <v>0</v>
      </c>
      <c r="GI236">
        <f t="shared" ca="1" si="638"/>
        <v>0</v>
      </c>
      <c r="GJ236">
        <f t="shared" ca="1" si="639"/>
        <v>0</v>
      </c>
      <c r="GK236">
        <f t="shared" ca="1" si="640"/>
        <v>0</v>
      </c>
      <c r="GL236">
        <f t="shared" ca="1" si="641"/>
        <v>0</v>
      </c>
      <c r="GM236">
        <f t="shared" ca="1" si="642"/>
        <v>0</v>
      </c>
    </row>
    <row r="237" spans="1:195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645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38"/>
        <v>6818.0000000000009</v>
      </c>
      <c r="L237">
        <f t="shared" si="539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540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43"/>
        <v>200</v>
      </c>
      <c r="S237">
        <f t="shared" si="541"/>
        <v>56062</v>
      </c>
      <c r="T237">
        <f>_xlfn.XLOOKUP(B237,'[2]april-2025'!$A:$A,'[2]april-2025'!$C:$C,0,0)</f>
        <v>48700</v>
      </c>
      <c r="U237">
        <f t="shared" si="542"/>
        <v>8766</v>
      </c>
      <c r="V237">
        <f t="shared" si="543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44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45"/>
        <v>200</v>
      </c>
      <c r="AC237">
        <f t="shared" si="546"/>
        <v>58010</v>
      </c>
      <c r="AD237">
        <f>_xlfn.XLOOKUP(B237,'[3]may-2025'!$A:$A,'[3]may-2025'!$C:$C,0,0)</f>
        <v>48700</v>
      </c>
      <c r="AE237">
        <f t="shared" si="547"/>
        <v>8766</v>
      </c>
      <c r="AF237">
        <f t="shared" si="54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49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50"/>
        <v>200</v>
      </c>
      <c r="AM237">
        <f t="shared" si="551"/>
        <v>58010</v>
      </c>
      <c r="AN237">
        <f>_xlfn.XLOOKUP(B237,'[4]june-2025'!$A:$A,'[4]june-2025'!$C:$C,0,0)</f>
        <v>48700</v>
      </c>
      <c r="AO237">
        <f t="shared" si="552"/>
        <v>8766</v>
      </c>
      <c r="AP237">
        <f t="shared" si="553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54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55"/>
        <v>200</v>
      </c>
      <c r="AW237">
        <f t="shared" si="556"/>
        <v>58010</v>
      </c>
      <c r="AX237">
        <f>_xlfn.XLOOKUP(B237,'[5]july-2025'!$A:$A,'[5]july-2025'!$C:$C,0,0)</f>
        <v>50200</v>
      </c>
      <c r="AY237">
        <f t="shared" si="557"/>
        <v>9036</v>
      </c>
      <c r="AZ237">
        <v>0</v>
      </c>
      <c r="BA237">
        <f t="shared" si="558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59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60"/>
        <v>200</v>
      </c>
      <c r="BH237">
        <f t="shared" si="561"/>
        <v>59960</v>
      </c>
      <c r="BI237">
        <f>_xlfn.XLOOKUP(B237,'[6]august-2025'!$A:$A,'[6]august-2025'!$C:$C,0,0)</f>
        <v>50200</v>
      </c>
      <c r="BJ237">
        <f t="shared" si="562"/>
        <v>9036</v>
      </c>
      <c r="BK237">
        <f t="shared" si="563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64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65"/>
        <v>200</v>
      </c>
      <c r="BR237">
        <f t="shared" si="566"/>
        <v>59960</v>
      </c>
      <c r="BS237">
        <f>_xlfn.XLOOKUP(B237,'[7]september-2025'!$A:$A,'[7]september-2025'!$C:$C,0,0)</f>
        <v>50200</v>
      </c>
      <c r="BT237">
        <f t="shared" si="567"/>
        <v>9036</v>
      </c>
      <c r="BU237">
        <f t="shared" si="568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69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70"/>
        <v>200</v>
      </c>
      <c r="CB237">
        <f t="shared" si="571"/>
        <v>59960</v>
      </c>
      <c r="CC237">
        <f>_xlfn.XLOOKUP(B237,'[8]october-2025'!$A:$A,'[8]october-2025'!$C:$C,0,0)</f>
        <v>50200</v>
      </c>
      <c r="CD237">
        <f t="shared" si="572"/>
        <v>9036</v>
      </c>
      <c r="CE237">
        <f t="shared" si="573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7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75"/>
        <v>200</v>
      </c>
      <c r="CL237">
        <f t="shared" si="576"/>
        <v>59960</v>
      </c>
      <c r="CM237">
        <f>_xlfn.XLOOKUP(B237,'[9]november-2025'!$A:$A,'[9]november-2025'!$C:$C,0,0)</f>
        <v>50200</v>
      </c>
      <c r="CN237">
        <f t="shared" si="577"/>
        <v>9036</v>
      </c>
      <c r="CO237">
        <f t="shared" si="578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79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80"/>
        <v>200</v>
      </c>
      <c r="CV237">
        <f t="shared" si="581"/>
        <v>59960</v>
      </c>
      <c r="CW237">
        <f>_xlfn.XLOOKUP(B237,'[10]december-2025'!$A:$A,'[10]december-2025'!$C:$C,0,0)</f>
        <v>51604</v>
      </c>
      <c r="CX237">
        <f t="shared" si="582"/>
        <v>9289</v>
      </c>
      <c r="CY237">
        <f t="shared" si="583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84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85"/>
        <v>200</v>
      </c>
      <c r="DF237">
        <f t="shared" si="586"/>
        <v>61785</v>
      </c>
      <c r="DG237">
        <f>_xlfn.XLOOKUP(B237,'[11]january-2026'!$A:$A,'[11]january-2026'!$C:$C,0,0)</f>
        <v>51700</v>
      </c>
      <c r="DH237">
        <f t="shared" si="587"/>
        <v>9306</v>
      </c>
      <c r="DI237">
        <f t="shared" si="588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9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90"/>
        <v>200</v>
      </c>
      <c r="DP237">
        <f t="shared" si="591"/>
        <v>61910</v>
      </c>
      <c r="DQ237">
        <f>_xlfn.XLOOKUP(B237,'[12]february-2026'!$A:$A,'[12]february-2026'!$C:$C,0,0)</f>
        <v>51700</v>
      </c>
      <c r="DR237">
        <f t="shared" si="592"/>
        <v>9306</v>
      </c>
      <c r="DS237">
        <f t="shared" si="59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4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5"/>
        <v>200</v>
      </c>
      <c r="DZ237">
        <f t="shared" si="596"/>
        <v>61910</v>
      </c>
      <c r="EA237">
        <f t="shared" si="597"/>
        <v>796697</v>
      </c>
      <c r="EB237">
        <f t="shared" si="598"/>
        <v>2400</v>
      </c>
      <c r="EC237">
        <f t="shared" si="599"/>
        <v>50000</v>
      </c>
      <c r="ED237">
        <v>0</v>
      </c>
      <c r="EE237">
        <f t="shared" si="600"/>
        <v>744297</v>
      </c>
      <c r="EF237">
        <f t="shared" si="601"/>
        <v>72000</v>
      </c>
      <c r="EG237">
        <f t="shared" si="602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3"/>
        <v>72000</v>
      </c>
      <c r="ES237">
        <f t="shared" si="604"/>
        <v>72000</v>
      </c>
      <c r="ET237">
        <f t="shared" si="605"/>
        <v>672297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6"/>
        <v>0</v>
      </c>
      <c r="FC237">
        <f t="shared" si="607"/>
        <v>672297</v>
      </c>
      <c r="FD237">
        <f t="shared" si="608"/>
        <v>12500</v>
      </c>
      <c r="FE237">
        <f t="shared" si="609"/>
        <v>34459</v>
      </c>
      <c r="FF237">
        <f t="shared" si="610"/>
        <v>46959</v>
      </c>
      <c r="FG237">
        <f t="shared" si="611"/>
        <v>46959</v>
      </c>
      <c r="FH237">
        <f t="shared" si="612"/>
        <v>1878.3600000000001</v>
      </c>
      <c r="FI237">
        <f t="shared" si="613"/>
        <v>48837</v>
      </c>
      <c r="FJ237">
        <v>0</v>
      </c>
      <c r="FK237">
        <f t="shared" si="614"/>
        <v>48837</v>
      </c>
      <c r="FL237" t="b">
        <f t="shared" si="615"/>
        <v>1</v>
      </c>
      <c r="FM237">
        <f t="shared" ca="1" si="616"/>
        <v>512</v>
      </c>
      <c r="FN237">
        <f t="shared" ca="1" si="617"/>
        <v>797209</v>
      </c>
      <c r="FO237">
        <f t="shared" si="618"/>
        <v>75000</v>
      </c>
      <c r="FP237">
        <f t="shared" ca="1" si="619"/>
        <v>722209</v>
      </c>
      <c r="FQ237">
        <f t="shared" ca="1" si="620"/>
        <v>0</v>
      </c>
      <c r="FR237">
        <f t="shared" ca="1" si="621"/>
        <v>0</v>
      </c>
      <c r="FS237">
        <f t="shared" ca="1" si="622"/>
        <v>0</v>
      </c>
      <c r="FT237">
        <f t="shared" ca="1" si="623"/>
        <v>0</v>
      </c>
      <c r="FU237">
        <f t="shared" ca="1" si="624"/>
        <v>0</v>
      </c>
      <c r="FV237">
        <f t="shared" ca="1" si="625"/>
        <v>0</v>
      </c>
      <c r="FW237">
        <f t="shared" ca="1" si="626"/>
        <v>0</v>
      </c>
      <c r="FX237">
        <f t="shared" ca="1" si="627"/>
        <v>0</v>
      </c>
      <c r="FY237">
        <f t="shared" ca="1" si="628"/>
        <v>0</v>
      </c>
      <c r="FZ237">
        <f t="shared" ca="1" si="629"/>
        <v>0</v>
      </c>
      <c r="GA237">
        <f t="shared" ca="1" si="630"/>
        <v>322209</v>
      </c>
      <c r="GB237">
        <f t="shared" ca="1" si="631"/>
        <v>16110.45</v>
      </c>
      <c r="GC237">
        <f t="shared" ca="1" si="632"/>
        <v>16110</v>
      </c>
      <c r="GD237">
        <f t="shared" ca="1" si="633"/>
        <v>0</v>
      </c>
      <c r="GE237">
        <f t="shared" ca="1" si="634"/>
        <v>0</v>
      </c>
      <c r="GF237">
        <f t="shared" ca="1" si="635"/>
        <v>16110</v>
      </c>
      <c r="GG237">
        <f t="shared" ca="1" si="636"/>
        <v>0</v>
      </c>
      <c r="GH237" t="b">
        <f t="shared" ca="1" si="637"/>
        <v>0</v>
      </c>
      <c r="GI237">
        <f t="shared" ca="1" si="638"/>
        <v>0</v>
      </c>
      <c r="GJ237">
        <f t="shared" ca="1" si="639"/>
        <v>16110</v>
      </c>
      <c r="GK237">
        <f t="shared" ca="1" si="640"/>
        <v>0</v>
      </c>
      <c r="GL237">
        <f t="shared" ca="1" si="641"/>
        <v>0</v>
      </c>
      <c r="GM237">
        <f t="shared" ca="1" si="642"/>
        <v>0</v>
      </c>
    </row>
    <row r="238" spans="1:195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645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38"/>
        <v>6622.0000000000009</v>
      </c>
      <c r="L238">
        <f t="shared" si="539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540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43"/>
        <v>200</v>
      </c>
      <c r="S238">
        <f t="shared" si="541"/>
        <v>53398</v>
      </c>
      <c r="T238">
        <f>_xlfn.XLOOKUP(B238,'[2]april-2025'!$A:$A,'[2]april-2025'!$C:$C,0,0)</f>
        <v>47300</v>
      </c>
      <c r="U238">
        <f t="shared" si="542"/>
        <v>8514</v>
      </c>
      <c r="V238">
        <f t="shared" si="543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44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45"/>
        <v>200</v>
      </c>
      <c r="AC238">
        <f t="shared" si="546"/>
        <v>55290</v>
      </c>
      <c r="AD238">
        <f>_xlfn.XLOOKUP(B238,'[3]may-2025'!$A:$A,'[3]may-2025'!$C:$C,0,0)</f>
        <v>47300</v>
      </c>
      <c r="AE238">
        <f t="shared" si="547"/>
        <v>8514</v>
      </c>
      <c r="AF238">
        <f t="shared" si="54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49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50"/>
        <v>200</v>
      </c>
      <c r="AM238">
        <f t="shared" si="551"/>
        <v>55290</v>
      </c>
      <c r="AN238">
        <f>_xlfn.XLOOKUP(B238,'[4]june-2025'!$A:$A,'[4]june-2025'!$C:$C,0,0)</f>
        <v>47300</v>
      </c>
      <c r="AO238">
        <f t="shared" si="552"/>
        <v>8514</v>
      </c>
      <c r="AP238">
        <f t="shared" si="553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54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55"/>
        <v>200</v>
      </c>
      <c r="AW238">
        <f t="shared" si="556"/>
        <v>55290</v>
      </c>
      <c r="AX238">
        <f>_xlfn.XLOOKUP(B238,'[5]july-2025'!$A:$A,'[5]july-2025'!$C:$C,0,0)</f>
        <v>48700</v>
      </c>
      <c r="AY238">
        <f t="shared" si="557"/>
        <v>8766</v>
      </c>
      <c r="AZ238">
        <v>0</v>
      </c>
      <c r="BA238">
        <f t="shared" si="558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59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60"/>
        <v>200</v>
      </c>
      <c r="BH238">
        <f t="shared" si="561"/>
        <v>57110</v>
      </c>
      <c r="BI238">
        <f>_xlfn.XLOOKUP(B238,'[6]august-2025'!$A:$A,'[6]august-2025'!$C:$C,0,0)</f>
        <v>48700</v>
      </c>
      <c r="BJ238">
        <f t="shared" si="562"/>
        <v>8766</v>
      </c>
      <c r="BK238">
        <f t="shared" si="563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64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65"/>
        <v>200</v>
      </c>
      <c r="BR238">
        <f t="shared" si="566"/>
        <v>57110</v>
      </c>
      <c r="BS238">
        <f>_xlfn.XLOOKUP(B238,'[7]september-2025'!$A:$A,'[7]september-2025'!$C:$C,0,0)</f>
        <v>48700</v>
      </c>
      <c r="BT238">
        <f t="shared" si="567"/>
        <v>8766</v>
      </c>
      <c r="BU238">
        <f t="shared" si="568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69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70"/>
        <v>200</v>
      </c>
      <c r="CB238">
        <f t="shared" si="571"/>
        <v>57110</v>
      </c>
      <c r="CC238">
        <f>_xlfn.XLOOKUP(B238,'[8]october-2025'!$A:$A,'[8]october-2025'!$C:$C,0,0)</f>
        <v>48700</v>
      </c>
      <c r="CD238">
        <f t="shared" si="572"/>
        <v>8766</v>
      </c>
      <c r="CE238">
        <f t="shared" si="573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7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75"/>
        <v>200</v>
      </c>
      <c r="CL238">
        <f t="shared" si="576"/>
        <v>57110</v>
      </c>
      <c r="CM238">
        <f>_xlfn.XLOOKUP(B238,'[9]november-2025'!$A:$A,'[9]november-2025'!$C:$C,0,0)</f>
        <v>48700</v>
      </c>
      <c r="CN238">
        <f t="shared" si="577"/>
        <v>8766</v>
      </c>
      <c r="CO238">
        <f t="shared" si="578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79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80"/>
        <v>200</v>
      </c>
      <c r="CV238">
        <f t="shared" si="581"/>
        <v>57110</v>
      </c>
      <c r="CW238">
        <f>_xlfn.XLOOKUP(B238,'[10]december-2025'!$A:$A,'[10]december-2025'!$C:$C,0,0)</f>
        <v>48700</v>
      </c>
      <c r="CX238">
        <f t="shared" si="582"/>
        <v>8766</v>
      </c>
      <c r="CY238">
        <f t="shared" si="583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84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85"/>
        <v>200</v>
      </c>
      <c r="DF238">
        <f t="shared" si="586"/>
        <v>57110</v>
      </c>
      <c r="DG238">
        <f>_xlfn.XLOOKUP(B238,'[11]january-2026'!$A:$A,'[11]january-2026'!$C:$C,0,0)</f>
        <v>48700</v>
      </c>
      <c r="DH238">
        <f t="shared" si="587"/>
        <v>8766</v>
      </c>
      <c r="DI238">
        <f t="shared" si="588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9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90"/>
        <v>200</v>
      </c>
      <c r="DP238">
        <f t="shared" si="591"/>
        <v>57110</v>
      </c>
      <c r="DQ238">
        <f>_xlfn.XLOOKUP(B238,'[12]february-2026'!$A:$A,'[12]february-2026'!$C:$C,0,0)</f>
        <v>48700</v>
      </c>
      <c r="DR238">
        <f t="shared" si="592"/>
        <v>8766</v>
      </c>
      <c r="DS238">
        <f t="shared" si="59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4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5"/>
        <v>200</v>
      </c>
      <c r="DZ238">
        <f t="shared" si="596"/>
        <v>57110</v>
      </c>
      <c r="EA238">
        <f t="shared" si="597"/>
        <v>757348</v>
      </c>
      <c r="EB238">
        <f t="shared" si="598"/>
        <v>2400</v>
      </c>
      <c r="EC238">
        <f t="shared" si="599"/>
        <v>50000</v>
      </c>
      <c r="ED238">
        <v>0</v>
      </c>
      <c r="EE238">
        <f t="shared" si="600"/>
        <v>704948</v>
      </c>
      <c r="EF238">
        <f t="shared" si="601"/>
        <v>72000</v>
      </c>
      <c r="EG238">
        <f t="shared" si="602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3"/>
        <v>72000</v>
      </c>
      <c r="ES238">
        <f t="shared" si="604"/>
        <v>72000</v>
      </c>
      <c r="ET238">
        <f t="shared" si="605"/>
        <v>632948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6"/>
        <v>0</v>
      </c>
      <c r="FC238">
        <f t="shared" si="607"/>
        <v>632948</v>
      </c>
      <c r="FD238">
        <f t="shared" si="608"/>
        <v>12500</v>
      </c>
      <c r="FE238">
        <f t="shared" si="609"/>
        <v>26590</v>
      </c>
      <c r="FF238">
        <f t="shared" si="610"/>
        <v>39090</v>
      </c>
      <c r="FG238">
        <f t="shared" si="611"/>
        <v>39090</v>
      </c>
      <c r="FH238">
        <f t="shared" si="612"/>
        <v>1563.6000000000001</v>
      </c>
      <c r="FI238">
        <f t="shared" si="613"/>
        <v>40654</v>
      </c>
      <c r="FJ238">
        <v>0</v>
      </c>
      <c r="FK238">
        <f t="shared" si="614"/>
        <v>40654</v>
      </c>
      <c r="FL238" t="b">
        <f t="shared" si="615"/>
        <v>1</v>
      </c>
      <c r="FM238">
        <f t="shared" ca="1" si="616"/>
        <v>915</v>
      </c>
      <c r="FN238">
        <f t="shared" ca="1" si="617"/>
        <v>758263</v>
      </c>
      <c r="FO238">
        <f t="shared" si="618"/>
        <v>75000</v>
      </c>
      <c r="FP238">
        <f t="shared" ca="1" si="619"/>
        <v>683263</v>
      </c>
      <c r="FQ238">
        <f t="shared" ca="1" si="620"/>
        <v>0</v>
      </c>
      <c r="FR238">
        <f t="shared" ca="1" si="621"/>
        <v>0</v>
      </c>
      <c r="FS238">
        <f t="shared" ca="1" si="622"/>
        <v>0</v>
      </c>
      <c r="FT238">
        <f t="shared" ca="1" si="623"/>
        <v>0</v>
      </c>
      <c r="FU238">
        <f t="shared" ca="1" si="624"/>
        <v>0</v>
      </c>
      <c r="FV238">
        <f t="shared" ca="1" si="625"/>
        <v>0</v>
      </c>
      <c r="FW238">
        <f t="shared" ca="1" si="626"/>
        <v>0</v>
      </c>
      <c r="FX238">
        <f t="shared" ca="1" si="627"/>
        <v>0</v>
      </c>
      <c r="FY238">
        <f t="shared" ca="1" si="628"/>
        <v>0</v>
      </c>
      <c r="FZ238">
        <f t="shared" ca="1" si="629"/>
        <v>0</v>
      </c>
      <c r="GA238">
        <f t="shared" ca="1" si="630"/>
        <v>283263</v>
      </c>
      <c r="GB238">
        <f t="shared" ca="1" si="631"/>
        <v>14163.150000000001</v>
      </c>
      <c r="GC238">
        <f t="shared" ca="1" si="632"/>
        <v>14163</v>
      </c>
      <c r="GD238">
        <f t="shared" ca="1" si="633"/>
        <v>0</v>
      </c>
      <c r="GE238">
        <f t="shared" ca="1" si="634"/>
        <v>0</v>
      </c>
      <c r="GF238">
        <f t="shared" ca="1" si="635"/>
        <v>14163</v>
      </c>
      <c r="GG238">
        <f t="shared" ca="1" si="636"/>
        <v>0</v>
      </c>
      <c r="GH238" t="b">
        <f t="shared" ca="1" si="637"/>
        <v>0</v>
      </c>
      <c r="GI238">
        <f t="shared" ca="1" si="638"/>
        <v>0</v>
      </c>
      <c r="GJ238">
        <f t="shared" ca="1" si="639"/>
        <v>14163</v>
      </c>
      <c r="GK238">
        <f t="shared" ca="1" si="640"/>
        <v>0</v>
      </c>
      <c r="GL238">
        <f t="shared" ca="1" si="641"/>
        <v>0</v>
      </c>
      <c r="GM238">
        <f t="shared" ca="1" si="642"/>
        <v>0</v>
      </c>
    </row>
    <row r="239" spans="1:195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645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38"/>
        <v>4690</v>
      </c>
      <c r="L239">
        <f t="shared" si="539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540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43"/>
        <v>200</v>
      </c>
      <c r="S239">
        <f t="shared" si="541"/>
        <v>40010</v>
      </c>
      <c r="T239">
        <f>_xlfn.XLOOKUP(B239,'[2]april-2025'!$A:$A,'[2]april-2025'!$C:$C,0,0)</f>
        <v>33500</v>
      </c>
      <c r="U239">
        <f t="shared" si="542"/>
        <v>6030</v>
      </c>
      <c r="V239">
        <f t="shared" si="543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44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45"/>
        <v>200</v>
      </c>
      <c r="AC239">
        <f t="shared" si="546"/>
        <v>41350</v>
      </c>
      <c r="AD239">
        <f>_xlfn.XLOOKUP(B239,'[3]may-2025'!$A:$A,'[3]may-2025'!$C:$C,0,0)</f>
        <v>33500</v>
      </c>
      <c r="AE239">
        <f t="shared" si="547"/>
        <v>6030</v>
      </c>
      <c r="AF239">
        <f t="shared" si="54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49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50"/>
        <v>200</v>
      </c>
      <c r="AM239">
        <f t="shared" si="551"/>
        <v>41350</v>
      </c>
      <c r="AN239">
        <f>_xlfn.XLOOKUP(B239,'[4]june-2025'!$A:$A,'[4]june-2025'!$C:$C,0,0)</f>
        <v>33500</v>
      </c>
      <c r="AO239">
        <f t="shared" si="552"/>
        <v>6030</v>
      </c>
      <c r="AP239">
        <f t="shared" si="553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54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55"/>
        <v>200</v>
      </c>
      <c r="AW239">
        <f t="shared" si="556"/>
        <v>41350</v>
      </c>
      <c r="AX239">
        <f>_xlfn.XLOOKUP(B239,'[5]july-2025'!$A:$A,'[5]july-2025'!$C:$C,0,0)</f>
        <v>34500</v>
      </c>
      <c r="AY239">
        <f t="shared" si="557"/>
        <v>6210</v>
      </c>
      <c r="AZ239">
        <v>0</v>
      </c>
      <c r="BA239">
        <f t="shared" si="558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59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60"/>
        <v>200</v>
      </c>
      <c r="BH239">
        <f t="shared" si="561"/>
        <v>42650</v>
      </c>
      <c r="BI239">
        <f>_xlfn.XLOOKUP(B239,'[6]august-2025'!$A:$A,'[6]august-2025'!$C:$C,0,0)</f>
        <v>34500</v>
      </c>
      <c r="BJ239">
        <f t="shared" si="562"/>
        <v>6210</v>
      </c>
      <c r="BK239">
        <f t="shared" si="563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64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65"/>
        <v>200</v>
      </c>
      <c r="BR239">
        <f t="shared" si="566"/>
        <v>42650</v>
      </c>
      <c r="BS239">
        <f>_xlfn.XLOOKUP(B239,'[7]september-2025'!$A:$A,'[7]september-2025'!$C:$C,0,0)</f>
        <v>34500</v>
      </c>
      <c r="BT239">
        <f t="shared" si="567"/>
        <v>6210</v>
      </c>
      <c r="BU239">
        <f t="shared" si="568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69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70"/>
        <v>200</v>
      </c>
      <c r="CB239">
        <f t="shared" si="571"/>
        <v>42650</v>
      </c>
      <c r="CC239">
        <f>_xlfn.XLOOKUP(B239,'[8]october-2025'!$A:$A,'[8]october-2025'!$C:$C,0,0)</f>
        <v>34500</v>
      </c>
      <c r="CD239">
        <f t="shared" si="572"/>
        <v>6210</v>
      </c>
      <c r="CE239">
        <f t="shared" si="573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7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75"/>
        <v>200</v>
      </c>
      <c r="CL239">
        <f t="shared" si="576"/>
        <v>42650</v>
      </c>
      <c r="CM239">
        <f>_xlfn.XLOOKUP(B239,'[9]november-2025'!$A:$A,'[9]november-2025'!$C:$C,0,0)</f>
        <v>34500</v>
      </c>
      <c r="CN239">
        <f t="shared" si="577"/>
        <v>6210</v>
      </c>
      <c r="CO239">
        <f t="shared" si="578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79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80"/>
        <v>200</v>
      </c>
      <c r="CV239">
        <f t="shared" si="581"/>
        <v>42650</v>
      </c>
      <c r="CW239">
        <f>_xlfn.XLOOKUP(B239,'[10]december-2025'!$A:$A,'[10]december-2025'!$C:$C,0,0)</f>
        <v>34500</v>
      </c>
      <c r="CX239">
        <f t="shared" si="582"/>
        <v>6210</v>
      </c>
      <c r="CY239">
        <f t="shared" si="583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84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85"/>
        <v>200</v>
      </c>
      <c r="DF239">
        <f t="shared" si="586"/>
        <v>42650</v>
      </c>
      <c r="DG239">
        <f>_xlfn.XLOOKUP(B239,'[11]january-2026'!$A:$A,'[11]january-2026'!$C:$C,0,0)</f>
        <v>34500</v>
      </c>
      <c r="DH239">
        <f t="shared" si="587"/>
        <v>6210</v>
      </c>
      <c r="DI239">
        <f t="shared" si="588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9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90"/>
        <v>200</v>
      </c>
      <c r="DP239">
        <f t="shared" si="591"/>
        <v>42650</v>
      </c>
      <c r="DQ239">
        <f>_xlfn.XLOOKUP(B239,'[12]february-2026'!$A:$A,'[12]february-2026'!$C:$C,0,0)</f>
        <v>34500</v>
      </c>
      <c r="DR239">
        <f t="shared" si="592"/>
        <v>6210</v>
      </c>
      <c r="DS239">
        <f t="shared" si="59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4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5"/>
        <v>200</v>
      </c>
      <c r="DZ239">
        <f t="shared" si="596"/>
        <v>42650</v>
      </c>
      <c r="EA239">
        <f t="shared" si="597"/>
        <v>544460</v>
      </c>
      <c r="EB239">
        <f t="shared" si="598"/>
        <v>2400</v>
      </c>
      <c r="EC239">
        <f t="shared" si="599"/>
        <v>50000</v>
      </c>
      <c r="ED239">
        <v>0</v>
      </c>
      <c r="EE239">
        <f t="shared" si="600"/>
        <v>492060</v>
      </c>
      <c r="EF239">
        <f t="shared" si="601"/>
        <v>30000</v>
      </c>
      <c r="EG239">
        <f t="shared" si="602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3"/>
        <v>30000</v>
      </c>
      <c r="ES239">
        <f t="shared" si="604"/>
        <v>30000</v>
      </c>
      <c r="ET239">
        <f t="shared" si="605"/>
        <v>462060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6"/>
        <v>0</v>
      </c>
      <c r="FC239">
        <f t="shared" si="607"/>
        <v>462060</v>
      </c>
      <c r="FD239">
        <f t="shared" si="608"/>
        <v>10603</v>
      </c>
      <c r="FE239">
        <f t="shared" si="609"/>
        <v>0</v>
      </c>
      <c r="FF239">
        <f t="shared" si="610"/>
        <v>10603</v>
      </c>
      <c r="FG239">
        <f t="shared" si="611"/>
        <v>0</v>
      </c>
      <c r="FH239">
        <f t="shared" si="612"/>
        <v>0</v>
      </c>
      <c r="FI239">
        <f t="shared" si="613"/>
        <v>0</v>
      </c>
      <c r="FJ239">
        <v>0</v>
      </c>
      <c r="FK239">
        <f t="shared" si="614"/>
        <v>0</v>
      </c>
      <c r="FL239" t="b">
        <f t="shared" si="615"/>
        <v>1</v>
      </c>
      <c r="FM239">
        <f t="shared" ca="1" si="616"/>
        <v>592</v>
      </c>
      <c r="FN239">
        <f t="shared" ca="1" si="617"/>
        <v>545052</v>
      </c>
      <c r="FO239">
        <f t="shared" si="618"/>
        <v>75000</v>
      </c>
      <c r="FP239">
        <f t="shared" ca="1" si="619"/>
        <v>470052</v>
      </c>
      <c r="FQ239">
        <f t="shared" ca="1" si="620"/>
        <v>0</v>
      </c>
      <c r="FR239">
        <f t="shared" ca="1" si="621"/>
        <v>0</v>
      </c>
      <c r="FS239">
        <f t="shared" ca="1" si="622"/>
        <v>0</v>
      </c>
      <c r="FT239">
        <f t="shared" ca="1" si="623"/>
        <v>0</v>
      </c>
      <c r="FU239">
        <f t="shared" ca="1" si="624"/>
        <v>0</v>
      </c>
      <c r="FV239">
        <f t="shared" ca="1" si="625"/>
        <v>0</v>
      </c>
      <c r="FW239">
        <f t="shared" ca="1" si="626"/>
        <v>0</v>
      </c>
      <c r="FX239">
        <f t="shared" ca="1" si="627"/>
        <v>0</v>
      </c>
      <c r="FY239">
        <f t="shared" ca="1" si="628"/>
        <v>0</v>
      </c>
      <c r="FZ239">
        <f t="shared" ca="1" si="629"/>
        <v>0</v>
      </c>
      <c r="GA239">
        <f t="shared" ca="1" si="630"/>
        <v>70052</v>
      </c>
      <c r="GB239">
        <f t="shared" ca="1" si="631"/>
        <v>3502.6000000000004</v>
      </c>
      <c r="GC239">
        <f t="shared" ca="1" si="632"/>
        <v>3503</v>
      </c>
      <c r="GD239">
        <f t="shared" ca="1" si="633"/>
        <v>0</v>
      </c>
      <c r="GE239">
        <f t="shared" ca="1" si="634"/>
        <v>0</v>
      </c>
      <c r="GF239">
        <f t="shared" ca="1" si="635"/>
        <v>3503</v>
      </c>
      <c r="GG239">
        <f t="shared" ca="1" si="636"/>
        <v>0</v>
      </c>
      <c r="GH239" t="b">
        <f t="shared" ca="1" si="637"/>
        <v>0</v>
      </c>
      <c r="GI239">
        <f t="shared" ca="1" si="638"/>
        <v>0</v>
      </c>
      <c r="GJ239">
        <f t="shared" ca="1" si="639"/>
        <v>3503</v>
      </c>
      <c r="GK239">
        <f t="shared" ca="1" si="640"/>
        <v>0</v>
      </c>
      <c r="GL239">
        <f t="shared" ca="1" si="641"/>
        <v>0</v>
      </c>
      <c r="GM239">
        <f t="shared" ca="1" si="642"/>
        <v>0</v>
      </c>
    </row>
    <row r="240" spans="1:195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645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38"/>
        <v>4690</v>
      </c>
      <c r="L240">
        <f t="shared" si="539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540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43"/>
        <v>200</v>
      </c>
      <c r="S240">
        <f t="shared" si="541"/>
        <v>40010</v>
      </c>
      <c r="T240">
        <f>_xlfn.XLOOKUP(B240,'[2]april-2025'!$A:$A,'[2]april-2025'!$C:$C,0,0)</f>
        <v>33500</v>
      </c>
      <c r="U240">
        <f t="shared" si="542"/>
        <v>6030</v>
      </c>
      <c r="V240">
        <f t="shared" si="543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44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45"/>
        <v>200</v>
      </c>
      <c r="AC240">
        <f t="shared" si="546"/>
        <v>41350</v>
      </c>
      <c r="AD240">
        <f>_xlfn.XLOOKUP(B240,'[3]may-2025'!$A:$A,'[3]may-2025'!$C:$C,0,0)</f>
        <v>33500</v>
      </c>
      <c r="AE240">
        <f t="shared" si="547"/>
        <v>6030</v>
      </c>
      <c r="AF240">
        <f t="shared" si="54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49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50"/>
        <v>200</v>
      </c>
      <c r="AM240">
        <f t="shared" si="551"/>
        <v>41350</v>
      </c>
      <c r="AN240">
        <f>_xlfn.XLOOKUP(B240,'[4]june-2025'!$A:$A,'[4]june-2025'!$C:$C,0,0)</f>
        <v>33500</v>
      </c>
      <c r="AO240">
        <f t="shared" si="552"/>
        <v>6030</v>
      </c>
      <c r="AP240">
        <f t="shared" si="553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54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55"/>
        <v>200</v>
      </c>
      <c r="AW240">
        <f t="shared" si="556"/>
        <v>41350</v>
      </c>
      <c r="AX240">
        <f>_xlfn.XLOOKUP(B240,'[5]july-2025'!$A:$A,'[5]july-2025'!$C:$C,0,0)</f>
        <v>34500</v>
      </c>
      <c r="AY240">
        <f t="shared" si="557"/>
        <v>6210</v>
      </c>
      <c r="AZ240">
        <v>0</v>
      </c>
      <c r="BA240">
        <f t="shared" si="558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59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60"/>
        <v>200</v>
      </c>
      <c r="BH240">
        <f t="shared" si="561"/>
        <v>42650</v>
      </c>
      <c r="BI240">
        <f>_xlfn.XLOOKUP(B240,'[6]august-2025'!$A:$A,'[6]august-2025'!$C:$C,0,0)</f>
        <v>34500</v>
      </c>
      <c r="BJ240">
        <f t="shared" si="562"/>
        <v>6210</v>
      </c>
      <c r="BK240">
        <f t="shared" si="563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64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65"/>
        <v>200</v>
      </c>
      <c r="BR240">
        <f t="shared" si="566"/>
        <v>42650</v>
      </c>
      <c r="BS240">
        <f>_xlfn.XLOOKUP(B240,'[7]september-2025'!$A:$A,'[7]september-2025'!$C:$C,0,0)</f>
        <v>34500</v>
      </c>
      <c r="BT240">
        <f t="shared" si="567"/>
        <v>6210</v>
      </c>
      <c r="BU240">
        <f t="shared" si="568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69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70"/>
        <v>200</v>
      </c>
      <c r="CB240">
        <f t="shared" si="571"/>
        <v>42650</v>
      </c>
      <c r="CC240">
        <f>_xlfn.XLOOKUP(B240,'[8]october-2025'!$A:$A,'[8]october-2025'!$C:$C,0,0)</f>
        <v>34500</v>
      </c>
      <c r="CD240">
        <f t="shared" si="572"/>
        <v>6210</v>
      </c>
      <c r="CE240">
        <f t="shared" si="573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7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75"/>
        <v>200</v>
      </c>
      <c r="CL240">
        <f t="shared" si="576"/>
        <v>42650</v>
      </c>
      <c r="CM240">
        <f>_xlfn.XLOOKUP(B240,'[9]november-2025'!$A:$A,'[9]november-2025'!$C:$C,0,0)</f>
        <v>34500</v>
      </c>
      <c r="CN240">
        <f t="shared" si="577"/>
        <v>6210</v>
      </c>
      <c r="CO240">
        <f t="shared" si="578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79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80"/>
        <v>200</v>
      </c>
      <c r="CV240">
        <f t="shared" si="581"/>
        <v>42650</v>
      </c>
      <c r="CW240">
        <f>_xlfn.XLOOKUP(B240,'[10]december-2025'!$A:$A,'[10]december-2025'!$C:$C,0,0)</f>
        <v>34500</v>
      </c>
      <c r="CX240">
        <f t="shared" si="582"/>
        <v>6210</v>
      </c>
      <c r="CY240">
        <f t="shared" si="583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84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85"/>
        <v>200</v>
      </c>
      <c r="DF240">
        <f t="shared" si="586"/>
        <v>42650</v>
      </c>
      <c r="DG240">
        <f>_xlfn.XLOOKUP(B240,'[11]january-2026'!$A:$A,'[11]january-2026'!$C:$C,0,0)</f>
        <v>34500</v>
      </c>
      <c r="DH240">
        <f t="shared" si="587"/>
        <v>6210</v>
      </c>
      <c r="DI240">
        <f t="shared" si="588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9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90"/>
        <v>200</v>
      </c>
      <c r="DP240">
        <f t="shared" si="591"/>
        <v>42650</v>
      </c>
      <c r="DQ240">
        <f>_xlfn.XLOOKUP(B240,'[12]february-2026'!$A:$A,'[12]february-2026'!$C:$C,0,0)</f>
        <v>34500</v>
      </c>
      <c r="DR240">
        <f t="shared" si="592"/>
        <v>6210</v>
      </c>
      <c r="DS240">
        <f t="shared" si="59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4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5"/>
        <v>200</v>
      </c>
      <c r="DZ240">
        <f t="shared" si="596"/>
        <v>42650</v>
      </c>
      <c r="EA240">
        <f t="shared" si="597"/>
        <v>544460</v>
      </c>
      <c r="EB240">
        <f t="shared" si="598"/>
        <v>2400</v>
      </c>
      <c r="EC240">
        <f t="shared" si="599"/>
        <v>50000</v>
      </c>
      <c r="ED240">
        <v>0</v>
      </c>
      <c r="EE240">
        <f t="shared" si="600"/>
        <v>492060</v>
      </c>
      <c r="EF240">
        <f t="shared" si="601"/>
        <v>30000</v>
      </c>
      <c r="EG240">
        <f t="shared" si="602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3"/>
        <v>30000</v>
      </c>
      <c r="ES240">
        <f t="shared" si="604"/>
        <v>30000</v>
      </c>
      <c r="ET240">
        <f t="shared" si="605"/>
        <v>462060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6"/>
        <v>0</v>
      </c>
      <c r="FC240">
        <f t="shared" si="607"/>
        <v>462060</v>
      </c>
      <c r="FD240">
        <f t="shared" si="608"/>
        <v>10603</v>
      </c>
      <c r="FE240">
        <f t="shared" si="609"/>
        <v>0</v>
      </c>
      <c r="FF240">
        <f t="shared" si="610"/>
        <v>10603</v>
      </c>
      <c r="FG240">
        <f t="shared" si="611"/>
        <v>0</v>
      </c>
      <c r="FH240">
        <f t="shared" si="612"/>
        <v>0</v>
      </c>
      <c r="FI240">
        <f t="shared" si="613"/>
        <v>0</v>
      </c>
      <c r="FJ240">
        <v>0</v>
      </c>
      <c r="FK240">
        <f t="shared" si="614"/>
        <v>0</v>
      </c>
      <c r="FL240" t="b">
        <f t="shared" si="615"/>
        <v>1</v>
      </c>
      <c r="FM240">
        <f t="shared" ca="1" si="616"/>
        <v>715</v>
      </c>
      <c r="FN240">
        <f t="shared" ca="1" si="617"/>
        <v>545175</v>
      </c>
      <c r="FO240">
        <f t="shared" si="618"/>
        <v>75000</v>
      </c>
      <c r="FP240">
        <f t="shared" ca="1" si="619"/>
        <v>470175</v>
      </c>
      <c r="FQ240">
        <f t="shared" ca="1" si="620"/>
        <v>0</v>
      </c>
      <c r="FR240">
        <f t="shared" ca="1" si="621"/>
        <v>0</v>
      </c>
      <c r="FS240">
        <f t="shared" ca="1" si="622"/>
        <v>0</v>
      </c>
      <c r="FT240">
        <f t="shared" ca="1" si="623"/>
        <v>0</v>
      </c>
      <c r="FU240">
        <f t="shared" ca="1" si="624"/>
        <v>0</v>
      </c>
      <c r="FV240">
        <f t="shared" ca="1" si="625"/>
        <v>0</v>
      </c>
      <c r="FW240">
        <f t="shared" ca="1" si="626"/>
        <v>0</v>
      </c>
      <c r="FX240">
        <f t="shared" ca="1" si="627"/>
        <v>0</v>
      </c>
      <c r="FY240">
        <f t="shared" ca="1" si="628"/>
        <v>0</v>
      </c>
      <c r="FZ240">
        <f t="shared" ca="1" si="629"/>
        <v>0</v>
      </c>
      <c r="GA240">
        <f t="shared" ca="1" si="630"/>
        <v>70175</v>
      </c>
      <c r="GB240">
        <f t="shared" ca="1" si="631"/>
        <v>3508.75</v>
      </c>
      <c r="GC240">
        <f t="shared" ca="1" si="632"/>
        <v>3509</v>
      </c>
      <c r="GD240">
        <f t="shared" ca="1" si="633"/>
        <v>0</v>
      </c>
      <c r="GE240">
        <f t="shared" ca="1" si="634"/>
        <v>0</v>
      </c>
      <c r="GF240">
        <f t="shared" ca="1" si="635"/>
        <v>3509</v>
      </c>
      <c r="GG240">
        <f t="shared" ca="1" si="636"/>
        <v>0</v>
      </c>
      <c r="GH240" t="b">
        <f t="shared" ca="1" si="637"/>
        <v>0</v>
      </c>
      <c r="GI240">
        <f t="shared" ca="1" si="638"/>
        <v>0</v>
      </c>
      <c r="GJ240">
        <f t="shared" ca="1" si="639"/>
        <v>3509</v>
      </c>
      <c r="GK240">
        <f t="shared" ca="1" si="640"/>
        <v>0</v>
      </c>
      <c r="GL240">
        <f t="shared" ca="1" si="641"/>
        <v>0</v>
      </c>
      <c r="GM240">
        <f t="shared" ca="1" si="642"/>
        <v>0</v>
      </c>
    </row>
    <row r="241" spans="1:195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645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38"/>
        <v>5278.0000000000009</v>
      </c>
      <c r="L241">
        <f t="shared" si="539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540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43"/>
        <v>200</v>
      </c>
      <c r="S241">
        <f t="shared" si="541"/>
        <v>44802</v>
      </c>
      <c r="T241">
        <f>_xlfn.XLOOKUP(B241,'[2]april-2025'!$A:$A,'[2]april-2025'!$C:$C,0,0)</f>
        <v>37700</v>
      </c>
      <c r="U241">
        <f t="shared" si="542"/>
        <v>6786</v>
      </c>
      <c r="V241">
        <f t="shared" si="543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44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45"/>
        <v>200</v>
      </c>
      <c r="AC241">
        <f t="shared" si="546"/>
        <v>46310</v>
      </c>
      <c r="AD241">
        <f>_xlfn.XLOOKUP(B241,'[3]may-2025'!$A:$A,'[3]may-2025'!$C:$C,0,0)</f>
        <v>37700</v>
      </c>
      <c r="AE241">
        <f t="shared" si="547"/>
        <v>6786</v>
      </c>
      <c r="AF241">
        <f t="shared" si="54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49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50"/>
        <v>200</v>
      </c>
      <c r="AM241">
        <f t="shared" si="551"/>
        <v>46310</v>
      </c>
      <c r="AN241">
        <f>_xlfn.XLOOKUP(B241,'[4]june-2025'!$A:$A,'[4]june-2025'!$C:$C,0,0)</f>
        <v>37700</v>
      </c>
      <c r="AO241">
        <f t="shared" si="552"/>
        <v>6786</v>
      </c>
      <c r="AP241">
        <f t="shared" si="553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54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55"/>
        <v>200</v>
      </c>
      <c r="AW241">
        <f t="shared" si="556"/>
        <v>46310</v>
      </c>
      <c r="AX241">
        <f>_xlfn.XLOOKUP(B241,'[5]july-2025'!$A:$A,'[5]july-2025'!$C:$C,0,0)</f>
        <v>38800</v>
      </c>
      <c r="AY241">
        <f t="shared" si="557"/>
        <v>6984</v>
      </c>
      <c r="AZ241">
        <v>0</v>
      </c>
      <c r="BA241">
        <f t="shared" si="558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59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60"/>
        <v>200</v>
      </c>
      <c r="BH241">
        <f t="shared" si="561"/>
        <v>47740</v>
      </c>
      <c r="BI241">
        <f>_xlfn.XLOOKUP(B241,'[6]august-2025'!$A:$A,'[6]august-2025'!$C:$C,0,0)</f>
        <v>38800</v>
      </c>
      <c r="BJ241">
        <f t="shared" si="562"/>
        <v>6984</v>
      </c>
      <c r="BK241">
        <f t="shared" si="563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64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65"/>
        <v>200</v>
      </c>
      <c r="BR241">
        <f t="shared" si="566"/>
        <v>47740</v>
      </c>
      <c r="BS241">
        <f>_xlfn.XLOOKUP(B241,'[7]september-2025'!$A:$A,'[7]september-2025'!$C:$C,0,0)</f>
        <v>38800</v>
      </c>
      <c r="BT241">
        <f t="shared" si="567"/>
        <v>6984</v>
      </c>
      <c r="BU241">
        <f t="shared" si="568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69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70"/>
        <v>200</v>
      </c>
      <c r="CB241">
        <f t="shared" si="571"/>
        <v>47740</v>
      </c>
      <c r="CC241">
        <f>_xlfn.XLOOKUP(B241,'[8]october-2025'!$A:$A,'[8]october-2025'!$C:$C,0,0)</f>
        <v>38800</v>
      </c>
      <c r="CD241">
        <f t="shared" si="572"/>
        <v>6984</v>
      </c>
      <c r="CE241">
        <f t="shared" si="573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7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75"/>
        <v>200</v>
      </c>
      <c r="CL241">
        <f t="shared" si="576"/>
        <v>47740</v>
      </c>
      <c r="CM241">
        <f>_xlfn.XLOOKUP(B241,'[9]november-2025'!$A:$A,'[9]november-2025'!$C:$C,0,0)</f>
        <v>38800</v>
      </c>
      <c r="CN241">
        <f t="shared" si="577"/>
        <v>6984</v>
      </c>
      <c r="CO241">
        <f t="shared" si="578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79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80"/>
        <v>200</v>
      </c>
      <c r="CV241">
        <f t="shared" si="581"/>
        <v>47740</v>
      </c>
      <c r="CW241">
        <f>_xlfn.XLOOKUP(B241,'[10]december-2025'!$A:$A,'[10]december-2025'!$C:$C,0,0)</f>
        <v>38800</v>
      </c>
      <c r="CX241">
        <f t="shared" si="582"/>
        <v>6984</v>
      </c>
      <c r="CY241">
        <f t="shared" si="583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84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85"/>
        <v>200</v>
      </c>
      <c r="DF241">
        <f t="shared" si="586"/>
        <v>47740</v>
      </c>
      <c r="DG241">
        <f>_xlfn.XLOOKUP(B241,'[11]january-2026'!$A:$A,'[11]january-2026'!$C:$C,0,0)</f>
        <v>38800</v>
      </c>
      <c r="DH241">
        <f t="shared" si="587"/>
        <v>6984</v>
      </c>
      <c r="DI241">
        <f t="shared" si="588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9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90"/>
        <v>200</v>
      </c>
      <c r="DP241">
        <f t="shared" si="591"/>
        <v>47740</v>
      </c>
      <c r="DQ241">
        <f>_xlfn.XLOOKUP(B241,'[12]february-2026'!$A:$A,'[12]february-2026'!$C:$C,0,0)</f>
        <v>38800</v>
      </c>
      <c r="DR241">
        <f t="shared" si="592"/>
        <v>6984</v>
      </c>
      <c r="DS241">
        <f t="shared" si="59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4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5"/>
        <v>200</v>
      </c>
      <c r="DZ241">
        <f t="shared" si="596"/>
        <v>47740</v>
      </c>
      <c r="EA241">
        <f t="shared" si="597"/>
        <v>610852</v>
      </c>
      <c r="EB241">
        <f t="shared" si="598"/>
        <v>2400</v>
      </c>
      <c r="EC241">
        <f t="shared" si="599"/>
        <v>50000</v>
      </c>
      <c r="ED241">
        <v>0</v>
      </c>
      <c r="EE241">
        <f t="shared" si="600"/>
        <v>558452</v>
      </c>
      <c r="EF241">
        <f t="shared" si="601"/>
        <v>36000</v>
      </c>
      <c r="EG241">
        <f t="shared" si="602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3"/>
        <v>36000</v>
      </c>
      <c r="ES241">
        <f t="shared" si="604"/>
        <v>36000</v>
      </c>
      <c r="ET241">
        <f t="shared" si="605"/>
        <v>522452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6"/>
        <v>0</v>
      </c>
      <c r="FC241">
        <f t="shared" si="607"/>
        <v>522452</v>
      </c>
      <c r="FD241">
        <f t="shared" si="608"/>
        <v>12500</v>
      </c>
      <c r="FE241">
        <f t="shared" si="609"/>
        <v>4490</v>
      </c>
      <c r="FF241">
        <f t="shared" si="610"/>
        <v>16990</v>
      </c>
      <c r="FG241">
        <f t="shared" si="611"/>
        <v>16990</v>
      </c>
      <c r="FH241">
        <f t="shared" si="612"/>
        <v>679.6</v>
      </c>
      <c r="FI241">
        <f t="shared" si="613"/>
        <v>17670</v>
      </c>
      <c r="FJ241">
        <v>0</v>
      </c>
      <c r="FK241">
        <f t="shared" si="614"/>
        <v>17670</v>
      </c>
      <c r="FL241" t="b">
        <f t="shared" si="615"/>
        <v>1</v>
      </c>
      <c r="FM241">
        <f t="shared" ca="1" si="616"/>
        <v>991</v>
      </c>
      <c r="FN241">
        <f t="shared" ca="1" si="617"/>
        <v>611843</v>
      </c>
      <c r="FO241">
        <f t="shared" si="618"/>
        <v>75000</v>
      </c>
      <c r="FP241">
        <f t="shared" ca="1" si="619"/>
        <v>536843</v>
      </c>
      <c r="FQ241">
        <f t="shared" ca="1" si="620"/>
        <v>0</v>
      </c>
      <c r="FR241">
        <f t="shared" ca="1" si="621"/>
        <v>0</v>
      </c>
      <c r="FS241">
        <f t="shared" ca="1" si="622"/>
        <v>0</v>
      </c>
      <c r="FT241">
        <f t="shared" ca="1" si="623"/>
        <v>0</v>
      </c>
      <c r="FU241">
        <f t="shared" ca="1" si="624"/>
        <v>0</v>
      </c>
      <c r="FV241">
        <f t="shared" ca="1" si="625"/>
        <v>0</v>
      </c>
      <c r="FW241">
        <f t="shared" ca="1" si="626"/>
        <v>0</v>
      </c>
      <c r="FX241">
        <f t="shared" ca="1" si="627"/>
        <v>0</v>
      </c>
      <c r="FY241">
        <f t="shared" ca="1" si="628"/>
        <v>0</v>
      </c>
      <c r="FZ241">
        <f t="shared" ca="1" si="629"/>
        <v>0</v>
      </c>
      <c r="GA241">
        <f t="shared" ca="1" si="630"/>
        <v>136843</v>
      </c>
      <c r="GB241">
        <f t="shared" ca="1" si="631"/>
        <v>6842.1500000000005</v>
      </c>
      <c r="GC241">
        <f t="shared" ca="1" si="632"/>
        <v>6842</v>
      </c>
      <c r="GD241">
        <f t="shared" ca="1" si="633"/>
        <v>0</v>
      </c>
      <c r="GE241">
        <f t="shared" ca="1" si="634"/>
        <v>0</v>
      </c>
      <c r="GF241">
        <f t="shared" ca="1" si="635"/>
        <v>6842</v>
      </c>
      <c r="GG241">
        <f t="shared" ca="1" si="636"/>
        <v>0</v>
      </c>
      <c r="GH241" t="b">
        <f t="shared" ca="1" si="637"/>
        <v>0</v>
      </c>
      <c r="GI241">
        <f t="shared" ca="1" si="638"/>
        <v>0</v>
      </c>
      <c r="GJ241">
        <f t="shared" ca="1" si="639"/>
        <v>6842</v>
      </c>
      <c r="GK241">
        <f t="shared" ca="1" si="640"/>
        <v>0</v>
      </c>
      <c r="GL241">
        <f t="shared" ca="1" si="641"/>
        <v>0</v>
      </c>
      <c r="GM241">
        <f t="shared" ca="1" si="642"/>
        <v>0</v>
      </c>
    </row>
    <row r="242" spans="1:195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645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38"/>
        <v>7756.0000000000009</v>
      </c>
      <c r="L242">
        <f t="shared" si="539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540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43"/>
        <v>200</v>
      </c>
      <c r="S242">
        <f t="shared" si="541"/>
        <v>66504</v>
      </c>
      <c r="T242">
        <f>_xlfn.XLOOKUP(B242,'[2]april-2025'!$A:$A,'[2]april-2025'!$C:$C,0,0)</f>
        <v>55400</v>
      </c>
      <c r="U242">
        <f t="shared" si="542"/>
        <v>9972</v>
      </c>
      <c r="V242">
        <f t="shared" si="543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44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45"/>
        <v>200</v>
      </c>
      <c r="AC242">
        <f t="shared" si="546"/>
        <v>68720</v>
      </c>
      <c r="AD242">
        <f>_xlfn.XLOOKUP(B242,'[3]may-2025'!$A:$A,'[3]may-2025'!$C:$C,0,0)</f>
        <v>55400</v>
      </c>
      <c r="AE242">
        <f t="shared" si="547"/>
        <v>9972</v>
      </c>
      <c r="AF242">
        <f t="shared" si="54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49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50"/>
        <v>200</v>
      </c>
      <c r="AM242">
        <f t="shared" si="551"/>
        <v>68720</v>
      </c>
      <c r="AN242">
        <f>_xlfn.XLOOKUP(B242,'[4]june-2025'!$A:$A,'[4]june-2025'!$C:$C,0,0)</f>
        <v>55400</v>
      </c>
      <c r="AO242">
        <f t="shared" si="552"/>
        <v>9972</v>
      </c>
      <c r="AP242">
        <f t="shared" si="553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54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55"/>
        <v>200</v>
      </c>
      <c r="AW242">
        <f t="shared" si="556"/>
        <v>68720</v>
      </c>
      <c r="AX242">
        <f>_xlfn.XLOOKUP(B242,'[5]july-2025'!$A:$A,'[5]july-2025'!$C:$C,0,0)</f>
        <v>57100</v>
      </c>
      <c r="AY242">
        <f t="shared" si="557"/>
        <v>10278</v>
      </c>
      <c r="AZ242">
        <v>0</v>
      </c>
      <c r="BA242">
        <f t="shared" si="558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59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60"/>
        <v>200</v>
      </c>
      <c r="BH242">
        <f t="shared" si="561"/>
        <v>70930</v>
      </c>
      <c r="BI242">
        <f>_xlfn.XLOOKUP(B242,'[6]august-2025'!$A:$A,'[6]august-2025'!$C:$C,0,0)</f>
        <v>57100</v>
      </c>
      <c r="BJ242">
        <f t="shared" si="562"/>
        <v>10278</v>
      </c>
      <c r="BK242">
        <f t="shared" si="563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64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65"/>
        <v>200</v>
      </c>
      <c r="BR242">
        <f t="shared" si="566"/>
        <v>70930</v>
      </c>
      <c r="BS242">
        <f>_xlfn.XLOOKUP(B242,'[7]september-2025'!$A:$A,'[7]september-2025'!$C:$C,0,0)</f>
        <v>57100</v>
      </c>
      <c r="BT242">
        <f t="shared" si="567"/>
        <v>10278</v>
      </c>
      <c r="BU242">
        <f t="shared" si="568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69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70"/>
        <v>200</v>
      </c>
      <c r="CB242">
        <f t="shared" si="571"/>
        <v>70930</v>
      </c>
      <c r="CC242">
        <f>_xlfn.XLOOKUP(B242,'[8]october-2025'!$A:$A,'[8]october-2025'!$C:$C,0,0)</f>
        <v>57100</v>
      </c>
      <c r="CD242">
        <f t="shared" si="572"/>
        <v>10278</v>
      </c>
      <c r="CE242">
        <f t="shared" si="573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7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75"/>
        <v>200</v>
      </c>
      <c r="CL242">
        <f t="shared" si="576"/>
        <v>74430</v>
      </c>
      <c r="CM242">
        <f>_xlfn.XLOOKUP(B242,'[9]november-2025'!$A:$A,'[9]november-2025'!$C:$C,0,0)</f>
        <v>57100</v>
      </c>
      <c r="CN242">
        <f t="shared" si="577"/>
        <v>10278</v>
      </c>
      <c r="CO242">
        <f t="shared" si="578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79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80"/>
        <v>200</v>
      </c>
      <c r="CV242">
        <f t="shared" si="581"/>
        <v>74430</v>
      </c>
      <c r="CW242">
        <f>_xlfn.XLOOKUP(B242,'[10]december-2025'!$A:$A,'[10]december-2025'!$C:$C,0,0)</f>
        <v>57100</v>
      </c>
      <c r="CX242">
        <f t="shared" si="582"/>
        <v>10278</v>
      </c>
      <c r="CY242">
        <f t="shared" si="583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84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85"/>
        <v>200</v>
      </c>
      <c r="DF242">
        <f t="shared" si="586"/>
        <v>74430</v>
      </c>
      <c r="DG242">
        <f>_xlfn.XLOOKUP(B242,'[11]january-2026'!$A:$A,'[11]january-2026'!$C:$C,0,0)</f>
        <v>57100</v>
      </c>
      <c r="DH242">
        <f t="shared" si="587"/>
        <v>10278</v>
      </c>
      <c r="DI242">
        <f t="shared" si="588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9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90"/>
        <v>200</v>
      </c>
      <c r="DP242">
        <f t="shared" si="591"/>
        <v>74430</v>
      </c>
      <c r="DQ242">
        <f>_xlfn.XLOOKUP(B242,'[12]february-2026'!$A:$A,'[12]february-2026'!$C:$C,0,0)</f>
        <v>57100</v>
      </c>
      <c r="DR242">
        <f t="shared" si="592"/>
        <v>10278</v>
      </c>
      <c r="DS242">
        <f t="shared" si="59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4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5"/>
        <v>200</v>
      </c>
      <c r="DZ242">
        <f t="shared" si="596"/>
        <v>74430</v>
      </c>
      <c r="EA242">
        <f t="shared" si="597"/>
        <v>891304</v>
      </c>
      <c r="EB242">
        <f t="shared" si="598"/>
        <v>2400</v>
      </c>
      <c r="EC242">
        <f t="shared" si="599"/>
        <v>50000</v>
      </c>
      <c r="ED242">
        <v>0</v>
      </c>
      <c r="EE242">
        <f t="shared" si="600"/>
        <v>838904</v>
      </c>
      <c r="EF242">
        <f t="shared" si="601"/>
        <v>24500</v>
      </c>
      <c r="EG242">
        <f t="shared" si="602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3"/>
        <v>24500</v>
      </c>
      <c r="ES242">
        <f t="shared" si="604"/>
        <v>24500</v>
      </c>
      <c r="ET242">
        <f t="shared" si="605"/>
        <v>814404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6"/>
        <v>0</v>
      </c>
      <c r="FC242">
        <f t="shared" si="607"/>
        <v>814404</v>
      </c>
      <c r="FD242">
        <f t="shared" si="608"/>
        <v>12500</v>
      </c>
      <c r="FE242">
        <f t="shared" si="609"/>
        <v>62881</v>
      </c>
      <c r="FF242">
        <f t="shared" si="610"/>
        <v>75381</v>
      </c>
      <c r="FG242">
        <f t="shared" si="611"/>
        <v>75381</v>
      </c>
      <c r="FH242">
        <f t="shared" si="612"/>
        <v>3015.2400000000002</v>
      </c>
      <c r="FI242">
        <f t="shared" si="613"/>
        <v>78396</v>
      </c>
      <c r="FJ242">
        <v>0</v>
      </c>
      <c r="FK242">
        <f t="shared" si="614"/>
        <v>78396</v>
      </c>
      <c r="FL242" t="b">
        <f t="shared" si="615"/>
        <v>1</v>
      </c>
      <c r="FM242">
        <f t="shared" ca="1" si="616"/>
        <v>527</v>
      </c>
      <c r="FN242">
        <f t="shared" ca="1" si="617"/>
        <v>891831</v>
      </c>
      <c r="FO242">
        <f t="shared" si="618"/>
        <v>75000</v>
      </c>
      <c r="FP242">
        <f t="shared" ca="1" si="619"/>
        <v>816831</v>
      </c>
      <c r="FQ242">
        <f t="shared" ca="1" si="620"/>
        <v>0</v>
      </c>
      <c r="FR242">
        <f t="shared" ca="1" si="621"/>
        <v>0</v>
      </c>
      <c r="FS242">
        <f t="shared" ca="1" si="622"/>
        <v>0</v>
      </c>
      <c r="FT242">
        <f t="shared" ca="1" si="623"/>
        <v>0</v>
      </c>
      <c r="FU242">
        <f t="shared" ca="1" si="624"/>
        <v>0</v>
      </c>
      <c r="FV242">
        <f t="shared" ca="1" si="625"/>
        <v>0</v>
      </c>
      <c r="FW242">
        <f t="shared" ca="1" si="626"/>
        <v>0</v>
      </c>
      <c r="FX242">
        <f t="shared" ca="1" si="627"/>
        <v>0</v>
      </c>
      <c r="FY242">
        <f t="shared" ca="1" si="628"/>
        <v>16831</v>
      </c>
      <c r="FZ242">
        <f t="shared" ca="1" si="629"/>
        <v>1683.1000000000001</v>
      </c>
      <c r="GA242">
        <f t="shared" ca="1" si="630"/>
        <v>400000</v>
      </c>
      <c r="GB242">
        <f t="shared" ca="1" si="631"/>
        <v>20000</v>
      </c>
      <c r="GC242">
        <f t="shared" ca="1" si="632"/>
        <v>21683</v>
      </c>
      <c r="GD242">
        <f t="shared" ca="1" si="633"/>
        <v>0</v>
      </c>
      <c r="GE242">
        <f t="shared" ca="1" si="634"/>
        <v>0</v>
      </c>
      <c r="GF242">
        <f t="shared" ca="1" si="635"/>
        <v>21683</v>
      </c>
      <c r="GG242">
        <f t="shared" ca="1" si="636"/>
        <v>0</v>
      </c>
      <c r="GH242" t="b">
        <f t="shared" ca="1" si="637"/>
        <v>0</v>
      </c>
      <c r="GI242">
        <f t="shared" ca="1" si="638"/>
        <v>0</v>
      </c>
      <c r="GJ242">
        <f t="shared" ca="1" si="639"/>
        <v>21683</v>
      </c>
      <c r="GK242">
        <f t="shared" ca="1" si="640"/>
        <v>0</v>
      </c>
      <c r="GL242">
        <f t="shared" ca="1" si="641"/>
        <v>0</v>
      </c>
      <c r="GM242">
        <f t="shared" ca="1" si="642"/>
        <v>0</v>
      </c>
    </row>
    <row r="243" spans="1:195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645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38"/>
        <v>4172</v>
      </c>
      <c r="L243">
        <f t="shared" si="539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540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43"/>
        <v>150</v>
      </c>
      <c r="S243">
        <f t="shared" si="541"/>
        <v>35898</v>
      </c>
      <c r="T243">
        <f>_xlfn.XLOOKUP(B243,'[2]april-2025'!$A:$A,'[2]april-2025'!$C:$C,0,0)</f>
        <v>29800</v>
      </c>
      <c r="U243">
        <f t="shared" si="542"/>
        <v>5364</v>
      </c>
      <c r="V243">
        <f t="shared" si="543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44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45"/>
        <v>150</v>
      </c>
      <c r="AC243">
        <f t="shared" si="546"/>
        <v>37090</v>
      </c>
      <c r="AD243">
        <f>_xlfn.XLOOKUP(B243,'[3]may-2025'!$A:$A,'[3]may-2025'!$C:$C,0,0)</f>
        <v>29800</v>
      </c>
      <c r="AE243">
        <f t="shared" si="547"/>
        <v>5364</v>
      </c>
      <c r="AF243">
        <f t="shared" si="54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49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50"/>
        <v>150</v>
      </c>
      <c r="AM243">
        <f t="shared" si="551"/>
        <v>37090</v>
      </c>
      <c r="AN243">
        <f>_xlfn.XLOOKUP(B243,'[4]june-2025'!$A:$A,'[4]june-2025'!$C:$C,0,0)</f>
        <v>29800</v>
      </c>
      <c r="AO243">
        <f t="shared" si="552"/>
        <v>5364</v>
      </c>
      <c r="AP243">
        <f t="shared" si="553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54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55"/>
        <v>150</v>
      </c>
      <c r="AW243">
        <f t="shared" si="556"/>
        <v>37090</v>
      </c>
      <c r="AX243">
        <f>_xlfn.XLOOKUP(B243,'[5]july-2025'!$A:$A,'[5]july-2025'!$C:$C,0,0)</f>
        <v>30700</v>
      </c>
      <c r="AY243">
        <f t="shared" si="557"/>
        <v>5526</v>
      </c>
      <c r="AZ243">
        <v>0</v>
      </c>
      <c r="BA243">
        <f t="shared" si="558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59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60"/>
        <v>200</v>
      </c>
      <c r="BH243">
        <f t="shared" si="561"/>
        <v>38210</v>
      </c>
      <c r="BI243">
        <f>_xlfn.XLOOKUP(B243,'[6]august-2025'!$A:$A,'[6]august-2025'!$C:$C,0,0)</f>
        <v>30700</v>
      </c>
      <c r="BJ243">
        <f t="shared" si="562"/>
        <v>5526</v>
      </c>
      <c r="BK243">
        <f t="shared" si="563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64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65"/>
        <v>200</v>
      </c>
      <c r="BR243">
        <f t="shared" si="566"/>
        <v>38210</v>
      </c>
      <c r="BS243">
        <f>_xlfn.XLOOKUP(B243,'[7]september-2025'!$A:$A,'[7]september-2025'!$C:$C,0,0)</f>
        <v>30700</v>
      </c>
      <c r="BT243">
        <f t="shared" si="567"/>
        <v>5526</v>
      </c>
      <c r="BU243">
        <f t="shared" si="568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69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70"/>
        <v>200</v>
      </c>
      <c r="CB243">
        <f t="shared" si="571"/>
        <v>38210</v>
      </c>
      <c r="CC243">
        <f>_xlfn.XLOOKUP(B243,'[8]october-2025'!$A:$A,'[8]october-2025'!$C:$C,0,0)</f>
        <v>30700</v>
      </c>
      <c r="CD243">
        <f t="shared" si="572"/>
        <v>5526</v>
      </c>
      <c r="CE243">
        <f t="shared" si="573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7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75"/>
        <v>200</v>
      </c>
      <c r="CL243">
        <f t="shared" si="576"/>
        <v>38210</v>
      </c>
      <c r="CM243">
        <f>_xlfn.XLOOKUP(B243,'[9]november-2025'!$A:$A,'[9]november-2025'!$C:$C,0,0)</f>
        <v>30700</v>
      </c>
      <c r="CN243">
        <f t="shared" si="577"/>
        <v>5526</v>
      </c>
      <c r="CO243">
        <f t="shared" si="578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79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80"/>
        <v>200</v>
      </c>
      <c r="CV243">
        <f t="shared" si="581"/>
        <v>38210</v>
      </c>
      <c r="CW243">
        <f>_xlfn.XLOOKUP(B243,'[10]december-2025'!$A:$A,'[10]december-2025'!$C:$C,0,0)</f>
        <v>30700</v>
      </c>
      <c r="CX243">
        <f t="shared" si="582"/>
        <v>5526</v>
      </c>
      <c r="CY243">
        <f t="shared" si="583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84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85"/>
        <v>200</v>
      </c>
      <c r="DF243">
        <f t="shared" si="586"/>
        <v>38210</v>
      </c>
      <c r="DG243">
        <f>_xlfn.XLOOKUP(B243,'[11]january-2026'!$A:$A,'[11]january-2026'!$C:$C,0,0)</f>
        <v>30700</v>
      </c>
      <c r="DH243">
        <f t="shared" si="587"/>
        <v>5526</v>
      </c>
      <c r="DI243">
        <f t="shared" si="588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9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90"/>
        <v>200</v>
      </c>
      <c r="DP243">
        <f t="shared" si="591"/>
        <v>38210</v>
      </c>
      <c r="DQ243">
        <f>_xlfn.XLOOKUP(B243,'[12]february-2026'!$A:$A,'[12]february-2026'!$C:$C,0,0)</f>
        <v>30700</v>
      </c>
      <c r="DR243">
        <f t="shared" si="592"/>
        <v>5526</v>
      </c>
      <c r="DS243">
        <f t="shared" si="59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4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5"/>
        <v>200</v>
      </c>
      <c r="DZ243">
        <f t="shared" si="596"/>
        <v>38210</v>
      </c>
      <c r="EA243">
        <f t="shared" si="597"/>
        <v>485848</v>
      </c>
      <c r="EB243">
        <f t="shared" si="598"/>
        <v>2200</v>
      </c>
      <c r="EC243">
        <f t="shared" si="599"/>
        <v>50000</v>
      </c>
      <c r="ED243">
        <v>0</v>
      </c>
      <c r="EE243">
        <f t="shared" si="600"/>
        <v>433648</v>
      </c>
      <c r="EF243">
        <f t="shared" si="601"/>
        <v>24000</v>
      </c>
      <c r="EG243">
        <f t="shared" si="602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3"/>
        <v>24000</v>
      </c>
      <c r="ES243">
        <f t="shared" si="604"/>
        <v>24000</v>
      </c>
      <c r="ET243">
        <f t="shared" si="605"/>
        <v>409648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6"/>
        <v>0</v>
      </c>
      <c r="FC243">
        <f t="shared" si="607"/>
        <v>409648</v>
      </c>
      <c r="FD243">
        <f t="shared" si="608"/>
        <v>7982</v>
      </c>
      <c r="FE243">
        <f t="shared" si="609"/>
        <v>0</v>
      </c>
      <c r="FF243">
        <f t="shared" si="610"/>
        <v>7982</v>
      </c>
      <c r="FG243">
        <f t="shared" si="611"/>
        <v>0</v>
      </c>
      <c r="FH243">
        <f t="shared" si="612"/>
        <v>0</v>
      </c>
      <c r="FI243">
        <f t="shared" si="613"/>
        <v>0</v>
      </c>
      <c r="FJ243">
        <v>0</v>
      </c>
      <c r="FK243">
        <f t="shared" si="614"/>
        <v>0</v>
      </c>
      <c r="FL243" t="b">
        <f t="shared" si="615"/>
        <v>0</v>
      </c>
      <c r="FM243">
        <f t="shared" ca="1" si="616"/>
        <v>1529</v>
      </c>
      <c r="FN243">
        <f t="shared" ca="1" si="617"/>
        <v>487377</v>
      </c>
      <c r="FO243">
        <f t="shared" si="618"/>
        <v>75000</v>
      </c>
      <c r="FP243">
        <f t="shared" ca="1" si="619"/>
        <v>412377</v>
      </c>
      <c r="FQ243">
        <f t="shared" ca="1" si="620"/>
        <v>0</v>
      </c>
      <c r="FR243">
        <f t="shared" ca="1" si="621"/>
        <v>0</v>
      </c>
      <c r="FS243">
        <f t="shared" ca="1" si="622"/>
        <v>0</v>
      </c>
      <c r="FT243">
        <f t="shared" ca="1" si="623"/>
        <v>0</v>
      </c>
      <c r="FU243">
        <f t="shared" ca="1" si="624"/>
        <v>0</v>
      </c>
      <c r="FV243">
        <f t="shared" ca="1" si="625"/>
        <v>0</v>
      </c>
      <c r="FW243">
        <f t="shared" ca="1" si="626"/>
        <v>0</v>
      </c>
      <c r="FX243">
        <f t="shared" ca="1" si="627"/>
        <v>0</v>
      </c>
      <c r="FY243">
        <f t="shared" ca="1" si="628"/>
        <v>0</v>
      </c>
      <c r="FZ243">
        <f t="shared" ca="1" si="629"/>
        <v>0</v>
      </c>
      <c r="GA243">
        <f t="shared" ca="1" si="630"/>
        <v>12377</v>
      </c>
      <c r="GB243">
        <f t="shared" ca="1" si="631"/>
        <v>618.85</v>
      </c>
      <c r="GC243">
        <f t="shared" ca="1" si="632"/>
        <v>619</v>
      </c>
      <c r="GD243">
        <f t="shared" ca="1" si="633"/>
        <v>0</v>
      </c>
      <c r="GE243">
        <f t="shared" ca="1" si="634"/>
        <v>0</v>
      </c>
      <c r="GF243">
        <f t="shared" ca="1" si="635"/>
        <v>619</v>
      </c>
      <c r="GG243">
        <f t="shared" ca="1" si="636"/>
        <v>0</v>
      </c>
      <c r="GH243" t="b">
        <f t="shared" ca="1" si="637"/>
        <v>0</v>
      </c>
      <c r="GI243">
        <f t="shared" ca="1" si="638"/>
        <v>0</v>
      </c>
      <c r="GJ243">
        <f t="shared" ca="1" si="639"/>
        <v>619</v>
      </c>
      <c r="GK243">
        <f t="shared" ca="1" si="640"/>
        <v>0</v>
      </c>
      <c r="GL243">
        <f t="shared" ca="1" si="641"/>
        <v>0</v>
      </c>
      <c r="GM243">
        <f t="shared" ca="1" si="642"/>
        <v>0</v>
      </c>
    </row>
    <row r="244" spans="1:195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645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38"/>
        <v>4046.0000000000005</v>
      </c>
      <c r="L244">
        <f t="shared" si="539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540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43"/>
        <v>150</v>
      </c>
      <c r="S244">
        <f t="shared" si="541"/>
        <v>34264</v>
      </c>
      <c r="T244">
        <f>_xlfn.XLOOKUP(B244,'[2]april-2025'!$A:$A,'[2]april-2025'!$C:$C,0,0)</f>
        <v>28900</v>
      </c>
      <c r="U244">
        <f t="shared" si="542"/>
        <v>5202</v>
      </c>
      <c r="V244">
        <f t="shared" si="543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44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45"/>
        <v>150</v>
      </c>
      <c r="AC244">
        <f t="shared" si="546"/>
        <v>35420</v>
      </c>
      <c r="AD244">
        <f>_xlfn.XLOOKUP(B244,'[3]may-2025'!$A:$A,'[3]may-2025'!$C:$C,0,0)</f>
        <v>28900</v>
      </c>
      <c r="AE244">
        <f t="shared" si="547"/>
        <v>5202</v>
      </c>
      <c r="AF244">
        <f t="shared" si="54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49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50"/>
        <v>150</v>
      </c>
      <c r="AM244">
        <f t="shared" si="551"/>
        <v>35420</v>
      </c>
      <c r="AN244">
        <f>_xlfn.XLOOKUP(B244,'[4]june-2025'!$A:$A,'[4]june-2025'!$C:$C,0,0)</f>
        <v>28900</v>
      </c>
      <c r="AO244">
        <f t="shared" si="552"/>
        <v>5202</v>
      </c>
      <c r="AP244">
        <f t="shared" si="553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54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55"/>
        <v>150</v>
      </c>
      <c r="AW244">
        <f t="shared" si="556"/>
        <v>35420</v>
      </c>
      <c r="AX244">
        <f>_xlfn.XLOOKUP(B244,'[5]july-2025'!$A:$A,'[5]july-2025'!$C:$C,0,0)</f>
        <v>29800</v>
      </c>
      <c r="AY244">
        <f t="shared" si="557"/>
        <v>5364</v>
      </c>
      <c r="AZ244">
        <v>0</v>
      </c>
      <c r="BA244">
        <f t="shared" si="558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59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60"/>
        <v>150</v>
      </c>
      <c r="BH244">
        <f t="shared" si="561"/>
        <v>36590</v>
      </c>
      <c r="BI244">
        <f>_xlfn.XLOOKUP(B244,'[6]august-2025'!$A:$A,'[6]august-2025'!$C:$C,0,0)</f>
        <v>29800</v>
      </c>
      <c r="BJ244">
        <f t="shared" si="562"/>
        <v>5364</v>
      </c>
      <c r="BK244">
        <f t="shared" si="563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64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65"/>
        <v>150</v>
      </c>
      <c r="BR244">
        <f t="shared" si="566"/>
        <v>36590</v>
      </c>
      <c r="BS244">
        <f>_xlfn.XLOOKUP(B244,'[7]september-2025'!$A:$A,'[7]september-2025'!$C:$C,0,0)</f>
        <v>29800</v>
      </c>
      <c r="BT244">
        <f t="shared" si="567"/>
        <v>5364</v>
      </c>
      <c r="BU244">
        <f t="shared" si="568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69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70"/>
        <v>150</v>
      </c>
      <c r="CB244">
        <f t="shared" si="571"/>
        <v>36590</v>
      </c>
      <c r="CC244">
        <f>_xlfn.XLOOKUP(B244,'[8]october-2025'!$A:$A,'[8]october-2025'!$C:$C,0,0)</f>
        <v>29800</v>
      </c>
      <c r="CD244">
        <f t="shared" si="572"/>
        <v>5364</v>
      </c>
      <c r="CE244">
        <f t="shared" si="573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7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75"/>
        <v>150</v>
      </c>
      <c r="CL244">
        <f t="shared" si="576"/>
        <v>36590</v>
      </c>
      <c r="CM244">
        <f>_xlfn.XLOOKUP(B244,'[9]november-2025'!$A:$A,'[9]november-2025'!$C:$C,0,0)</f>
        <v>29800</v>
      </c>
      <c r="CN244">
        <f t="shared" si="577"/>
        <v>5364</v>
      </c>
      <c r="CO244">
        <f t="shared" si="578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79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80"/>
        <v>150</v>
      </c>
      <c r="CV244">
        <f t="shared" si="581"/>
        <v>36590</v>
      </c>
      <c r="CW244">
        <f>_xlfn.XLOOKUP(B244,'[10]december-2025'!$A:$A,'[10]december-2025'!$C:$C,0,0)</f>
        <v>29800</v>
      </c>
      <c r="CX244">
        <f t="shared" si="582"/>
        <v>5364</v>
      </c>
      <c r="CY244">
        <f t="shared" si="583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84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85"/>
        <v>150</v>
      </c>
      <c r="DF244">
        <f t="shared" si="586"/>
        <v>36590</v>
      </c>
      <c r="DG244">
        <f>_xlfn.XLOOKUP(B244,'[11]january-2026'!$A:$A,'[11]january-2026'!$C:$C,0,0)</f>
        <v>29800</v>
      </c>
      <c r="DH244">
        <f t="shared" si="587"/>
        <v>5364</v>
      </c>
      <c r="DI244">
        <f t="shared" si="588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9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90"/>
        <v>150</v>
      </c>
      <c r="DP244">
        <f t="shared" si="591"/>
        <v>36590</v>
      </c>
      <c r="DQ244">
        <f>_xlfn.XLOOKUP(B244,'[12]february-2026'!$A:$A,'[12]february-2026'!$C:$C,0,0)</f>
        <v>29800</v>
      </c>
      <c r="DR244">
        <f t="shared" si="592"/>
        <v>5364</v>
      </c>
      <c r="DS244">
        <f t="shared" si="59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4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5"/>
        <v>150</v>
      </c>
      <c r="DZ244">
        <f t="shared" si="596"/>
        <v>36590</v>
      </c>
      <c r="EA244">
        <f t="shared" si="597"/>
        <v>465844</v>
      </c>
      <c r="EB244">
        <f t="shared" si="598"/>
        <v>1800</v>
      </c>
      <c r="EC244">
        <f t="shared" si="599"/>
        <v>50000</v>
      </c>
      <c r="ED244">
        <v>0</v>
      </c>
      <c r="EE244">
        <f t="shared" si="600"/>
        <v>414044</v>
      </c>
      <c r="EF244">
        <f t="shared" si="601"/>
        <v>24000</v>
      </c>
      <c r="EG244">
        <f t="shared" si="602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3"/>
        <v>24000</v>
      </c>
      <c r="ES244">
        <f t="shared" si="604"/>
        <v>24000</v>
      </c>
      <c r="ET244">
        <f t="shared" si="605"/>
        <v>390044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6"/>
        <v>0</v>
      </c>
      <c r="FC244">
        <f t="shared" si="607"/>
        <v>390044</v>
      </c>
      <c r="FD244">
        <f t="shared" si="608"/>
        <v>7002</v>
      </c>
      <c r="FE244">
        <f t="shared" si="609"/>
        <v>0</v>
      </c>
      <c r="FF244">
        <f t="shared" si="610"/>
        <v>7002</v>
      </c>
      <c r="FG244">
        <f t="shared" si="611"/>
        <v>0</v>
      </c>
      <c r="FH244">
        <f t="shared" si="612"/>
        <v>0</v>
      </c>
      <c r="FI244">
        <f t="shared" si="613"/>
        <v>0</v>
      </c>
      <c r="FJ244">
        <v>0</v>
      </c>
      <c r="FK244">
        <f t="shared" si="614"/>
        <v>0</v>
      </c>
      <c r="FL244" t="b">
        <f t="shared" si="615"/>
        <v>0</v>
      </c>
      <c r="FM244">
        <f t="shared" ca="1" si="616"/>
        <v>2394</v>
      </c>
      <c r="FN244">
        <f t="shared" ca="1" si="617"/>
        <v>468238</v>
      </c>
      <c r="FO244">
        <f t="shared" si="618"/>
        <v>75000</v>
      </c>
      <c r="FP244">
        <f t="shared" ca="1" si="619"/>
        <v>393238</v>
      </c>
      <c r="FQ244">
        <f t="shared" ca="1" si="620"/>
        <v>0</v>
      </c>
      <c r="FR244">
        <f t="shared" ca="1" si="621"/>
        <v>0</v>
      </c>
      <c r="FS244">
        <f t="shared" ca="1" si="622"/>
        <v>0</v>
      </c>
      <c r="FT244">
        <f t="shared" ca="1" si="623"/>
        <v>0</v>
      </c>
      <c r="FU244">
        <f t="shared" ca="1" si="624"/>
        <v>0</v>
      </c>
      <c r="FV244">
        <f t="shared" ca="1" si="625"/>
        <v>0</v>
      </c>
      <c r="FW244">
        <f t="shared" ca="1" si="626"/>
        <v>0</v>
      </c>
      <c r="FX244">
        <f t="shared" ca="1" si="627"/>
        <v>0</v>
      </c>
      <c r="FY244">
        <f t="shared" ca="1" si="628"/>
        <v>0</v>
      </c>
      <c r="FZ244">
        <f t="shared" ca="1" si="629"/>
        <v>0</v>
      </c>
      <c r="GA244">
        <f t="shared" ca="1" si="630"/>
        <v>0</v>
      </c>
      <c r="GB244">
        <f t="shared" ca="1" si="631"/>
        <v>0</v>
      </c>
      <c r="GC244">
        <f t="shared" ca="1" si="632"/>
        <v>0</v>
      </c>
      <c r="GD244">
        <f t="shared" ca="1" si="633"/>
        <v>0</v>
      </c>
      <c r="GE244">
        <f t="shared" ca="1" si="634"/>
        <v>0</v>
      </c>
      <c r="GF244">
        <f t="shared" ca="1" si="635"/>
        <v>0</v>
      </c>
      <c r="GG244">
        <f t="shared" ca="1" si="636"/>
        <v>0</v>
      </c>
      <c r="GH244" t="b">
        <f t="shared" ca="1" si="637"/>
        <v>0</v>
      </c>
      <c r="GI244">
        <f t="shared" ca="1" si="638"/>
        <v>0</v>
      </c>
      <c r="GJ244">
        <f t="shared" ca="1" si="639"/>
        <v>0</v>
      </c>
      <c r="GK244">
        <f t="shared" ca="1" si="640"/>
        <v>0</v>
      </c>
      <c r="GL244">
        <f t="shared" ca="1" si="641"/>
        <v>0</v>
      </c>
      <c r="GM244">
        <f t="shared" ca="1" si="642"/>
        <v>0</v>
      </c>
    </row>
    <row r="245" spans="1:195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645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38"/>
        <v>4046.0000000000005</v>
      </c>
      <c r="L245">
        <f t="shared" si="539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540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43"/>
        <v>150</v>
      </c>
      <c r="S245">
        <f t="shared" si="541"/>
        <v>34764</v>
      </c>
      <c r="T245">
        <f>_xlfn.XLOOKUP(B245,'[2]april-2025'!$A:$A,'[2]april-2025'!$C:$C,0,0)</f>
        <v>28900</v>
      </c>
      <c r="U245">
        <f t="shared" si="542"/>
        <v>5202</v>
      </c>
      <c r="V245">
        <f t="shared" si="543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44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45"/>
        <v>150</v>
      </c>
      <c r="AC245">
        <f t="shared" si="546"/>
        <v>35920</v>
      </c>
      <c r="AD245">
        <f>_xlfn.XLOOKUP(B245,'[3]may-2025'!$A:$A,'[3]may-2025'!$C:$C,0,0)</f>
        <v>28900</v>
      </c>
      <c r="AE245">
        <f t="shared" si="547"/>
        <v>5202</v>
      </c>
      <c r="AF245">
        <f t="shared" si="54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49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50"/>
        <v>150</v>
      </c>
      <c r="AM245">
        <f t="shared" si="551"/>
        <v>35920</v>
      </c>
      <c r="AN245">
        <f>_xlfn.XLOOKUP(B245,'[4]june-2025'!$A:$A,'[4]june-2025'!$C:$C,0,0)</f>
        <v>28900</v>
      </c>
      <c r="AO245">
        <f t="shared" si="552"/>
        <v>5202</v>
      </c>
      <c r="AP245">
        <f t="shared" si="553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54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55"/>
        <v>150</v>
      </c>
      <c r="AW245">
        <f t="shared" si="556"/>
        <v>35920</v>
      </c>
      <c r="AX245">
        <f>_xlfn.XLOOKUP(B245,'[5]july-2025'!$A:$A,'[5]july-2025'!$C:$C,0,0)</f>
        <v>29800</v>
      </c>
      <c r="AY245">
        <f t="shared" si="557"/>
        <v>5364</v>
      </c>
      <c r="AZ245">
        <v>0</v>
      </c>
      <c r="BA245">
        <f t="shared" si="558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59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60"/>
        <v>150</v>
      </c>
      <c r="BH245">
        <f t="shared" si="561"/>
        <v>37090</v>
      </c>
      <c r="BI245">
        <f>_xlfn.XLOOKUP(B245,'[6]august-2025'!$A:$A,'[6]august-2025'!$C:$C,0,0)</f>
        <v>29800</v>
      </c>
      <c r="BJ245">
        <f t="shared" si="562"/>
        <v>5364</v>
      </c>
      <c r="BK245">
        <f t="shared" si="563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64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65"/>
        <v>150</v>
      </c>
      <c r="BR245">
        <f t="shared" si="566"/>
        <v>37090</v>
      </c>
      <c r="BS245">
        <f>_xlfn.XLOOKUP(B245,'[7]september-2025'!$A:$A,'[7]september-2025'!$C:$C,0,0)</f>
        <v>29800</v>
      </c>
      <c r="BT245">
        <f t="shared" si="567"/>
        <v>5364</v>
      </c>
      <c r="BU245">
        <f t="shared" si="568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69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70"/>
        <v>150</v>
      </c>
      <c r="CB245">
        <f t="shared" si="571"/>
        <v>37090</v>
      </c>
      <c r="CC245">
        <f>_xlfn.XLOOKUP(B245,'[8]october-2025'!$A:$A,'[8]october-2025'!$C:$C,0,0)</f>
        <v>29800</v>
      </c>
      <c r="CD245">
        <f t="shared" si="572"/>
        <v>5364</v>
      </c>
      <c r="CE245">
        <f t="shared" si="573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7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75"/>
        <v>150</v>
      </c>
      <c r="CL245">
        <f t="shared" si="576"/>
        <v>37090</v>
      </c>
      <c r="CM245">
        <f>_xlfn.XLOOKUP(B245,'[9]november-2025'!$A:$A,'[9]november-2025'!$C:$C,0,0)</f>
        <v>29800</v>
      </c>
      <c r="CN245">
        <f t="shared" si="577"/>
        <v>5364</v>
      </c>
      <c r="CO245">
        <f t="shared" si="578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79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80"/>
        <v>150</v>
      </c>
      <c r="CV245">
        <f t="shared" si="581"/>
        <v>37090</v>
      </c>
      <c r="CW245">
        <f>_xlfn.XLOOKUP(B245,'[10]december-2025'!$A:$A,'[10]december-2025'!$C:$C,0,0)</f>
        <v>29800</v>
      </c>
      <c r="CX245">
        <f t="shared" si="582"/>
        <v>5364</v>
      </c>
      <c r="CY245">
        <f t="shared" si="583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84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85"/>
        <v>150</v>
      </c>
      <c r="DF245">
        <f t="shared" si="586"/>
        <v>37090</v>
      </c>
      <c r="DG245">
        <f>_xlfn.XLOOKUP(B245,'[11]january-2026'!$A:$A,'[11]january-2026'!$C:$C,0,0)</f>
        <v>29800</v>
      </c>
      <c r="DH245">
        <f t="shared" si="587"/>
        <v>5364</v>
      </c>
      <c r="DI245">
        <f t="shared" si="588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9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90"/>
        <v>150</v>
      </c>
      <c r="DP245">
        <f t="shared" si="591"/>
        <v>37090</v>
      </c>
      <c r="DQ245">
        <f>_xlfn.XLOOKUP(B245,'[12]february-2026'!$A:$A,'[12]february-2026'!$C:$C,0,0)</f>
        <v>29800</v>
      </c>
      <c r="DR245">
        <f t="shared" si="592"/>
        <v>5364</v>
      </c>
      <c r="DS245">
        <f t="shared" si="59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4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5"/>
        <v>150</v>
      </c>
      <c r="DZ245">
        <f t="shared" si="596"/>
        <v>37090</v>
      </c>
      <c r="EA245">
        <f t="shared" si="597"/>
        <v>471844</v>
      </c>
      <c r="EB245">
        <f t="shared" si="598"/>
        <v>1800</v>
      </c>
      <c r="EC245">
        <f t="shared" si="599"/>
        <v>50000</v>
      </c>
      <c r="ED245">
        <v>0</v>
      </c>
      <c r="EE245">
        <f t="shared" si="600"/>
        <v>420044</v>
      </c>
      <c r="EF245">
        <f t="shared" si="601"/>
        <v>24000</v>
      </c>
      <c r="EG245">
        <f t="shared" si="602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3"/>
        <v>24000</v>
      </c>
      <c r="ES245">
        <f t="shared" si="604"/>
        <v>24000</v>
      </c>
      <c r="ET245">
        <f t="shared" si="605"/>
        <v>396044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6"/>
        <v>0</v>
      </c>
      <c r="FC245">
        <f t="shared" si="607"/>
        <v>396044</v>
      </c>
      <c r="FD245">
        <f t="shared" si="608"/>
        <v>7302</v>
      </c>
      <c r="FE245">
        <f t="shared" si="609"/>
        <v>0</v>
      </c>
      <c r="FF245">
        <f t="shared" si="610"/>
        <v>7302</v>
      </c>
      <c r="FG245">
        <f t="shared" si="611"/>
        <v>0</v>
      </c>
      <c r="FH245">
        <f t="shared" si="612"/>
        <v>0</v>
      </c>
      <c r="FI245">
        <f t="shared" si="613"/>
        <v>0</v>
      </c>
      <c r="FJ245">
        <v>0</v>
      </c>
      <c r="FK245">
        <f t="shared" si="614"/>
        <v>0</v>
      </c>
      <c r="FL245" t="b">
        <f t="shared" si="615"/>
        <v>0</v>
      </c>
      <c r="FM245">
        <f t="shared" ca="1" si="616"/>
        <v>1341</v>
      </c>
      <c r="FN245">
        <f t="shared" ca="1" si="617"/>
        <v>473185</v>
      </c>
      <c r="FO245">
        <f t="shared" si="618"/>
        <v>75000</v>
      </c>
      <c r="FP245">
        <f t="shared" ca="1" si="619"/>
        <v>398185</v>
      </c>
      <c r="FQ245">
        <f t="shared" ca="1" si="620"/>
        <v>0</v>
      </c>
      <c r="FR245">
        <f t="shared" ca="1" si="621"/>
        <v>0</v>
      </c>
      <c r="FS245">
        <f t="shared" ca="1" si="622"/>
        <v>0</v>
      </c>
      <c r="FT245">
        <f t="shared" ca="1" si="623"/>
        <v>0</v>
      </c>
      <c r="FU245">
        <f t="shared" ca="1" si="624"/>
        <v>0</v>
      </c>
      <c r="FV245">
        <f t="shared" ca="1" si="625"/>
        <v>0</v>
      </c>
      <c r="FW245">
        <f t="shared" ca="1" si="626"/>
        <v>0</v>
      </c>
      <c r="FX245">
        <f t="shared" ca="1" si="627"/>
        <v>0</v>
      </c>
      <c r="FY245">
        <f t="shared" ca="1" si="628"/>
        <v>0</v>
      </c>
      <c r="FZ245">
        <f t="shared" ca="1" si="629"/>
        <v>0</v>
      </c>
      <c r="GA245">
        <f t="shared" ca="1" si="630"/>
        <v>0</v>
      </c>
      <c r="GB245">
        <f t="shared" ca="1" si="631"/>
        <v>0</v>
      </c>
      <c r="GC245">
        <f t="shared" ca="1" si="632"/>
        <v>0</v>
      </c>
      <c r="GD245">
        <f t="shared" ca="1" si="633"/>
        <v>0</v>
      </c>
      <c r="GE245">
        <f t="shared" ca="1" si="634"/>
        <v>0</v>
      </c>
      <c r="GF245">
        <f t="shared" ca="1" si="635"/>
        <v>0</v>
      </c>
      <c r="GG245">
        <f t="shared" ca="1" si="636"/>
        <v>0</v>
      </c>
      <c r="GH245" t="b">
        <f t="shared" ca="1" si="637"/>
        <v>0</v>
      </c>
      <c r="GI245">
        <f t="shared" ca="1" si="638"/>
        <v>0</v>
      </c>
      <c r="GJ245">
        <f t="shared" ca="1" si="639"/>
        <v>0</v>
      </c>
      <c r="GK245">
        <f t="shared" ca="1" si="640"/>
        <v>0</v>
      </c>
      <c r="GL245">
        <f t="shared" ca="1" si="641"/>
        <v>0</v>
      </c>
      <c r="GM245">
        <f t="shared" ca="1" si="642"/>
        <v>0</v>
      </c>
    </row>
    <row r="246" spans="1:195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645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38"/>
        <v>5278.0000000000009</v>
      </c>
      <c r="L246">
        <f t="shared" si="539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540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43"/>
        <v>200</v>
      </c>
      <c r="S246">
        <f t="shared" si="541"/>
        <v>45202</v>
      </c>
      <c r="T246">
        <f>_xlfn.XLOOKUP(B246,'[2]april-2025'!$A:$A,'[2]april-2025'!$C:$C,0,0)</f>
        <v>37700</v>
      </c>
      <c r="U246">
        <f t="shared" si="542"/>
        <v>6786</v>
      </c>
      <c r="V246">
        <f t="shared" si="543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44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45"/>
        <v>200</v>
      </c>
      <c r="AC246">
        <f t="shared" si="546"/>
        <v>46710</v>
      </c>
      <c r="AD246">
        <f>_xlfn.XLOOKUP(B246,'[3]may-2025'!$A:$A,'[3]may-2025'!$C:$C,0,0)</f>
        <v>37700</v>
      </c>
      <c r="AE246">
        <f t="shared" si="547"/>
        <v>6786</v>
      </c>
      <c r="AF246">
        <f t="shared" si="54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49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50"/>
        <v>200</v>
      </c>
      <c r="AM246">
        <f t="shared" si="551"/>
        <v>46710</v>
      </c>
      <c r="AN246">
        <f>_xlfn.XLOOKUP(B246,'[4]june-2025'!$A:$A,'[4]june-2025'!$C:$C,0,0)</f>
        <v>37700</v>
      </c>
      <c r="AO246">
        <f t="shared" si="552"/>
        <v>6786</v>
      </c>
      <c r="AP246">
        <f t="shared" si="553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54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55"/>
        <v>200</v>
      </c>
      <c r="AW246">
        <f t="shared" si="556"/>
        <v>46710</v>
      </c>
      <c r="AX246">
        <f>_xlfn.XLOOKUP(B246,'[5]july-2025'!$A:$A,'[5]july-2025'!$C:$C,0,0)</f>
        <v>38800</v>
      </c>
      <c r="AY246">
        <f t="shared" si="557"/>
        <v>6984</v>
      </c>
      <c r="AZ246">
        <v>0</v>
      </c>
      <c r="BA246">
        <f t="shared" si="558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59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60"/>
        <v>200</v>
      </c>
      <c r="BH246">
        <f t="shared" si="561"/>
        <v>48140</v>
      </c>
      <c r="BI246">
        <f>_xlfn.XLOOKUP(B246,'[6]august-2025'!$A:$A,'[6]august-2025'!$C:$C,0,0)</f>
        <v>38800</v>
      </c>
      <c r="BJ246">
        <f t="shared" si="562"/>
        <v>6984</v>
      </c>
      <c r="BK246">
        <f t="shared" si="563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64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65"/>
        <v>200</v>
      </c>
      <c r="BR246">
        <f t="shared" si="566"/>
        <v>48140</v>
      </c>
      <c r="BS246">
        <f>_xlfn.XLOOKUP(B246,'[7]september-2025'!$A:$A,'[7]september-2025'!$C:$C,0,0)</f>
        <v>38800</v>
      </c>
      <c r="BT246">
        <f t="shared" si="567"/>
        <v>6984</v>
      </c>
      <c r="BU246">
        <f t="shared" si="568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69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70"/>
        <v>200</v>
      </c>
      <c r="CB246">
        <f t="shared" si="571"/>
        <v>48140</v>
      </c>
      <c r="CC246">
        <f>_xlfn.XLOOKUP(B246,'[8]october-2025'!$A:$A,'[8]october-2025'!$C:$C,0,0)</f>
        <v>38800</v>
      </c>
      <c r="CD246">
        <f t="shared" si="572"/>
        <v>6984</v>
      </c>
      <c r="CE246">
        <f t="shared" si="573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7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75"/>
        <v>200</v>
      </c>
      <c r="CL246">
        <f t="shared" si="576"/>
        <v>48140</v>
      </c>
      <c r="CM246">
        <f>_xlfn.XLOOKUP(B246,'[9]november-2025'!$A:$A,'[9]november-2025'!$C:$C,0,0)</f>
        <v>38800</v>
      </c>
      <c r="CN246">
        <f t="shared" si="577"/>
        <v>6984</v>
      </c>
      <c r="CO246">
        <f t="shared" si="578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79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80"/>
        <v>200</v>
      </c>
      <c r="CV246">
        <f t="shared" si="581"/>
        <v>48140</v>
      </c>
      <c r="CW246">
        <f>_xlfn.XLOOKUP(B246,'[10]december-2025'!$A:$A,'[10]december-2025'!$C:$C,0,0)</f>
        <v>38800</v>
      </c>
      <c r="CX246">
        <f t="shared" si="582"/>
        <v>6984</v>
      </c>
      <c r="CY246">
        <f t="shared" si="583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84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85"/>
        <v>200</v>
      </c>
      <c r="DF246">
        <f t="shared" si="586"/>
        <v>48140</v>
      </c>
      <c r="DG246">
        <f>_xlfn.XLOOKUP(B246,'[11]january-2026'!$A:$A,'[11]january-2026'!$C:$C,0,0)</f>
        <v>38800</v>
      </c>
      <c r="DH246">
        <f t="shared" si="587"/>
        <v>6984</v>
      </c>
      <c r="DI246">
        <f t="shared" si="588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9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90"/>
        <v>200</v>
      </c>
      <c r="DP246">
        <f t="shared" si="591"/>
        <v>48140</v>
      </c>
      <c r="DQ246">
        <f>_xlfn.XLOOKUP(B246,'[12]february-2026'!$A:$A,'[12]february-2026'!$C:$C,0,0)</f>
        <v>38800</v>
      </c>
      <c r="DR246">
        <f t="shared" si="592"/>
        <v>6984</v>
      </c>
      <c r="DS246">
        <f t="shared" si="59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4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5"/>
        <v>200</v>
      </c>
      <c r="DZ246">
        <f t="shared" si="596"/>
        <v>48140</v>
      </c>
      <c r="EA246">
        <f t="shared" si="597"/>
        <v>615652</v>
      </c>
      <c r="EB246">
        <f t="shared" si="598"/>
        <v>2400</v>
      </c>
      <c r="EC246">
        <f t="shared" si="599"/>
        <v>50000</v>
      </c>
      <c r="ED246">
        <v>0</v>
      </c>
      <c r="EE246">
        <f t="shared" si="600"/>
        <v>563252</v>
      </c>
      <c r="EF246">
        <f t="shared" si="601"/>
        <v>36000</v>
      </c>
      <c r="EG246">
        <f t="shared" si="602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3"/>
        <v>36000</v>
      </c>
      <c r="ES246">
        <f t="shared" si="604"/>
        <v>36000</v>
      </c>
      <c r="ET246">
        <f t="shared" si="605"/>
        <v>527252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6"/>
        <v>0</v>
      </c>
      <c r="FC246">
        <f t="shared" si="607"/>
        <v>527252</v>
      </c>
      <c r="FD246">
        <f t="shared" si="608"/>
        <v>12500</v>
      </c>
      <c r="FE246">
        <f t="shared" si="609"/>
        <v>5450</v>
      </c>
      <c r="FF246">
        <f t="shared" si="610"/>
        <v>17950</v>
      </c>
      <c r="FG246">
        <f t="shared" si="611"/>
        <v>17950</v>
      </c>
      <c r="FH246">
        <f t="shared" si="612"/>
        <v>718</v>
      </c>
      <c r="FI246">
        <f t="shared" si="613"/>
        <v>18668</v>
      </c>
      <c r="FJ246">
        <v>0</v>
      </c>
      <c r="FK246">
        <f t="shared" si="614"/>
        <v>18668</v>
      </c>
      <c r="FL246" t="b">
        <f t="shared" si="615"/>
        <v>1</v>
      </c>
      <c r="FM246">
        <f t="shared" ca="1" si="616"/>
        <v>531</v>
      </c>
      <c r="FN246">
        <f t="shared" ca="1" si="617"/>
        <v>616183</v>
      </c>
      <c r="FO246">
        <f t="shared" si="618"/>
        <v>75000</v>
      </c>
      <c r="FP246">
        <f t="shared" ca="1" si="619"/>
        <v>541183</v>
      </c>
      <c r="FQ246">
        <f t="shared" ca="1" si="620"/>
        <v>0</v>
      </c>
      <c r="FR246">
        <f t="shared" ca="1" si="621"/>
        <v>0</v>
      </c>
      <c r="FS246">
        <f t="shared" ca="1" si="622"/>
        <v>0</v>
      </c>
      <c r="FT246">
        <f t="shared" ca="1" si="623"/>
        <v>0</v>
      </c>
      <c r="FU246">
        <f t="shared" ca="1" si="624"/>
        <v>0</v>
      </c>
      <c r="FV246">
        <f t="shared" ca="1" si="625"/>
        <v>0</v>
      </c>
      <c r="FW246">
        <f t="shared" ca="1" si="626"/>
        <v>0</v>
      </c>
      <c r="FX246">
        <f t="shared" ca="1" si="627"/>
        <v>0</v>
      </c>
      <c r="FY246">
        <f t="shared" ca="1" si="628"/>
        <v>0</v>
      </c>
      <c r="FZ246">
        <f t="shared" ca="1" si="629"/>
        <v>0</v>
      </c>
      <c r="GA246">
        <f t="shared" ca="1" si="630"/>
        <v>141183</v>
      </c>
      <c r="GB246">
        <f t="shared" ca="1" si="631"/>
        <v>7059.1500000000005</v>
      </c>
      <c r="GC246">
        <f t="shared" ca="1" si="632"/>
        <v>7059</v>
      </c>
      <c r="GD246">
        <f t="shared" ca="1" si="633"/>
        <v>0</v>
      </c>
      <c r="GE246">
        <f t="shared" ca="1" si="634"/>
        <v>0</v>
      </c>
      <c r="GF246">
        <f t="shared" ca="1" si="635"/>
        <v>7059</v>
      </c>
      <c r="GG246">
        <f t="shared" ca="1" si="636"/>
        <v>0</v>
      </c>
      <c r="GH246" t="b">
        <f t="shared" ca="1" si="637"/>
        <v>0</v>
      </c>
      <c r="GI246">
        <f t="shared" ca="1" si="638"/>
        <v>0</v>
      </c>
      <c r="GJ246">
        <f t="shared" ca="1" si="639"/>
        <v>7059</v>
      </c>
      <c r="GK246">
        <f t="shared" ca="1" si="640"/>
        <v>0</v>
      </c>
      <c r="GL246">
        <f t="shared" ca="1" si="641"/>
        <v>0</v>
      </c>
      <c r="GM246">
        <f t="shared" ca="1" si="642"/>
        <v>0</v>
      </c>
    </row>
    <row r="247" spans="1:195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645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38"/>
        <v>6622.0000000000009</v>
      </c>
      <c r="L247">
        <f t="shared" si="539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540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43"/>
        <v>200</v>
      </c>
      <c r="S247">
        <f t="shared" si="541"/>
        <v>56898</v>
      </c>
      <c r="T247">
        <f>_xlfn.XLOOKUP(B247,'[2]april-2025'!$A:$A,'[2]april-2025'!$C:$C,0,0)</f>
        <v>47300</v>
      </c>
      <c r="U247">
        <f t="shared" si="542"/>
        <v>8514</v>
      </c>
      <c r="V247">
        <f t="shared" si="543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44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45"/>
        <v>200</v>
      </c>
      <c r="AC247">
        <f t="shared" si="546"/>
        <v>58790</v>
      </c>
      <c r="AD247">
        <f>_xlfn.XLOOKUP(B247,'[3]may-2025'!$A:$A,'[3]may-2025'!$C:$C,0,0)</f>
        <v>47300</v>
      </c>
      <c r="AE247">
        <f t="shared" si="547"/>
        <v>8514</v>
      </c>
      <c r="AF247">
        <f t="shared" si="54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49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50"/>
        <v>200</v>
      </c>
      <c r="AM247">
        <f t="shared" si="551"/>
        <v>58790</v>
      </c>
      <c r="AN247">
        <f>_xlfn.XLOOKUP(B247,'[4]june-2025'!$A:$A,'[4]june-2025'!$C:$C,0,0)</f>
        <v>47300</v>
      </c>
      <c r="AO247">
        <f t="shared" si="552"/>
        <v>8514</v>
      </c>
      <c r="AP247">
        <f t="shared" si="553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54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55"/>
        <v>200</v>
      </c>
      <c r="AW247">
        <f t="shared" si="556"/>
        <v>58790</v>
      </c>
      <c r="AX247">
        <f>_xlfn.XLOOKUP(B247,'[5]july-2025'!$A:$A,'[5]july-2025'!$C:$C,0,0)</f>
        <v>48700</v>
      </c>
      <c r="AY247">
        <f t="shared" si="557"/>
        <v>8766</v>
      </c>
      <c r="AZ247">
        <v>0</v>
      </c>
      <c r="BA247">
        <f t="shared" si="558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59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60"/>
        <v>200</v>
      </c>
      <c r="BH247">
        <f t="shared" si="561"/>
        <v>60610</v>
      </c>
      <c r="BI247">
        <f>_xlfn.XLOOKUP(B247,'[6]august-2025'!$A:$A,'[6]august-2025'!$C:$C,0,0)</f>
        <v>48700</v>
      </c>
      <c r="BJ247">
        <f t="shared" si="562"/>
        <v>8766</v>
      </c>
      <c r="BK247">
        <f t="shared" si="563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64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65"/>
        <v>200</v>
      </c>
      <c r="BR247">
        <f t="shared" si="566"/>
        <v>60610</v>
      </c>
      <c r="BS247">
        <f>_xlfn.XLOOKUP(B247,'[7]september-2025'!$A:$A,'[7]september-2025'!$C:$C,0,0)</f>
        <v>48700</v>
      </c>
      <c r="BT247">
        <f t="shared" si="567"/>
        <v>8766</v>
      </c>
      <c r="BU247">
        <f t="shared" si="568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69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70"/>
        <v>200</v>
      </c>
      <c r="CB247">
        <f t="shared" si="571"/>
        <v>60610</v>
      </c>
      <c r="CC247">
        <f>_xlfn.XLOOKUP(B247,'[8]october-2025'!$A:$A,'[8]october-2025'!$C:$C,0,0)</f>
        <v>48700</v>
      </c>
      <c r="CD247">
        <f t="shared" si="572"/>
        <v>8766</v>
      </c>
      <c r="CE247">
        <f t="shared" si="573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7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75"/>
        <v>200</v>
      </c>
      <c r="CL247">
        <f t="shared" si="576"/>
        <v>60610</v>
      </c>
      <c r="CM247">
        <f>_xlfn.XLOOKUP(B247,'[9]november-2025'!$A:$A,'[9]november-2025'!$C:$C,0,0)</f>
        <v>48700</v>
      </c>
      <c r="CN247">
        <f t="shared" si="577"/>
        <v>8766</v>
      </c>
      <c r="CO247">
        <f t="shared" si="578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79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80"/>
        <v>200</v>
      </c>
      <c r="CV247">
        <f t="shared" si="581"/>
        <v>60610</v>
      </c>
      <c r="CW247">
        <f>_xlfn.XLOOKUP(B247,'[10]december-2025'!$A:$A,'[10]december-2025'!$C:$C,0,0)</f>
        <v>48700</v>
      </c>
      <c r="CX247">
        <f t="shared" si="582"/>
        <v>8766</v>
      </c>
      <c r="CY247">
        <f t="shared" si="583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84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85"/>
        <v>200</v>
      </c>
      <c r="DF247">
        <f t="shared" si="586"/>
        <v>60610</v>
      </c>
      <c r="DG247">
        <f>_xlfn.XLOOKUP(B247,'[11]january-2026'!$A:$A,'[11]january-2026'!$C:$C,0,0)</f>
        <v>48700</v>
      </c>
      <c r="DH247">
        <f t="shared" si="587"/>
        <v>8766</v>
      </c>
      <c r="DI247">
        <f t="shared" si="588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9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90"/>
        <v>200</v>
      </c>
      <c r="DP247">
        <f t="shared" si="591"/>
        <v>60610</v>
      </c>
      <c r="DQ247">
        <f>_xlfn.XLOOKUP(B247,'[12]february-2026'!$A:$A,'[12]february-2026'!$C:$C,0,0)</f>
        <v>48700</v>
      </c>
      <c r="DR247">
        <f t="shared" si="592"/>
        <v>8766</v>
      </c>
      <c r="DS247">
        <f t="shared" si="59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4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5"/>
        <v>200</v>
      </c>
      <c r="DZ247">
        <f t="shared" si="596"/>
        <v>60610</v>
      </c>
      <c r="EA247">
        <f t="shared" si="597"/>
        <v>763348</v>
      </c>
      <c r="EB247">
        <f t="shared" si="598"/>
        <v>2400</v>
      </c>
      <c r="EC247">
        <f t="shared" si="599"/>
        <v>50000</v>
      </c>
      <c r="ED247">
        <v>0</v>
      </c>
      <c r="EE247">
        <f t="shared" si="600"/>
        <v>710948</v>
      </c>
      <c r="EF247">
        <f t="shared" si="601"/>
        <v>36000</v>
      </c>
      <c r="EG247">
        <f t="shared" si="602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3"/>
        <v>36000</v>
      </c>
      <c r="ES247">
        <f t="shared" si="604"/>
        <v>36000</v>
      </c>
      <c r="ET247">
        <f t="shared" si="605"/>
        <v>674948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6"/>
        <v>0</v>
      </c>
      <c r="FC247">
        <f t="shared" si="607"/>
        <v>674948</v>
      </c>
      <c r="FD247">
        <f t="shared" si="608"/>
        <v>12500</v>
      </c>
      <c r="FE247">
        <f t="shared" si="609"/>
        <v>34990</v>
      </c>
      <c r="FF247">
        <f t="shared" si="610"/>
        <v>47490</v>
      </c>
      <c r="FG247">
        <f t="shared" si="611"/>
        <v>47490</v>
      </c>
      <c r="FH247">
        <f t="shared" si="612"/>
        <v>1899.6000000000001</v>
      </c>
      <c r="FI247">
        <f t="shared" si="613"/>
        <v>49390</v>
      </c>
      <c r="FJ247">
        <v>0</v>
      </c>
      <c r="FK247">
        <f t="shared" si="614"/>
        <v>49390</v>
      </c>
      <c r="FL247" t="b">
        <f t="shared" si="615"/>
        <v>1</v>
      </c>
      <c r="FM247">
        <f t="shared" ca="1" si="616"/>
        <v>883</v>
      </c>
      <c r="FN247">
        <f t="shared" ca="1" si="617"/>
        <v>764231</v>
      </c>
      <c r="FO247">
        <f t="shared" si="618"/>
        <v>75000</v>
      </c>
      <c r="FP247">
        <f t="shared" ca="1" si="619"/>
        <v>689231</v>
      </c>
      <c r="FQ247">
        <f t="shared" ca="1" si="620"/>
        <v>0</v>
      </c>
      <c r="FR247">
        <f t="shared" ca="1" si="621"/>
        <v>0</v>
      </c>
      <c r="FS247">
        <f t="shared" ca="1" si="622"/>
        <v>0</v>
      </c>
      <c r="FT247">
        <f t="shared" ca="1" si="623"/>
        <v>0</v>
      </c>
      <c r="FU247">
        <f t="shared" ca="1" si="624"/>
        <v>0</v>
      </c>
      <c r="FV247">
        <f t="shared" ca="1" si="625"/>
        <v>0</v>
      </c>
      <c r="FW247">
        <f t="shared" ca="1" si="626"/>
        <v>0</v>
      </c>
      <c r="FX247">
        <f t="shared" ca="1" si="627"/>
        <v>0</v>
      </c>
      <c r="FY247">
        <f t="shared" ca="1" si="628"/>
        <v>0</v>
      </c>
      <c r="FZ247">
        <f t="shared" ca="1" si="629"/>
        <v>0</v>
      </c>
      <c r="GA247">
        <f t="shared" ca="1" si="630"/>
        <v>289231</v>
      </c>
      <c r="GB247">
        <f t="shared" ca="1" si="631"/>
        <v>14461.550000000001</v>
      </c>
      <c r="GC247">
        <f t="shared" ca="1" si="632"/>
        <v>14462</v>
      </c>
      <c r="GD247">
        <f t="shared" ca="1" si="633"/>
        <v>0</v>
      </c>
      <c r="GE247">
        <f t="shared" ca="1" si="634"/>
        <v>0</v>
      </c>
      <c r="GF247">
        <f t="shared" ca="1" si="635"/>
        <v>14462</v>
      </c>
      <c r="GG247">
        <f t="shared" ca="1" si="636"/>
        <v>0</v>
      </c>
      <c r="GH247" t="b">
        <f t="shared" ca="1" si="637"/>
        <v>0</v>
      </c>
      <c r="GI247">
        <f t="shared" ca="1" si="638"/>
        <v>0</v>
      </c>
      <c r="GJ247">
        <f t="shared" ca="1" si="639"/>
        <v>14462</v>
      </c>
      <c r="GK247">
        <f t="shared" ca="1" si="640"/>
        <v>0</v>
      </c>
      <c r="GL247">
        <f t="shared" ca="1" si="641"/>
        <v>0</v>
      </c>
      <c r="GM247">
        <f t="shared" ca="1" si="642"/>
        <v>0</v>
      </c>
    </row>
    <row r="248" spans="1:195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645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38"/>
        <v>4690</v>
      </c>
      <c r="L248">
        <f t="shared" si="539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540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43"/>
        <v>200</v>
      </c>
      <c r="S248">
        <f t="shared" si="541"/>
        <v>40010</v>
      </c>
      <c r="T248">
        <f>_xlfn.XLOOKUP(B248,'[2]april-2025'!$A:$A,'[2]april-2025'!$C:$C,0,0)</f>
        <v>33500</v>
      </c>
      <c r="U248">
        <f t="shared" si="542"/>
        <v>6030</v>
      </c>
      <c r="V248">
        <f t="shared" si="543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44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45"/>
        <v>200</v>
      </c>
      <c r="AC248">
        <f t="shared" si="546"/>
        <v>41350</v>
      </c>
      <c r="AD248">
        <f>_xlfn.XLOOKUP(B248,'[3]may-2025'!$A:$A,'[3]may-2025'!$C:$C,0,0)</f>
        <v>33500</v>
      </c>
      <c r="AE248">
        <f t="shared" si="547"/>
        <v>6030</v>
      </c>
      <c r="AF248">
        <f t="shared" si="54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49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50"/>
        <v>200</v>
      </c>
      <c r="AM248">
        <f t="shared" si="551"/>
        <v>41350</v>
      </c>
      <c r="AN248">
        <f>_xlfn.XLOOKUP(B248,'[4]june-2025'!$A:$A,'[4]june-2025'!$C:$C,0,0)</f>
        <v>33500</v>
      </c>
      <c r="AO248">
        <f t="shared" si="552"/>
        <v>6030</v>
      </c>
      <c r="AP248">
        <f t="shared" si="553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54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55"/>
        <v>200</v>
      </c>
      <c r="AW248">
        <f t="shared" si="556"/>
        <v>41350</v>
      </c>
      <c r="AX248">
        <f>_xlfn.XLOOKUP(B248,'[5]july-2025'!$A:$A,'[5]july-2025'!$C:$C,0,0)</f>
        <v>34500</v>
      </c>
      <c r="AY248">
        <f t="shared" si="557"/>
        <v>6210</v>
      </c>
      <c r="AZ248">
        <v>0</v>
      </c>
      <c r="BA248">
        <f t="shared" si="558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59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60"/>
        <v>200</v>
      </c>
      <c r="BH248">
        <f t="shared" si="561"/>
        <v>42650</v>
      </c>
      <c r="BI248">
        <f>_xlfn.XLOOKUP(B248,'[6]august-2025'!$A:$A,'[6]august-2025'!$C:$C,0,0)</f>
        <v>34500</v>
      </c>
      <c r="BJ248">
        <f t="shared" si="562"/>
        <v>6210</v>
      </c>
      <c r="BK248">
        <f t="shared" si="563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64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65"/>
        <v>200</v>
      </c>
      <c r="BR248">
        <f t="shared" si="566"/>
        <v>42650</v>
      </c>
      <c r="BS248">
        <f>_xlfn.XLOOKUP(B248,'[7]september-2025'!$A:$A,'[7]september-2025'!$C:$C,0,0)</f>
        <v>34500</v>
      </c>
      <c r="BT248">
        <f t="shared" si="567"/>
        <v>6210</v>
      </c>
      <c r="BU248">
        <f t="shared" si="568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69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70"/>
        <v>200</v>
      </c>
      <c r="CB248">
        <f t="shared" si="571"/>
        <v>42650</v>
      </c>
      <c r="CC248">
        <f>_xlfn.XLOOKUP(B248,'[8]october-2025'!$A:$A,'[8]october-2025'!$C:$C,0,0)</f>
        <v>34500</v>
      </c>
      <c r="CD248">
        <f t="shared" si="572"/>
        <v>6210</v>
      </c>
      <c r="CE248">
        <f t="shared" si="573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7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75"/>
        <v>200</v>
      </c>
      <c r="CL248">
        <f t="shared" si="576"/>
        <v>42650</v>
      </c>
      <c r="CM248">
        <f>_xlfn.XLOOKUP(B248,'[9]november-2025'!$A:$A,'[9]november-2025'!$C:$C,0,0)</f>
        <v>34500</v>
      </c>
      <c r="CN248">
        <f t="shared" si="577"/>
        <v>6210</v>
      </c>
      <c r="CO248">
        <f t="shared" si="578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79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80"/>
        <v>200</v>
      </c>
      <c r="CV248">
        <f t="shared" si="581"/>
        <v>42650</v>
      </c>
      <c r="CW248">
        <f>_xlfn.XLOOKUP(B248,'[10]december-2025'!$A:$A,'[10]december-2025'!$C:$C,0,0)</f>
        <v>34500</v>
      </c>
      <c r="CX248">
        <f t="shared" si="582"/>
        <v>6210</v>
      </c>
      <c r="CY248">
        <f t="shared" si="583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84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85"/>
        <v>200</v>
      </c>
      <c r="DF248">
        <f t="shared" si="586"/>
        <v>42650</v>
      </c>
      <c r="DG248">
        <f>_xlfn.XLOOKUP(B248,'[11]january-2026'!$A:$A,'[11]january-2026'!$C:$C,0,0)</f>
        <v>34500</v>
      </c>
      <c r="DH248">
        <f t="shared" si="587"/>
        <v>6210</v>
      </c>
      <c r="DI248">
        <f t="shared" si="588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9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90"/>
        <v>200</v>
      </c>
      <c r="DP248">
        <f t="shared" si="591"/>
        <v>42650</v>
      </c>
      <c r="DQ248">
        <f>_xlfn.XLOOKUP(B248,'[12]february-2026'!$A:$A,'[12]february-2026'!$C:$C,0,0)</f>
        <v>34500</v>
      </c>
      <c r="DR248">
        <f t="shared" si="592"/>
        <v>6210</v>
      </c>
      <c r="DS248">
        <f t="shared" si="59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4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5"/>
        <v>200</v>
      </c>
      <c r="DZ248">
        <f t="shared" si="596"/>
        <v>42650</v>
      </c>
      <c r="EA248">
        <f t="shared" si="597"/>
        <v>544460</v>
      </c>
      <c r="EB248">
        <f t="shared" si="598"/>
        <v>2400</v>
      </c>
      <c r="EC248">
        <f t="shared" si="599"/>
        <v>50000</v>
      </c>
      <c r="ED248">
        <v>0</v>
      </c>
      <c r="EE248">
        <f t="shared" si="600"/>
        <v>492060</v>
      </c>
      <c r="EF248">
        <f t="shared" si="601"/>
        <v>30000</v>
      </c>
      <c r="EG248">
        <f t="shared" si="602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3"/>
        <v>30000</v>
      </c>
      <c r="ES248">
        <f t="shared" si="604"/>
        <v>30000</v>
      </c>
      <c r="ET248">
        <f t="shared" si="605"/>
        <v>462060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6"/>
        <v>0</v>
      </c>
      <c r="FC248">
        <f t="shared" si="607"/>
        <v>462060</v>
      </c>
      <c r="FD248">
        <f t="shared" si="608"/>
        <v>10603</v>
      </c>
      <c r="FE248">
        <f t="shared" si="609"/>
        <v>0</v>
      </c>
      <c r="FF248">
        <f t="shared" si="610"/>
        <v>10603</v>
      </c>
      <c r="FG248">
        <f t="shared" si="611"/>
        <v>0</v>
      </c>
      <c r="FH248">
        <f t="shared" si="612"/>
        <v>0</v>
      </c>
      <c r="FI248">
        <f t="shared" si="613"/>
        <v>0</v>
      </c>
      <c r="FJ248">
        <v>0</v>
      </c>
      <c r="FK248">
        <f t="shared" si="614"/>
        <v>0</v>
      </c>
      <c r="FL248" t="b">
        <f t="shared" si="615"/>
        <v>1</v>
      </c>
      <c r="FM248">
        <f t="shared" ca="1" si="616"/>
        <v>537</v>
      </c>
      <c r="FN248">
        <f t="shared" ca="1" si="617"/>
        <v>544997</v>
      </c>
      <c r="FO248">
        <f t="shared" si="618"/>
        <v>75000</v>
      </c>
      <c r="FP248">
        <f t="shared" ca="1" si="619"/>
        <v>469997</v>
      </c>
      <c r="FQ248">
        <f t="shared" ca="1" si="620"/>
        <v>0</v>
      </c>
      <c r="FR248">
        <f t="shared" ca="1" si="621"/>
        <v>0</v>
      </c>
      <c r="FS248">
        <f t="shared" ca="1" si="622"/>
        <v>0</v>
      </c>
      <c r="FT248">
        <f t="shared" ca="1" si="623"/>
        <v>0</v>
      </c>
      <c r="FU248">
        <f t="shared" ca="1" si="624"/>
        <v>0</v>
      </c>
      <c r="FV248">
        <f t="shared" ca="1" si="625"/>
        <v>0</v>
      </c>
      <c r="FW248">
        <f t="shared" ca="1" si="626"/>
        <v>0</v>
      </c>
      <c r="FX248">
        <f t="shared" ca="1" si="627"/>
        <v>0</v>
      </c>
      <c r="FY248">
        <f t="shared" ca="1" si="628"/>
        <v>0</v>
      </c>
      <c r="FZ248">
        <f t="shared" ca="1" si="629"/>
        <v>0</v>
      </c>
      <c r="GA248">
        <f t="shared" ca="1" si="630"/>
        <v>69997</v>
      </c>
      <c r="GB248">
        <f t="shared" ca="1" si="631"/>
        <v>3499.8500000000004</v>
      </c>
      <c r="GC248">
        <f t="shared" ca="1" si="632"/>
        <v>3500</v>
      </c>
      <c r="GD248">
        <f t="shared" ca="1" si="633"/>
        <v>0</v>
      </c>
      <c r="GE248">
        <f t="shared" ca="1" si="634"/>
        <v>0</v>
      </c>
      <c r="GF248">
        <f t="shared" ca="1" si="635"/>
        <v>3500</v>
      </c>
      <c r="GG248">
        <f t="shared" ca="1" si="636"/>
        <v>0</v>
      </c>
      <c r="GH248" t="b">
        <f t="shared" ca="1" si="637"/>
        <v>0</v>
      </c>
      <c r="GI248">
        <f t="shared" ca="1" si="638"/>
        <v>0</v>
      </c>
      <c r="GJ248">
        <f t="shared" ca="1" si="639"/>
        <v>3500</v>
      </c>
      <c r="GK248">
        <f t="shared" ca="1" si="640"/>
        <v>0</v>
      </c>
      <c r="GL248">
        <f t="shared" ca="1" si="641"/>
        <v>0</v>
      </c>
      <c r="GM248">
        <f t="shared" ca="1" si="642"/>
        <v>0</v>
      </c>
    </row>
    <row r="249" spans="1:195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645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38"/>
        <v>4690</v>
      </c>
      <c r="L249">
        <f t="shared" si="539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540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43"/>
        <v>200</v>
      </c>
      <c r="S249">
        <f t="shared" si="541"/>
        <v>40010</v>
      </c>
      <c r="T249">
        <f>_xlfn.XLOOKUP(B249,'[2]april-2025'!$A:$A,'[2]april-2025'!$C:$C,0,0)</f>
        <v>33500</v>
      </c>
      <c r="U249">
        <f t="shared" si="542"/>
        <v>6030</v>
      </c>
      <c r="V249">
        <f t="shared" si="543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44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45"/>
        <v>200</v>
      </c>
      <c r="AC249">
        <f t="shared" si="546"/>
        <v>41350</v>
      </c>
      <c r="AD249">
        <f>_xlfn.XLOOKUP(B249,'[3]may-2025'!$A:$A,'[3]may-2025'!$C:$C,0,0)</f>
        <v>33500</v>
      </c>
      <c r="AE249">
        <f t="shared" si="547"/>
        <v>6030</v>
      </c>
      <c r="AF249">
        <f t="shared" si="54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49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50"/>
        <v>200</v>
      </c>
      <c r="AM249">
        <f t="shared" si="551"/>
        <v>41350</v>
      </c>
      <c r="AN249">
        <f>_xlfn.XLOOKUP(B249,'[4]june-2025'!$A:$A,'[4]june-2025'!$C:$C,0,0)</f>
        <v>33500</v>
      </c>
      <c r="AO249">
        <f t="shared" si="552"/>
        <v>6030</v>
      </c>
      <c r="AP249">
        <f t="shared" si="553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54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55"/>
        <v>200</v>
      </c>
      <c r="AW249">
        <f t="shared" si="556"/>
        <v>41350</v>
      </c>
      <c r="AX249">
        <f>_xlfn.XLOOKUP(B249,'[5]july-2025'!$A:$A,'[5]july-2025'!$C:$C,0,0)</f>
        <v>34500</v>
      </c>
      <c r="AY249">
        <f t="shared" si="557"/>
        <v>6210</v>
      </c>
      <c r="AZ249">
        <v>0</v>
      </c>
      <c r="BA249">
        <f t="shared" si="558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59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60"/>
        <v>200</v>
      </c>
      <c r="BH249">
        <f t="shared" si="561"/>
        <v>42650</v>
      </c>
      <c r="BI249">
        <f>_xlfn.XLOOKUP(B249,'[6]august-2025'!$A:$A,'[6]august-2025'!$C:$C,0,0)</f>
        <v>34500</v>
      </c>
      <c r="BJ249">
        <f t="shared" si="562"/>
        <v>6210</v>
      </c>
      <c r="BK249">
        <f t="shared" si="563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64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65"/>
        <v>200</v>
      </c>
      <c r="BR249">
        <f t="shared" si="566"/>
        <v>42650</v>
      </c>
      <c r="BS249">
        <f>_xlfn.XLOOKUP(B249,'[7]september-2025'!$A:$A,'[7]september-2025'!$C:$C,0,0)</f>
        <v>34500</v>
      </c>
      <c r="BT249">
        <f t="shared" si="567"/>
        <v>6210</v>
      </c>
      <c r="BU249">
        <f t="shared" si="568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69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70"/>
        <v>200</v>
      </c>
      <c r="CB249">
        <f t="shared" si="571"/>
        <v>42650</v>
      </c>
      <c r="CC249">
        <f>_xlfn.XLOOKUP(B249,'[8]october-2025'!$A:$A,'[8]october-2025'!$C:$C,0,0)</f>
        <v>34500</v>
      </c>
      <c r="CD249">
        <f t="shared" si="572"/>
        <v>6210</v>
      </c>
      <c r="CE249">
        <f t="shared" si="573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7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75"/>
        <v>200</v>
      </c>
      <c r="CL249">
        <f t="shared" si="576"/>
        <v>42650</v>
      </c>
      <c r="CM249">
        <f>_xlfn.XLOOKUP(B249,'[9]november-2025'!$A:$A,'[9]november-2025'!$C:$C,0,0)</f>
        <v>34500</v>
      </c>
      <c r="CN249">
        <f t="shared" si="577"/>
        <v>6210</v>
      </c>
      <c r="CO249">
        <f t="shared" si="578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79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80"/>
        <v>200</v>
      </c>
      <c r="CV249">
        <f t="shared" si="581"/>
        <v>42650</v>
      </c>
      <c r="CW249">
        <f>_xlfn.XLOOKUP(B249,'[10]december-2025'!$A:$A,'[10]december-2025'!$C:$C,0,0)</f>
        <v>34500</v>
      </c>
      <c r="CX249">
        <f t="shared" si="582"/>
        <v>6210</v>
      </c>
      <c r="CY249">
        <f t="shared" si="583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84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85"/>
        <v>200</v>
      </c>
      <c r="DF249">
        <f t="shared" si="586"/>
        <v>42650</v>
      </c>
      <c r="DG249">
        <f>_xlfn.XLOOKUP(B249,'[11]january-2026'!$A:$A,'[11]january-2026'!$C:$C,0,0)</f>
        <v>34500</v>
      </c>
      <c r="DH249">
        <f t="shared" si="587"/>
        <v>6210</v>
      </c>
      <c r="DI249">
        <f t="shared" si="588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9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90"/>
        <v>200</v>
      </c>
      <c r="DP249">
        <f t="shared" si="591"/>
        <v>42650</v>
      </c>
      <c r="DQ249">
        <f>_xlfn.XLOOKUP(B249,'[12]february-2026'!$A:$A,'[12]february-2026'!$C:$C,0,0)</f>
        <v>34500</v>
      </c>
      <c r="DR249">
        <f t="shared" si="592"/>
        <v>6210</v>
      </c>
      <c r="DS249">
        <f t="shared" si="59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4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5"/>
        <v>200</v>
      </c>
      <c r="DZ249">
        <f t="shared" si="596"/>
        <v>42650</v>
      </c>
      <c r="EA249">
        <f t="shared" si="597"/>
        <v>544460</v>
      </c>
      <c r="EB249">
        <f t="shared" si="598"/>
        <v>2400</v>
      </c>
      <c r="EC249">
        <f t="shared" si="599"/>
        <v>50000</v>
      </c>
      <c r="ED249">
        <v>0</v>
      </c>
      <c r="EE249">
        <f t="shared" si="600"/>
        <v>492060</v>
      </c>
      <c r="EF249">
        <f t="shared" si="601"/>
        <v>30000</v>
      </c>
      <c r="EG249">
        <f t="shared" si="602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3"/>
        <v>30000</v>
      </c>
      <c r="ES249">
        <f t="shared" si="604"/>
        <v>30000</v>
      </c>
      <c r="ET249">
        <f t="shared" si="605"/>
        <v>462060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6"/>
        <v>0</v>
      </c>
      <c r="FC249">
        <f t="shared" si="607"/>
        <v>462060</v>
      </c>
      <c r="FD249">
        <f t="shared" si="608"/>
        <v>10603</v>
      </c>
      <c r="FE249">
        <f t="shared" si="609"/>
        <v>0</v>
      </c>
      <c r="FF249">
        <f t="shared" si="610"/>
        <v>10603</v>
      </c>
      <c r="FG249">
        <f t="shared" si="611"/>
        <v>0</v>
      </c>
      <c r="FH249">
        <f t="shared" si="612"/>
        <v>0</v>
      </c>
      <c r="FI249">
        <f t="shared" si="613"/>
        <v>0</v>
      </c>
      <c r="FJ249">
        <v>0</v>
      </c>
      <c r="FK249">
        <f t="shared" si="614"/>
        <v>0</v>
      </c>
      <c r="FL249" t="b">
        <f t="shared" si="615"/>
        <v>1</v>
      </c>
      <c r="FM249">
        <f t="shared" ca="1" si="616"/>
        <v>754</v>
      </c>
      <c r="FN249">
        <f t="shared" ca="1" si="617"/>
        <v>545214</v>
      </c>
      <c r="FO249">
        <f t="shared" si="618"/>
        <v>75000</v>
      </c>
      <c r="FP249">
        <f t="shared" ca="1" si="619"/>
        <v>470214</v>
      </c>
      <c r="FQ249">
        <f t="shared" ca="1" si="620"/>
        <v>0</v>
      </c>
      <c r="FR249">
        <f t="shared" ca="1" si="621"/>
        <v>0</v>
      </c>
      <c r="FS249">
        <f t="shared" ca="1" si="622"/>
        <v>0</v>
      </c>
      <c r="FT249">
        <f t="shared" ca="1" si="623"/>
        <v>0</v>
      </c>
      <c r="FU249">
        <f t="shared" ca="1" si="624"/>
        <v>0</v>
      </c>
      <c r="FV249">
        <f t="shared" ca="1" si="625"/>
        <v>0</v>
      </c>
      <c r="FW249">
        <f t="shared" ca="1" si="626"/>
        <v>0</v>
      </c>
      <c r="FX249">
        <f t="shared" ca="1" si="627"/>
        <v>0</v>
      </c>
      <c r="FY249">
        <f t="shared" ca="1" si="628"/>
        <v>0</v>
      </c>
      <c r="FZ249">
        <f t="shared" ca="1" si="629"/>
        <v>0</v>
      </c>
      <c r="GA249">
        <f t="shared" ca="1" si="630"/>
        <v>70214</v>
      </c>
      <c r="GB249">
        <f t="shared" ca="1" si="631"/>
        <v>3510.7000000000003</v>
      </c>
      <c r="GC249">
        <f t="shared" ca="1" si="632"/>
        <v>3511</v>
      </c>
      <c r="GD249">
        <f t="shared" ca="1" si="633"/>
        <v>0</v>
      </c>
      <c r="GE249">
        <f t="shared" ca="1" si="634"/>
        <v>0</v>
      </c>
      <c r="GF249">
        <f t="shared" ca="1" si="635"/>
        <v>3511</v>
      </c>
      <c r="GG249">
        <f t="shared" ca="1" si="636"/>
        <v>0</v>
      </c>
      <c r="GH249" t="b">
        <f t="shared" ca="1" si="637"/>
        <v>0</v>
      </c>
      <c r="GI249">
        <f t="shared" ca="1" si="638"/>
        <v>0</v>
      </c>
      <c r="GJ249">
        <f t="shared" ca="1" si="639"/>
        <v>3511</v>
      </c>
      <c r="GK249">
        <f t="shared" ca="1" si="640"/>
        <v>0</v>
      </c>
      <c r="GL249">
        <f t="shared" ca="1" si="641"/>
        <v>0</v>
      </c>
      <c r="GM249">
        <f t="shared" ca="1" si="642"/>
        <v>0</v>
      </c>
    </row>
    <row r="250" spans="1:195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645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38"/>
        <v>4046.0000000000005</v>
      </c>
      <c r="L250">
        <f t="shared" si="539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540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43"/>
        <v>150</v>
      </c>
      <c r="S250">
        <f t="shared" si="541"/>
        <v>34764</v>
      </c>
      <c r="T250">
        <f>_xlfn.XLOOKUP(B250,'[2]april-2025'!$A:$A,'[2]april-2025'!$C:$C,0,0)</f>
        <v>28900</v>
      </c>
      <c r="U250">
        <f t="shared" si="542"/>
        <v>5202</v>
      </c>
      <c r="V250">
        <f t="shared" si="543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44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45"/>
        <v>150</v>
      </c>
      <c r="AC250">
        <f t="shared" si="546"/>
        <v>35920</v>
      </c>
      <c r="AD250">
        <f>_xlfn.XLOOKUP(B250,'[3]may-2025'!$A:$A,'[3]may-2025'!$C:$C,0,0)</f>
        <v>28900</v>
      </c>
      <c r="AE250">
        <f t="shared" si="547"/>
        <v>5202</v>
      </c>
      <c r="AF250">
        <f t="shared" si="54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49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50"/>
        <v>150</v>
      </c>
      <c r="AM250">
        <f t="shared" si="551"/>
        <v>35920</v>
      </c>
      <c r="AN250">
        <f>_xlfn.XLOOKUP(B250,'[4]june-2025'!$A:$A,'[4]june-2025'!$C:$C,0,0)</f>
        <v>28900</v>
      </c>
      <c r="AO250">
        <f t="shared" si="552"/>
        <v>5202</v>
      </c>
      <c r="AP250">
        <f t="shared" si="553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54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55"/>
        <v>150</v>
      </c>
      <c r="AW250">
        <f t="shared" si="556"/>
        <v>35920</v>
      </c>
      <c r="AX250">
        <f>_xlfn.XLOOKUP(B250,'[5]july-2025'!$A:$A,'[5]july-2025'!$C:$C,0,0)</f>
        <v>29800</v>
      </c>
      <c r="AY250">
        <f t="shared" si="557"/>
        <v>5364</v>
      </c>
      <c r="AZ250">
        <v>0</v>
      </c>
      <c r="BA250">
        <f t="shared" si="558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59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60"/>
        <v>150</v>
      </c>
      <c r="BH250">
        <f t="shared" si="561"/>
        <v>37090</v>
      </c>
      <c r="BI250">
        <f>_xlfn.XLOOKUP(B250,'[6]august-2025'!$A:$A,'[6]august-2025'!$C:$C,0,0)</f>
        <v>29800</v>
      </c>
      <c r="BJ250">
        <f t="shared" si="562"/>
        <v>5364</v>
      </c>
      <c r="BK250">
        <f t="shared" si="563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64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65"/>
        <v>150</v>
      </c>
      <c r="BR250">
        <f t="shared" si="566"/>
        <v>37090</v>
      </c>
      <c r="BS250">
        <f>_xlfn.XLOOKUP(B250,'[7]september-2025'!$A:$A,'[7]september-2025'!$C:$C,0,0)</f>
        <v>29800</v>
      </c>
      <c r="BT250">
        <f t="shared" si="567"/>
        <v>5364</v>
      </c>
      <c r="BU250">
        <f t="shared" si="568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69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70"/>
        <v>150</v>
      </c>
      <c r="CB250">
        <f t="shared" si="571"/>
        <v>37090</v>
      </c>
      <c r="CC250">
        <f>_xlfn.XLOOKUP(B250,'[8]october-2025'!$A:$A,'[8]october-2025'!$C:$C,0,0)</f>
        <v>29800</v>
      </c>
      <c r="CD250">
        <f t="shared" si="572"/>
        <v>5364</v>
      </c>
      <c r="CE250">
        <f t="shared" si="573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7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75"/>
        <v>150</v>
      </c>
      <c r="CL250">
        <f t="shared" si="576"/>
        <v>37090</v>
      </c>
      <c r="CM250">
        <f>_xlfn.XLOOKUP(B250,'[9]november-2025'!$A:$A,'[9]november-2025'!$C:$C,0,0)</f>
        <v>29800</v>
      </c>
      <c r="CN250">
        <f t="shared" si="577"/>
        <v>5364</v>
      </c>
      <c r="CO250">
        <f t="shared" si="578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79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80"/>
        <v>150</v>
      </c>
      <c r="CV250">
        <f t="shared" si="581"/>
        <v>37090</v>
      </c>
      <c r="CW250">
        <f>_xlfn.XLOOKUP(B250,'[10]december-2025'!$A:$A,'[10]december-2025'!$C:$C,0,0)</f>
        <v>29800</v>
      </c>
      <c r="CX250">
        <f t="shared" si="582"/>
        <v>5364</v>
      </c>
      <c r="CY250">
        <f t="shared" si="583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84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85"/>
        <v>150</v>
      </c>
      <c r="DF250">
        <f t="shared" si="586"/>
        <v>37090</v>
      </c>
      <c r="DG250">
        <f>_xlfn.XLOOKUP(B250,'[11]january-2026'!$A:$A,'[11]january-2026'!$C:$C,0,0)</f>
        <v>29800</v>
      </c>
      <c r="DH250">
        <f t="shared" si="587"/>
        <v>5364</v>
      </c>
      <c r="DI250">
        <f t="shared" si="588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9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90"/>
        <v>150</v>
      </c>
      <c r="DP250">
        <f t="shared" si="591"/>
        <v>37090</v>
      </c>
      <c r="DQ250">
        <f>_xlfn.XLOOKUP(B250,'[12]february-2026'!$A:$A,'[12]february-2026'!$C:$C,0,0)</f>
        <v>29800</v>
      </c>
      <c r="DR250">
        <f t="shared" si="592"/>
        <v>5364</v>
      </c>
      <c r="DS250">
        <f t="shared" si="59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4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5"/>
        <v>150</v>
      </c>
      <c r="DZ250">
        <f t="shared" si="596"/>
        <v>37090</v>
      </c>
      <c r="EA250">
        <f t="shared" si="597"/>
        <v>471844</v>
      </c>
      <c r="EB250">
        <f t="shared" si="598"/>
        <v>1800</v>
      </c>
      <c r="EC250">
        <f t="shared" si="599"/>
        <v>50000</v>
      </c>
      <c r="ED250">
        <v>0</v>
      </c>
      <c r="EE250">
        <f t="shared" si="600"/>
        <v>420044</v>
      </c>
      <c r="EF250">
        <f t="shared" si="601"/>
        <v>24000</v>
      </c>
      <c r="EG250">
        <f t="shared" si="602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3"/>
        <v>24000</v>
      </c>
      <c r="ES250">
        <f t="shared" si="604"/>
        <v>24000</v>
      </c>
      <c r="ET250">
        <f t="shared" si="605"/>
        <v>396044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6"/>
        <v>0</v>
      </c>
      <c r="FC250">
        <f t="shared" si="607"/>
        <v>396044</v>
      </c>
      <c r="FD250">
        <f t="shared" si="608"/>
        <v>7302</v>
      </c>
      <c r="FE250">
        <f t="shared" si="609"/>
        <v>0</v>
      </c>
      <c r="FF250">
        <f t="shared" si="610"/>
        <v>7302</v>
      </c>
      <c r="FG250">
        <f t="shared" si="611"/>
        <v>0</v>
      </c>
      <c r="FH250">
        <f t="shared" si="612"/>
        <v>0</v>
      </c>
      <c r="FI250">
        <f t="shared" si="613"/>
        <v>0</v>
      </c>
      <c r="FJ250">
        <v>0</v>
      </c>
      <c r="FK250">
        <f t="shared" si="614"/>
        <v>0</v>
      </c>
      <c r="FL250" t="b">
        <f t="shared" si="615"/>
        <v>0</v>
      </c>
      <c r="FM250">
        <f t="shared" ca="1" si="616"/>
        <v>2979</v>
      </c>
      <c r="FN250">
        <f t="shared" ca="1" si="617"/>
        <v>474823</v>
      </c>
      <c r="FO250">
        <f t="shared" si="618"/>
        <v>75000</v>
      </c>
      <c r="FP250">
        <f t="shared" ca="1" si="619"/>
        <v>399823</v>
      </c>
      <c r="FQ250">
        <f t="shared" ca="1" si="620"/>
        <v>0</v>
      </c>
      <c r="FR250">
        <f t="shared" ca="1" si="621"/>
        <v>0</v>
      </c>
      <c r="FS250">
        <f t="shared" ca="1" si="622"/>
        <v>0</v>
      </c>
      <c r="FT250">
        <f t="shared" ca="1" si="623"/>
        <v>0</v>
      </c>
      <c r="FU250">
        <f t="shared" ca="1" si="624"/>
        <v>0</v>
      </c>
      <c r="FV250">
        <f t="shared" ca="1" si="625"/>
        <v>0</v>
      </c>
      <c r="FW250">
        <f t="shared" ca="1" si="626"/>
        <v>0</v>
      </c>
      <c r="FX250">
        <f t="shared" ca="1" si="627"/>
        <v>0</v>
      </c>
      <c r="FY250">
        <f t="shared" ca="1" si="628"/>
        <v>0</v>
      </c>
      <c r="FZ250">
        <f t="shared" ca="1" si="629"/>
        <v>0</v>
      </c>
      <c r="GA250">
        <f t="shared" ca="1" si="630"/>
        <v>0</v>
      </c>
      <c r="GB250">
        <f t="shared" ca="1" si="631"/>
        <v>0</v>
      </c>
      <c r="GC250">
        <f t="shared" ca="1" si="632"/>
        <v>0</v>
      </c>
      <c r="GD250">
        <f t="shared" ca="1" si="633"/>
        <v>0</v>
      </c>
      <c r="GE250">
        <f t="shared" ca="1" si="634"/>
        <v>0</v>
      </c>
      <c r="GF250">
        <f t="shared" ca="1" si="635"/>
        <v>0</v>
      </c>
      <c r="GG250">
        <f t="shared" ca="1" si="636"/>
        <v>0</v>
      </c>
      <c r="GH250" t="b">
        <f t="shared" ca="1" si="637"/>
        <v>0</v>
      </c>
      <c r="GI250">
        <f t="shared" ca="1" si="638"/>
        <v>0</v>
      </c>
      <c r="GJ250">
        <f t="shared" ca="1" si="639"/>
        <v>0</v>
      </c>
      <c r="GK250">
        <f t="shared" ca="1" si="640"/>
        <v>0</v>
      </c>
      <c r="GL250">
        <f t="shared" ca="1" si="641"/>
        <v>0</v>
      </c>
      <c r="GM250">
        <f t="shared" ca="1" si="642"/>
        <v>0</v>
      </c>
    </row>
    <row r="251" spans="1:195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645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38"/>
        <v>6818.0000000000009</v>
      </c>
      <c r="L251">
        <f t="shared" si="539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540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43"/>
        <v>200</v>
      </c>
      <c r="S251">
        <f t="shared" si="541"/>
        <v>57062</v>
      </c>
      <c r="T251">
        <f>_xlfn.XLOOKUP(B251,'[2]april-2025'!$A:$A,'[2]april-2025'!$C:$C,0,0)</f>
        <v>48700</v>
      </c>
      <c r="U251">
        <f t="shared" si="542"/>
        <v>8766</v>
      </c>
      <c r="V251">
        <f t="shared" si="543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44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45"/>
        <v>200</v>
      </c>
      <c r="AC251">
        <f t="shared" si="546"/>
        <v>59010</v>
      </c>
      <c r="AD251">
        <f>_xlfn.XLOOKUP(B251,'[3]may-2025'!$A:$A,'[3]may-2025'!$C:$C,0,0)</f>
        <v>48700</v>
      </c>
      <c r="AE251">
        <f t="shared" si="547"/>
        <v>8766</v>
      </c>
      <c r="AF251">
        <f t="shared" si="54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49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50"/>
        <v>200</v>
      </c>
      <c r="AM251">
        <f t="shared" si="551"/>
        <v>59010</v>
      </c>
      <c r="AN251">
        <f>_xlfn.XLOOKUP(B251,'[4]june-2025'!$A:$A,'[4]june-2025'!$C:$C,0,0)</f>
        <v>48700</v>
      </c>
      <c r="AO251">
        <f t="shared" si="552"/>
        <v>8766</v>
      </c>
      <c r="AP251">
        <f t="shared" si="553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54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55"/>
        <v>200</v>
      </c>
      <c r="AW251">
        <f t="shared" si="556"/>
        <v>59010</v>
      </c>
      <c r="AX251">
        <f>_xlfn.XLOOKUP(B251,'[5]july-2025'!$A:$A,'[5]july-2025'!$C:$C,0,0)</f>
        <v>50200</v>
      </c>
      <c r="AY251">
        <f t="shared" si="557"/>
        <v>9036</v>
      </c>
      <c r="AZ251">
        <v>0</v>
      </c>
      <c r="BA251">
        <f t="shared" si="558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59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60"/>
        <v>200</v>
      </c>
      <c r="BH251">
        <f t="shared" si="561"/>
        <v>60960</v>
      </c>
      <c r="BI251">
        <f>_xlfn.XLOOKUP(B251,'[6]august-2025'!$A:$A,'[6]august-2025'!$C:$C,0,0)</f>
        <v>50200</v>
      </c>
      <c r="BJ251">
        <f t="shared" si="562"/>
        <v>9036</v>
      </c>
      <c r="BK251">
        <f t="shared" si="563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64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65"/>
        <v>200</v>
      </c>
      <c r="BR251">
        <f t="shared" si="566"/>
        <v>60960</v>
      </c>
      <c r="BS251">
        <f>_xlfn.XLOOKUP(B251,'[7]september-2025'!$A:$A,'[7]september-2025'!$C:$C,0,0)</f>
        <v>50200</v>
      </c>
      <c r="BT251">
        <f t="shared" si="567"/>
        <v>9036</v>
      </c>
      <c r="BU251">
        <f t="shared" si="568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69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70"/>
        <v>200</v>
      </c>
      <c r="CB251">
        <f t="shared" si="571"/>
        <v>60960</v>
      </c>
      <c r="CC251">
        <f>_xlfn.XLOOKUP(B251,'[8]october-2025'!$A:$A,'[8]october-2025'!$C:$C,0,0)</f>
        <v>50200</v>
      </c>
      <c r="CD251">
        <f t="shared" si="572"/>
        <v>9036</v>
      </c>
      <c r="CE251">
        <f t="shared" si="573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7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75"/>
        <v>200</v>
      </c>
      <c r="CL251">
        <f t="shared" si="576"/>
        <v>60960</v>
      </c>
      <c r="CM251">
        <f>_xlfn.XLOOKUP(B251,'[9]november-2025'!$A:$A,'[9]november-2025'!$C:$C,0,0)</f>
        <v>50200</v>
      </c>
      <c r="CN251">
        <f t="shared" si="577"/>
        <v>9036</v>
      </c>
      <c r="CO251">
        <f t="shared" si="578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79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80"/>
        <v>200</v>
      </c>
      <c r="CV251">
        <f t="shared" si="581"/>
        <v>60960</v>
      </c>
      <c r="CW251">
        <f>_xlfn.XLOOKUP(B251,'[10]december-2025'!$A:$A,'[10]december-2025'!$C:$C,0,0)</f>
        <v>50200</v>
      </c>
      <c r="CX251">
        <f t="shared" si="582"/>
        <v>9036</v>
      </c>
      <c r="CY251">
        <f t="shared" si="583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84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85"/>
        <v>200</v>
      </c>
      <c r="DF251">
        <f t="shared" si="586"/>
        <v>60960</v>
      </c>
      <c r="DG251">
        <f>_xlfn.XLOOKUP(B251,'[11]january-2026'!$A:$A,'[11]january-2026'!$C:$C,0,0)</f>
        <v>50200</v>
      </c>
      <c r="DH251">
        <f t="shared" si="587"/>
        <v>9036</v>
      </c>
      <c r="DI251">
        <f t="shared" si="588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9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90"/>
        <v>200</v>
      </c>
      <c r="DP251">
        <f t="shared" si="591"/>
        <v>60960</v>
      </c>
      <c r="DQ251">
        <f>_xlfn.XLOOKUP(B251,'[12]february-2026'!$A:$A,'[12]february-2026'!$C:$C,0,0)</f>
        <v>50200</v>
      </c>
      <c r="DR251">
        <f t="shared" si="592"/>
        <v>9036</v>
      </c>
      <c r="DS251">
        <f t="shared" si="59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4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5"/>
        <v>200</v>
      </c>
      <c r="DZ251">
        <f t="shared" si="596"/>
        <v>60960</v>
      </c>
      <c r="EA251">
        <f t="shared" si="597"/>
        <v>790972</v>
      </c>
      <c r="EB251">
        <f t="shared" si="598"/>
        <v>2400</v>
      </c>
      <c r="EC251">
        <f t="shared" si="599"/>
        <v>50000</v>
      </c>
      <c r="ED251">
        <v>0</v>
      </c>
      <c r="EE251">
        <f t="shared" si="600"/>
        <v>738572</v>
      </c>
      <c r="EF251">
        <f t="shared" si="601"/>
        <v>60000</v>
      </c>
      <c r="EG251">
        <f t="shared" si="602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3"/>
        <v>60000</v>
      </c>
      <c r="ES251">
        <f t="shared" si="604"/>
        <v>60000</v>
      </c>
      <c r="ET251">
        <f t="shared" si="605"/>
        <v>678572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6"/>
        <v>0</v>
      </c>
      <c r="FC251">
        <f t="shared" si="607"/>
        <v>678572</v>
      </c>
      <c r="FD251">
        <f t="shared" si="608"/>
        <v>12500</v>
      </c>
      <c r="FE251">
        <f t="shared" si="609"/>
        <v>35714</v>
      </c>
      <c r="FF251">
        <f t="shared" si="610"/>
        <v>48214</v>
      </c>
      <c r="FG251">
        <f t="shared" si="611"/>
        <v>48214</v>
      </c>
      <c r="FH251">
        <f t="shared" si="612"/>
        <v>1928.56</v>
      </c>
      <c r="FI251">
        <f t="shared" si="613"/>
        <v>50143</v>
      </c>
      <c r="FJ251">
        <v>0</v>
      </c>
      <c r="FK251">
        <f t="shared" si="614"/>
        <v>50143</v>
      </c>
      <c r="FL251" t="b">
        <f t="shared" si="615"/>
        <v>1</v>
      </c>
      <c r="FM251">
        <f t="shared" ca="1" si="616"/>
        <v>954</v>
      </c>
      <c r="FN251">
        <f t="shared" ca="1" si="617"/>
        <v>791926</v>
      </c>
      <c r="FO251">
        <f t="shared" si="618"/>
        <v>75000</v>
      </c>
      <c r="FP251">
        <f t="shared" ca="1" si="619"/>
        <v>716926</v>
      </c>
      <c r="FQ251">
        <f t="shared" ca="1" si="620"/>
        <v>0</v>
      </c>
      <c r="FR251">
        <f t="shared" ca="1" si="621"/>
        <v>0</v>
      </c>
      <c r="FS251">
        <f t="shared" ca="1" si="622"/>
        <v>0</v>
      </c>
      <c r="FT251">
        <f t="shared" ca="1" si="623"/>
        <v>0</v>
      </c>
      <c r="FU251">
        <f t="shared" ca="1" si="624"/>
        <v>0</v>
      </c>
      <c r="FV251">
        <f t="shared" ca="1" si="625"/>
        <v>0</v>
      </c>
      <c r="FW251">
        <f t="shared" ca="1" si="626"/>
        <v>0</v>
      </c>
      <c r="FX251">
        <f t="shared" ca="1" si="627"/>
        <v>0</v>
      </c>
      <c r="FY251">
        <f t="shared" ca="1" si="628"/>
        <v>0</v>
      </c>
      <c r="FZ251">
        <f t="shared" ca="1" si="629"/>
        <v>0</v>
      </c>
      <c r="GA251">
        <f t="shared" ca="1" si="630"/>
        <v>316926</v>
      </c>
      <c r="GB251">
        <f t="shared" ca="1" si="631"/>
        <v>15846.300000000001</v>
      </c>
      <c r="GC251">
        <f t="shared" ca="1" si="632"/>
        <v>15846</v>
      </c>
      <c r="GD251">
        <f t="shared" ca="1" si="633"/>
        <v>0</v>
      </c>
      <c r="GE251">
        <f t="shared" ca="1" si="634"/>
        <v>0</v>
      </c>
      <c r="GF251">
        <f t="shared" ca="1" si="635"/>
        <v>15846</v>
      </c>
      <c r="GG251">
        <f t="shared" ca="1" si="636"/>
        <v>0</v>
      </c>
      <c r="GH251" t="b">
        <f t="shared" ca="1" si="637"/>
        <v>0</v>
      </c>
      <c r="GI251">
        <f t="shared" ca="1" si="638"/>
        <v>0</v>
      </c>
      <c r="GJ251">
        <f t="shared" ca="1" si="639"/>
        <v>15846</v>
      </c>
      <c r="GK251">
        <f t="shared" ca="1" si="640"/>
        <v>0</v>
      </c>
      <c r="GL251">
        <f t="shared" ca="1" si="641"/>
        <v>0</v>
      </c>
      <c r="GM251">
        <f t="shared" ca="1" si="642"/>
        <v>0</v>
      </c>
    </row>
    <row r="252" spans="1:195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645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38"/>
        <v>4830.0000000000009</v>
      </c>
      <c r="L252">
        <f t="shared" si="539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540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43"/>
        <v>200</v>
      </c>
      <c r="S252">
        <f t="shared" si="541"/>
        <v>37770</v>
      </c>
      <c r="T252">
        <f>_xlfn.XLOOKUP(B252,'[2]april-2025'!$A:$A,'[2]april-2025'!$C:$C,0,0)</f>
        <v>34500</v>
      </c>
      <c r="U252">
        <f t="shared" si="542"/>
        <v>6210</v>
      </c>
      <c r="V252">
        <f t="shared" si="543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44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45"/>
        <v>200</v>
      </c>
      <c r="AC252">
        <f t="shared" si="546"/>
        <v>39150</v>
      </c>
      <c r="AD252">
        <f>_xlfn.XLOOKUP(B252,'[3]may-2025'!$A:$A,'[3]may-2025'!$C:$C,0,0)</f>
        <v>34500</v>
      </c>
      <c r="AE252">
        <f t="shared" si="547"/>
        <v>6210</v>
      </c>
      <c r="AF252">
        <f t="shared" si="54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49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50"/>
        <v>200</v>
      </c>
      <c r="AM252">
        <f t="shared" si="551"/>
        <v>39150</v>
      </c>
      <c r="AN252">
        <f>_xlfn.XLOOKUP(B252,'[4]june-2025'!$A:$A,'[4]june-2025'!$C:$C,0,0)</f>
        <v>34500</v>
      </c>
      <c r="AO252">
        <f t="shared" si="552"/>
        <v>6210</v>
      </c>
      <c r="AP252">
        <f t="shared" si="553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54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55"/>
        <v>200</v>
      </c>
      <c r="AW252">
        <f t="shared" si="556"/>
        <v>39150</v>
      </c>
      <c r="AX252">
        <f>_xlfn.XLOOKUP(B252,'[5]july-2025'!$A:$A,'[5]july-2025'!$C:$C,0,0)</f>
        <v>35500</v>
      </c>
      <c r="AY252">
        <f t="shared" si="557"/>
        <v>6390</v>
      </c>
      <c r="AZ252">
        <v>0</v>
      </c>
      <c r="BA252">
        <f t="shared" si="558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59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60"/>
        <v>200</v>
      </c>
      <c r="BH252">
        <f t="shared" si="561"/>
        <v>40450</v>
      </c>
      <c r="BI252">
        <f>_xlfn.XLOOKUP(B252,'[6]august-2025'!$A:$A,'[6]august-2025'!$C:$C,0,0)</f>
        <v>35500</v>
      </c>
      <c r="BJ252">
        <f t="shared" si="562"/>
        <v>6390</v>
      </c>
      <c r="BK252">
        <f t="shared" si="563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64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65"/>
        <v>200</v>
      </c>
      <c r="BR252">
        <f t="shared" si="566"/>
        <v>40450</v>
      </c>
      <c r="BS252">
        <f>_xlfn.XLOOKUP(B252,'[7]september-2025'!$A:$A,'[7]september-2025'!$C:$C,0,0)</f>
        <v>35500</v>
      </c>
      <c r="BT252">
        <f t="shared" si="567"/>
        <v>6390</v>
      </c>
      <c r="BU252">
        <f t="shared" si="568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69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70"/>
        <v>200</v>
      </c>
      <c r="CB252">
        <f t="shared" si="571"/>
        <v>40450</v>
      </c>
      <c r="CC252">
        <f>_xlfn.XLOOKUP(B252,'[8]october-2025'!$A:$A,'[8]october-2025'!$C:$C,0,0)</f>
        <v>35500</v>
      </c>
      <c r="CD252">
        <f t="shared" si="572"/>
        <v>6390</v>
      </c>
      <c r="CE252">
        <f t="shared" si="573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7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75"/>
        <v>200</v>
      </c>
      <c r="CL252">
        <f t="shared" si="576"/>
        <v>40450</v>
      </c>
      <c r="CM252">
        <f>_xlfn.XLOOKUP(B252,'[9]november-2025'!$A:$A,'[9]november-2025'!$C:$C,0,0)</f>
        <v>35500</v>
      </c>
      <c r="CN252">
        <f t="shared" si="577"/>
        <v>6390</v>
      </c>
      <c r="CO252">
        <f t="shared" si="578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79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80"/>
        <v>200</v>
      </c>
      <c r="CV252">
        <f t="shared" si="581"/>
        <v>40450</v>
      </c>
      <c r="CW252">
        <f>_xlfn.XLOOKUP(B252,'[10]december-2025'!$A:$A,'[10]december-2025'!$C:$C,0,0)</f>
        <v>35500</v>
      </c>
      <c r="CX252">
        <f t="shared" si="582"/>
        <v>6390</v>
      </c>
      <c r="CY252">
        <f t="shared" si="583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84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85"/>
        <v>200</v>
      </c>
      <c r="DF252">
        <f t="shared" si="586"/>
        <v>40450</v>
      </c>
      <c r="DG252">
        <f>_xlfn.XLOOKUP(B252,'[11]january-2026'!$A:$A,'[11]january-2026'!$C:$C,0,0)</f>
        <v>35500</v>
      </c>
      <c r="DH252">
        <f t="shared" si="587"/>
        <v>6390</v>
      </c>
      <c r="DI252">
        <f t="shared" si="588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9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90"/>
        <v>200</v>
      </c>
      <c r="DP252">
        <f t="shared" si="591"/>
        <v>40450</v>
      </c>
      <c r="DQ252">
        <f>_xlfn.XLOOKUP(B252,'[12]february-2026'!$A:$A,'[12]february-2026'!$C:$C,0,0)</f>
        <v>35500</v>
      </c>
      <c r="DR252">
        <f t="shared" si="592"/>
        <v>6390</v>
      </c>
      <c r="DS252">
        <f t="shared" si="59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4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5"/>
        <v>200</v>
      </c>
      <c r="DZ252">
        <f t="shared" si="596"/>
        <v>40450</v>
      </c>
      <c r="EA252">
        <f t="shared" si="597"/>
        <v>560020</v>
      </c>
      <c r="EB252">
        <f t="shared" si="598"/>
        <v>2400</v>
      </c>
      <c r="EC252">
        <f t="shared" si="599"/>
        <v>50000</v>
      </c>
      <c r="ED252">
        <v>0</v>
      </c>
      <c r="EE252">
        <f t="shared" si="600"/>
        <v>507620</v>
      </c>
      <c r="EF252">
        <f t="shared" si="601"/>
        <v>72000</v>
      </c>
      <c r="EG252">
        <f t="shared" si="602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3"/>
        <v>72000</v>
      </c>
      <c r="ES252">
        <f t="shared" si="604"/>
        <v>72000</v>
      </c>
      <c r="ET252">
        <f t="shared" si="605"/>
        <v>435620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6"/>
        <v>0</v>
      </c>
      <c r="FC252">
        <f t="shared" si="607"/>
        <v>435620</v>
      </c>
      <c r="FD252">
        <f t="shared" si="608"/>
        <v>9281</v>
      </c>
      <c r="FE252">
        <f t="shared" si="609"/>
        <v>0</v>
      </c>
      <c r="FF252">
        <f t="shared" si="610"/>
        <v>9281</v>
      </c>
      <c r="FG252">
        <f t="shared" si="611"/>
        <v>0</v>
      </c>
      <c r="FH252">
        <f t="shared" si="612"/>
        <v>0</v>
      </c>
      <c r="FI252">
        <f t="shared" si="613"/>
        <v>0</v>
      </c>
      <c r="FJ252">
        <v>0</v>
      </c>
      <c r="FK252">
        <f t="shared" si="614"/>
        <v>0</v>
      </c>
      <c r="FL252" t="b">
        <f t="shared" si="615"/>
        <v>1</v>
      </c>
      <c r="FM252">
        <f t="shared" ca="1" si="616"/>
        <v>761</v>
      </c>
      <c r="FN252">
        <f t="shared" ca="1" si="617"/>
        <v>560781</v>
      </c>
      <c r="FO252">
        <f t="shared" si="618"/>
        <v>75000</v>
      </c>
      <c r="FP252">
        <f t="shared" ca="1" si="619"/>
        <v>485781</v>
      </c>
      <c r="FQ252">
        <f t="shared" ca="1" si="620"/>
        <v>0</v>
      </c>
      <c r="FR252">
        <f t="shared" ca="1" si="621"/>
        <v>0</v>
      </c>
      <c r="FS252">
        <f t="shared" ca="1" si="622"/>
        <v>0</v>
      </c>
      <c r="FT252">
        <f t="shared" ca="1" si="623"/>
        <v>0</v>
      </c>
      <c r="FU252">
        <f t="shared" ca="1" si="624"/>
        <v>0</v>
      </c>
      <c r="FV252">
        <f t="shared" ca="1" si="625"/>
        <v>0</v>
      </c>
      <c r="FW252">
        <f t="shared" ca="1" si="626"/>
        <v>0</v>
      </c>
      <c r="FX252">
        <f t="shared" ca="1" si="627"/>
        <v>0</v>
      </c>
      <c r="FY252">
        <f t="shared" ca="1" si="628"/>
        <v>0</v>
      </c>
      <c r="FZ252">
        <f t="shared" ca="1" si="629"/>
        <v>0</v>
      </c>
      <c r="GA252">
        <f t="shared" ca="1" si="630"/>
        <v>85781</v>
      </c>
      <c r="GB252">
        <f t="shared" ca="1" si="631"/>
        <v>4289.05</v>
      </c>
      <c r="GC252">
        <f t="shared" ca="1" si="632"/>
        <v>4289</v>
      </c>
      <c r="GD252">
        <f t="shared" ca="1" si="633"/>
        <v>0</v>
      </c>
      <c r="GE252">
        <f t="shared" ca="1" si="634"/>
        <v>0</v>
      </c>
      <c r="GF252">
        <f t="shared" ca="1" si="635"/>
        <v>4289</v>
      </c>
      <c r="GG252">
        <f t="shared" ca="1" si="636"/>
        <v>0</v>
      </c>
      <c r="GH252" t="b">
        <f t="shared" ca="1" si="637"/>
        <v>0</v>
      </c>
      <c r="GI252">
        <f t="shared" ca="1" si="638"/>
        <v>0</v>
      </c>
      <c r="GJ252">
        <f t="shared" ca="1" si="639"/>
        <v>4289</v>
      </c>
      <c r="GK252">
        <f t="shared" ca="1" si="640"/>
        <v>0</v>
      </c>
      <c r="GL252">
        <f t="shared" ca="1" si="641"/>
        <v>0</v>
      </c>
      <c r="GM252">
        <f t="shared" ca="1" si="642"/>
        <v>0</v>
      </c>
    </row>
    <row r="253" spans="1:195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645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38"/>
        <v>4830.0000000000009</v>
      </c>
      <c r="L253">
        <f t="shared" si="539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540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43"/>
        <v>200</v>
      </c>
      <c r="S253">
        <f t="shared" si="541"/>
        <v>40770</v>
      </c>
      <c r="T253">
        <f>_xlfn.XLOOKUP(B253,'[2]april-2025'!$A:$A,'[2]april-2025'!$C:$C,0,0)</f>
        <v>34500</v>
      </c>
      <c r="U253">
        <f t="shared" si="542"/>
        <v>6210</v>
      </c>
      <c r="V253">
        <f t="shared" si="543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44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45"/>
        <v>200</v>
      </c>
      <c r="AC253">
        <f t="shared" si="546"/>
        <v>42150</v>
      </c>
      <c r="AD253">
        <f>_xlfn.XLOOKUP(B253,'[3]may-2025'!$A:$A,'[3]may-2025'!$C:$C,0,0)</f>
        <v>34500</v>
      </c>
      <c r="AE253">
        <f t="shared" si="547"/>
        <v>6210</v>
      </c>
      <c r="AF253">
        <f t="shared" si="54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49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50"/>
        <v>200</v>
      </c>
      <c r="AM253">
        <f t="shared" si="551"/>
        <v>42150</v>
      </c>
      <c r="AN253">
        <f>_xlfn.XLOOKUP(B253,'[4]june-2025'!$A:$A,'[4]june-2025'!$C:$C,0,0)</f>
        <v>34500</v>
      </c>
      <c r="AO253">
        <f t="shared" si="552"/>
        <v>6210</v>
      </c>
      <c r="AP253">
        <f t="shared" si="553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54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55"/>
        <v>200</v>
      </c>
      <c r="AW253">
        <f t="shared" si="556"/>
        <v>42150</v>
      </c>
      <c r="AX253">
        <f>_xlfn.XLOOKUP(B253,'[5]july-2025'!$A:$A,'[5]july-2025'!$C:$C,0,0)</f>
        <v>35500</v>
      </c>
      <c r="AY253">
        <f t="shared" si="557"/>
        <v>6390</v>
      </c>
      <c r="AZ253">
        <v>0</v>
      </c>
      <c r="BA253">
        <f t="shared" si="558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59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60"/>
        <v>200</v>
      </c>
      <c r="BH253">
        <f t="shared" si="561"/>
        <v>43450</v>
      </c>
      <c r="BI253">
        <f>_xlfn.XLOOKUP(B253,'[6]august-2025'!$A:$A,'[6]august-2025'!$C:$C,0,0)</f>
        <v>35500</v>
      </c>
      <c r="BJ253">
        <f t="shared" si="562"/>
        <v>6390</v>
      </c>
      <c r="BK253">
        <f t="shared" si="563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64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65"/>
        <v>200</v>
      </c>
      <c r="BR253">
        <f t="shared" si="566"/>
        <v>43450</v>
      </c>
      <c r="BS253">
        <f>_xlfn.XLOOKUP(B253,'[7]september-2025'!$A:$A,'[7]september-2025'!$C:$C,0,0)</f>
        <v>35500</v>
      </c>
      <c r="BT253">
        <f t="shared" si="567"/>
        <v>6390</v>
      </c>
      <c r="BU253">
        <f t="shared" si="568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69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70"/>
        <v>200</v>
      </c>
      <c r="CB253">
        <f t="shared" si="571"/>
        <v>43450</v>
      </c>
      <c r="CC253">
        <f>_xlfn.XLOOKUP(B253,'[8]october-2025'!$A:$A,'[8]october-2025'!$C:$C,0,0)</f>
        <v>35500</v>
      </c>
      <c r="CD253">
        <f t="shared" si="572"/>
        <v>6390</v>
      </c>
      <c r="CE253">
        <f t="shared" si="573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7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75"/>
        <v>200</v>
      </c>
      <c r="CL253">
        <f t="shared" si="576"/>
        <v>43450</v>
      </c>
      <c r="CM253">
        <f>_xlfn.XLOOKUP(B253,'[9]november-2025'!$A:$A,'[9]november-2025'!$C:$C,0,0)</f>
        <v>35500</v>
      </c>
      <c r="CN253">
        <f t="shared" si="577"/>
        <v>6390</v>
      </c>
      <c r="CO253">
        <f t="shared" si="578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79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80"/>
        <v>200</v>
      </c>
      <c r="CV253">
        <f t="shared" si="581"/>
        <v>43450</v>
      </c>
      <c r="CW253">
        <f>_xlfn.XLOOKUP(B253,'[10]december-2025'!$A:$A,'[10]december-2025'!$C:$C,0,0)</f>
        <v>35500</v>
      </c>
      <c r="CX253">
        <f t="shared" si="582"/>
        <v>6390</v>
      </c>
      <c r="CY253">
        <f t="shared" si="583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84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85"/>
        <v>200</v>
      </c>
      <c r="DF253">
        <f t="shared" si="586"/>
        <v>43450</v>
      </c>
      <c r="DG253">
        <f>_xlfn.XLOOKUP(B253,'[11]january-2026'!$A:$A,'[11]january-2026'!$C:$C,0,0)</f>
        <v>35500</v>
      </c>
      <c r="DH253">
        <f t="shared" si="587"/>
        <v>6390</v>
      </c>
      <c r="DI253">
        <f t="shared" si="588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9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90"/>
        <v>200</v>
      </c>
      <c r="DP253">
        <f t="shared" si="591"/>
        <v>43450</v>
      </c>
      <c r="DQ253">
        <f>_xlfn.XLOOKUP(B253,'[12]february-2026'!$A:$A,'[12]february-2026'!$C:$C,0,0)</f>
        <v>35500</v>
      </c>
      <c r="DR253">
        <f t="shared" si="592"/>
        <v>6390</v>
      </c>
      <c r="DS253">
        <f t="shared" si="59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4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5"/>
        <v>200</v>
      </c>
      <c r="DZ253">
        <f t="shared" si="596"/>
        <v>43450</v>
      </c>
      <c r="EA253">
        <f t="shared" si="597"/>
        <v>560020</v>
      </c>
      <c r="EB253">
        <f t="shared" si="598"/>
        <v>2400</v>
      </c>
      <c r="EC253">
        <f t="shared" si="599"/>
        <v>50000</v>
      </c>
      <c r="ED253">
        <v>0</v>
      </c>
      <c r="EE253">
        <f t="shared" si="600"/>
        <v>507620</v>
      </c>
      <c r="EF253">
        <f t="shared" si="601"/>
        <v>36000</v>
      </c>
      <c r="EG253">
        <f t="shared" si="602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3"/>
        <v>36000</v>
      </c>
      <c r="ES253">
        <f t="shared" si="604"/>
        <v>36000</v>
      </c>
      <c r="ET253">
        <f t="shared" si="605"/>
        <v>471620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6"/>
        <v>0</v>
      </c>
      <c r="FC253">
        <f t="shared" si="607"/>
        <v>471620</v>
      </c>
      <c r="FD253">
        <f t="shared" si="608"/>
        <v>11081</v>
      </c>
      <c r="FE253">
        <f t="shared" si="609"/>
        <v>0</v>
      </c>
      <c r="FF253">
        <f t="shared" si="610"/>
        <v>11081</v>
      </c>
      <c r="FG253">
        <f t="shared" si="611"/>
        <v>0</v>
      </c>
      <c r="FH253">
        <f t="shared" si="612"/>
        <v>0</v>
      </c>
      <c r="FI253">
        <f t="shared" si="613"/>
        <v>0</v>
      </c>
      <c r="FJ253">
        <v>0</v>
      </c>
      <c r="FK253">
        <f t="shared" si="614"/>
        <v>0</v>
      </c>
      <c r="FL253" t="b">
        <f t="shared" si="615"/>
        <v>1</v>
      </c>
      <c r="FM253">
        <f t="shared" ca="1" si="616"/>
        <v>707</v>
      </c>
      <c r="FN253">
        <f t="shared" ca="1" si="617"/>
        <v>560727</v>
      </c>
      <c r="FO253">
        <f t="shared" si="618"/>
        <v>75000</v>
      </c>
      <c r="FP253">
        <f t="shared" ca="1" si="619"/>
        <v>485727</v>
      </c>
      <c r="FQ253">
        <f t="shared" ca="1" si="620"/>
        <v>0</v>
      </c>
      <c r="FR253">
        <f t="shared" ca="1" si="621"/>
        <v>0</v>
      </c>
      <c r="FS253">
        <f t="shared" ca="1" si="622"/>
        <v>0</v>
      </c>
      <c r="FT253">
        <f t="shared" ca="1" si="623"/>
        <v>0</v>
      </c>
      <c r="FU253">
        <f t="shared" ca="1" si="624"/>
        <v>0</v>
      </c>
      <c r="FV253">
        <f t="shared" ca="1" si="625"/>
        <v>0</v>
      </c>
      <c r="FW253">
        <f t="shared" ca="1" si="626"/>
        <v>0</v>
      </c>
      <c r="FX253">
        <f t="shared" ca="1" si="627"/>
        <v>0</v>
      </c>
      <c r="FY253">
        <f t="shared" ca="1" si="628"/>
        <v>0</v>
      </c>
      <c r="FZ253">
        <f t="shared" ca="1" si="629"/>
        <v>0</v>
      </c>
      <c r="GA253">
        <f t="shared" ca="1" si="630"/>
        <v>85727</v>
      </c>
      <c r="GB253">
        <f t="shared" ca="1" si="631"/>
        <v>4286.3500000000004</v>
      </c>
      <c r="GC253">
        <f t="shared" ca="1" si="632"/>
        <v>4286</v>
      </c>
      <c r="GD253">
        <f t="shared" ca="1" si="633"/>
        <v>0</v>
      </c>
      <c r="GE253">
        <f t="shared" ca="1" si="634"/>
        <v>0</v>
      </c>
      <c r="GF253">
        <f t="shared" ca="1" si="635"/>
        <v>4286</v>
      </c>
      <c r="GG253">
        <f t="shared" ca="1" si="636"/>
        <v>0</v>
      </c>
      <c r="GH253" t="b">
        <f t="shared" ca="1" si="637"/>
        <v>0</v>
      </c>
      <c r="GI253">
        <f t="shared" ca="1" si="638"/>
        <v>0</v>
      </c>
      <c r="GJ253">
        <f t="shared" ca="1" si="639"/>
        <v>4286</v>
      </c>
      <c r="GK253">
        <f t="shared" ca="1" si="640"/>
        <v>0</v>
      </c>
      <c r="GL253">
        <f t="shared" ca="1" si="641"/>
        <v>0</v>
      </c>
      <c r="GM253">
        <f t="shared" ca="1" si="642"/>
        <v>0</v>
      </c>
    </row>
    <row r="254" spans="1:195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645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38"/>
        <v>4046.0000000000005</v>
      </c>
      <c r="L254">
        <f t="shared" si="539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540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43"/>
        <v>150</v>
      </c>
      <c r="S254">
        <f t="shared" si="541"/>
        <v>34764</v>
      </c>
      <c r="T254">
        <f>_xlfn.XLOOKUP(B254,'[2]april-2025'!$A:$A,'[2]april-2025'!$C:$C,0,0)</f>
        <v>28900</v>
      </c>
      <c r="U254">
        <f t="shared" si="542"/>
        <v>5202</v>
      </c>
      <c r="V254">
        <f t="shared" si="543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44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45"/>
        <v>150</v>
      </c>
      <c r="AC254">
        <f t="shared" si="546"/>
        <v>35920</v>
      </c>
      <c r="AD254">
        <f>_xlfn.XLOOKUP(B254,'[3]may-2025'!$A:$A,'[3]may-2025'!$C:$C,0,0)</f>
        <v>28900</v>
      </c>
      <c r="AE254">
        <f t="shared" si="547"/>
        <v>5202</v>
      </c>
      <c r="AF254">
        <f t="shared" si="54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49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50"/>
        <v>150</v>
      </c>
      <c r="AM254">
        <f t="shared" si="551"/>
        <v>35920</v>
      </c>
      <c r="AN254">
        <f>_xlfn.XLOOKUP(B254,'[4]june-2025'!$A:$A,'[4]june-2025'!$C:$C,0,0)</f>
        <v>28900</v>
      </c>
      <c r="AO254">
        <f t="shared" si="552"/>
        <v>5202</v>
      </c>
      <c r="AP254">
        <f t="shared" si="553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54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55"/>
        <v>150</v>
      </c>
      <c r="AW254">
        <f t="shared" si="556"/>
        <v>35920</v>
      </c>
      <c r="AX254">
        <f>_xlfn.XLOOKUP(B254,'[5]july-2025'!$A:$A,'[5]july-2025'!$C:$C,0,0)</f>
        <v>29800</v>
      </c>
      <c r="AY254">
        <f t="shared" si="557"/>
        <v>5364</v>
      </c>
      <c r="AZ254">
        <v>0</v>
      </c>
      <c r="BA254">
        <f t="shared" si="558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59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60"/>
        <v>150</v>
      </c>
      <c r="BH254">
        <f t="shared" si="561"/>
        <v>37090</v>
      </c>
      <c r="BI254">
        <f>_xlfn.XLOOKUP(B254,'[6]august-2025'!$A:$A,'[6]august-2025'!$C:$C,0,0)</f>
        <v>29800</v>
      </c>
      <c r="BJ254">
        <f t="shared" si="562"/>
        <v>5364</v>
      </c>
      <c r="BK254">
        <f t="shared" si="563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64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65"/>
        <v>150</v>
      </c>
      <c r="BR254">
        <f t="shared" si="566"/>
        <v>37090</v>
      </c>
      <c r="BS254">
        <f>_xlfn.XLOOKUP(B254,'[7]september-2025'!$A:$A,'[7]september-2025'!$C:$C,0,0)</f>
        <v>29800</v>
      </c>
      <c r="BT254">
        <f t="shared" si="567"/>
        <v>5364</v>
      </c>
      <c r="BU254">
        <f t="shared" si="568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69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70"/>
        <v>150</v>
      </c>
      <c r="CB254">
        <f t="shared" si="571"/>
        <v>37090</v>
      </c>
      <c r="CC254">
        <f>_xlfn.XLOOKUP(B254,'[8]october-2025'!$A:$A,'[8]october-2025'!$C:$C,0,0)</f>
        <v>29800</v>
      </c>
      <c r="CD254">
        <f t="shared" si="572"/>
        <v>5364</v>
      </c>
      <c r="CE254">
        <f t="shared" si="573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7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75"/>
        <v>150</v>
      </c>
      <c r="CL254">
        <f t="shared" si="576"/>
        <v>37090</v>
      </c>
      <c r="CM254">
        <f>_xlfn.XLOOKUP(B254,'[9]november-2025'!$A:$A,'[9]november-2025'!$C:$C,0,0)</f>
        <v>29800</v>
      </c>
      <c r="CN254">
        <f t="shared" si="577"/>
        <v>5364</v>
      </c>
      <c r="CO254">
        <f t="shared" si="578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79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80"/>
        <v>150</v>
      </c>
      <c r="CV254">
        <f t="shared" si="581"/>
        <v>37090</v>
      </c>
      <c r="CW254">
        <f>_xlfn.XLOOKUP(B254,'[10]december-2025'!$A:$A,'[10]december-2025'!$C:$C,0,0)</f>
        <v>29800</v>
      </c>
      <c r="CX254">
        <f t="shared" si="582"/>
        <v>5364</v>
      </c>
      <c r="CY254">
        <f t="shared" si="583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84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85"/>
        <v>150</v>
      </c>
      <c r="DF254">
        <f t="shared" si="586"/>
        <v>37090</v>
      </c>
      <c r="DG254">
        <f>_xlfn.XLOOKUP(B254,'[11]january-2026'!$A:$A,'[11]january-2026'!$C:$C,0,0)</f>
        <v>29800</v>
      </c>
      <c r="DH254">
        <f t="shared" si="587"/>
        <v>5364</v>
      </c>
      <c r="DI254">
        <f t="shared" si="588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9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90"/>
        <v>150</v>
      </c>
      <c r="DP254">
        <f t="shared" si="591"/>
        <v>37090</v>
      </c>
      <c r="DQ254">
        <f>_xlfn.XLOOKUP(B254,'[12]february-2026'!$A:$A,'[12]february-2026'!$C:$C,0,0)</f>
        <v>29800</v>
      </c>
      <c r="DR254">
        <f t="shared" si="592"/>
        <v>5364</v>
      </c>
      <c r="DS254">
        <f t="shared" si="59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4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5"/>
        <v>150</v>
      </c>
      <c r="DZ254">
        <f t="shared" si="596"/>
        <v>37090</v>
      </c>
      <c r="EA254">
        <f t="shared" si="597"/>
        <v>471844</v>
      </c>
      <c r="EB254">
        <f t="shared" si="598"/>
        <v>1800</v>
      </c>
      <c r="EC254">
        <f t="shared" si="599"/>
        <v>50000</v>
      </c>
      <c r="ED254">
        <v>0</v>
      </c>
      <c r="EE254">
        <f t="shared" si="600"/>
        <v>420044</v>
      </c>
      <c r="EF254">
        <f t="shared" si="601"/>
        <v>24000</v>
      </c>
      <c r="EG254">
        <f t="shared" si="602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3"/>
        <v>24000</v>
      </c>
      <c r="ES254">
        <f t="shared" si="604"/>
        <v>24000</v>
      </c>
      <c r="ET254">
        <f t="shared" si="605"/>
        <v>396044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6"/>
        <v>0</v>
      </c>
      <c r="FC254">
        <f t="shared" si="607"/>
        <v>396044</v>
      </c>
      <c r="FD254">
        <f t="shared" si="608"/>
        <v>7302</v>
      </c>
      <c r="FE254">
        <f t="shared" si="609"/>
        <v>0</v>
      </c>
      <c r="FF254">
        <f t="shared" si="610"/>
        <v>7302</v>
      </c>
      <c r="FG254">
        <f t="shared" si="611"/>
        <v>0</v>
      </c>
      <c r="FH254">
        <f t="shared" si="612"/>
        <v>0</v>
      </c>
      <c r="FI254">
        <f t="shared" si="613"/>
        <v>0</v>
      </c>
      <c r="FJ254">
        <v>0</v>
      </c>
      <c r="FK254">
        <f t="shared" si="614"/>
        <v>0</v>
      </c>
      <c r="FL254" t="b">
        <f t="shared" si="615"/>
        <v>0</v>
      </c>
      <c r="FM254">
        <f t="shared" ca="1" si="616"/>
        <v>2675</v>
      </c>
      <c r="FN254">
        <f t="shared" ca="1" si="617"/>
        <v>474519</v>
      </c>
      <c r="FO254">
        <f t="shared" si="618"/>
        <v>75000</v>
      </c>
      <c r="FP254">
        <f t="shared" ca="1" si="619"/>
        <v>399519</v>
      </c>
      <c r="FQ254">
        <f t="shared" ca="1" si="620"/>
        <v>0</v>
      </c>
      <c r="FR254">
        <f t="shared" ca="1" si="621"/>
        <v>0</v>
      </c>
      <c r="FS254">
        <f t="shared" ca="1" si="622"/>
        <v>0</v>
      </c>
      <c r="FT254">
        <f t="shared" ca="1" si="623"/>
        <v>0</v>
      </c>
      <c r="FU254">
        <f t="shared" ca="1" si="624"/>
        <v>0</v>
      </c>
      <c r="FV254">
        <f t="shared" ca="1" si="625"/>
        <v>0</v>
      </c>
      <c r="FW254">
        <f t="shared" ca="1" si="626"/>
        <v>0</v>
      </c>
      <c r="FX254">
        <f t="shared" ca="1" si="627"/>
        <v>0</v>
      </c>
      <c r="FY254">
        <f t="shared" ca="1" si="628"/>
        <v>0</v>
      </c>
      <c r="FZ254">
        <f t="shared" ca="1" si="629"/>
        <v>0</v>
      </c>
      <c r="GA254">
        <f t="shared" ca="1" si="630"/>
        <v>0</v>
      </c>
      <c r="GB254">
        <f t="shared" ca="1" si="631"/>
        <v>0</v>
      </c>
      <c r="GC254">
        <f t="shared" ca="1" si="632"/>
        <v>0</v>
      </c>
      <c r="GD254">
        <f t="shared" ca="1" si="633"/>
        <v>0</v>
      </c>
      <c r="GE254">
        <f t="shared" ca="1" si="634"/>
        <v>0</v>
      </c>
      <c r="GF254">
        <f t="shared" ca="1" si="635"/>
        <v>0</v>
      </c>
      <c r="GG254">
        <f t="shared" ca="1" si="636"/>
        <v>0</v>
      </c>
      <c r="GH254" t="b">
        <f t="shared" ca="1" si="637"/>
        <v>0</v>
      </c>
      <c r="GI254">
        <f t="shared" ca="1" si="638"/>
        <v>0</v>
      </c>
      <c r="GJ254">
        <f t="shared" ca="1" si="639"/>
        <v>0</v>
      </c>
      <c r="GK254">
        <f t="shared" ca="1" si="640"/>
        <v>0</v>
      </c>
      <c r="GL254">
        <f t="shared" ca="1" si="641"/>
        <v>0</v>
      </c>
      <c r="GM254">
        <f t="shared" ca="1" si="642"/>
        <v>0</v>
      </c>
    </row>
    <row r="255" spans="1:195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645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38"/>
        <v>4830.0000000000009</v>
      </c>
      <c r="L255">
        <f t="shared" si="539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540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43"/>
        <v>200</v>
      </c>
      <c r="S255">
        <f t="shared" si="541"/>
        <v>41170</v>
      </c>
      <c r="T255">
        <f>_xlfn.XLOOKUP(B255,'[2]april-2025'!$A:$A,'[2]april-2025'!$C:$C,0,0)</f>
        <v>34500</v>
      </c>
      <c r="U255">
        <f t="shared" si="542"/>
        <v>6210</v>
      </c>
      <c r="V255">
        <f t="shared" si="543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44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45"/>
        <v>200</v>
      </c>
      <c r="AC255">
        <f t="shared" si="546"/>
        <v>42550</v>
      </c>
      <c r="AD255">
        <f>_xlfn.XLOOKUP(B255,'[3]may-2025'!$A:$A,'[3]may-2025'!$C:$C,0,0)</f>
        <v>34500</v>
      </c>
      <c r="AE255">
        <f t="shared" si="547"/>
        <v>6210</v>
      </c>
      <c r="AF255">
        <f t="shared" si="54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49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50"/>
        <v>200</v>
      </c>
      <c r="AM255">
        <f t="shared" si="551"/>
        <v>42550</v>
      </c>
      <c r="AN255">
        <f>_xlfn.XLOOKUP(B255,'[4]june-2025'!$A:$A,'[4]june-2025'!$C:$C,0,0)</f>
        <v>34500</v>
      </c>
      <c r="AO255">
        <f t="shared" si="552"/>
        <v>6210</v>
      </c>
      <c r="AP255">
        <f t="shared" si="553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54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55"/>
        <v>200</v>
      </c>
      <c r="AW255">
        <f t="shared" si="556"/>
        <v>42550</v>
      </c>
      <c r="AX255">
        <f>_xlfn.XLOOKUP(B255,'[5]july-2025'!$A:$A,'[5]july-2025'!$C:$C,0,0)</f>
        <v>35500</v>
      </c>
      <c r="AY255">
        <f t="shared" si="557"/>
        <v>6390</v>
      </c>
      <c r="AZ255">
        <v>0</v>
      </c>
      <c r="BA255">
        <f t="shared" si="558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59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60"/>
        <v>200</v>
      </c>
      <c r="BH255">
        <f t="shared" si="561"/>
        <v>43850</v>
      </c>
      <c r="BI255">
        <f>_xlfn.XLOOKUP(B255,'[6]august-2025'!$A:$A,'[6]august-2025'!$C:$C,0,0)</f>
        <v>35500</v>
      </c>
      <c r="BJ255">
        <f t="shared" si="562"/>
        <v>6390</v>
      </c>
      <c r="BK255">
        <f t="shared" si="563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64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65"/>
        <v>200</v>
      </c>
      <c r="BR255">
        <f t="shared" si="566"/>
        <v>43850</v>
      </c>
      <c r="BS255">
        <f>_xlfn.XLOOKUP(B255,'[7]september-2025'!$A:$A,'[7]september-2025'!$C:$C,0,0)</f>
        <v>35500</v>
      </c>
      <c r="BT255">
        <f t="shared" si="567"/>
        <v>6390</v>
      </c>
      <c r="BU255">
        <f t="shared" si="568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69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70"/>
        <v>200</v>
      </c>
      <c r="CB255">
        <f t="shared" si="571"/>
        <v>43850</v>
      </c>
      <c r="CC255">
        <f>_xlfn.XLOOKUP(B255,'[8]october-2025'!$A:$A,'[8]october-2025'!$C:$C,0,0)</f>
        <v>35500</v>
      </c>
      <c r="CD255">
        <f t="shared" si="572"/>
        <v>6390</v>
      </c>
      <c r="CE255">
        <f t="shared" si="573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7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75"/>
        <v>200</v>
      </c>
      <c r="CL255">
        <f t="shared" si="576"/>
        <v>43850</v>
      </c>
      <c r="CM255">
        <f>_xlfn.XLOOKUP(B255,'[9]november-2025'!$A:$A,'[9]november-2025'!$C:$C,0,0)</f>
        <v>35500</v>
      </c>
      <c r="CN255">
        <f t="shared" si="577"/>
        <v>6390</v>
      </c>
      <c r="CO255">
        <f t="shared" si="578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79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80"/>
        <v>200</v>
      </c>
      <c r="CV255">
        <f t="shared" si="581"/>
        <v>43850</v>
      </c>
      <c r="CW255">
        <f>_xlfn.XLOOKUP(B255,'[10]december-2025'!$A:$A,'[10]december-2025'!$C:$C,0,0)</f>
        <v>35500</v>
      </c>
      <c r="CX255">
        <f t="shared" si="582"/>
        <v>6390</v>
      </c>
      <c r="CY255">
        <f t="shared" si="583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84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85"/>
        <v>200</v>
      </c>
      <c r="DF255">
        <f t="shared" si="586"/>
        <v>43850</v>
      </c>
      <c r="DG255">
        <f>_xlfn.XLOOKUP(B255,'[11]january-2026'!$A:$A,'[11]january-2026'!$C:$C,0,0)</f>
        <v>35500</v>
      </c>
      <c r="DH255">
        <f t="shared" si="587"/>
        <v>6390</v>
      </c>
      <c r="DI255">
        <f t="shared" si="588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9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90"/>
        <v>200</v>
      </c>
      <c r="DP255">
        <f t="shared" si="591"/>
        <v>43850</v>
      </c>
      <c r="DQ255">
        <f>_xlfn.XLOOKUP(B255,'[12]february-2026'!$A:$A,'[12]february-2026'!$C:$C,0,0)</f>
        <v>35500</v>
      </c>
      <c r="DR255">
        <f t="shared" si="592"/>
        <v>6390</v>
      </c>
      <c r="DS255">
        <f t="shared" si="59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4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5"/>
        <v>200</v>
      </c>
      <c r="DZ255">
        <f t="shared" si="596"/>
        <v>43850</v>
      </c>
      <c r="EA255">
        <f t="shared" si="597"/>
        <v>558820</v>
      </c>
      <c r="EB255">
        <f t="shared" si="598"/>
        <v>2400</v>
      </c>
      <c r="EC255">
        <f t="shared" si="599"/>
        <v>50000</v>
      </c>
      <c r="ED255">
        <v>0</v>
      </c>
      <c r="EE255">
        <f t="shared" si="600"/>
        <v>506420</v>
      </c>
      <c r="EF255">
        <f t="shared" si="601"/>
        <v>30000</v>
      </c>
      <c r="EG255">
        <f t="shared" si="602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3"/>
        <v>30000</v>
      </c>
      <c r="ES255">
        <f t="shared" si="604"/>
        <v>30000</v>
      </c>
      <c r="ET255">
        <f t="shared" si="605"/>
        <v>476420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6"/>
        <v>0</v>
      </c>
      <c r="FC255">
        <f t="shared" si="607"/>
        <v>476420</v>
      </c>
      <c r="FD255">
        <f t="shared" si="608"/>
        <v>11321</v>
      </c>
      <c r="FE255">
        <f t="shared" si="609"/>
        <v>0</v>
      </c>
      <c r="FF255">
        <f t="shared" si="610"/>
        <v>11321</v>
      </c>
      <c r="FG255">
        <f t="shared" si="611"/>
        <v>0</v>
      </c>
      <c r="FH255">
        <f t="shared" si="612"/>
        <v>0</v>
      </c>
      <c r="FI255">
        <f t="shared" si="613"/>
        <v>0</v>
      </c>
      <c r="FJ255">
        <v>0</v>
      </c>
      <c r="FK255">
        <f t="shared" si="614"/>
        <v>0</v>
      </c>
      <c r="FL255" t="b">
        <f t="shared" si="615"/>
        <v>1</v>
      </c>
      <c r="FM255">
        <f t="shared" ca="1" si="616"/>
        <v>868</v>
      </c>
      <c r="FN255">
        <f t="shared" ca="1" si="617"/>
        <v>559688</v>
      </c>
      <c r="FO255">
        <f t="shared" si="618"/>
        <v>75000</v>
      </c>
      <c r="FP255">
        <f t="shared" ca="1" si="619"/>
        <v>484688</v>
      </c>
      <c r="FQ255">
        <f t="shared" ca="1" si="620"/>
        <v>0</v>
      </c>
      <c r="FR255">
        <f t="shared" ca="1" si="621"/>
        <v>0</v>
      </c>
      <c r="FS255">
        <f t="shared" ca="1" si="622"/>
        <v>0</v>
      </c>
      <c r="FT255">
        <f t="shared" ca="1" si="623"/>
        <v>0</v>
      </c>
      <c r="FU255">
        <f t="shared" ca="1" si="624"/>
        <v>0</v>
      </c>
      <c r="FV255">
        <f t="shared" ca="1" si="625"/>
        <v>0</v>
      </c>
      <c r="FW255">
        <f t="shared" ca="1" si="626"/>
        <v>0</v>
      </c>
      <c r="FX255">
        <f t="shared" ca="1" si="627"/>
        <v>0</v>
      </c>
      <c r="FY255">
        <f t="shared" ca="1" si="628"/>
        <v>0</v>
      </c>
      <c r="FZ255">
        <f t="shared" ca="1" si="629"/>
        <v>0</v>
      </c>
      <c r="GA255">
        <f t="shared" ca="1" si="630"/>
        <v>84688</v>
      </c>
      <c r="GB255">
        <f t="shared" ca="1" si="631"/>
        <v>4234.4000000000005</v>
      </c>
      <c r="GC255">
        <f t="shared" ca="1" si="632"/>
        <v>4234</v>
      </c>
      <c r="GD255">
        <f t="shared" ca="1" si="633"/>
        <v>0</v>
      </c>
      <c r="GE255">
        <f t="shared" ca="1" si="634"/>
        <v>0</v>
      </c>
      <c r="GF255">
        <f t="shared" ca="1" si="635"/>
        <v>4234</v>
      </c>
      <c r="GG255">
        <f t="shared" ca="1" si="636"/>
        <v>0</v>
      </c>
      <c r="GH255" t="b">
        <f t="shared" ca="1" si="637"/>
        <v>0</v>
      </c>
      <c r="GI255">
        <f t="shared" ca="1" si="638"/>
        <v>0</v>
      </c>
      <c r="GJ255">
        <f t="shared" ca="1" si="639"/>
        <v>4234</v>
      </c>
      <c r="GK255">
        <f t="shared" ca="1" si="640"/>
        <v>0</v>
      </c>
      <c r="GL255">
        <f t="shared" ca="1" si="641"/>
        <v>0</v>
      </c>
      <c r="GM255">
        <f t="shared" ca="1" si="642"/>
        <v>0</v>
      </c>
    </row>
    <row r="256" spans="1:195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645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38"/>
        <v>4830.0000000000009</v>
      </c>
      <c r="L256">
        <f t="shared" si="539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540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43"/>
        <v>200</v>
      </c>
      <c r="S256">
        <f t="shared" si="541"/>
        <v>38270</v>
      </c>
      <c r="T256">
        <f>_xlfn.XLOOKUP(B256,'[2]april-2025'!$A:$A,'[2]april-2025'!$C:$C,0,0)</f>
        <v>34500</v>
      </c>
      <c r="U256">
        <f t="shared" si="542"/>
        <v>6210</v>
      </c>
      <c r="V256">
        <f t="shared" si="543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44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45"/>
        <v>200</v>
      </c>
      <c r="AC256">
        <f t="shared" si="546"/>
        <v>39650</v>
      </c>
      <c r="AD256">
        <f>_xlfn.XLOOKUP(B256,'[3]may-2025'!$A:$A,'[3]may-2025'!$C:$C,0,0)</f>
        <v>34500</v>
      </c>
      <c r="AE256">
        <f t="shared" si="547"/>
        <v>6210</v>
      </c>
      <c r="AF256">
        <f t="shared" si="54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49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50"/>
        <v>200</v>
      </c>
      <c r="AM256">
        <f t="shared" si="551"/>
        <v>39650</v>
      </c>
      <c r="AN256">
        <f>_xlfn.XLOOKUP(B256,'[4]june-2025'!$A:$A,'[4]june-2025'!$C:$C,0,0)</f>
        <v>34500</v>
      </c>
      <c r="AO256">
        <f t="shared" si="552"/>
        <v>6210</v>
      </c>
      <c r="AP256">
        <f t="shared" si="553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54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55"/>
        <v>200</v>
      </c>
      <c r="AW256">
        <f t="shared" si="556"/>
        <v>39650</v>
      </c>
      <c r="AX256">
        <f>_xlfn.XLOOKUP(B256,'[5]july-2025'!$A:$A,'[5]july-2025'!$C:$C,0,0)</f>
        <v>35500</v>
      </c>
      <c r="AY256">
        <f t="shared" si="557"/>
        <v>6390</v>
      </c>
      <c r="AZ256">
        <v>0</v>
      </c>
      <c r="BA256">
        <f t="shared" si="558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59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60"/>
        <v>200</v>
      </c>
      <c r="BH256">
        <f t="shared" si="561"/>
        <v>40950</v>
      </c>
      <c r="BI256">
        <f>_xlfn.XLOOKUP(B256,'[6]august-2025'!$A:$A,'[6]august-2025'!$C:$C,0,0)</f>
        <v>35500</v>
      </c>
      <c r="BJ256">
        <f t="shared" si="562"/>
        <v>6390</v>
      </c>
      <c r="BK256">
        <f t="shared" si="563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64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65"/>
        <v>200</v>
      </c>
      <c r="BR256">
        <f t="shared" si="566"/>
        <v>40950</v>
      </c>
      <c r="BS256">
        <f>_xlfn.XLOOKUP(B256,'[7]september-2025'!$A:$A,'[7]september-2025'!$C:$C,0,0)</f>
        <v>35500</v>
      </c>
      <c r="BT256">
        <f t="shared" si="567"/>
        <v>6390</v>
      </c>
      <c r="BU256">
        <f t="shared" si="568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69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70"/>
        <v>200</v>
      </c>
      <c r="CB256">
        <f t="shared" si="571"/>
        <v>40950</v>
      </c>
      <c r="CC256">
        <f>_xlfn.XLOOKUP(B256,'[8]october-2025'!$A:$A,'[8]october-2025'!$C:$C,0,0)</f>
        <v>35500</v>
      </c>
      <c r="CD256">
        <f t="shared" si="572"/>
        <v>6390</v>
      </c>
      <c r="CE256">
        <f t="shared" si="573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7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75"/>
        <v>200</v>
      </c>
      <c r="CL256">
        <f t="shared" si="576"/>
        <v>40950</v>
      </c>
      <c r="CM256">
        <f>_xlfn.XLOOKUP(B256,'[9]november-2025'!$A:$A,'[9]november-2025'!$C:$C,0,0)</f>
        <v>35500</v>
      </c>
      <c r="CN256">
        <f t="shared" si="577"/>
        <v>6390</v>
      </c>
      <c r="CO256">
        <f t="shared" si="578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79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80"/>
        <v>200</v>
      </c>
      <c r="CV256">
        <f t="shared" si="581"/>
        <v>40950</v>
      </c>
      <c r="CW256">
        <f>_xlfn.XLOOKUP(B256,'[10]december-2025'!$A:$A,'[10]december-2025'!$C:$C,0,0)</f>
        <v>35500</v>
      </c>
      <c r="CX256">
        <f t="shared" si="582"/>
        <v>6390</v>
      </c>
      <c r="CY256">
        <f t="shared" si="583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84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85"/>
        <v>200</v>
      </c>
      <c r="DF256">
        <f t="shared" si="586"/>
        <v>40950</v>
      </c>
      <c r="DG256">
        <f>_xlfn.XLOOKUP(B256,'[11]january-2026'!$A:$A,'[11]january-2026'!$C:$C,0,0)</f>
        <v>35500</v>
      </c>
      <c r="DH256">
        <f t="shared" si="587"/>
        <v>6390</v>
      </c>
      <c r="DI256">
        <f t="shared" si="588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9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90"/>
        <v>200</v>
      </c>
      <c r="DP256">
        <f t="shared" si="591"/>
        <v>40950</v>
      </c>
      <c r="DQ256">
        <f>_xlfn.XLOOKUP(B256,'[12]february-2026'!$A:$A,'[12]february-2026'!$C:$C,0,0)</f>
        <v>35500</v>
      </c>
      <c r="DR256">
        <f t="shared" si="592"/>
        <v>6390</v>
      </c>
      <c r="DS256">
        <f t="shared" si="59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4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5"/>
        <v>200</v>
      </c>
      <c r="DZ256">
        <f t="shared" si="596"/>
        <v>40950</v>
      </c>
      <c r="EA256">
        <f t="shared" si="597"/>
        <v>554020</v>
      </c>
      <c r="EB256">
        <f t="shared" si="598"/>
        <v>2400</v>
      </c>
      <c r="EC256">
        <f t="shared" si="599"/>
        <v>50000</v>
      </c>
      <c r="ED256">
        <v>0</v>
      </c>
      <c r="EE256">
        <f t="shared" si="600"/>
        <v>501620</v>
      </c>
      <c r="EF256">
        <f t="shared" si="601"/>
        <v>60000</v>
      </c>
      <c r="EG256">
        <f t="shared" si="602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3"/>
        <v>60000</v>
      </c>
      <c r="ES256">
        <f t="shared" si="604"/>
        <v>60000</v>
      </c>
      <c r="ET256">
        <f t="shared" si="605"/>
        <v>441620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6"/>
        <v>0</v>
      </c>
      <c r="FC256">
        <f t="shared" si="607"/>
        <v>441620</v>
      </c>
      <c r="FD256">
        <f t="shared" si="608"/>
        <v>9581</v>
      </c>
      <c r="FE256">
        <f t="shared" si="609"/>
        <v>0</v>
      </c>
      <c r="FF256">
        <f t="shared" si="610"/>
        <v>9581</v>
      </c>
      <c r="FG256">
        <f t="shared" si="611"/>
        <v>0</v>
      </c>
      <c r="FH256">
        <f t="shared" si="612"/>
        <v>0</v>
      </c>
      <c r="FI256">
        <f t="shared" si="613"/>
        <v>0</v>
      </c>
      <c r="FJ256">
        <v>0</v>
      </c>
      <c r="FK256">
        <f t="shared" si="614"/>
        <v>0</v>
      </c>
      <c r="FL256" t="b">
        <f t="shared" si="615"/>
        <v>1</v>
      </c>
      <c r="FM256">
        <f t="shared" ca="1" si="616"/>
        <v>542</v>
      </c>
      <c r="FN256">
        <f t="shared" ca="1" si="617"/>
        <v>554562</v>
      </c>
      <c r="FO256">
        <f t="shared" si="618"/>
        <v>75000</v>
      </c>
      <c r="FP256">
        <f t="shared" ca="1" si="619"/>
        <v>479562</v>
      </c>
      <c r="FQ256">
        <f t="shared" ca="1" si="620"/>
        <v>0</v>
      </c>
      <c r="FR256">
        <f t="shared" ca="1" si="621"/>
        <v>0</v>
      </c>
      <c r="FS256">
        <f t="shared" ca="1" si="622"/>
        <v>0</v>
      </c>
      <c r="FT256">
        <f t="shared" ca="1" si="623"/>
        <v>0</v>
      </c>
      <c r="FU256">
        <f t="shared" ca="1" si="624"/>
        <v>0</v>
      </c>
      <c r="FV256">
        <f t="shared" ca="1" si="625"/>
        <v>0</v>
      </c>
      <c r="FW256">
        <f t="shared" ca="1" si="626"/>
        <v>0</v>
      </c>
      <c r="FX256">
        <f t="shared" ca="1" si="627"/>
        <v>0</v>
      </c>
      <c r="FY256">
        <f t="shared" ca="1" si="628"/>
        <v>0</v>
      </c>
      <c r="FZ256">
        <f t="shared" ca="1" si="629"/>
        <v>0</v>
      </c>
      <c r="GA256">
        <f t="shared" ca="1" si="630"/>
        <v>79562</v>
      </c>
      <c r="GB256">
        <f t="shared" ca="1" si="631"/>
        <v>3978.1000000000004</v>
      </c>
      <c r="GC256">
        <f t="shared" ca="1" si="632"/>
        <v>3978</v>
      </c>
      <c r="GD256">
        <f t="shared" ca="1" si="633"/>
        <v>0</v>
      </c>
      <c r="GE256">
        <f t="shared" ca="1" si="634"/>
        <v>0</v>
      </c>
      <c r="GF256">
        <f t="shared" ca="1" si="635"/>
        <v>3978</v>
      </c>
      <c r="GG256">
        <f t="shared" ca="1" si="636"/>
        <v>0</v>
      </c>
      <c r="GH256" t="b">
        <f t="shared" ca="1" si="637"/>
        <v>0</v>
      </c>
      <c r="GI256">
        <f t="shared" ca="1" si="638"/>
        <v>0</v>
      </c>
      <c r="GJ256">
        <f t="shared" ca="1" si="639"/>
        <v>3978</v>
      </c>
      <c r="GK256">
        <f t="shared" ca="1" si="640"/>
        <v>0</v>
      </c>
      <c r="GL256">
        <f t="shared" ca="1" si="641"/>
        <v>0</v>
      </c>
      <c r="GM256">
        <f t="shared" ca="1" si="642"/>
        <v>0</v>
      </c>
    </row>
    <row r="257" spans="1:195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645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38"/>
        <v>7238.0000000000009</v>
      </c>
      <c r="L257">
        <f t="shared" si="539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540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43"/>
        <v>200</v>
      </c>
      <c r="S257">
        <f t="shared" si="541"/>
        <v>60842</v>
      </c>
      <c r="T257">
        <f>_xlfn.XLOOKUP(B257,'[2]april-2025'!$A:$A,'[2]april-2025'!$C:$C,0,0)</f>
        <v>51700</v>
      </c>
      <c r="U257">
        <f t="shared" si="542"/>
        <v>9306</v>
      </c>
      <c r="V257">
        <f t="shared" si="543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44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45"/>
        <v>200</v>
      </c>
      <c r="AC257">
        <f t="shared" si="546"/>
        <v>62910</v>
      </c>
      <c r="AD257">
        <f>_xlfn.XLOOKUP(B257,'[3]may-2025'!$A:$A,'[3]may-2025'!$C:$C,0,0)</f>
        <v>51700</v>
      </c>
      <c r="AE257">
        <f t="shared" si="547"/>
        <v>9306</v>
      </c>
      <c r="AF257">
        <f t="shared" si="54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49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50"/>
        <v>200</v>
      </c>
      <c r="AM257">
        <f t="shared" si="551"/>
        <v>62910</v>
      </c>
      <c r="AN257">
        <f>_xlfn.XLOOKUP(B257,'[4]june-2025'!$A:$A,'[4]june-2025'!$C:$C,0,0)</f>
        <v>51700</v>
      </c>
      <c r="AO257">
        <f t="shared" si="552"/>
        <v>9306</v>
      </c>
      <c r="AP257">
        <f t="shared" si="553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54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55"/>
        <v>200</v>
      </c>
      <c r="AW257">
        <f t="shared" si="556"/>
        <v>62910</v>
      </c>
      <c r="AX257">
        <f>_xlfn.XLOOKUP(B257,'[5]july-2025'!$A:$A,'[5]july-2025'!$C:$C,0,0)</f>
        <v>53300</v>
      </c>
      <c r="AY257">
        <f t="shared" si="557"/>
        <v>9594</v>
      </c>
      <c r="AZ257">
        <v>0</v>
      </c>
      <c r="BA257">
        <f t="shared" si="558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59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60"/>
        <v>200</v>
      </c>
      <c r="BH257">
        <f t="shared" si="561"/>
        <v>64990</v>
      </c>
      <c r="BI257">
        <f>_xlfn.XLOOKUP(B257,'[6]august-2025'!$A:$A,'[6]august-2025'!$C:$C,0,0)</f>
        <v>53300</v>
      </c>
      <c r="BJ257">
        <f t="shared" si="562"/>
        <v>9594</v>
      </c>
      <c r="BK257">
        <f t="shared" si="563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64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65"/>
        <v>200</v>
      </c>
      <c r="BR257">
        <f t="shared" si="566"/>
        <v>64990</v>
      </c>
      <c r="BS257">
        <f>_xlfn.XLOOKUP(B257,'[7]september-2025'!$A:$A,'[7]september-2025'!$C:$C,0,0)</f>
        <v>53300</v>
      </c>
      <c r="BT257">
        <f t="shared" si="567"/>
        <v>9594</v>
      </c>
      <c r="BU257">
        <f t="shared" si="568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69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70"/>
        <v>200</v>
      </c>
      <c r="CB257">
        <f t="shared" si="571"/>
        <v>64990</v>
      </c>
      <c r="CC257">
        <f>_xlfn.XLOOKUP(B257,'[8]october-2025'!$A:$A,'[8]october-2025'!$C:$C,0,0)</f>
        <v>53300</v>
      </c>
      <c r="CD257">
        <f t="shared" si="572"/>
        <v>9594</v>
      </c>
      <c r="CE257">
        <f t="shared" si="573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7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75"/>
        <v>200</v>
      </c>
      <c r="CL257">
        <f t="shared" si="576"/>
        <v>64990</v>
      </c>
      <c r="CM257">
        <f>_xlfn.XLOOKUP(B257,'[9]november-2025'!$A:$A,'[9]november-2025'!$C:$C,0,0)</f>
        <v>53300</v>
      </c>
      <c r="CN257">
        <f t="shared" si="577"/>
        <v>9594</v>
      </c>
      <c r="CO257">
        <f t="shared" si="578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79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80"/>
        <v>200</v>
      </c>
      <c r="CV257">
        <f t="shared" si="581"/>
        <v>64990</v>
      </c>
      <c r="CW257">
        <f>_xlfn.XLOOKUP(B257,'[10]december-2025'!$A:$A,'[10]december-2025'!$C:$C,0,0)</f>
        <v>53300</v>
      </c>
      <c r="CX257">
        <f t="shared" si="582"/>
        <v>9594</v>
      </c>
      <c r="CY257">
        <f t="shared" si="583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84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85"/>
        <v>200</v>
      </c>
      <c r="DF257">
        <f t="shared" si="586"/>
        <v>64990</v>
      </c>
      <c r="DG257">
        <f>_xlfn.XLOOKUP(B257,'[11]january-2026'!$A:$A,'[11]january-2026'!$C:$C,0,0)</f>
        <v>53300</v>
      </c>
      <c r="DH257">
        <f t="shared" si="587"/>
        <v>9594</v>
      </c>
      <c r="DI257">
        <f t="shared" si="588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9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90"/>
        <v>200</v>
      </c>
      <c r="DP257">
        <f t="shared" si="591"/>
        <v>64990</v>
      </c>
      <c r="DQ257">
        <f>_xlfn.XLOOKUP(B257,'[12]february-2026'!$A:$A,'[12]february-2026'!$C:$C,0,0)</f>
        <v>53300</v>
      </c>
      <c r="DR257">
        <f t="shared" si="592"/>
        <v>9594</v>
      </c>
      <c r="DS257">
        <f t="shared" si="59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4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5"/>
        <v>200</v>
      </c>
      <c r="DZ257">
        <f t="shared" si="596"/>
        <v>64990</v>
      </c>
      <c r="EA257">
        <f t="shared" si="597"/>
        <v>838692</v>
      </c>
      <c r="EB257">
        <f t="shared" si="598"/>
        <v>2400</v>
      </c>
      <c r="EC257">
        <f t="shared" si="599"/>
        <v>50000</v>
      </c>
      <c r="ED257">
        <v>0</v>
      </c>
      <c r="EE257">
        <f t="shared" si="600"/>
        <v>786292</v>
      </c>
      <c r="EF257">
        <f t="shared" si="601"/>
        <v>60000</v>
      </c>
      <c r="EG257">
        <f t="shared" si="602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3"/>
        <v>60000</v>
      </c>
      <c r="ES257">
        <f t="shared" si="604"/>
        <v>60000</v>
      </c>
      <c r="ET257">
        <f t="shared" si="605"/>
        <v>726292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6"/>
        <v>0</v>
      </c>
      <c r="FC257">
        <f t="shared" si="607"/>
        <v>726292</v>
      </c>
      <c r="FD257">
        <f t="shared" si="608"/>
        <v>12500</v>
      </c>
      <c r="FE257">
        <f t="shared" si="609"/>
        <v>45258</v>
      </c>
      <c r="FF257">
        <f t="shared" si="610"/>
        <v>57758</v>
      </c>
      <c r="FG257">
        <f t="shared" si="611"/>
        <v>57758</v>
      </c>
      <c r="FH257">
        <f t="shared" si="612"/>
        <v>2310.3200000000002</v>
      </c>
      <c r="FI257">
        <f t="shared" si="613"/>
        <v>60068</v>
      </c>
      <c r="FJ257">
        <v>0</v>
      </c>
      <c r="FK257">
        <f t="shared" si="614"/>
        <v>60068</v>
      </c>
      <c r="FL257" t="b">
        <f t="shared" si="615"/>
        <v>1</v>
      </c>
      <c r="FM257">
        <f t="shared" ca="1" si="616"/>
        <v>794</v>
      </c>
      <c r="FN257">
        <f t="shared" ca="1" si="617"/>
        <v>839486</v>
      </c>
      <c r="FO257">
        <f t="shared" si="618"/>
        <v>75000</v>
      </c>
      <c r="FP257">
        <f t="shared" ca="1" si="619"/>
        <v>764486</v>
      </c>
      <c r="FQ257">
        <f t="shared" ca="1" si="620"/>
        <v>0</v>
      </c>
      <c r="FR257">
        <f t="shared" ca="1" si="621"/>
        <v>0</v>
      </c>
      <c r="FS257">
        <f t="shared" ca="1" si="622"/>
        <v>0</v>
      </c>
      <c r="FT257">
        <f t="shared" ca="1" si="623"/>
        <v>0</v>
      </c>
      <c r="FU257">
        <f t="shared" ca="1" si="624"/>
        <v>0</v>
      </c>
      <c r="FV257">
        <f t="shared" ca="1" si="625"/>
        <v>0</v>
      </c>
      <c r="FW257">
        <f t="shared" ca="1" si="626"/>
        <v>0</v>
      </c>
      <c r="FX257">
        <f t="shared" ca="1" si="627"/>
        <v>0</v>
      </c>
      <c r="FY257">
        <f t="shared" ca="1" si="628"/>
        <v>0</v>
      </c>
      <c r="FZ257">
        <f t="shared" ca="1" si="629"/>
        <v>0</v>
      </c>
      <c r="GA257">
        <f t="shared" ca="1" si="630"/>
        <v>364486</v>
      </c>
      <c r="GB257">
        <f t="shared" ca="1" si="631"/>
        <v>18224.3</v>
      </c>
      <c r="GC257">
        <f t="shared" ca="1" si="632"/>
        <v>18224</v>
      </c>
      <c r="GD257">
        <f t="shared" ca="1" si="633"/>
        <v>0</v>
      </c>
      <c r="GE257">
        <f t="shared" ca="1" si="634"/>
        <v>0</v>
      </c>
      <c r="GF257">
        <f t="shared" ca="1" si="635"/>
        <v>18224</v>
      </c>
      <c r="GG257">
        <f t="shared" ca="1" si="636"/>
        <v>0</v>
      </c>
      <c r="GH257" t="b">
        <f t="shared" ca="1" si="637"/>
        <v>0</v>
      </c>
      <c r="GI257">
        <f t="shared" ca="1" si="638"/>
        <v>0</v>
      </c>
      <c r="GJ257">
        <f t="shared" ca="1" si="639"/>
        <v>18224</v>
      </c>
      <c r="GK257">
        <f t="shared" ca="1" si="640"/>
        <v>0</v>
      </c>
      <c r="GL257">
        <f t="shared" ca="1" si="641"/>
        <v>0</v>
      </c>
      <c r="GM257">
        <f t="shared" ca="1" si="642"/>
        <v>0</v>
      </c>
    </row>
    <row r="258" spans="1:195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645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38"/>
        <v>4830.0000000000009</v>
      </c>
      <c r="L258">
        <f t="shared" si="539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si="540"/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43"/>
        <v>200</v>
      </c>
      <c r="S258">
        <f t="shared" si="541"/>
        <v>40770</v>
      </c>
      <c r="T258">
        <f>_xlfn.XLOOKUP(B258,'[2]april-2025'!$A:$A,'[2]april-2025'!$C:$C,0,0)</f>
        <v>34500</v>
      </c>
      <c r="U258">
        <f t="shared" si="542"/>
        <v>6210</v>
      </c>
      <c r="V258">
        <f t="shared" si="543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44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45"/>
        <v>200</v>
      </c>
      <c r="AC258">
        <f t="shared" si="546"/>
        <v>42150</v>
      </c>
      <c r="AD258">
        <f>_xlfn.XLOOKUP(B258,'[3]may-2025'!$A:$A,'[3]may-2025'!$C:$C,0,0)</f>
        <v>34500</v>
      </c>
      <c r="AE258">
        <f t="shared" si="547"/>
        <v>6210</v>
      </c>
      <c r="AF258">
        <f t="shared" si="54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49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50"/>
        <v>200</v>
      </c>
      <c r="AM258">
        <f t="shared" si="551"/>
        <v>42150</v>
      </c>
      <c r="AN258">
        <f>_xlfn.XLOOKUP(B258,'[4]june-2025'!$A:$A,'[4]june-2025'!$C:$C,0,0)</f>
        <v>34500</v>
      </c>
      <c r="AO258">
        <f t="shared" si="552"/>
        <v>6210</v>
      </c>
      <c r="AP258">
        <f t="shared" si="553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54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55"/>
        <v>200</v>
      </c>
      <c r="AW258">
        <f t="shared" si="556"/>
        <v>42150</v>
      </c>
      <c r="AX258">
        <f>_xlfn.XLOOKUP(B258,'[5]july-2025'!$A:$A,'[5]july-2025'!$C:$C,0,0)</f>
        <v>35500</v>
      </c>
      <c r="AY258">
        <f t="shared" si="557"/>
        <v>6390</v>
      </c>
      <c r="AZ258">
        <v>0</v>
      </c>
      <c r="BA258">
        <f t="shared" si="558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si="559"/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60"/>
        <v>200</v>
      </c>
      <c r="BH258">
        <f t="shared" si="561"/>
        <v>43450</v>
      </c>
      <c r="BI258">
        <f>_xlfn.XLOOKUP(B258,'[6]august-2025'!$A:$A,'[6]august-2025'!$C:$C,0,0)</f>
        <v>35500</v>
      </c>
      <c r="BJ258">
        <f t="shared" si="562"/>
        <v>6390</v>
      </c>
      <c r="BK258">
        <f t="shared" si="563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64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si="565"/>
        <v>200</v>
      </c>
      <c r="BR258">
        <f t="shared" si="566"/>
        <v>43450</v>
      </c>
      <c r="BS258">
        <f>_xlfn.XLOOKUP(B258,'[7]september-2025'!$A:$A,'[7]september-2025'!$C:$C,0,0)</f>
        <v>35500</v>
      </c>
      <c r="BT258">
        <f t="shared" si="567"/>
        <v>6390</v>
      </c>
      <c r="BU258">
        <f t="shared" si="568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si="569"/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70"/>
        <v>200</v>
      </c>
      <c r="CB258">
        <f t="shared" si="571"/>
        <v>43450</v>
      </c>
      <c r="CC258">
        <f>_xlfn.XLOOKUP(B258,'[8]october-2025'!$A:$A,'[8]october-2025'!$C:$C,0,0)</f>
        <v>35500</v>
      </c>
      <c r="CD258">
        <f t="shared" si="572"/>
        <v>6390</v>
      </c>
      <c r="CE258">
        <f t="shared" si="573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si="574"/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75"/>
        <v>200</v>
      </c>
      <c r="CL258">
        <f t="shared" si="576"/>
        <v>43450</v>
      </c>
      <c r="CM258">
        <f>_xlfn.XLOOKUP(B258,'[9]november-2025'!$A:$A,'[9]november-2025'!$C:$C,0,0)</f>
        <v>35500</v>
      </c>
      <c r="CN258">
        <f t="shared" si="577"/>
        <v>6390</v>
      </c>
      <c r="CO258">
        <f t="shared" si="578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si="579"/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80"/>
        <v>200</v>
      </c>
      <c r="CV258">
        <f t="shared" si="581"/>
        <v>43450</v>
      </c>
      <c r="CW258">
        <f>_xlfn.XLOOKUP(B258,'[10]december-2025'!$A:$A,'[10]december-2025'!$C:$C,0,0)</f>
        <v>35500</v>
      </c>
      <c r="CX258">
        <f t="shared" si="582"/>
        <v>6390</v>
      </c>
      <c r="CY258">
        <f t="shared" si="583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si="584"/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85"/>
        <v>200</v>
      </c>
      <c r="DF258">
        <f t="shared" si="586"/>
        <v>43450</v>
      </c>
      <c r="DG258">
        <f>_xlfn.XLOOKUP(B258,'[11]january-2026'!$A:$A,'[11]january-2026'!$C:$C,0,0)</f>
        <v>35500</v>
      </c>
      <c r="DH258">
        <f t="shared" si="587"/>
        <v>6390</v>
      </c>
      <c r="DI258">
        <f t="shared" si="588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9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90"/>
        <v>200</v>
      </c>
      <c r="DP258">
        <f t="shared" si="591"/>
        <v>43450</v>
      </c>
      <c r="DQ258">
        <f>_xlfn.XLOOKUP(B258,'[12]february-2026'!$A:$A,'[12]february-2026'!$C:$C,0,0)</f>
        <v>35500</v>
      </c>
      <c r="DR258">
        <f t="shared" si="592"/>
        <v>6390</v>
      </c>
      <c r="DS258">
        <f t="shared" si="59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4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5"/>
        <v>200</v>
      </c>
      <c r="DZ258">
        <f t="shared" si="596"/>
        <v>43450</v>
      </c>
      <c r="EA258">
        <f t="shared" si="597"/>
        <v>560020</v>
      </c>
      <c r="EB258">
        <f t="shared" si="598"/>
        <v>2400</v>
      </c>
      <c r="EC258">
        <f t="shared" si="599"/>
        <v>50000</v>
      </c>
      <c r="ED258">
        <v>0</v>
      </c>
      <c r="EE258">
        <f t="shared" si="600"/>
        <v>507620</v>
      </c>
      <c r="EF258">
        <f t="shared" si="601"/>
        <v>36000</v>
      </c>
      <c r="EG258">
        <f t="shared" si="602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3"/>
        <v>36000</v>
      </c>
      <c r="ES258">
        <f t="shared" si="604"/>
        <v>36000</v>
      </c>
      <c r="ET258">
        <f t="shared" si="605"/>
        <v>471620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6"/>
        <v>0</v>
      </c>
      <c r="FC258">
        <f t="shared" si="607"/>
        <v>471620</v>
      </c>
      <c r="FD258">
        <f t="shared" si="608"/>
        <v>11081</v>
      </c>
      <c r="FE258">
        <f t="shared" si="609"/>
        <v>0</v>
      </c>
      <c r="FF258">
        <f t="shared" si="610"/>
        <v>11081</v>
      </c>
      <c r="FG258">
        <f t="shared" si="611"/>
        <v>0</v>
      </c>
      <c r="FH258">
        <f t="shared" si="612"/>
        <v>0</v>
      </c>
      <c r="FI258">
        <f t="shared" si="613"/>
        <v>0</v>
      </c>
      <c r="FJ258">
        <v>0</v>
      </c>
      <c r="FK258">
        <f t="shared" si="614"/>
        <v>0</v>
      </c>
      <c r="FL258" t="b">
        <f t="shared" si="615"/>
        <v>1</v>
      </c>
      <c r="FM258">
        <f t="shared" ca="1" si="616"/>
        <v>625</v>
      </c>
      <c r="FN258">
        <f t="shared" ca="1" si="617"/>
        <v>560645</v>
      </c>
      <c r="FO258">
        <f t="shared" si="618"/>
        <v>75000</v>
      </c>
      <c r="FP258">
        <f t="shared" ca="1" si="619"/>
        <v>485645</v>
      </c>
      <c r="FQ258">
        <f t="shared" ca="1" si="620"/>
        <v>0</v>
      </c>
      <c r="FR258">
        <f t="shared" ca="1" si="621"/>
        <v>0</v>
      </c>
      <c r="FS258">
        <f t="shared" ca="1" si="622"/>
        <v>0</v>
      </c>
      <c r="FT258">
        <f t="shared" ca="1" si="623"/>
        <v>0</v>
      </c>
      <c r="FU258">
        <f t="shared" ca="1" si="624"/>
        <v>0</v>
      </c>
      <c r="FV258">
        <f t="shared" ca="1" si="625"/>
        <v>0</v>
      </c>
      <c r="FW258">
        <f t="shared" ca="1" si="626"/>
        <v>0</v>
      </c>
      <c r="FX258">
        <f t="shared" ca="1" si="627"/>
        <v>0</v>
      </c>
      <c r="FY258">
        <f t="shared" ca="1" si="628"/>
        <v>0</v>
      </c>
      <c r="FZ258">
        <f t="shared" ca="1" si="629"/>
        <v>0</v>
      </c>
      <c r="GA258">
        <f t="shared" ca="1" si="630"/>
        <v>85645</v>
      </c>
      <c r="GB258">
        <f t="shared" ca="1" si="631"/>
        <v>4282.25</v>
      </c>
      <c r="GC258">
        <f t="shared" ca="1" si="632"/>
        <v>4282</v>
      </c>
      <c r="GD258">
        <f t="shared" ca="1" si="633"/>
        <v>0</v>
      </c>
      <c r="GE258">
        <f t="shared" ca="1" si="634"/>
        <v>0</v>
      </c>
      <c r="GF258">
        <f t="shared" ca="1" si="635"/>
        <v>4282</v>
      </c>
      <c r="GG258">
        <f t="shared" ca="1" si="636"/>
        <v>0</v>
      </c>
      <c r="GH258" t="b">
        <f t="shared" ca="1" si="637"/>
        <v>0</v>
      </c>
      <c r="GI258">
        <f t="shared" ca="1" si="638"/>
        <v>0</v>
      </c>
      <c r="GJ258">
        <f t="shared" ca="1" si="639"/>
        <v>4282</v>
      </c>
      <c r="GK258">
        <f t="shared" ca="1" si="640"/>
        <v>0</v>
      </c>
      <c r="GL258">
        <f t="shared" ca="1" si="641"/>
        <v>0</v>
      </c>
      <c r="GM258">
        <f t="shared" ca="1" si="642"/>
        <v>0</v>
      </c>
    </row>
    <row r="259" spans="1:195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645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38"/>
        <v>4046.0000000000005</v>
      </c>
      <c r="L259">
        <f t="shared" si="539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540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43"/>
        <v>150</v>
      </c>
      <c r="S259">
        <f t="shared" si="541"/>
        <v>34764</v>
      </c>
      <c r="T259">
        <f>_xlfn.XLOOKUP(B259,'[2]april-2025'!$A:$A,'[2]april-2025'!$C:$C,0,0)</f>
        <v>28900</v>
      </c>
      <c r="U259">
        <f t="shared" si="542"/>
        <v>5202</v>
      </c>
      <c r="V259">
        <f t="shared" si="543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si="544"/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45"/>
        <v>150</v>
      </c>
      <c r="AC259">
        <f t="shared" si="546"/>
        <v>35920</v>
      </c>
      <c r="AD259">
        <f>_xlfn.XLOOKUP(B259,'[3]may-2025'!$A:$A,'[3]may-2025'!$C:$C,0,0)</f>
        <v>28900</v>
      </c>
      <c r="AE259">
        <f t="shared" si="547"/>
        <v>5202</v>
      </c>
      <c r="AF259">
        <f t="shared" si="54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si="549"/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50"/>
        <v>150</v>
      </c>
      <c r="AM259">
        <f t="shared" si="551"/>
        <v>35920</v>
      </c>
      <c r="AN259">
        <f>_xlfn.XLOOKUP(B259,'[4]june-2025'!$A:$A,'[4]june-2025'!$C:$C,0,0)</f>
        <v>28900</v>
      </c>
      <c r="AO259">
        <f t="shared" si="552"/>
        <v>5202</v>
      </c>
      <c r="AP259">
        <f t="shared" si="553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si="554"/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55"/>
        <v>150</v>
      </c>
      <c r="AW259">
        <f t="shared" si="556"/>
        <v>35920</v>
      </c>
      <c r="AX259">
        <f>_xlfn.XLOOKUP(B259,'[5]july-2025'!$A:$A,'[5]july-2025'!$C:$C,0,0)</f>
        <v>29800</v>
      </c>
      <c r="AY259">
        <f t="shared" si="557"/>
        <v>5364</v>
      </c>
      <c r="AZ259">
        <v>0</v>
      </c>
      <c r="BA259">
        <f t="shared" si="558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55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60"/>
        <v>150</v>
      </c>
      <c r="BH259">
        <f t="shared" si="561"/>
        <v>37090</v>
      </c>
      <c r="BI259">
        <f>_xlfn.XLOOKUP(B259,'[6]august-2025'!$A:$A,'[6]august-2025'!$C:$C,0,0)</f>
        <v>29800</v>
      </c>
      <c r="BJ259">
        <f t="shared" si="562"/>
        <v>5364</v>
      </c>
      <c r="BK259">
        <f t="shared" si="563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64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565"/>
        <v>150</v>
      </c>
      <c r="BR259">
        <f t="shared" si="566"/>
        <v>37090</v>
      </c>
      <c r="BS259">
        <f>_xlfn.XLOOKUP(B259,'[7]september-2025'!$A:$A,'[7]september-2025'!$C:$C,0,0)</f>
        <v>29800</v>
      </c>
      <c r="BT259">
        <f t="shared" si="567"/>
        <v>5364</v>
      </c>
      <c r="BU259">
        <f t="shared" si="568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569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70"/>
        <v>150</v>
      </c>
      <c r="CB259">
        <f t="shared" si="571"/>
        <v>37090</v>
      </c>
      <c r="CC259">
        <f>_xlfn.XLOOKUP(B259,'[8]october-2025'!$A:$A,'[8]october-2025'!$C:$C,0,0)</f>
        <v>29800</v>
      </c>
      <c r="CD259">
        <f t="shared" si="572"/>
        <v>5364</v>
      </c>
      <c r="CE259">
        <f t="shared" si="573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574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75"/>
        <v>150</v>
      </c>
      <c r="CL259">
        <f t="shared" si="576"/>
        <v>37090</v>
      </c>
      <c r="CM259">
        <f>_xlfn.XLOOKUP(B259,'[9]november-2025'!$A:$A,'[9]november-2025'!$C:$C,0,0)</f>
        <v>29800</v>
      </c>
      <c r="CN259">
        <f t="shared" si="577"/>
        <v>5364</v>
      </c>
      <c r="CO259">
        <f t="shared" si="578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579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80"/>
        <v>150</v>
      </c>
      <c r="CV259">
        <f t="shared" si="581"/>
        <v>37090</v>
      </c>
      <c r="CW259">
        <f>_xlfn.XLOOKUP(B259,'[10]december-2025'!$A:$A,'[10]december-2025'!$C:$C,0,0)</f>
        <v>29800</v>
      </c>
      <c r="CX259">
        <f t="shared" si="582"/>
        <v>5364</v>
      </c>
      <c r="CY259">
        <f t="shared" si="583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584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85"/>
        <v>150</v>
      </c>
      <c r="DF259">
        <f t="shared" si="586"/>
        <v>37090</v>
      </c>
      <c r="DG259">
        <f>_xlfn.XLOOKUP(B259,'[11]january-2026'!$A:$A,'[11]january-2026'!$C:$C,0,0)</f>
        <v>29800</v>
      </c>
      <c r="DH259">
        <f t="shared" si="587"/>
        <v>5364</v>
      </c>
      <c r="DI259">
        <f t="shared" si="588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9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90"/>
        <v>150</v>
      </c>
      <c r="DP259">
        <f t="shared" si="591"/>
        <v>37090</v>
      </c>
      <c r="DQ259">
        <f>_xlfn.XLOOKUP(B259,'[12]february-2026'!$A:$A,'[12]february-2026'!$C:$C,0,0)</f>
        <v>29800</v>
      </c>
      <c r="DR259">
        <f t="shared" si="592"/>
        <v>5364</v>
      </c>
      <c r="DS259">
        <f t="shared" si="59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4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5"/>
        <v>150</v>
      </c>
      <c r="DZ259">
        <f t="shared" si="596"/>
        <v>37090</v>
      </c>
      <c r="EA259">
        <f t="shared" si="597"/>
        <v>471844</v>
      </c>
      <c r="EB259">
        <f t="shared" si="598"/>
        <v>1800</v>
      </c>
      <c r="EC259">
        <f t="shared" si="599"/>
        <v>50000</v>
      </c>
      <c r="ED259">
        <v>0</v>
      </c>
      <c r="EE259">
        <f t="shared" si="600"/>
        <v>420044</v>
      </c>
      <c r="EF259">
        <f t="shared" si="601"/>
        <v>24000</v>
      </c>
      <c r="EG259">
        <f t="shared" si="602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3"/>
        <v>24000</v>
      </c>
      <c r="ES259">
        <f t="shared" si="604"/>
        <v>24000</v>
      </c>
      <c r="ET259">
        <f t="shared" si="605"/>
        <v>396044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6"/>
        <v>0</v>
      </c>
      <c r="FC259">
        <f t="shared" si="607"/>
        <v>396044</v>
      </c>
      <c r="FD259">
        <f t="shared" si="608"/>
        <v>7302</v>
      </c>
      <c r="FE259">
        <f t="shared" si="609"/>
        <v>0</v>
      </c>
      <c r="FF259">
        <f t="shared" si="610"/>
        <v>7302</v>
      </c>
      <c r="FG259">
        <f t="shared" si="611"/>
        <v>0</v>
      </c>
      <c r="FH259">
        <f t="shared" si="612"/>
        <v>0</v>
      </c>
      <c r="FI259">
        <f t="shared" si="613"/>
        <v>0</v>
      </c>
      <c r="FJ259">
        <v>0</v>
      </c>
      <c r="FK259">
        <f t="shared" si="614"/>
        <v>0</v>
      </c>
      <c r="FL259" t="b">
        <f t="shared" si="615"/>
        <v>0</v>
      </c>
      <c r="FM259">
        <f t="shared" ca="1" si="616"/>
        <v>1702</v>
      </c>
      <c r="FN259">
        <f t="shared" ca="1" si="617"/>
        <v>473546</v>
      </c>
      <c r="FO259">
        <f t="shared" si="618"/>
        <v>75000</v>
      </c>
      <c r="FP259">
        <f t="shared" ca="1" si="619"/>
        <v>398546</v>
      </c>
      <c r="FQ259">
        <f t="shared" ca="1" si="620"/>
        <v>0</v>
      </c>
      <c r="FR259">
        <f t="shared" ca="1" si="621"/>
        <v>0</v>
      </c>
      <c r="FS259">
        <f t="shared" ca="1" si="622"/>
        <v>0</v>
      </c>
      <c r="FT259">
        <f t="shared" ca="1" si="623"/>
        <v>0</v>
      </c>
      <c r="FU259">
        <f t="shared" ca="1" si="624"/>
        <v>0</v>
      </c>
      <c r="FV259">
        <f t="shared" ca="1" si="625"/>
        <v>0</v>
      </c>
      <c r="FW259">
        <f t="shared" ca="1" si="626"/>
        <v>0</v>
      </c>
      <c r="FX259">
        <f t="shared" ca="1" si="627"/>
        <v>0</v>
      </c>
      <c r="FY259">
        <f t="shared" ca="1" si="628"/>
        <v>0</v>
      </c>
      <c r="FZ259">
        <f t="shared" ca="1" si="629"/>
        <v>0</v>
      </c>
      <c r="GA259">
        <f t="shared" ca="1" si="630"/>
        <v>0</v>
      </c>
      <c r="GB259">
        <f t="shared" ca="1" si="631"/>
        <v>0</v>
      </c>
      <c r="GC259">
        <f t="shared" ca="1" si="632"/>
        <v>0</v>
      </c>
      <c r="GD259">
        <f t="shared" ca="1" si="633"/>
        <v>0</v>
      </c>
      <c r="GE259">
        <f t="shared" ca="1" si="634"/>
        <v>0</v>
      </c>
      <c r="GF259">
        <f t="shared" ca="1" si="635"/>
        <v>0</v>
      </c>
      <c r="GG259">
        <f t="shared" ca="1" si="636"/>
        <v>0</v>
      </c>
      <c r="GH259" t="b">
        <f t="shared" ca="1" si="637"/>
        <v>0</v>
      </c>
      <c r="GI259">
        <f t="shared" ca="1" si="638"/>
        <v>0</v>
      </c>
      <c r="GJ259">
        <f t="shared" ca="1" si="639"/>
        <v>0</v>
      </c>
      <c r="GK259">
        <f t="shared" ca="1" si="640"/>
        <v>0</v>
      </c>
      <c r="GL259">
        <f t="shared" ca="1" si="641"/>
        <v>0</v>
      </c>
      <c r="GM259">
        <f t="shared" ca="1" si="642"/>
        <v>0</v>
      </c>
    </row>
    <row r="260" spans="1:195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645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46">J260*0.14</f>
        <v>4830.0000000000009</v>
      </c>
      <c r="L260">
        <f t="shared" ref="L260:L305" si="647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ref="O260:O305" si="648">IF(J260&gt;0,SUM(J260:N260),0)</f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43"/>
        <v>200</v>
      </c>
      <c r="S260">
        <f t="shared" ref="S260:S305" si="649">O260-P260-Q260-R260</f>
        <v>41170</v>
      </c>
      <c r="T260">
        <f>_xlfn.XLOOKUP(B260,'[2]april-2025'!$A:$A,'[2]april-2025'!$C:$C,0,0)</f>
        <v>34500</v>
      </c>
      <c r="U260">
        <f t="shared" ref="U260:U305" si="650">T260*0.18</f>
        <v>6210</v>
      </c>
      <c r="V260">
        <f t="shared" ref="V260:V305" si="651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ref="Y260:Y305" si="652">IF(T260&gt;0,SUM(T260:X260),0)</f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53">IF($F260="YES",0,IF(Y260&gt;40000,200,IF(Y260&gt;25000,150,IF(Y260&gt;15000,130,IF(Y260&gt;10000,110,0)))))</f>
        <v>200</v>
      </c>
      <c r="AC260">
        <f t="shared" ref="AC260:AC305" si="654">Y260-Z260-AA260-AB260</f>
        <v>42550</v>
      </c>
      <c r="AD260">
        <f>_xlfn.XLOOKUP(B260,'[3]may-2025'!$A:$A,'[3]may-2025'!$C:$C,0,0)</f>
        <v>34500</v>
      </c>
      <c r="AE260">
        <f t="shared" ref="AE260:AE305" si="655">AD260*0.18</f>
        <v>6210</v>
      </c>
      <c r="AF260">
        <f t="shared" ref="AF260:AF305" si="656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ref="AI260:AI305" si="657">IF(AD260&gt;0,SUM(AD260:AH260),0)</f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58">IF($F260="YES",0,IF(AI260&gt;40000,200,IF(AI260&gt;25000,150,IF(AI260&gt;15000,130,IF(AI260&gt;10000,110,0)))))</f>
        <v>200</v>
      </c>
      <c r="AM260">
        <f t="shared" ref="AM260:AM305" si="659">AI260-AJ260-AK260-AL260</f>
        <v>42550</v>
      </c>
      <c r="AN260">
        <f>_xlfn.XLOOKUP(B260,'[4]june-2025'!$A:$A,'[4]june-2025'!$C:$C,0,0)</f>
        <v>34500</v>
      </c>
      <c r="AO260">
        <f t="shared" ref="AO260:AO305" si="660">AN260*0.18</f>
        <v>6210</v>
      </c>
      <c r="AP260">
        <f t="shared" ref="AP260:AP305" si="66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ref="AS260:AS305" si="662">IF(AN260&gt;0,SUM(AN260:AR260),0)</f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63">IF($F260="YES",0,IF(AS260&gt;40000,200,IF(AS260&gt;25000,150,IF(AS260&gt;15000,130,IF(AS260&gt;10000,110,0)))))</f>
        <v>200</v>
      </c>
      <c r="AW260">
        <f t="shared" ref="AW260:AW305" si="664">AS260-AT260-AU260-AV260</f>
        <v>42550</v>
      </c>
      <c r="AX260">
        <f>_xlfn.XLOOKUP(B260,'[5]july-2025'!$A:$A,'[5]july-2025'!$C:$C,0,0)</f>
        <v>35500</v>
      </c>
      <c r="AY260">
        <f t="shared" ref="AY260:AY305" si="665">AX260*0.18</f>
        <v>6390</v>
      </c>
      <c r="AZ260">
        <v>0</v>
      </c>
      <c r="BA260">
        <f t="shared" ref="BA260:BA305" si="666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ref="BD260:BD305" si="667">IF(AX260&gt;0,SUM(AX260:BC260),0)</f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68">IF($F260="YES",0,IF(BD260&gt;40000,200,IF(BD260&gt;25000,150,IF(BD260&gt;15000,130,IF(BD260&gt;10000,110,0)))))</f>
        <v>200</v>
      </c>
      <c r="BH260">
        <f t="shared" ref="BH260:BH305" si="669">BD260-BE260-BF260-BG260</f>
        <v>43850</v>
      </c>
      <c r="BI260">
        <f>_xlfn.XLOOKUP(B260,'[6]august-2025'!$A:$A,'[6]august-2025'!$C:$C,0,0)</f>
        <v>35500</v>
      </c>
      <c r="BJ260">
        <f t="shared" ref="BJ260:BJ305" si="670">BI260*0.18</f>
        <v>6390</v>
      </c>
      <c r="BK260">
        <f t="shared" ref="BK260:BK305" si="671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72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ref="BQ260:BQ305" si="673">IF($F260="YES",0,IF(BN260&gt;40000,200,IF(BN260&gt;25000,150,IF(BN260&gt;15000,130,IF(BN260&gt;10000,110,0)))))</f>
        <v>200</v>
      </c>
      <c r="BR260">
        <f t="shared" ref="BR260:BR305" si="674">BN260-BO260-BP260-BQ260</f>
        <v>43850</v>
      </c>
      <c r="BS260">
        <f>_xlfn.XLOOKUP(B260,'[7]september-2025'!$A:$A,'[7]september-2025'!$C:$C,0,0)</f>
        <v>35500</v>
      </c>
      <c r="BT260">
        <f t="shared" ref="BT260:BT305" si="675">BS260*0.18</f>
        <v>6390</v>
      </c>
      <c r="BU260">
        <f t="shared" ref="BU260:BU305" si="676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ref="BX260:BX305" si="677">IF(BS260&gt;0,SUM(BS260:BW260),0)</f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78">IF($F260="YES",0,IF(BX260&gt;40000,200,IF(BX260&gt;25000,150,IF(BX260&gt;15000,130,IF(BX260&gt;10000,110,0)))))</f>
        <v>200</v>
      </c>
      <c r="CB260">
        <f t="shared" ref="CB260:CB305" si="679">BX260-BY260-BZ260-CA260</f>
        <v>43850</v>
      </c>
      <c r="CC260">
        <f>_xlfn.XLOOKUP(B260,'[8]october-2025'!$A:$A,'[8]october-2025'!$C:$C,0,0)</f>
        <v>35500</v>
      </c>
      <c r="CD260">
        <f t="shared" ref="CD260:CD305" si="680">CC260*0.18</f>
        <v>6390</v>
      </c>
      <c r="CE260">
        <f t="shared" ref="CE260:CE305" si="681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ref="CH260:CH305" si="682">IF(CC260&gt;0,SUM(CC260:CG260),0)</f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83">IF($F260="YES",0,IF(CH260&gt;40000,200,IF(CH260&gt;25000,150,IF(CH260&gt;15000,130,IF(CH260&gt;10000,110,0)))))</f>
        <v>200</v>
      </c>
      <c r="CL260">
        <f t="shared" ref="CL260:CL305" si="684">CH260-CI260-CJ260-CK260</f>
        <v>43850</v>
      </c>
      <c r="CM260">
        <f>_xlfn.XLOOKUP(B260,'[9]november-2025'!$A:$A,'[9]november-2025'!$C:$C,0,0)</f>
        <v>35500</v>
      </c>
      <c r="CN260">
        <f t="shared" ref="CN260:CN305" si="685">CM260*0.18</f>
        <v>6390</v>
      </c>
      <c r="CO260">
        <f t="shared" ref="CO260:CO305" si="686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ref="CR260:CR305" si="687">IF(CM260&gt;0,SUM(CM260:CQ260),0)</f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88">IF($F260="YES",0,IF(CR260&gt;40000,200,IF(CR260&gt;25000,150,IF(CR260&gt;15000,130,IF(CR260&gt;10000,110,0)))))</f>
        <v>200</v>
      </c>
      <c r="CV260">
        <f t="shared" ref="CV260:CV305" si="689">CR260-CS260-CT260-CU260</f>
        <v>43850</v>
      </c>
      <c r="CW260">
        <f>_xlfn.XLOOKUP(B260,'[10]december-2025'!$A:$A,'[10]december-2025'!$C:$C,0,0)</f>
        <v>35500</v>
      </c>
      <c r="CX260">
        <f t="shared" ref="CX260:CX305" si="690">ROUND(CW260*0.18,0)</f>
        <v>6390</v>
      </c>
      <c r="CY260">
        <f t="shared" ref="CY260:CY305" si="691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ref="DB260:DB305" si="692">IF(CW260&gt;0,SUM(CW260:DA260),0)</f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93">IF($F260="YES",0,IF(DB260&gt;40000,200,IF(DB260&gt;25000,150,IF(DB260&gt;15000,130,IF(DB260&gt;10000,110,0)))))</f>
        <v>200</v>
      </c>
      <c r="DF260">
        <f t="shared" ref="DF260:DF305" si="694">DB260-DC260-DD260-DE260</f>
        <v>43850</v>
      </c>
      <c r="DG260">
        <f>_xlfn.XLOOKUP(B260,'[11]january-2026'!$A:$A,'[11]january-2026'!$C:$C,0,0)</f>
        <v>35500</v>
      </c>
      <c r="DH260">
        <f t="shared" ref="DH260:DH305" si="695">DG260*0.18</f>
        <v>6390</v>
      </c>
      <c r="DI260">
        <f t="shared" ref="DI260:DI305" si="696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7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8">IF($F260="YES",0,IF(DL260&gt;40000,200,IF(DL260&gt;25000,150,IF(DL260&gt;15000,130,IF(DL260&gt;10000,110,0)))))</f>
        <v>200</v>
      </c>
      <c r="DP260">
        <f t="shared" ref="DP260:DP305" si="699">DL260-DM260-DN260-DO260</f>
        <v>43850</v>
      </c>
      <c r="DQ260">
        <f>_xlfn.XLOOKUP(B260,'[12]february-2026'!$A:$A,'[12]february-2026'!$C:$C,0,0)</f>
        <v>35500</v>
      </c>
      <c r="DR260">
        <f t="shared" ref="DR260:DR305" si="700">DQ260*0.18</f>
        <v>6390</v>
      </c>
      <c r="DS260">
        <f t="shared" ref="DS260:DS305" si="701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2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3">IF($F260="YES",0,IF(DV260&gt;40000,200,IF(DV260&gt;25000,150,IF(DV260&gt;15000,130,IF(DV260&gt;10000,110,0)))))</f>
        <v>200</v>
      </c>
      <c r="DZ260">
        <f t="shared" ref="DZ260:DZ305" si="704">DV260-DW260-DX260-DY260</f>
        <v>43850</v>
      </c>
      <c r="EA260">
        <f t="shared" ref="EA260:EA305" si="705">DV260+DL260+DB260+CR260+CH260+BX260+BN260+BD260+AS260+AI260+Y260+O260+H260+I260</f>
        <v>564820</v>
      </c>
      <c r="EB260">
        <f t="shared" ref="EB260:EB305" si="706">DY260+DO260+DE260+CU260+CK260+CA260+BQ260+BG260+AV260+AL260+AB260+R260</f>
        <v>2400</v>
      </c>
      <c r="EC260">
        <f t="shared" ref="EC260:EC305" si="707">IF(EA260&gt;0,50000,0)</f>
        <v>50000</v>
      </c>
      <c r="ED260">
        <v>0</v>
      </c>
      <c r="EE260">
        <f t="shared" ref="EE260:EE305" si="708">EA260-EB260-EC260</f>
        <v>512420</v>
      </c>
      <c r="EF260">
        <f t="shared" ref="EF260:EF305" si="709">DW260+DM260+DC260+CS260+CI260+BY260+BO260+BE260+AT260+AJ260+Z260+P260</f>
        <v>36000</v>
      </c>
      <c r="EG260">
        <f t="shared" ref="EG260:EG305" si="710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1">SUM(EF260:EQ260)</f>
        <v>36000</v>
      </c>
      <c r="ES260">
        <f t="shared" ref="ES260:ES305" si="712">IF(ER260&gt;=150000,150000,ER260)</f>
        <v>36000</v>
      </c>
      <c r="ET260">
        <f t="shared" ref="ET260:ET305" si="713">EE260-ES260</f>
        <v>476420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4">SUM(EU260:FA260)+(IF(F260="YES",50000,0))</f>
        <v>0</v>
      </c>
      <c r="FC260">
        <f t="shared" ref="FC260:FC305" si="715">ET260-FB260</f>
        <v>476420</v>
      </c>
      <c r="FD260">
        <f t="shared" ref="FD260:FD305" si="716">ROUND(IF(FC260&gt;0,IF(FC260&gt;500000,12500,(FC260-250000)*0.05),0),0)</f>
        <v>11321</v>
      </c>
      <c r="FE260">
        <f t="shared" ref="FE260:FE305" si="717">IF(ROUND(IF(FC260&gt;0,IF(FC260&gt;1000000,25000,(FC260-500000)*0.2),0),0)&lt;0,0,ROUND(IF(FC260&gt;0,IF(FC260&gt;1000000,25000,(FC260-500000)*0.2),0),0))</f>
        <v>0</v>
      </c>
      <c r="FF260">
        <f t="shared" ref="FF260:FF305" si="718">FD260+FE260</f>
        <v>11321</v>
      </c>
      <c r="FG260">
        <f t="shared" ref="FG260:FG305" si="719">IF(FF260&lt;12500,0,FF260)</f>
        <v>0</v>
      </c>
      <c r="FH260">
        <f t="shared" ref="FH260:FH305" si="720">FG260*0.04</f>
        <v>0</v>
      </c>
      <c r="FI260">
        <f t="shared" ref="FI260:FI305" si="721">ROUND(FH260+FG260,0)</f>
        <v>0</v>
      </c>
      <c r="FJ260">
        <v>0</v>
      </c>
      <c r="FK260">
        <f t="shared" ref="FK260:FK305" si="722">FI260-FJ260</f>
        <v>0</v>
      </c>
      <c r="FL260" t="b">
        <f t="shared" ref="FL260:FL305" si="723">IF(EA260&gt;500000,TRUE,FALSE)</f>
        <v>1</v>
      </c>
      <c r="FM260">
        <f t="shared" ref="FM260:FM305" ca="1" si="724">IF(FL260,RANDBETWEEN(500,1000),RANDBETWEEN(1000,3000))</f>
        <v>573</v>
      </c>
      <c r="FN260">
        <f t="shared" ref="FN260:FN305" ca="1" si="725">EA260+FM260</f>
        <v>565393</v>
      </c>
      <c r="FO260">
        <f t="shared" ref="FO260:FO305" si="726">IF(EA260&gt;0,75000,0)</f>
        <v>75000</v>
      </c>
      <c r="FP260">
        <f t="shared" ref="FP260:FP305" ca="1" si="727">FN260-FO260</f>
        <v>490393</v>
      </c>
      <c r="FQ260">
        <f t="shared" ref="FQ260:FQ305" ca="1" si="728">IF(FP260&gt;2400000,FP260-2400000,0)</f>
        <v>0</v>
      </c>
      <c r="FR260">
        <f t="shared" ref="FR260:FR305" ca="1" si="729">FQ260*0.3</f>
        <v>0</v>
      </c>
      <c r="FS260">
        <f t="shared" ref="FS260:FS305" ca="1" si="730">IF(FP260&gt;2000000,FP260-2000000,0)</f>
        <v>0</v>
      </c>
      <c r="FT260">
        <f t="shared" ref="FT260:FT305" ca="1" si="731">FS260*0.25</f>
        <v>0</v>
      </c>
      <c r="FU260">
        <f t="shared" ref="FU260:FU305" ca="1" si="732">IF(FP260&gt;1600000,FP260-1600000-FQ260,0)</f>
        <v>0</v>
      </c>
      <c r="FV260">
        <f t="shared" ref="FV260:FV305" ca="1" si="733">FU260*0.2</f>
        <v>0</v>
      </c>
      <c r="FW260">
        <f t="shared" ref="FW260:FW305" ca="1" si="734">IF(FP260&gt;1200000,FP260-1200000-IF(F260="YES",50000,0)-FU260,0)</f>
        <v>0</v>
      </c>
      <c r="FX260">
        <f t="shared" ref="FX260:FX305" ca="1" si="735">FW260*0.15</f>
        <v>0</v>
      </c>
      <c r="FY260">
        <f t="shared" ref="FY260:FY305" ca="1" si="736">IF(FP260&gt;800000,FP260-800000-FQ260-FU260-FW260,0)</f>
        <v>0</v>
      </c>
      <c r="FZ260">
        <f t="shared" ref="FZ260:FZ305" ca="1" si="737">FY260*0.1</f>
        <v>0</v>
      </c>
      <c r="GA260">
        <f t="shared" ref="GA260:GA305" ca="1" si="738">IF(FP260&gt;400000,FP260-400000-FQ260-FU260-FW260-FY260,0)</f>
        <v>90393</v>
      </c>
      <c r="GB260">
        <f t="shared" ref="GB260:GB305" ca="1" si="739">GA260*0.05</f>
        <v>4519.6500000000005</v>
      </c>
      <c r="GC260">
        <f t="shared" ref="GC260:GC305" ca="1" si="740">ROUND(FR260+FT260+FV260+FX260+FZ260+GB260,0)</f>
        <v>4520</v>
      </c>
      <c r="GD260">
        <f t="shared" ref="GD260:GD305" ca="1" si="741">IF(FP260&gt;1200000,FP260,0)</f>
        <v>0</v>
      </c>
      <c r="GE260">
        <f t="shared" ref="GE260:GE305" ca="1" si="742">IF(FP260&gt;1200000,GD260-1200000,0)</f>
        <v>0</v>
      </c>
      <c r="GF260">
        <f t="shared" ref="GF260:GF305" ca="1" si="743">IF(FP260&lt;1200001,MIN(GC260,60000),0)</f>
        <v>4520</v>
      </c>
      <c r="GG260">
        <f t="shared" ref="GG260:GG305" ca="1" si="744">IF(FP260&gt;1200000,GC260-GE260,0)</f>
        <v>0</v>
      </c>
      <c r="GH260" t="b">
        <f t="shared" ref="GH260:GH305" ca="1" si="745">IF(GG260&gt;0,TRUE,FALSE)</f>
        <v>0</v>
      </c>
      <c r="GI260">
        <f t="shared" ref="GI260:GI305" ca="1" si="746">IF(GH260,GG260,0)</f>
        <v>0</v>
      </c>
      <c r="GJ260">
        <f t="shared" ref="GJ260:GJ305" ca="1" si="747">GF260+GI260</f>
        <v>4520</v>
      </c>
      <c r="GK260">
        <f t="shared" ref="GK260:GK305" ca="1" si="748">ROUND(GC260-GJ260,0)</f>
        <v>0</v>
      </c>
      <c r="GL260">
        <f t="shared" ref="GL260:GL305" ca="1" si="749">GK260*0.04</f>
        <v>0</v>
      </c>
      <c r="GM260">
        <f t="shared" ref="GM260:GM305" ca="1" si="750">ROUNDUP(GK260+GL260,0)</f>
        <v>0</v>
      </c>
    </row>
    <row r="261" spans="1:195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645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46"/>
        <v>4424</v>
      </c>
      <c r="L261">
        <f t="shared" si="647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4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51">IF($F261="YES",0,IF(O261&gt;40000,200,IF(O261&gt;25000,150,IF(O261&gt;15000,130,IF(O261&gt;10000,110,0)))))</f>
        <v>150</v>
      </c>
      <c r="S261">
        <f t="shared" si="649"/>
        <v>37666</v>
      </c>
      <c r="T261">
        <f>_xlfn.XLOOKUP(B261,'[2]april-2025'!$A:$A,'[2]april-2025'!$C:$C,0,0)</f>
        <v>31600</v>
      </c>
      <c r="U261">
        <f t="shared" si="650"/>
        <v>5688</v>
      </c>
      <c r="V261">
        <f t="shared" si="651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52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53"/>
        <v>200</v>
      </c>
      <c r="AC261">
        <f t="shared" si="654"/>
        <v>38880</v>
      </c>
      <c r="AD261">
        <f>_xlfn.XLOOKUP(B261,'[3]may-2025'!$A:$A,'[3]may-2025'!$C:$C,0,0)</f>
        <v>31600</v>
      </c>
      <c r="AE261">
        <f t="shared" si="655"/>
        <v>5688</v>
      </c>
      <c r="AF261">
        <f t="shared" si="656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57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58"/>
        <v>200</v>
      </c>
      <c r="AM261">
        <f t="shared" si="659"/>
        <v>38880</v>
      </c>
      <c r="AN261">
        <f>_xlfn.XLOOKUP(B261,'[4]june-2025'!$A:$A,'[4]june-2025'!$C:$C,0,0)</f>
        <v>31600</v>
      </c>
      <c r="AO261">
        <f t="shared" si="660"/>
        <v>5688</v>
      </c>
      <c r="AP261">
        <f t="shared" si="66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62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63"/>
        <v>200</v>
      </c>
      <c r="AW261">
        <f t="shared" si="664"/>
        <v>38880</v>
      </c>
      <c r="AX261">
        <f>_xlfn.XLOOKUP(B261,'[5]july-2025'!$A:$A,'[5]july-2025'!$C:$C,0,0)</f>
        <v>32500</v>
      </c>
      <c r="AY261">
        <f t="shared" si="665"/>
        <v>5850</v>
      </c>
      <c r="AZ261">
        <v>0</v>
      </c>
      <c r="BA261">
        <f t="shared" si="666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67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68"/>
        <v>200</v>
      </c>
      <c r="BH261">
        <f t="shared" si="669"/>
        <v>40050</v>
      </c>
      <c r="BI261">
        <f>_xlfn.XLOOKUP(B261,'[6]august-2025'!$A:$A,'[6]august-2025'!$C:$C,0,0)</f>
        <v>32500</v>
      </c>
      <c r="BJ261">
        <f t="shared" si="670"/>
        <v>5850</v>
      </c>
      <c r="BK261">
        <f t="shared" si="671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72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73"/>
        <v>200</v>
      </c>
      <c r="BR261">
        <f t="shared" si="674"/>
        <v>40050</v>
      </c>
      <c r="BS261">
        <f>_xlfn.XLOOKUP(B261,'[7]september-2025'!$A:$A,'[7]september-2025'!$C:$C,0,0)</f>
        <v>32500</v>
      </c>
      <c r="BT261">
        <f t="shared" si="675"/>
        <v>5850</v>
      </c>
      <c r="BU261">
        <f t="shared" si="676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77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78"/>
        <v>200</v>
      </c>
      <c r="CB261">
        <f t="shared" si="679"/>
        <v>40050</v>
      </c>
      <c r="CC261">
        <f>_xlfn.XLOOKUP(B261,'[8]october-2025'!$A:$A,'[8]october-2025'!$C:$C,0,0)</f>
        <v>32500</v>
      </c>
      <c r="CD261">
        <f t="shared" si="680"/>
        <v>5850</v>
      </c>
      <c r="CE261">
        <f t="shared" si="681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82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83"/>
        <v>200</v>
      </c>
      <c r="CL261">
        <f t="shared" si="684"/>
        <v>40050</v>
      </c>
      <c r="CM261">
        <f>_xlfn.XLOOKUP(B261,'[9]november-2025'!$A:$A,'[9]november-2025'!$C:$C,0,0)</f>
        <v>32500</v>
      </c>
      <c r="CN261">
        <f t="shared" si="685"/>
        <v>5850</v>
      </c>
      <c r="CO261">
        <f t="shared" si="686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87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88"/>
        <v>200</v>
      </c>
      <c r="CV261">
        <f t="shared" si="689"/>
        <v>40050</v>
      </c>
      <c r="CW261">
        <f>_xlfn.XLOOKUP(B261,'[10]december-2025'!$A:$A,'[10]december-2025'!$C:$C,0,0)</f>
        <v>32500</v>
      </c>
      <c r="CX261">
        <f t="shared" si="690"/>
        <v>5850</v>
      </c>
      <c r="CY261">
        <f t="shared" si="691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92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93"/>
        <v>200</v>
      </c>
      <c r="DF261">
        <f t="shared" si="694"/>
        <v>40050</v>
      </c>
      <c r="DG261">
        <f>_xlfn.XLOOKUP(B261,'[11]january-2026'!$A:$A,'[11]january-2026'!$C:$C,0,0)</f>
        <v>32500</v>
      </c>
      <c r="DH261">
        <f t="shared" si="695"/>
        <v>5850</v>
      </c>
      <c r="DI261">
        <f t="shared" si="696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7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8"/>
        <v>200</v>
      </c>
      <c r="DP261">
        <f t="shared" si="699"/>
        <v>40050</v>
      </c>
      <c r="DQ261">
        <f>_xlfn.XLOOKUP(B261,'[12]february-2026'!$A:$A,'[12]february-2026'!$C:$C,0,0)</f>
        <v>32500</v>
      </c>
      <c r="DR261">
        <f t="shared" si="700"/>
        <v>5850</v>
      </c>
      <c r="DS261">
        <f t="shared" si="701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2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3"/>
        <v>200</v>
      </c>
      <c r="DZ261">
        <f t="shared" si="704"/>
        <v>40050</v>
      </c>
      <c r="EA261">
        <f t="shared" si="705"/>
        <v>507856</v>
      </c>
      <c r="EB261">
        <f t="shared" si="706"/>
        <v>2350</v>
      </c>
      <c r="EC261">
        <f t="shared" si="707"/>
        <v>50000</v>
      </c>
      <c r="ED261">
        <v>0</v>
      </c>
      <c r="EE261">
        <f t="shared" si="708"/>
        <v>455506</v>
      </c>
      <c r="EF261">
        <f t="shared" si="709"/>
        <v>24000</v>
      </c>
      <c r="EG261">
        <f t="shared" si="710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1"/>
        <v>24000</v>
      </c>
      <c r="ES261">
        <f t="shared" si="712"/>
        <v>24000</v>
      </c>
      <c r="ET261">
        <f t="shared" si="713"/>
        <v>431506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4"/>
        <v>0</v>
      </c>
      <c r="FC261">
        <f t="shared" si="715"/>
        <v>431506</v>
      </c>
      <c r="FD261">
        <f t="shared" si="716"/>
        <v>9075</v>
      </c>
      <c r="FE261">
        <f t="shared" si="717"/>
        <v>0</v>
      </c>
      <c r="FF261">
        <f t="shared" si="718"/>
        <v>9075</v>
      </c>
      <c r="FG261">
        <f t="shared" si="719"/>
        <v>0</v>
      </c>
      <c r="FH261">
        <f t="shared" si="720"/>
        <v>0</v>
      </c>
      <c r="FI261">
        <f t="shared" si="721"/>
        <v>0</v>
      </c>
      <c r="FJ261">
        <v>0</v>
      </c>
      <c r="FK261">
        <f t="shared" si="722"/>
        <v>0</v>
      </c>
      <c r="FL261" t="b">
        <f t="shared" si="723"/>
        <v>1</v>
      </c>
      <c r="FM261">
        <f t="shared" ca="1" si="724"/>
        <v>701</v>
      </c>
      <c r="FN261">
        <f t="shared" ca="1" si="725"/>
        <v>508557</v>
      </c>
      <c r="FO261">
        <f t="shared" si="726"/>
        <v>75000</v>
      </c>
      <c r="FP261">
        <f t="shared" ca="1" si="727"/>
        <v>433557</v>
      </c>
      <c r="FQ261">
        <f t="shared" ca="1" si="728"/>
        <v>0</v>
      </c>
      <c r="FR261">
        <f t="shared" ca="1" si="729"/>
        <v>0</v>
      </c>
      <c r="FS261">
        <f t="shared" ca="1" si="730"/>
        <v>0</v>
      </c>
      <c r="FT261">
        <f t="shared" ca="1" si="731"/>
        <v>0</v>
      </c>
      <c r="FU261">
        <f t="shared" ca="1" si="732"/>
        <v>0</v>
      </c>
      <c r="FV261">
        <f t="shared" ca="1" si="733"/>
        <v>0</v>
      </c>
      <c r="FW261">
        <f t="shared" ca="1" si="734"/>
        <v>0</v>
      </c>
      <c r="FX261">
        <f t="shared" ca="1" si="735"/>
        <v>0</v>
      </c>
      <c r="FY261">
        <f t="shared" ca="1" si="736"/>
        <v>0</v>
      </c>
      <c r="FZ261">
        <f t="shared" ca="1" si="737"/>
        <v>0</v>
      </c>
      <c r="GA261">
        <f t="shared" ca="1" si="738"/>
        <v>33557</v>
      </c>
      <c r="GB261">
        <f t="shared" ca="1" si="739"/>
        <v>1677.8500000000001</v>
      </c>
      <c r="GC261">
        <f t="shared" ca="1" si="740"/>
        <v>1678</v>
      </c>
      <c r="GD261">
        <f t="shared" ca="1" si="741"/>
        <v>0</v>
      </c>
      <c r="GE261">
        <f t="shared" ca="1" si="742"/>
        <v>0</v>
      </c>
      <c r="GF261">
        <f t="shared" ca="1" si="743"/>
        <v>1678</v>
      </c>
      <c r="GG261">
        <f t="shared" ca="1" si="744"/>
        <v>0</v>
      </c>
      <c r="GH261" t="b">
        <f t="shared" ca="1" si="745"/>
        <v>0</v>
      </c>
      <c r="GI261">
        <f t="shared" ca="1" si="746"/>
        <v>0</v>
      </c>
      <c r="GJ261">
        <f t="shared" ca="1" si="747"/>
        <v>1678</v>
      </c>
      <c r="GK261">
        <f t="shared" ca="1" si="748"/>
        <v>0</v>
      </c>
      <c r="GL261">
        <f t="shared" ca="1" si="749"/>
        <v>0</v>
      </c>
      <c r="GM261">
        <f t="shared" ca="1" si="750"/>
        <v>0</v>
      </c>
    </row>
    <row r="262" spans="1:195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645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46"/>
        <v>4424</v>
      </c>
      <c r="L262">
        <f t="shared" si="647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4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51"/>
        <v>200</v>
      </c>
      <c r="S262">
        <f t="shared" si="649"/>
        <v>38116</v>
      </c>
      <c r="T262">
        <f>_xlfn.XLOOKUP(B262,'[2]april-2025'!$A:$A,'[2]april-2025'!$C:$C,0,0)</f>
        <v>31600</v>
      </c>
      <c r="U262">
        <f t="shared" si="650"/>
        <v>5688</v>
      </c>
      <c r="V262">
        <f t="shared" si="651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52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53"/>
        <v>200</v>
      </c>
      <c r="AC262">
        <f t="shared" si="654"/>
        <v>39380</v>
      </c>
      <c r="AD262">
        <f>_xlfn.XLOOKUP(B262,'[3]may-2025'!$A:$A,'[3]may-2025'!$C:$C,0,0)</f>
        <v>31600</v>
      </c>
      <c r="AE262">
        <f t="shared" si="655"/>
        <v>5688</v>
      </c>
      <c r="AF262">
        <f t="shared" si="656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57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58"/>
        <v>200</v>
      </c>
      <c r="AM262">
        <f t="shared" si="659"/>
        <v>39380</v>
      </c>
      <c r="AN262">
        <f>_xlfn.XLOOKUP(B262,'[4]june-2025'!$A:$A,'[4]june-2025'!$C:$C,0,0)</f>
        <v>31600</v>
      </c>
      <c r="AO262">
        <f t="shared" si="660"/>
        <v>5688</v>
      </c>
      <c r="AP262">
        <f t="shared" si="66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62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63"/>
        <v>200</v>
      </c>
      <c r="AW262">
        <f t="shared" si="664"/>
        <v>39380</v>
      </c>
      <c r="AX262">
        <f>_xlfn.XLOOKUP(B262,'[5]july-2025'!$A:$A,'[5]july-2025'!$C:$C,0,0)</f>
        <v>32500</v>
      </c>
      <c r="AY262">
        <f t="shared" si="665"/>
        <v>5850</v>
      </c>
      <c r="AZ262">
        <v>0</v>
      </c>
      <c r="BA262">
        <f t="shared" si="666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67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68"/>
        <v>200</v>
      </c>
      <c r="BH262">
        <f t="shared" si="669"/>
        <v>40550</v>
      </c>
      <c r="BI262">
        <f>_xlfn.XLOOKUP(B262,'[6]august-2025'!$A:$A,'[6]august-2025'!$C:$C,0,0)</f>
        <v>32500</v>
      </c>
      <c r="BJ262">
        <f t="shared" si="670"/>
        <v>5850</v>
      </c>
      <c r="BK262">
        <f t="shared" si="671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72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73"/>
        <v>200</v>
      </c>
      <c r="BR262">
        <f t="shared" si="674"/>
        <v>40550</v>
      </c>
      <c r="BS262">
        <f>_xlfn.XLOOKUP(B262,'[7]september-2025'!$A:$A,'[7]september-2025'!$C:$C,0,0)</f>
        <v>32500</v>
      </c>
      <c r="BT262">
        <f t="shared" si="675"/>
        <v>5850</v>
      </c>
      <c r="BU262">
        <f t="shared" si="676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77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78"/>
        <v>200</v>
      </c>
      <c r="CB262">
        <f t="shared" si="679"/>
        <v>40550</v>
      </c>
      <c r="CC262">
        <f>_xlfn.XLOOKUP(B262,'[8]october-2025'!$A:$A,'[8]october-2025'!$C:$C,0,0)</f>
        <v>32500</v>
      </c>
      <c r="CD262">
        <f t="shared" si="680"/>
        <v>5850</v>
      </c>
      <c r="CE262">
        <f t="shared" si="681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82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83"/>
        <v>200</v>
      </c>
      <c r="CL262">
        <f t="shared" si="684"/>
        <v>40550</v>
      </c>
      <c r="CM262">
        <f>_xlfn.XLOOKUP(B262,'[9]november-2025'!$A:$A,'[9]november-2025'!$C:$C,0,0)</f>
        <v>32500</v>
      </c>
      <c r="CN262">
        <f t="shared" si="685"/>
        <v>5850</v>
      </c>
      <c r="CO262">
        <f t="shared" si="686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87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88"/>
        <v>200</v>
      </c>
      <c r="CV262">
        <f t="shared" si="689"/>
        <v>40550</v>
      </c>
      <c r="CW262">
        <f>_xlfn.XLOOKUP(B262,'[10]december-2025'!$A:$A,'[10]december-2025'!$C:$C,0,0)</f>
        <v>32500</v>
      </c>
      <c r="CX262">
        <f t="shared" si="690"/>
        <v>5850</v>
      </c>
      <c r="CY262">
        <f t="shared" si="691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92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93"/>
        <v>200</v>
      </c>
      <c r="DF262">
        <f t="shared" si="694"/>
        <v>40550</v>
      </c>
      <c r="DG262">
        <f>_xlfn.XLOOKUP(B262,'[11]january-2026'!$A:$A,'[11]january-2026'!$C:$C,0,0)</f>
        <v>32500</v>
      </c>
      <c r="DH262">
        <f t="shared" si="695"/>
        <v>5850</v>
      </c>
      <c r="DI262">
        <f t="shared" si="696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7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8"/>
        <v>200</v>
      </c>
      <c r="DP262">
        <f t="shared" si="699"/>
        <v>40550</v>
      </c>
      <c r="DQ262">
        <f>_xlfn.XLOOKUP(B262,'[12]february-2026'!$A:$A,'[12]february-2026'!$C:$C,0,0)</f>
        <v>32500</v>
      </c>
      <c r="DR262">
        <f t="shared" si="700"/>
        <v>5850</v>
      </c>
      <c r="DS262">
        <f t="shared" si="701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2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3"/>
        <v>200</v>
      </c>
      <c r="DZ262">
        <f t="shared" si="704"/>
        <v>40550</v>
      </c>
      <c r="EA262">
        <f t="shared" si="705"/>
        <v>513856</v>
      </c>
      <c r="EB262">
        <f t="shared" si="706"/>
        <v>2400</v>
      </c>
      <c r="EC262">
        <f t="shared" si="707"/>
        <v>50000</v>
      </c>
      <c r="ED262">
        <v>0</v>
      </c>
      <c r="EE262">
        <f t="shared" si="708"/>
        <v>461456</v>
      </c>
      <c r="EF262">
        <f t="shared" si="709"/>
        <v>24000</v>
      </c>
      <c r="EG262">
        <f t="shared" si="710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1"/>
        <v>24000</v>
      </c>
      <c r="ES262">
        <f t="shared" si="712"/>
        <v>24000</v>
      </c>
      <c r="ET262">
        <f t="shared" si="713"/>
        <v>437456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4"/>
        <v>0</v>
      </c>
      <c r="FC262">
        <f t="shared" si="715"/>
        <v>437456</v>
      </c>
      <c r="FD262">
        <f t="shared" si="716"/>
        <v>9373</v>
      </c>
      <c r="FE262">
        <f t="shared" si="717"/>
        <v>0</v>
      </c>
      <c r="FF262">
        <f t="shared" si="718"/>
        <v>9373</v>
      </c>
      <c r="FG262">
        <f t="shared" si="719"/>
        <v>0</v>
      </c>
      <c r="FH262">
        <f t="shared" si="720"/>
        <v>0</v>
      </c>
      <c r="FI262">
        <f t="shared" si="721"/>
        <v>0</v>
      </c>
      <c r="FJ262">
        <v>0</v>
      </c>
      <c r="FK262">
        <f t="shared" si="722"/>
        <v>0</v>
      </c>
      <c r="FL262" t="b">
        <f t="shared" si="723"/>
        <v>1</v>
      </c>
      <c r="FM262">
        <f t="shared" ca="1" si="724"/>
        <v>934</v>
      </c>
      <c r="FN262">
        <f t="shared" ca="1" si="725"/>
        <v>514790</v>
      </c>
      <c r="FO262">
        <f t="shared" si="726"/>
        <v>75000</v>
      </c>
      <c r="FP262">
        <f t="shared" ca="1" si="727"/>
        <v>439790</v>
      </c>
      <c r="FQ262">
        <f t="shared" ca="1" si="728"/>
        <v>0</v>
      </c>
      <c r="FR262">
        <f t="shared" ca="1" si="729"/>
        <v>0</v>
      </c>
      <c r="FS262">
        <f t="shared" ca="1" si="730"/>
        <v>0</v>
      </c>
      <c r="FT262">
        <f t="shared" ca="1" si="731"/>
        <v>0</v>
      </c>
      <c r="FU262">
        <f t="shared" ca="1" si="732"/>
        <v>0</v>
      </c>
      <c r="FV262">
        <f t="shared" ca="1" si="733"/>
        <v>0</v>
      </c>
      <c r="FW262">
        <f t="shared" ca="1" si="734"/>
        <v>0</v>
      </c>
      <c r="FX262">
        <f t="shared" ca="1" si="735"/>
        <v>0</v>
      </c>
      <c r="FY262">
        <f t="shared" ca="1" si="736"/>
        <v>0</v>
      </c>
      <c r="FZ262">
        <f t="shared" ca="1" si="737"/>
        <v>0</v>
      </c>
      <c r="GA262">
        <f t="shared" ca="1" si="738"/>
        <v>39790</v>
      </c>
      <c r="GB262">
        <f t="shared" ca="1" si="739"/>
        <v>1989.5</v>
      </c>
      <c r="GC262">
        <f t="shared" ca="1" si="740"/>
        <v>1990</v>
      </c>
      <c r="GD262">
        <f t="shared" ca="1" si="741"/>
        <v>0</v>
      </c>
      <c r="GE262">
        <f t="shared" ca="1" si="742"/>
        <v>0</v>
      </c>
      <c r="GF262">
        <f t="shared" ca="1" si="743"/>
        <v>1990</v>
      </c>
      <c r="GG262">
        <f t="shared" ca="1" si="744"/>
        <v>0</v>
      </c>
      <c r="GH262" t="b">
        <f t="shared" ca="1" si="745"/>
        <v>0</v>
      </c>
      <c r="GI262">
        <f t="shared" ca="1" si="746"/>
        <v>0</v>
      </c>
      <c r="GJ262">
        <f t="shared" ca="1" si="747"/>
        <v>1990</v>
      </c>
      <c r="GK262">
        <f t="shared" ca="1" si="748"/>
        <v>0</v>
      </c>
      <c r="GL262">
        <f t="shared" ca="1" si="749"/>
        <v>0</v>
      </c>
      <c r="GM262">
        <f t="shared" ca="1" si="750"/>
        <v>0</v>
      </c>
    </row>
    <row r="263" spans="1:195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752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46"/>
        <v>4690</v>
      </c>
      <c r="L263">
        <f t="shared" si="647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4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51"/>
        <v>200</v>
      </c>
      <c r="S263">
        <f t="shared" si="649"/>
        <v>39510</v>
      </c>
      <c r="T263">
        <f>_xlfn.XLOOKUP(B263,'[2]april-2025'!$A:$A,'[2]april-2025'!$C:$C,0,0)</f>
        <v>33500</v>
      </c>
      <c r="U263">
        <f t="shared" si="650"/>
        <v>6030</v>
      </c>
      <c r="V263">
        <f t="shared" si="651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52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53"/>
        <v>200</v>
      </c>
      <c r="AC263">
        <f t="shared" si="654"/>
        <v>40850</v>
      </c>
      <c r="AD263">
        <f>_xlfn.XLOOKUP(B263,'[3]may-2025'!$A:$A,'[3]may-2025'!$C:$C,0,0)</f>
        <v>33500</v>
      </c>
      <c r="AE263">
        <f t="shared" si="655"/>
        <v>6030</v>
      </c>
      <c r="AF263">
        <f t="shared" si="656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57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58"/>
        <v>200</v>
      </c>
      <c r="AM263">
        <f t="shared" si="659"/>
        <v>40850</v>
      </c>
      <c r="AN263">
        <f>_xlfn.XLOOKUP(B263,'[4]june-2025'!$A:$A,'[4]june-2025'!$C:$C,0,0)</f>
        <v>33500</v>
      </c>
      <c r="AO263">
        <f t="shared" si="660"/>
        <v>6030</v>
      </c>
      <c r="AP263">
        <f t="shared" si="66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62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63"/>
        <v>200</v>
      </c>
      <c r="AW263">
        <f t="shared" si="664"/>
        <v>40850</v>
      </c>
      <c r="AX263">
        <f>_xlfn.XLOOKUP(B263,'[5]july-2025'!$A:$A,'[5]july-2025'!$C:$C,0,0)</f>
        <v>34500</v>
      </c>
      <c r="AY263">
        <f t="shared" si="665"/>
        <v>6210</v>
      </c>
      <c r="AZ263">
        <v>0</v>
      </c>
      <c r="BA263">
        <f t="shared" si="666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67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68"/>
        <v>200</v>
      </c>
      <c r="BH263">
        <f t="shared" si="669"/>
        <v>42150</v>
      </c>
      <c r="BI263">
        <f>_xlfn.XLOOKUP(B263,'[6]august-2025'!$A:$A,'[6]august-2025'!$C:$C,0,0)</f>
        <v>34500</v>
      </c>
      <c r="BJ263">
        <f t="shared" si="670"/>
        <v>6210</v>
      </c>
      <c r="BK263">
        <f t="shared" si="671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72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73"/>
        <v>200</v>
      </c>
      <c r="BR263">
        <f t="shared" si="674"/>
        <v>42150</v>
      </c>
      <c r="BS263">
        <f>_xlfn.XLOOKUP(B263,'[7]september-2025'!$A:$A,'[7]september-2025'!$C:$C,0,0)</f>
        <v>34500</v>
      </c>
      <c r="BT263">
        <f t="shared" si="675"/>
        <v>6210</v>
      </c>
      <c r="BU263">
        <f t="shared" si="676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77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78"/>
        <v>200</v>
      </c>
      <c r="CB263">
        <f t="shared" si="679"/>
        <v>42150</v>
      </c>
      <c r="CC263">
        <f>_xlfn.XLOOKUP(B263,'[8]october-2025'!$A:$A,'[8]october-2025'!$C:$C,0,0)</f>
        <v>34500</v>
      </c>
      <c r="CD263">
        <f t="shared" si="680"/>
        <v>6210</v>
      </c>
      <c r="CE263">
        <f t="shared" si="681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82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83"/>
        <v>200</v>
      </c>
      <c r="CL263">
        <f t="shared" si="684"/>
        <v>42150</v>
      </c>
      <c r="CM263">
        <f>_xlfn.XLOOKUP(B263,'[9]november-2025'!$A:$A,'[9]november-2025'!$C:$C,0,0)</f>
        <v>34500</v>
      </c>
      <c r="CN263">
        <f t="shared" si="685"/>
        <v>6210</v>
      </c>
      <c r="CO263">
        <f t="shared" si="686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87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88"/>
        <v>200</v>
      </c>
      <c r="CV263">
        <f t="shared" si="689"/>
        <v>42150</v>
      </c>
      <c r="CW263">
        <f>_xlfn.XLOOKUP(B263,'[10]december-2025'!$A:$A,'[10]december-2025'!$C:$C,0,0)</f>
        <v>34500</v>
      </c>
      <c r="CX263">
        <f t="shared" si="690"/>
        <v>6210</v>
      </c>
      <c r="CY263">
        <f t="shared" si="691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92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93"/>
        <v>200</v>
      </c>
      <c r="DF263">
        <f t="shared" si="694"/>
        <v>42150</v>
      </c>
      <c r="DG263">
        <f>_xlfn.XLOOKUP(B263,'[11]january-2026'!$A:$A,'[11]january-2026'!$C:$C,0,0)</f>
        <v>34500</v>
      </c>
      <c r="DH263">
        <f t="shared" si="695"/>
        <v>6210</v>
      </c>
      <c r="DI263">
        <f t="shared" si="696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7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8"/>
        <v>200</v>
      </c>
      <c r="DP263">
        <f t="shared" si="699"/>
        <v>42150</v>
      </c>
      <c r="DQ263">
        <f>_xlfn.XLOOKUP(B263,'[12]february-2026'!$A:$A,'[12]february-2026'!$C:$C,0,0)</f>
        <v>34500</v>
      </c>
      <c r="DR263">
        <f t="shared" si="700"/>
        <v>6210</v>
      </c>
      <c r="DS263">
        <f t="shared" si="701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2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3"/>
        <v>200</v>
      </c>
      <c r="DZ263">
        <f t="shared" si="704"/>
        <v>42150</v>
      </c>
      <c r="EA263">
        <f t="shared" si="705"/>
        <v>544460</v>
      </c>
      <c r="EB263">
        <f t="shared" si="706"/>
        <v>2400</v>
      </c>
      <c r="EC263">
        <f t="shared" si="707"/>
        <v>50000</v>
      </c>
      <c r="ED263">
        <v>0</v>
      </c>
      <c r="EE263">
        <f t="shared" si="708"/>
        <v>492060</v>
      </c>
      <c r="EF263">
        <f t="shared" si="709"/>
        <v>36000</v>
      </c>
      <c r="EG263">
        <f t="shared" si="710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1"/>
        <v>36000</v>
      </c>
      <c r="ES263">
        <f t="shared" si="712"/>
        <v>36000</v>
      </c>
      <c r="ET263">
        <f t="shared" si="713"/>
        <v>456060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4"/>
        <v>0</v>
      </c>
      <c r="FC263">
        <f t="shared" si="715"/>
        <v>456060</v>
      </c>
      <c r="FD263">
        <f t="shared" si="716"/>
        <v>10303</v>
      </c>
      <c r="FE263">
        <f t="shared" si="717"/>
        <v>0</v>
      </c>
      <c r="FF263">
        <f t="shared" si="718"/>
        <v>10303</v>
      </c>
      <c r="FG263">
        <f t="shared" si="719"/>
        <v>0</v>
      </c>
      <c r="FH263">
        <f t="shared" si="720"/>
        <v>0</v>
      </c>
      <c r="FI263">
        <f t="shared" si="721"/>
        <v>0</v>
      </c>
      <c r="FJ263">
        <v>0</v>
      </c>
      <c r="FK263">
        <f t="shared" si="722"/>
        <v>0</v>
      </c>
      <c r="FL263" t="b">
        <f t="shared" si="723"/>
        <v>1</v>
      </c>
      <c r="FM263">
        <f t="shared" ca="1" si="724"/>
        <v>567</v>
      </c>
      <c r="FN263">
        <f t="shared" ca="1" si="725"/>
        <v>545027</v>
      </c>
      <c r="FO263">
        <f t="shared" si="726"/>
        <v>75000</v>
      </c>
      <c r="FP263">
        <f t="shared" ca="1" si="727"/>
        <v>470027</v>
      </c>
      <c r="FQ263">
        <f t="shared" ca="1" si="728"/>
        <v>0</v>
      </c>
      <c r="FR263">
        <f t="shared" ca="1" si="729"/>
        <v>0</v>
      </c>
      <c r="FS263">
        <f t="shared" ca="1" si="730"/>
        <v>0</v>
      </c>
      <c r="FT263">
        <f t="shared" ca="1" si="731"/>
        <v>0</v>
      </c>
      <c r="FU263">
        <f t="shared" ca="1" si="732"/>
        <v>0</v>
      </c>
      <c r="FV263">
        <f t="shared" ca="1" si="733"/>
        <v>0</v>
      </c>
      <c r="FW263">
        <f t="shared" ca="1" si="734"/>
        <v>0</v>
      </c>
      <c r="FX263">
        <f t="shared" ca="1" si="735"/>
        <v>0</v>
      </c>
      <c r="FY263">
        <f t="shared" ca="1" si="736"/>
        <v>0</v>
      </c>
      <c r="FZ263">
        <f t="shared" ca="1" si="737"/>
        <v>0</v>
      </c>
      <c r="GA263">
        <f t="shared" ca="1" si="738"/>
        <v>70027</v>
      </c>
      <c r="GB263">
        <f t="shared" ca="1" si="739"/>
        <v>3501.3500000000004</v>
      </c>
      <c r="GC263">
        <f t="shared" ca="1" si="740"/>
        <v>3501</v>
      </c>
      <c r="GD263">
        <f t="shared" ca="1" si="741"/>
        <v>0</v>
      </c>
      <c r="GE263">
        <f t="shared" ca="1" si="742"/>
        <v>0</v>
      </c>
      <c r="GF263">
        <f t="shared" ca="1" si="743"/>
        <v>3501</v>
      </c>
      <c r="GG263">
        <f t="shared" ca="1" si="744"/>
        <v>0</v>
      </c>
      <c r="GH263" t="b">
        <f t="shared" ca="1" si="745"/>
        <v>0</v>
      </c>
      <c r="GI263">
        <f t="shared" ca="1" si="746"/>
        <v>0</v>
      </c>
      <c r="GJ263">
        <f t="shared" ca="1" si="747"/>
        <v>3501</v>
      </c>
      <c r="GK263">
        <f t="shared" ca="1" si="748"/>
        <v>0</v>
      </c>
      <c r="GL263">
        <f t="shared" ca="1" si="749"/>
        <v>0</v>
      </c>
      <c r="GM263">
        <f t="shared" ca="1" si="750"/>
        <v>0</v>
      </c>
    </row>
    <row r="264" spans="1:195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752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46"/>
        <v>6622.0000000000009</v>
      </c>
      <c r="L264">
        <f t="shared" si="647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4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51"/>
        <v>200</v>
      </c>
      <c r="S264">
        <f t="shared" si="649"/>
        <v>59798</v>
      </c>
      <c r="T264">
        <f>_xlfn.XLOOKUP(B264,'[2]april-2025'!$A:$A,'[2]april-2025'!$C:$C,0,0)</f>
        <v>34500</v>
      </c>
      <c r="U264">
        <f t="shared" si="650"/>
        <v>6210</v>
      </c>
      <c r="V264">
        <f t="shared" si="651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52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53"/>
        <v>200</v>
      </c>
      <c r="AC264">
        <f t="shared" si="654"/>
        <v>44650</v>
      </c>
      <c r="AD264">
        <f>_xlfn.XLOOKUP(B264,'[3]may-2025'!$A:$A,'[3]may-2025'!$C:$C,0,0)</f>
        <v>34500</v>
      </c>
      <c r="AE264">
        <f t="shared" si="655"/>
        <v>6210</v>
      </c>
      <c r="AF264">
        <f t="shared" si="656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57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58"/>
        <v>200</v>
      </c>
      <c r="AM264">
        <f t="shared" si="659"/>
        <v>44650</v>
      </c>
      <c r="AN264">
        <f>_xlfn.XLOOKUP(B264,'[4]june-2025'!$A:$A,'[4]june-2025'!$C:$C,0,0)</f>
        <v>34500</v>
      </c>
      <c r="AO264">
        <f t="shared" si="660"/>
        <v>6210</v>
      </c>
      <c r="AP264">
        <f t="shared" si="66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62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63"/>
        <v>200</v>
      </c>
      <c r="AW264">
        <f t="shared" si="664"/>
        <v>44650</v>
      </c>
      <c r="AX264">
        <f>_xlfn.XLOOKUP(B264,'[5]july-2025'!$A:$A,'[5]july-2025'!$C:$C,0,0)</f>
        <v>35500</v>
      </c>
      <c r="AY264">
        <f t="shared" si="665"/>
        <v>6390</v>
      </c>
      <c r="AZ264">
        <v>0</v>
      </c>
      <c r="BA264">
        <f t="shared" si="666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67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68"/>
        <v>200</v>
      </c>
      <c r="BH264">
        <f t="shared" si="669"/>
        <v>45950</v>
      </c>
      <c r="BI264">
        <f>_xlfn.XLOOKUP(B264,'[6]august-2025'!$A:$A,'[6]august-2025'!$C:$C,0,0)</f>
        <v>35500</v>
      </c>
      <c r="BJ264">
        <f t="shared" si="670"/>
        <v>6390</v>
      </c>
      <c r="BK264">
        <f t="shared" si="671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72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73"/>
        <v>200</v>
      </c>
      <c r="BR264">
        <f t="shared" si="674"/>
        <v>45950</v>
      </c>
      <c r="BS264">
        <f>_xlfn.XLOOKUP(B264,'[7]september-2025'!$A:$A,'[7]september-2025'!$C:$C,0,0)</f>
        <v>35500</v>
      </c>
      <c r="BT264">
        <f t="shared" si="675"/>
        <v>6390</v>
      </c>
      <c r="BU264">
        <f t="shared" si="676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77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78"/>
        <v>200</v>
      </c>
      <c r="CB264">
        <f t="shared" si="679"/>
        <v>45950</v>
      </c>
      <c r="CC264">
        <f>_xlfn.XLOOKUP(B264,'[8]october-2025'!$A:$A,'[8]october-2025'!$C:$C,0,0)</f>
        <v>35500</v>
      </c>
      <c r="CD264">
        <f t="shared" si="680"/>
        <v>6390</v>
      </c>
      <c r="CE264">
        <f t="shared" si="681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82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83"/>
        <v>200</v>
      </c>
      <c r="CL264">
        <f t="shared" si="684"/>
        <v>45950</v>
      </c>
      <c r="CM264">
        <f>_xlfn.XLOOKUP(B264,'[9]november-2025'!$A:$A,'[9]november-2025'!$C:$C,0,0)</f>
        <v>35500</v>
      </c>
      <c r="CN264">
        <f t="shared" si="685"/>
        <v>6390</v>
      </c>
      <c r="CO264">
        <f t="shared" si="686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87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88"/>
        <v>200</v>
      </c>
      <c r="CV264">
        <f t="shared" si="689"/>
        <v>45950</v>
      </c>
      <c r="CW264">
        <f>_xlfn.XLOOKUP(B264,'[10]december-2025'!$A:$A,'[10]december-2025'!$C:$C,0,0)</f>
        <v>35500</v>
      </c>
      <c r="CX264">
        <f t="shared" si="690"/>
        <v>6390</v>
      </c>
      <c r="CY264">
        <f t="shared" si="691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92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93"/>
        <v>200</v>
      </c>
      <c r="DF264">
        <f t="shared" si="694"/>
        <v>45950</v>
      </c>
      <c r="DG264">
        <f>_xlfn.XLOOKUP(B264,'[11]january-2026'!$A:$A,'[11]january-2026'!$C:$C,0,0)</f>
        <v>35500</v>
      </c>
      <c r="DH264">
        <f t="shared" si="695"/>
        <v>6390</v>
      </c>
      <c r="DI264">
        <f t="shared" si="696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7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8"/>
        <v>200</v>
      </c>
      <c r="DP264">
        <f t="shared" si="699"/>
        <v>45950</v>
      </c>
      <c r="DQ264">
        <f>_xlfn.XLOOKUP(B264,'[12]february-2026'!$A:$A,'[12]february-2026'!$C:$C,0,0)</f>
        <v>35500</v>
      </c>
      <c r="DR264">
        <f t="shared" si="700"/>
        <v>6390</v>
      </c>
      <c r="DS264">
        <f t="shared" si="701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2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3"/>
        <v>200</v>
      </c>
      <c r="DZ264">
        <f t="shared" si="704"/>
        <v>45950</v>
      </c>
      <c r="EA264">
        <f t="shared" si="705"/>
        <v>570548</v>
      </c>
      <c r="EB264">
        <f t="shared" si="706"/>
        <v>2400</v>
      </c>
      <c r="EC264">
        <f t="shared" si="707"/>
        <v>50000</v>
      </c>
      <c r="ED264">
        <v>0</v>
      </c>
      <c r="EE264">
        <f t="shared" si="708"/>
        <v>518148</v>
      </c>
      <c r="EF264">
        <f t="shared" si="709"/>
        <v>0</v>
      </c>
      <c r="EG264">
        <f t="shared" si="710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1"/>
        <v>0</v>
      </c>
      <c r="ES264">
        <f t="shared" si="712"/>
        <v>0</v>
      </c>
      <c r="ET264">
        <f t="shared" si="713"/>
        <v>518148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4"/>
        <v>0</v>
      </c>
      <c r="FC264">
        <f t="shared" si="715"/>
        <v>518148</v>
      </c>
      <c r="FD264">
        <f t="shared" si="716"/>
        <v>12500</v>
      </c>
      <c r="FE264">
        <f t="shared" si="717"/>
        <v>3630</v>
      </c>
      <c r="FF264">
        <f t="shared" si="718"/>
        <v>16130</v>
      </c>
      <c r="FG264">
        <f t="shared" si="719"/>
        <v>16130</v>
      </c>
      <c r="FH264">
        <f t="shared" si="720"/>
        <v>645.20000000000005</v>
      </c>
      <c r="FI264">
        <f t="shared" si="721"/>
        <v>16775</v>
      </c>
      <c r="FJ264">
        <v>0</v>
      </c>
      <c r="FK264">
        <f t="shared" si="722"/>
        <v>16775</v>
      </c>
      <c r="FL264" t="b">
        <f t="shared" si="723"/>
        <v>1</v>
      </c>
      <c r="FM264">
        <f t="shared" ca="1" si="724"/>
        <v>911</v>
      </c>
      <c r="FN264">
        <f t="shared" ca="1" si="725"/>
        <v>571459</v>
      </c>
      <c r="FO264">
        <f t="shared" si="726"/>
        <v>75000</v>
      </c>
      <c r="FP264">
        <f t="shared" ca="1" si="727"/>
        <v>496459</v>
      </c>
      <c r="FQ264">
        <f t="shared" ca="1" si="728"/>
        <v>0</v>
      </c>
      <c r="FR264">
        <f t="shared" ca="1" si="729"/>
        <v>0</v>
      </c>
      <c r="FS264">
        <f t="shared" ca="1" si="730"/>
        <v>0</v>
      </c>
      <c r="FT264">
        <f t="shared" ca="1" si="731"/>
        <v>0</v>
      </c>
      <c r="FU264">
        <f t="shared" ca="1" si="732"/>
        <v>0</v>
      </c>
      <c r="FV264">
        <f t="shared" ca="1" si="733"/>
        <v>0</v>
      </c>
      <c r="FW264">
        <f t="shared" ca="1" si="734"/>
        <v>0</v>
      </c>
      <c r="FX264">
        <f t="shared" ca="1" si="735"/>
        <v>0</v>
      </c>
      <c r="FY264">
        <f t="shared" ca="1" si="736"/>
        <v>0</v>
      </c>
      <c r="FZ264">
        <f t="shared" ca="1" si="737"/>
        <v>0</v>
      </c>
      <c r="GA264">
        <f t="shared" ca="1" si="738"/>
        <v>96459</v>
      </c>
      <c r="GB264">
        <f t="shared" ca="1" si="739"/>
        <v>4822.95</v>
      </c>
      <c r="GC264">
        <f t="shared" ca="1" si="740"/>
        <v>4823</v>
      </c>
      <c r="GD264">
        <f t="shared" ca="1" si="741"/>
        <v>0</v>
      </c>
      <c r="GE264">
        <f t="shared" ca="1" si="742"/>
        <v>0</v>
      </c>
      <c r="GF264">
        <f t="shared" ca="1" si="743"/>
        <v>4823</v>
      </c>
      <c r="GG264">
        <f t="shared" ca="1" si="744"/>
        <v>0</v>
      </c>
      <c r="GH264" t="b">
        <f t="shared" ca="1" si="745"/>
        <v>0</v>
      </c>
      <c r="GI264">
        <f t="shared" ca="1" si="746"/>
        <v>0</v>
      </c>
      <c r="GJ264">
        <f t="shared" ca="1" si="747"/>
        <v>4823</v>
      </c>
      <c r="GK264">
        <f t="shared" ca="1" si="748"/>
        <v>0</v>
      </c>
      <c r="GL264">
        <f t="shared" ca="1" si="749"/>
        <v>0</v>
      </c>
      <c r="GM264">
        <f t="shared" ca="1" si="750"/>
        <v>0</v>
      </c>
    </row>
    <row r="265" spans="1:195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752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46"/>
        <v>3780.0000000000005</v>
      </c>
      <c r="L265">
        <f t="shared" si="647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4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51"/>
        <v>150</v>
      </c>
      <c r="S265">
        <f t="shared" si="649"/>
        <v>28870</v>
      </c>
      <c r="T265">
        <f>_xlfn.XLOOKUP(B265,'[2]april-2025'!$A:$A,'[2]april-2025'!$C:$C,0,0)</f>
        <v>27000</v>
      </c>
      <c r="U265">
        <f t="shared" si="650"/>
        <v>4860</v>
      </c>
      <c r="V265">
        <f t="shared" si="651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52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53"/>
        <v>150</v>
      </c>
      <c r="AC265">
        <f t="shared" si="654"/>
        <v>29950</v>
      </c>
      <c r="AD265">
        <f>_xlfn.XLOOKUP(B265,'[3]may-2025'!$A:$A,'[3]may-2025'!$C:$C,0,0)</f>
        <v>31600</v>
      </c>
      <c r="AE265">
        <f t="shared" si="655"/>
        <v>5688</v>
      </c>
      <c r="AF265">
        <f t="shared" si="656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57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58"/>
        <v>200</v>
      </c>
      <c r="AM265">
        <f t="shared" si="659"/>
        <v>35880</v>
      </c>
      <c r="AN265">
        <f>_xlfn.XLOOKUP(B265,'[4]june-2025'!$A:$A,'[4]june-2025'!$C:$C,0,0)</f>
        <v>31600</v>
      </c>
      <c r="AO265">
        <f t="shared" si="660"/>
        <v>5688</v>
      </c>
      <c r="AP265">
        <f t="shared" si="66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62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63"/>
        <v>200</v>
      </c>
      <c r="AW265">
        <f t="shared" si="664"/>
        <v>35880</v>
      </c>
      <c r="AX265">
        <f>_xlfn.XLOOKUP(B265,'[5]july-2025'!$A:$A,'[5]july-2025'!$C:$C,0,0)</f>
        <v>32500</v>
      </c>
      <c r="AY265">
        <f t="shared" si="665"/>
        <v>5850</v>
      </c>
      <c r="AZ265">
        <v>0</v>
      </c>
      <c r="BA265">
        <f t="shared" si="666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67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68"/>
        <v>200</v>
      </c>
      <c r="BH265">
        <f t="shared" si="669"/>
        <v>37050</v>
      </c>
      <c r="BI265">
        <f>_xlfn.XLOOKUP(B265,'[6]august-2025'!$A:$A,'[6]august-2025'!$C:$C,0,0)</f>
        <v>32500</v>
      </c>
      <c r="BJ265">
        <f t="shared" si="670"/>
        <v>5850</v>
      </c>
      <c r="BK265">
        <f t="shared" si="671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72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73"/>
        <v>200</v>
      </c>
      <c r="BR265">
        <f t="shared" si="674"/>
        <v>37050</v>
      </c>
      <c r="BS265">
        <f>_xlfn.XLOOKUP(B265,'[7]september-2025'!$A:$A,'[7]september-2025'!$C:$C,0,0)</f>
        <v>32500</v>
      </c>
      <c r="BT265">
        <f t="shared" si="675"/>
        <v>5850</v>
      </c>
      <c r="BU265">
        <f t="shared" si="676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77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78"/>
        <v>200</v>
      </c>
      <c r="CB265">
        <f t="shared" si="679"/>
        <v>37050</v>
      </c>
      <c r="CC265">
        <f>_xlfn.XLOOKUP(B265,'[8]october-2025'!$A:$A,'[8]october-2025'!$C:$C,0,0)</f>
        <v>32500</v>
      </c>
      <c r="CD265">
        <f t="shared" si="680"/>
        <v>5850</v>
      </c>
      <c r="CE265">
        <f t="shared" si="681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82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83"/>
        <v>200</v>
      </c>
      <c r="CL265">
        <f t="shared" si="684"/>
        <v>37050</v>
      </c>
      <c r="CM265">
        <f>_xlfn.XLOOKUP(B265,'[9]november-2025'!$A:$A,'[9]november-2025'!$C:$C,0,0)</f>
        <v>32500</v>
      </c>
      <c r="CN265">
        <f t="shared" si="685"/>
        <v>5850</v>
      </c>
      <c r="CO265">
        <f t="shared" si="686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87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88"/>
        <v>200</v>
      </c>
      <c r="CV265">
        <f t="shared" si="689"/>
        <v>37050</v>
      </c>
      <c r="CW265">
        <f>_xlfn.XLOOKUP(B265,'[10]december-2025'!$A:$A,'[10]december-2025'!$C:$C,0,0)</f>
        <v>32500</v>
      </c>
      <c r="CX265">
        <f t="shared" si="690"/>
        <v>5850</v>
      </c>
      <c r="CY265">
        <f t="shared" si="691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92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93"/>
        <v>200</v>
      </c>
      <c r="DF265">
        <f t="shared" si="694"/>
        <v>37050</v>
      </c>
      <c r="DG265">
        <f>_xlfn.XLOOKUP(B265,'[11]january-2026'!$A:$A,'[11]january-2026'!$C:$C,0,0)</f>
        <v>32500</v>
      </c>
      <c r="DH265">
        <f t="shared" si="695"/>
        <v>5850</v>
      </c>
      <c r="DI265">
        <f t="shared" si="696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7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8"/>
        <v>200</v>
      </c>
      <c r="DP265">
        <f t="shared" si="699"/>
        <v>37050</v>
      </c>
      <c r="DQ265">
        <f>_xlfn.XLOOKUP(B265,'[12]february-2026'!$A:$A,'[12]february-2026'!$C:$C,0,0)</f>
        <v>32500</v>
      </c>
      <c r="DR265">
        <f t="shared" si="700"/>
        <v>5850</v>
      </c>
      <c r="DS265">
        <f t="shared" si="701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2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3"/>
        <v>200</v>
      </c>
      <c r="DZ265">
        <f t="shared" si="704"/>
        <v>37050</v>
      </c>
      <c r="EA265">
        <f t="shared" si="705"/>
        <v>496080</v>
      </c>
      <c r="EB265">
        <f t="shared" si="706"/>
        <v>2300</v>
      </c>
      <c r="EC265">
        <f t="shared" si="707"/>
        <v>50000</v>
      </c>
      <c r="ED265">
        <v>0</v>
      </c>
      <c r="EE265">
        <f t="shared" si="708"/>
        <v>443780</v>
      </c>
      <c r="EF265">
        <f t="shared" si="709"/>
        <v>60000</v>
      </c>
      <c r="EG265">
        <f t="shared" si="710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1"/>
        <v>60000</v>
      </c>
      <c r="ES265">
        <f t="shared" si="712"/>
        <v>60000</v>
      </c>
      <c r="ET265">
        <f t="shared" si="713"/>
        <v>383780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4"/>
        <v>0</v>
      </c>
      <c r="FC265">
        <f t="shared" si="715"/>
        <v>383780</v>
      </c>
      <c r="FD265">
        <f t="shared" si="716"/>
        <v>6689</v>
      </c>
      <c r="FE265">
        <f t="shared" si="717"/>
        <v>0</v>
      </c>
      <c r="FF265">
        <f t="shared" si="718"/>
        <v>6689</v>
      </c>
      <c r="FG265">
        <f t="shared" si="719"/>
        <v>0</v>
      </c>
      <c r="FH265">
        <f t="shared" si="720"/>
        <v>0</v>
      </c>
      <c r="FI265">
        <f t="shared" si="721"/>
        <v>0</v>
      </c>
      <c r="FJ265">
        <v>0</v>
      </c>
      <c r="FK265">
        <f t="shared" si="722"/>
        <v>0</v>
      </c>
      <c r="FL265" t="b">
        <f t="shared" si="723"/>
        <v>0</v>
      </c>
      <c r="FM265">
        <f t="shared" ca="1" si="724"/>
        <v>2357</v>
      </c>
      <c r="FN265">
        <f t="shared" ca="1" si="725"/>
        <v>498437</v>
      </c>
      <c r="FO265">
        <f t="shared" si="726"/>
        <v>75000</v>
      </c>
      <c r="FP265">
        <f t="shared" ca="1" si="727"/>
        <v>423437</v>
      </c>
      <c r="FQ265">
        <f t="shared" ca="1" si="728"/>
        <v>0</v>
      </c>
      <c r="FR265">
        <f t="shared" ca="1" si="729"/>
        <v>0</v>
      </c>
      <c r="FS265">
        <f t="shared" ca="1" si="730"/>
        <v>0</v>
      </c>
      <c r="FT265">
        <f t="shared" ca="1" si="731"/>
        <v>0</v>
      </c>
      <c r="FU265">
        <f t="shared" ca="1" si="732"/>
        <v>0</v>
      </c>
      <c r="FV265">
        <f t="shared" ca="1" si="733"/>
        <v>0</v>
      </c>
      <c r="FW265">
        <f t="shared" ca="1" si="734"/>
        <v>0</v>
      </c>
      <c r="FX265">
        <f t="shared" ca="1" si="735"/>
        <v>0</v>
      </c>
      <c r="FY265">
        <f t="shared" ca="1" si="736"/>
        <v>0</v>
      </c>
      <c r="FZ265">
        <f t="shared" ca="1" si="737"/>
        <v>0</v>
      </c>
      <c r="GA265">
        <f t="shared" ca="1" si="738"/>
        <v>23437</v>
      </c>
      <c r="GB265">
        <f t="shared" ca="1" si="739"/>
        <v>1171.8500000000001</v>
      </c>
      <c r="GC265">
        <f t="shared" ca="1" si="740"/>
        <v>1172</v>
      </c>
      <c r="GD265">
        <f t="shared" ca="1" si="741"/>
        <v>0</v>
      </c>
      <c r="GE265">
        <f t="shared" ca="1" si="742"/>
        <v>0</v>
      </c>
      <c r="GF265">
        <f t="shared" ca="1" si="743"/>
        <v>1172</v>
      </c>
      <c r="GG265">
        <f t="shared" ca="1" si="744"/>
        <v>0</v>
      </c>
      <c r="GH265" t="b">
        <f t="shared" ca="1" si="745"/>
        <v>0</v>
      </c>
      <c r="GI265">
        <f t="shared" ca="1" si="746"/>
        <v>0</v>
      </c>
      <c r="GJ265">
        <f t="shared" ca="1" si="747"/>
        <v>1172</v>
      </c>
      <c r="GK265">
        <f t="shared" ca="1" si="748"/>
        <v>0</v>
      </c>
      <c r="GL265">
        <f t="shared" ca="1" si="749"/>
        <v>0</v>
      </c>
      <c r="GM265">
        <f t="shared" ca="1" si="750"/>
        <v>0</v>
      </c>
    </row>
    <row r="266" spans="1:195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752"/>
        <v>6800</v>
      </c>
      <c r="I266">
        <f>_xlfn.XLOOKUP(B266,'[1]march-2025'!$A:$A,'[1]march-2025'!$J:$J,0,0)</f>
        <v>57863</v>
      </c>
      <c r="J266">
        <f>_xlfn.XLOOKUP(B266,'[1]march-2025'!$A:$A,'[1]march-2025'!$C:$C,0,0)</f>
        <v>28900</v>
      </c>
      <c r="K266">
        <f t="shared" si="646"/>
        <v>4046.0000000000005</v>
      </c>
      <c r="L266">
        <f t="shared" si="647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4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51"/>
        <v>150</v>
      </c>
      <c r="S266">
        <f t="shared" si="649"/>
        <v>34764</v>
      </c>
      <c r="T266">
        <f>_xlfn.XLOOKUP(B266,'[2]april-2025'!$A:$A,'[2]april-2025'!$C:$C,0,0)</f>
        <v>28900</v>
      </c>
      <c r="U266">
        <f t="shared" si="650"/>
        <v>5202</v>
      </c>
      <c r="V266">
        <f t="shared" si="651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52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53"/>
        <v>150</v>
      </c>
      <c r="AC266">
        <f t="shared" si="654"/>
        <v>35920</v>
      </c>
      <c r="AD266">
        <f>_xlfn.XLOOKUP(B266,'[3]may-2025'!$A:$A,'[3]may-2025'!$C:$C,0,0)</f>
        <v>28900</v>
      </c>
      <c r="AE266">
        <f t="shared" si="655"/>
        <v>5202</v>
      </c>
      <c r="AF266">
        <f t="shared" si="656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57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58"/>
        <v>150</v>
      </c>
      <c r="AM266">
        <f t="shared" si="659"/>
        <v>35920</v>
      </c>
      <c r="AN266">
        <f>_xlfn.XLOOKUP(B266,'[4]june-2025'!$A:$A,'[4]june-2025'!$C:$C,0,0)</f>
        <v>28900</v>
      </c>
      <c r="AO266">
        <f t="shared" si="660"/>
        <v>5202</v>
      </c>
      <c r="AP266">
        <f t="shared" si="66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62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63"/>
        <v>150</v>
      </c>
      <c r="AW266">
        <f t="shared" si="664"/>
        <v>35920</v>
      </c>
      <c r="AX266">
        <f>_xlfn.XLOOKUP(B266,'[5]july-2025'!$A:$A,'[5]july-2025'!$C:$C,0,0)</f>
        <v>29800</v>
      </c>
      <c r="AY266">
        <f t="shared" si="665"/>
        <v>5364</v>
      </c>
      <c r="AZ266">
        <v>0</v>
      </c>
      <c r="BA266">
        <f t="shared" si="666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67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68"/>
        <v>150</v>
      </c>
      <c r="BH266">
        <f t="shared" si="669"/>
        <v>37090</v>
      </c>
      <c r="BI266">
        <f>_xlfn.XLOOKUP(B266,'[6]august-2025'!$A:$A,'[6]august-2025'!$C:$C,0,0)</f>
        <v>29800</v>
      </c>
      <c r="BJ266">
        <f t="shared" si="670"/>
        <v>5364</v>
      </c>
      <c r="BK266">
        <f t="shared" si="671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72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73"/>
        <v>150</v>
      </c>
      <c r="BR266">
        <f t="shared" si="674"/>
        <v>37090</v>
      </c>
      <c r="BS266">
        <f>_xlfn.XLOOKUP(B266,'[7]september-2025'!$A:$A,'[7]september-2025'!$C:$C,0,0)</f>
        <v>29800</v>
      </c>
      <c r="BT266">
        <f t="shared" si="675"/>
        <v>5364</v>
      </c>
      <c r="BU266">
        <f t="shared" si="676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77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78"/>
        <v>150</v>
      </c>
      <c r="CB266">
        <f t="shared" si="679"/>
        <v>37090</v>
      </c>
      <c r="CC266">
        <f>_xlfn.XLOOKUP(B266,'[8]october-2025'!$A:$A,'[8]october-2025'!$C:$C,0,0)</f>
        <v>29800</v>
      </c>
      <c r="CD266">
        <f t="shared" si="680"/>
        <v>5364</v>
      </c>
      <c r="CE266">
        <f t="shared" si="681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82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83"/>
        <v>150</v>
      </c>
      <c r="CL266">
        <f t="shared" si="684"/>
        <v>37090</v>
      </c>
      <c r="CM266">
        <f>_xlfn.XLOOKUP(B266,'[9]november-2025'!$A:$A,'[9]november-2025'!$C:$C,0,0)</f>
        <v>29800</v>
      </c>
      <c r="CN266">
        <f t="shared" si="685"/>
        <v>5364</v>
      </c>
      <c r="CO266">
        <f t="shared" si="686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87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88"/>
        <v>150</v>
      </c>
      <c r="CV266">
        <f t="shared" si="689"/>
        <v>37090</v>
      </c>
      <c r="CW266">
        <f>_xlfn.XLOOKUP(B266,'[10]december-2025'!$A:$A,'[10]december-2025'!$C:$C,0,0)</f>
        <v>29800</v>
      </c>
      <c r="CX266">
        <f t="shared" si="690"/>
        <v>5364</v>
      </c>
      <c r="CY266">
        <f t="shared" si="691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92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93"/>
        <v>150</v>
      </c>
      <c r="DF266">
        <f t="shared" si="694"/>
        <v>37090</v>
      </c>
      <c r="DG266">
        <f>_xlfn.XLOOKUP(B266,'[11]january-2026'!$A:$A,'[11]january-2026'!$C:$C,0,0)</f>
        <v>29800</v>
      </c>
      <c r="DH266">
        <f t="shared" si="695"/>
        <v>5364</v>
      </c>
      <c r="DI266">
        <f t="shared" si="696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7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8"/>
        <v>150</v>
      </c>
      <c r="DP266">
        <f t="shared" si="699"/>
        <v>37090</v>
      </c>
      <c r="DQ266">
        <f>_xlfn.XLOOKUP(B266,'[12]february-2026'!$A:$A,'[12]february-2026'!$C:$C,0,0)</f>
        <v>29800</v>
      </c>
      <c r="DR266">
        <f t="shared" si="700"/>
        <v>5364</v>
      </c>
      <c r="DS266">
        <f t="shared" si="701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2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3"/>
        <v>150</v>
      </c>
      <c r="DZ266">
        <f t="shared" si="704"/>
        <v>37090</v>
      </c>
      <c r="EA266">
        <f t="shared" si="705"/>
        <v>529707</v>
      </c>
      <c r="EB266">
        <f t="shared" si="706"/>
        <v>1800</v>
      </c>
      <c r="EC266">
        <f t="shared" si="707"/>
        <v>50000</v>
      </c>
      <c r="ED266">
        <v>0</v>
      </c>
      <c r="EE266">
        <f t="shared" si="708"/>
        <v>477907</v>
      </c>
      <c r="EF266">
        <f t="shared" si="709"/>
        <v>24000</v>
      </c>
      <c r="EG266">
        <f t="shared" si="710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1"/>
        <v>24000</v>
      </c>
      <c r="ES266">
        <f t="shared" si="712"/>
        <v>24000</v>
      </c>
      <c r="ET266">
        <f t="shared" si="713"/>
        <v>453907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4"/>
        <v>0</v>
      </c>
      <c r="FC266">
        <f t="shared" si="715"/>
        <v>453907</v>
      </c>
      <c r="FD266">
        <f t="shared" si="716"/>
        <v>10195</v>
      </c>
      <c r="FE266">
        <f t="shared" si="717"/>
        <v>0</v>
      </c>
      <c r="FF266">
        <f t="shared" si="718"/>
        <v>10195</v>
      </c>
      <c r="FG266">
        <f t="shared" si="719"/>
        <v>0</v>
      </c>
      <c r="FH266">
        <f t="shared" si="720"/>
        <v>0</v>
      </c>
      <c r="FI266">
        <f t="shared" si="721"/>
        <v>0</v>
      </c>
      <c r="FJ266">
        <v>0</v>
      </c>
      <c r="FK266">
        <f t="shared" si="722"/>
        <v>0</v>
      </c>
      <c r="FL266" t="b">
        <f t="shared" si="723"/>
        <v>1</v>
      </c>
      <c r="FM266">
        <f t="shared" ca="1" si="724"/>
        <v>945</v>
      </c>
      <c r="FN266">
        <f t="shared" ca="1" si="725"/>
        <v>530652</v>
      </c>
      <c r="FO266">
        <f t="shared" si="726"/>
        <v>75000</v>
      </c>
      <c r="FP266">
        <f t="shared" ca="1" si="727"/>
        <v>455652</v>
      </c>
      <c r="FQ266">
        <f t="shared" ca="1" si="728"/>
        <v>0</v>
      </c>
      <c r="FR266">
        <f t="shared" ca="1" si="729"/>
        <v>0</v>
      </c>
      <c r="FS266">
        <f t="shared" ca="1" si="730"/>
        <v>0</v>
      </c>
      <c r="FT266">
        <f t="shared" ca="1" si="731"/>
        <v>0</v>
      </c>
      <c r="FU266">
        <f t="shared" ca="1" si="732"/>
        <v>0</v>
      </c>
      <c r="FV266">
        <f t="shared" ca="1" si="733"/>
        <v>0</v>
      </c>
      <c r="FW266">
        <f t="shared" ca="1" si="734"/>
        <v>0</v>
      </c>
      <c r="FX266">
        <f t="shared" ca="1" si="735"/>
        <v>0</v>
      </c>
      <c r="FY266">
        <f t="shared" ca="1" si="736"/>
        <v>0</v>
      </c>
      <c r="FZ266">
        <f t="shared" ca="1" si="737"/>
        <v>0</v>
      </c>
      <c r="GA266">
        <f t="shared" ca="1" si="738"/>
        <v>55652</v>
      </c>
      <c r="GB266">
        <f t="shared" ca="1" si="739"/>
        <v>2782.6000000000004</v>
      </c>
      <c r="GC266">
        <f t="shared" ca="1" si="740"/>
        <v>2783</v>
      </c>
      <c r="GD266">
        <f t="shared" ca="1" si="741"/>
        <v>0</v>
      </c>
      <c r="GE266">
        <f t="shared" ca="1" si="742"/>
        <v>0</v>
      </c>
      <c r="GF266">
        <f t="shared" ca="1" si="743"/>
        <v>2783</v>
      </c>
      <c r="GG266">
        <f t="shared" ca="1" si="744"/>
        <v>0</v>
      </c>
      <c r="GH266" t="b">
        <f t="shared" ca="1" si="745"/>
        <v>0</v>
      </c>
      <c r="GI266">
        <f t="shared" ca="1" si="746"/>
        <v>0</v>
      </c>
      <c r="GJ266">
        <f t="shared" ca="1" si="747"/>
        <v>2783</v>
      </c>
      <c r="GK266">
        <f t="shared" ca="1" si="748"/>
        <v>0</v>
      </c>
      <c r="GL266">
        <f t="shared" ca="1" si="749"/>
        <v>0</v>
      </c>
      <c r="GM266">
        <f t="shared" ca="1" si="750"/>
        <v>0</v>
      </c>
    </row>
    <row r="267" spans="1:195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752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46"/>
        <v>6622.0000000000009</v>
      </c>
      <c r="L267">
        <f t="shared" si="647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4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51"/>
        <v>200</v>
      </c>
      <c r="S267">
        <f t="shared" si="649"/>
        <v>56238</v>
      </c>
      <c r="T267">
        <f>_xlfn.XLOOKUP(B267,'[2]april-2025'!$A:$A,'[2]april-2025'!$C:$C,0,0)</f>
        <v>47300</v>
      </c>
      <c r="U267">
        <f t="shared" si="650"/>
        <v>8514</v>
      </c>
      <c r="V267">
        <f t="shared" si="651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52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53"/>
        <v>200</v>
      </c>
      <c r="AC267">
        <f t="shared" si="654"/>
        <v>58130</v>
      </c>
      <c r="AD267">
        <f>_xlfn.XLOOKUP(B267,'[3]may-2025'!$A:$A,'[3]may-2025'!$C:$C,0,0)</f>
        <v>47300</v>
      </c>
      <c r="AE267">
        <f t="shared" si="655"/>
        <v>8514</v>
      </c>
      <c r="AF267">
        <f t="shared" si="656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57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58"/>
        <v>200</v>
      </c>
      <c r="AM267">
        <f t="shared" si="659"/>
        <v>58130</v>
      </c>
      <c r="AN267">
        <f>_xlfn.XLOOKUP(B267,'[4]june-2025'!$A:$A,'[4]june-2025'!$C:$C,0,0)</f>
        <v>47300</v>
      </c>
      <c r="AO267">
        <f t="shared" si="660"/>
        <v>8514</v>
      </c>
      <c r="AP267">
        <f t="shared" si="66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62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63"/>
        <v>200</v>
      </c>
      <c r="AW267">
        <f t="shared" si="664"/>
        <v>58130</v>
      </c>
      <c r="AX267">
        <f>_xlfn.XLOOKUP(B267,'[5]july-2025'!$A:$A,'[5]july-2025'!$C:$C,0,0)</f>
        <v>48700</v>
      </c>
      <c r="AY267">
        <f t="shared" si="665"/>
        <v>8766</v>
      </c>
      <c r="AZ267">
        <v>0</v>
      </c>
      <c r="BA267">
        <f t="shared" si="666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67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68"/>
        <v>200</v>
      </c>
      <c r="BH267">
        <f t="shared" si="669"/>
        <v>59950</v>
      </c>
      <c r="BI267">
        <f>_xlfn.XLOOKUP(B267,'[6]august-2025'!$A:$A,'[6]august-2025'!$C:$C,0,0)</f>
        <v>48700</v>
      </c>
      <c r="BJ267">
        <f t="shared" si="670"/>
        <v>8766</v>
      </c>
      <c r="BK267">
        <f t="shared" si="671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72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73"/>
        <v>200</v>
      </c>
      <c r="BR267">
        <f t="shared" si="674"/>
        <v>59950</v>
      </c>
      <c r="BS267">
        <f>_xlfn.XLOOKUP(B267,'[7]september-2025'!$A:$A,'[7]september-2025'!$C:$C,0,0)</f>
        <v>48700</v>
      </c>
      <c r="BT267">
        <f t="shared" si="675"/>
        <v>8766</v>
      </c>
      <c r="BU267">
        <f t="shared" si="676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77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78"/>
        <v>200</v>
      </c>
      <c r="CB267">
        <f t="shared" si="679"/>
        <v>59950</v>
      </c>
      <c r="CC267">
        <f>_xlfn.XLOOKUP(B267,'[8]october-2025'!$A:$A,'[8]october-2025'!$C:$C,0,0)</f>
        <v>48700</v>
      </c>
      <c r="CD267">
        <f t="shared" si="680"/>
        <v>8766</v>
      </c>
      <c r="CE267">
        <f t="shared" si="681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82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83"/>
        <v>200</v>
      </c>
      <c r="CL267">
        <f t="shared" si="684"/>
        <v>59950</v>
      </c>
      <c r="CM267">
        <f>_xlfn.XLOOKUP(B267,'[9]november-2025'!$A:$A,'[9]november-2025'!$C:$C,0,0)</f>
        <v>48700</v>
      </c>
      <c r="CN267">
        <f t="shared" si="685"/>
        <v>8766</v>
      </c>
      <c r="CO267">
        <f t="shared" si="686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87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88"/>
        <v>200</v>
      </c>
      <c r="CV267">
        <f t="shared" si="689"/>
        <v>59950</v>
      </c>
      <c r="CW267">
        <f>_xlfn.XLOOKUP(B267,'[10]december-2025'!$A:$A,'[10]december-2025'!$C:$C,0,0)</f>
        <v>48700</v>
      </c>
      <c r="CX267">
        <f t="shared" si="690"/>
        <v>8766</v>
      </c>
      <c r="CY267">
        <f t="shared" si="691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92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93"/>
        <v>200</v>
      </c>
      <c r="DF267">
        <f t="shared" si="694"/>
        <v>59950</v>
      </c>
      <c r="DG267">
        <f>_xlfn.XLOOKUP(B267,'[11]january-2026'!$A:$A,'[11]january-2026'!$C:$C,0,0)</f>
        <v>48700</v>
      </c>
      <c r="DH267">
        <f t="shared" si="695"/>
        <v>8766</v>
      </c>
      <c r="DI267">
        <f t="shared" si="696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7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8"/>
        <v>200</v>
      </c>
      <c r="DP267">
        <f t="shared" si="699"/>
        <v>59950</v>
      </c>
      <c r="DQ267">
        <f>_xlfn.XLOOKUP(B267,'[12]february-2026'!$A:$A,'[12]february-2026'!$C:$C,0,0)</f>
        <v>48700</v>
      </c>
      <c r="DR267">
        <f t="shared" si="700"/>
        <v>8766</v>
      </c>
      <c r="DS267">
        <f t="shared" si="701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2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3"/>
        <v>200</v>
      </c>
      <c r="DZ267">
        <f t="shared" si="704"/>
        <v>59950</v>
      </c>
      <c r="EA267">
        <f t="shared" si="705"/>
        <v>768148</v>
      </c>
      <c r="EB267">
        <f t="shared" si="706"/>
        <v>2400</v>
      </c>
      <c r="EC267">
        <f t="shared" si="707"/>
        <v>50000</v>
      </c>
      <c r="ED267">
        <v>0</v>
      </c>
      <c r="EE267">
        <f t="shared" si="708"/>
        <v>715748</v>
      </c>
      <c r="EF267">
        <f t="shared" si="709"/>
        <v>48000</v>
      </c>
      <c r="EG267">
        <f t="shared" si="710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1"/>
        <v>48720</v>
      </c>
      <c r="ES267">
        <f t="shared" si="712"/>
        <v>48720</v>
      </c>
      <c r="ET267">
        <f t="shared" si="713"/>
        <v>667028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4"/>
        <v>0</v>
      </c>
      <c r="FC267">
        <f t="shared" si="715"/>
        <v>667028</v>
      </c>
      <c r="FD267">
        <f t="shared" si="716"/>
        <v>12500</v>
      </c>
      <c r="FE267">
        <f t="shared" si="717"/>
        <v>33406</v>
      </c>
      <c r="FF267">
        <f t="shared" si="718"/>
        <v>45906</v>
      </c>
      <c r="FG267">
        <f t="shared" si="719"/>
        <v>45906</v>
      </c>
      <c r="FH267">
        <f t="shared" si="720"/>
        <v>1836.24</v>
      </c>
      <c r="FI267">
        <f t="shared" si="721"/>
        <v>47742</v>
      </c>
      <c r="FJ267">
        <v>0</v>
      </c>
      <c r="FK267">
        <f t="shared" si="722"/>
        <v>47742</v>
      </c>
      <c r="FL267" t="b">
        <f t="shared" si="723"/>
        <v>1</v>
      </c>
      <c r="FM267">
        <f t="shared" ca="1" si="724"/>
        <v>788</v>
      </c>
      <c r="FN267">
        <f t="shared" ca="1" si="725"/>
        <v>768936</v>
      </c>
      <c r="FO267">
        <f t="shared" si="726"/>
        <v>75000</v>
      </c>
      <c r="FP267">
        <f t="shared" ca="1" si="727"/>
        <v>693936</v>
      </c>
      <c r="FQ267">
        <f t="shared" ca="1" si="728"/>
        <v>0</v>
      </c>
      <c r="FR267">
        <f t="shared" ca="1" si="729"/>
        <v>0</v>
      </c>
      <c r="FS267">
        <f t="shared" ca="1" si="730"/>
        <v>0</v>
      </c>
      <c r="FT267">
        <f t="shared" ca="1" si="731"/>
        <v>0</v>
      </c>
      <c r="FU267">
        <f t="shared" ca="1" si="732"/>
        <v>0</v>
      </c>
      <c r="FV267">
        <f t="shared" ca="1" si="733"/>
        <v>0</v>
      </c>
      <c r="FW267">
        <f t="shared" ca="1" si="734"/>
        <v>0</v>
      </c>
      <c r="FX267">
        <f t="shared" ca="1" si="735"/>
        <v>0</v>
      </c>
      <c r="FY267">
        <f t="shared" ca="1" si="736"/>
        <v>0</v>
      </c>
      <c r="FZ267">
        <f t="shared" ca="1" si="737"/>
        <v>0</v>
      </c>
      <c r="GA267">
        <f t="shared" ca="1" si="738"/>
        <v>293936</v>
      </c>
      <c r="GB267">
        <f t="shared" ca="1" si="739"/>
        <v>14696.800000000001</v>
      </c>
      <c r="GC267">
        <f t="shared" ca="1" si="740"/>
        <v>14697</v>
      </c>
      <c r="GD267">
        <f t="shared" ca="1" si="741"/>
        <v>0</v>
      </c>
      <c r="GE267">
        <f t="shared" ca="1" si="742"/>
        <v>0</v>
      </c>
      <c r="GF267">
        <f t="shared" ca="1" si="743"/>
        <v>14697</v>
      </c>
      <c r="GG267">
        <f t="shared" ca="1" si="744"/>
        <v>0</v>
      </c>
      <c r="GH267" t="b">
        <f t="shared" ca="1" si="745"/>
        <v>0</v>
      </c>
      <c r="GI267">
        <f t="shared" ca="1" si="746"/>
        <v>0</v>
      </c>
      <c r="GJ267">
        <f t="shared" ca="1" si="747"/>
        <v>14697</v>
      </c>
      <c r="GK267">
        <f t="shared" ca="1" si="748"/>
        <v>0</v>
      </c>
      <c r="GL267">
        <f t="shared" ca="1" si="749"/>
        <v>0</v>
      </c>
      <c r="GM267">
        <f t="shared" ca="1" si="750"/>
        <v>0</v>
      </c>
    </row>
    <row r="268" spans="1:195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752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46"/>
        <v>3780.0000000000005</v>
      </c>
      <c r="L268">
        <f t="shared" si="647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4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51"/>
        <v>150</v>
      </c>
      <c r="S268">
        <f t="shared" si="649"/>
        <v>32370</v>
      </c>
      <c r="T268">
        <f>_xlfn.XLOOKUP(B268,'[2]april-2025'!$A:$A,'[2]april-2025'!$C:$C,0,0)</f>
        <v>27000</v>
      </c>
      <c r="U268">
        <f t="shared" si="650"/>
        <v>4860</v>
      </c>
      <c r="V268">
        <f t="shared" si="651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52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53"/>
        <v>150</v>
      </c>
      <c r="AC268">
        <f t="shared" si="654"/>
        <v>33450</v>
      </c>
      <c r="AD268">
        <f>_xlfn.XLOOKUP(B268,'[3]may-2025'!$A:$A,'[3]may-2025'!$C:$C,0,0)</f>
        <v>31600</v>
      </c>
      <c r="AE268">
        <f t="shared" si="655"/>
        <v>5688</v>
      </c>
      <c r="AF268">
        <f t="shared" si="656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57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58"/>
        <v>200</v>
      </c>
      <c r="AM268">
        <f t="shared" si="659"/>
        <v>39380</v>
      </c>
      <c r="AN268">
        <f>_xlfn.XLOOKUP(B268,'[4]june-2025'!$A:$A,'[4]june-2025'!$C:$C,0,0)</f>
        <v>31600</v>
      </c>
      <c r="AO268">
        <f t="shared" si="660"/>
        <v>5688</v>
      </c>
      <c r="AP268">
        <f t="shared" si="66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62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63"/>
        <v>200</v>
      </c>
      <c r="AW268">
        <f t="shared" si="664"/>
        <v>39380</v>
      </c>
      <c r="AX268">
        <f>_xlfn.XLOOKUP(B268,'[5]july-2025'!$A:$A,'[5]july-2025'!$C:$C,0,0)</f>
        <v>32500</v>
      </c>
      <c r="AY268">
        <f t="shared" si="665"/>
        <v>5850</v>
      </c>
      <c r="AZ268">
        <v>0</v>
      </c>
      <c r="BA268">
        <f t="shared" si="666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67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68"/>
        <v>200</v>
      </c>
      <c r="BH268">
        <f t="shared" si="669"/>
        <v>40550</v>
      </c>
      <c r="BI268">
        <f>_xlfn.XLOOKUP(B268,'[6]august-2025'!$A:$A,'[6]august-2025'!$C:$C,0,0)</f>
        <v>32500</v>
      </c>
      <c r="BJ268">
        <f t="shared" si="670"/>
        <v>5850</v>
      </c>
      <c r="BK268">
        <f t="shared" si="671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72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73"/>
        <v>200</v>
      </c>
      <c r="BR268">
        <f t="shared" si="674"/>
        <v>40550</v>
      </c>
      <c r="BS268">
        <f>_xlfn.XLOOKUP(B268,'[7]september-2025'!$A:$A,'[7]september-2025'!$C:$C,0,0)</f>
        <v>32500</v>
      </c>
      <c r="BT268">
        <f t="shared" si="675"/>
        <v>5850</v>
      </c>
      <c r="BU268">
        <f t="shared" si="676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77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78"/>
        <v>200</v>
      </c>
      <c r="CB268">
        <f t="shared" si="679"/>
        <v>40550</v>
      </c>
      <c r="CC268">
        <f>_xlfn.XLOOKUP(B268,'[8]october-2025'!$A:$A,'[8]october-2025'!$C:$C,0,0)</f>
        <v>32500</v>
      </c>
      <c r="CD268">
        <f t="shared" si="680"/>
        <v>5850</v>
      </c>
      <c r="CE268">
        <f t="shared" si="681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82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83"/>
        <v>200</v>
      </c>
      <c r="CL268">
        <f t="shared" si="684"/>
        <v>40550</v>
      </c>
      <c r="CM268">
        <f>_xlfn.XLOOKUP(B268,'[9]november-2025'!$A:$A,'[9]november-2025'!$C:$C,0,0)</f>
        <v>32500</v>
      </c>
      <c r="CN268">
        <f t="shared" si="685"/>
        <v>5850</v>
      </c>
      <c r="CO268">
        <f t="shared" si="686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87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88"/>
        <v>200</v>
      </c>
      <c r="CV268">
        <f t="shared" si="689"/>
        <v>40550</v>
      </c>
      <c r="CW268">
        <f>_xlfn.XLOOKUP(B268,'[10]december-2025'!$A:$A,'[10]december-2025'!$C:$C,0,0)</f>
        <v>32500</v>
      </c>
      <c r="CX268">
        <f t="shared" si="690"/>
        <v>5850</v>
      </c>
      <c r="CY268">
        <f t="shared" si="691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92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93"/>
        <v>200</v>
      </c>
      <c r="DF268">
        <f t="shared" si="694"/>
        <v>40550</v>
      </c>
      <c r="DG268">
        <f>_xlfn.XLOOKUP(B268,'[11]january-2026'!$A:$A,'[11]january-2026'!$C:$C,0,0)</f>
        <v>32500</v>
      </c>
      <c r="DH268">
        <f t="shared" si="695"/>
        <v>5850</v>
      </c>
      <c r="DI268">
        <f t="shared" si="696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7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8"/>
        <v>200</v>
      </c>
      <c r="DP268">
        <f t="shared" si="699"/>
        <v>40550</v>
      </c>
      <c r="DQ268">
        <f>_xlfn.XLOOKUP(B268,'[12]february-2026'!$A:$A,'[12]february-2026'!$C:$C,0,0)</f>
        <v>32500</v>
      </c>
      <c r="DR268">
        <f t="shared" si="700"/>
        <v>5850</v>
      </c>
      <c r="DS268">
        <f t="shared" si="701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2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3"/>
        <v>200</v>
      </c>
      <c r="DZ268">
        <f t="shared" si="704"/>
        <v>40550</v>
      </c>
      <c r="EA268">
        <f t="shared" si="705"/>
        <v>502080</v>
      </c>
      <c r="EB268">
        <f t="shared" si="706"/>
        <v>2300</v>
      </c>
      <c r="EC268">
        <f t="shared" si="707"/>
        <v>50000</v>
      </c>
      <c r="ED268">
        <v>0</v>
      </c>
      <c r="EE268">
        <f t="shared" si="708"/>
        <v>449780</v>
      </c>
      <c r="EF268">
        <f t="shared" si="709"/>
        <v>24000</v>
      </c>
      <c r="EG268">
        <f t="shared" si="710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1"/>
        <v>24000</v>
      </c>
      <c r="ES268">
        <f t="shared" si="712"/>
        <v>24000</v>
      </c>
      <c r="ET268">
        <f t="shared" si="713"/>
        <v>425780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4"/>
        <v>0</v>
      </c>
      <c r="FC268">
        <f t="shared" si="715"/>
        <v>425780</v>
      </c>
      <c r="FD268">
        <f t="shared" si="716"/>
        <v>8789</v>
      </c>
      <c r="FE268">
        <f t="shared" si="717"/>
        <v>0</v>
      </c>
      <c r="FF268">
        <f t="shared" si="718"/>
        <v>8789</v>
      </c>
      <c r="FG268">
        <f t="shared" si="719"/>
        <v>0</v>
      </c>
      <c r="FH268">
        <f t="shared" si="720"/>
        <v>0</v>
      </c>
      <c r="FI268">
        <f t="shared" si="721"/>
        <v>0</v>
      </c>
      <c r="FJ268">
        <v>0</v>
      </c>
      <c r="FK268">
        <f t="shared" si="722"/>
        <v>0</v>
      </c>
      <c r="FL268" t="b">
        <f t="shared" si="723"/>
        <v>1</v>
      </c>
      <c r="FM268">
        <f t="shared" ca="1" si="724"/>
        <v>685</v>
      </c>
      <c r="FN268">
        <f t="shared" ca="1" si="725"/>
        <v>502765</v>
      </c>
      <c r="FO268">
        <f t="shared" si="726"/>
        <v>75000</v>
      </c>
      <c r="FP268">
        <f t="shared" ca="1" si="727"/>
        <v>427765</v>
      </c>
      <c r="FQ268">
        <f t="shared" ca="1" si="728"/>
        <v>0</v>
      </c>
      <c r="FR268">
        <f t="shared" ca="1" si="729"/>
        <v>0</v>
      </c>
      <c r="FS268">
        <f t="shared" ca="1" si="730"/>
        <v>0</v>
      </c>
      <c r="FT268">
        <f t="shared" ca="1" si="731"/>
        <v>0</v>
      </c>
      <c r="FU268">
        <f t="shared" ca="1" si="732"/>
        <v>0</v>
      </c>
      <c r="FV268">
        <f t="shared" ca="1" si="733"/>
        <v>0</v>
      </c>
      <c r="FW268">
        <f t="shared" ca="1" si="734"/>
        <v>0</v>
      </c>
      <c r="FX268">
        <f t="shared" ca="1" si="735"/>
        <v>0</v>
      </c>
      <c r="FY268">
        <f t="shared" ca="1" si="736"/>
        <v>0</v>
      </c>
      <c r="FZ268">
        <f t="shared" ca="1" si="737"/>
        <v>0</v>
      </c>
      <c r="GA268">
        <f t="shared" ca="1" si="738"/>
        <v>27765</v>
      </c>
      <c r="GB268">
        <f t="shared" ca="1" si="739"/>
        <v>1388.25</v>
      </c>
      <c r="GC268">
        <f t="shared" ca="1" si="740"/>
        <v>1388</v>
      </c>
      <c r="GD268">
        <f t="shared" ca="1" si="741"/>
        <v>0</v>
      </c>
      <c r="GE268">
        <f t="shared" ca="1" si="742"/>
        <v>0</v>
      </c>
      <c r="GF268">
        <f t="shared" ca="1" si="743"/>
        <v>1388</v>
      </c>
      <c r="GG268">
        <f t="shared" ca="1" si="744"/>
        <v>0</v>
      </c>
      <c r="GH268" t="b">
        <f t="shared" ca="1" si="745"/>
        <v>0</v>
      </c>
      <c r="GI268">
        <f t="shared" ca="1" si="746"/>
        <v>0</v>
      </c>
      <c r="GJ268">
        <f t="shared" ca="1" si="747"/>
        <v>1388</v>
      </c>
      <c r="GK268">
        <f t="shared" ca="1" si="748"/>
        <v>0</v>
      </c>
      <c r="GL268">
        <f t="shared" ca="1" si="749"/>
        <v>0</v>
      </c>
      <c r="GM268">
        <f t="shared" ca="1" si="750"/>
        <v>0</v>
      </c>
    </row>
    <row r="269" spans="1:195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752"/>
        <v>6800</v>
      </c>
      <c r="I269">
        <f>_xlfn.XLOOKUP(B269,'[1]march-2025'!$A:$A,'[1]march-2025'!$J:$J,0,0)</f>
        <v>60294</v>
      </c>
      <c r="J269">
        <f>_xlfn.XLOOKUP(B269,'[1]march-2025'!$A:$A,'[1]march-2025'!$C:$C,0,0)</f>
        <v>28900</v>
      </c>
      <c r="K269">
        <f t="shared" si="646"/>
        <v>4046.0000000000005</v>
      </c>
      <c r="L269">
        <f t="shared" si="647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4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51"/>
        <v>150</v>
      </c>
      <c r="S269">
        <f t="shared" si="649"/>
        <v>34764</v>
      </c>
      <c r="T269">
        <f>_xlfn.XLOOKUP(B269,'[2]april-2025'!$A:$A,'[2]april-2025'!$C:$C,0,0)</f>
        <v>28900</v>
      </c>
      <c r="U269">
        <f t="shared" si="650"/>
        <v>5202</v>
      </c>
      <c r="V269">
        <f t="shared" si="651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52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53"/>
        <v>150</v>
      </c>
      <c r="AC269">
        <f t="shared" si="654"/>
        <v>35920</v>
      </c>
      <c r="AD269">
        <f>_xlfn.XLOOKUP(B269,'[3]may-2025'!$A:$A,'[3]may-2025'!$C:$C,0,0)</f>
        <v>28900</v>
      </c>
      <c r="AE269">
        <f t="shared" si="655"/>
        <v>5202</v>
      </c>
      <c r="AF269">
        <f t="shared" si="656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57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58"/>
        <v>150</v>
      </c>
      <c r="AM269">
        <f t="shared" si="659"/>
        <v>35920</v>
      </c>
      <c r="AN269">
        <f>_xlfn.XLOOKUP(B269,'[4]june-2025'!$A:$A,'[4]june-2025'!$C:$C,0,0)</f>
        <v>28900</v>
      </c>
      <c r="AO269">
        <f t="shared" si="660"/>
        <v>5202</v>
      </c>
      <c r="AP269">
        <f t="shared" si="66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62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63"/>
        <v>150</v>
      </c>
      <c r="AW269">
        <f t="shared" si="664"/>
        <v>35920</v>
      </c>
      <c r="AX269">
        <f>_xlfn.XLOOKUP(B269,'[5]july-2025'!$A:$A,'[5]july-2025'!$C:$C,0,0)</f>
        <v>29800</v>
      </c>
      <c r="AY269">
        <f t="shared" si="665"/>
        <v>5364</v>
      </c>
      <c r="AZ269">
        <v>0</v>
      </c>
      <c r="BA269">
        <f t="shared" si="666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67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68"/>
        <v>150</v>
      </c>
      <c r="BH269">
        <f t="shared" si="669"/>
        <v>37090</v>
      </c>
      <c r="BI269">
        <f>_xlfn.XLOOKUP(B269,'[6]august-2025'!$A:$A,'[6]august-2025'!$C:$C,0,0)</f>
        <v>29800</v>
      </c>
      <c r="BJ269">
        <f t="shared" si="670"/>
        <v>5364</v>
      </c>
      <c r="BK269">
        <f t="shared" si="671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72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73"/>
        <v>150</v>
      </c>
      <c r="BR269">
        <f t="shared" si="674"/>
        <v>37090</v>
      </c>
      <c r="BS269">
        <f>_xlfn.XLOOKUP(B269,'[7]september-2025'!$A:$A,'[7]september-2025'!$C:$C,0,0)</f>
        <v>29800</v>
      </c>
      <c r="BT269">
        <f t="shared" si="675"/>
        <v>5364</v>
      </c>
      <c r="BU269">
        <f t="shared" si="676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77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78"/>
        <v>150</v>
      </c>
      <c r="CB269">
        <f t="shared" si="679"/>
        <v>37090</v>
      </c>
      <c r="CC269">
        <f>_xlfn.XLOOKUP(B269,'[8]october-2025'!$A:$A,'[8]october-2025'!$C:$C,0,0)</f>
        <v>29800</v>
      </c>
      <c r="CD269">
        <f t="shared" si="680"/>
        <v>5364</v>
      </c>
      <c r="CE269">
        <f t="shared" si="681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82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83"/>
        <v>150</v>
      </c>
      <c r="CL269">
        <f t="shared" si="684"/>
        <v>37090</v>
      </c>
      <c r="CM269">
        <f>_xlfn.XLOOKUP(B269,'[9]november-2025'!$A:$A,'[9]november-2025'!$C:$C,0,0)</f>
        <v>29800</v>
      </c>
      <c r="CN269">
        <f t="shared" si="685"/>
        <v>5364</v>
      </c>
      <c r="CO269">
        <f t="shared" si="686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87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88"/>
        <v>150</v>
      </c>
      <c r="CV269">
        <f t="shared" si="689"/>
        <v>37090</v>
      </c>
      <c r="CW269">
        <f>_xlfn.XLOOKUP(B269,'[10]december-2025'!$A:$A,'[10]december-2025'!$C:$C,0,0)</f>
        <v>29800</v>
      </c>
      <c r="CX269">
        <f t="shared" si="690"/>
        <v>5364</v>
      </c>
      <c r="CY269">
        <f t="shared" si="691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92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93"/>
        <v>150</v>
      </c>
      <c r="DF269">
        <f t="shared" si="694"/>
        <v>37090</v>
      </c>
      <c r="DG269">
        <f>_xlfn.XLOOKUP(B269,'[11]january-2026'!$A:$A,'[11]january-2026'!$C:$C,0,0)</f>
        <v>29800</v>
      </c>
      <c r="DH269">
        <f t="shared" si="695"/>
        <v>5364</v>
      </c>
      <c r="DI269">
        <f t="shared" si="696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7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8"/>
        <v>150</v>
      </c>
      <c r="DP269">
        <f t="shared" si="699"/>
        <v>37090</v>
      </c>
      <c r="DQ269">
        <f>_xlfn.XLOOKUP(B269,'[12]february-2026'!$A:$A,'[12]february-2026'!$C:$C,0,0)</f>
        <v>29800</v>
      </c>
      <c r="DR269">
        <f t="shared" si="700"/>
        <v>5364</v>
      </c>
      <c r="DS269">
        <f t="shared" si="701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2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3"/>
        <v>150</v>
      </c>
      <c r="DZ269">
        <f t="shared" si="704"/>
        <v>37090</v>
      </c>
      <c r="EA269">
        <f t="shared" si="705"/>
        <v>532138</v>
      </c>
      <c r="EB269">
        <f t="shared" si="706"/>
        <v>1800</v>
      </c>
      <c r="EC269">
        <f t="shared" si="707"/>
        <v>50000</v>
      </c>
      <c r="ED269">
        <v>0</v>
      </c>
      <c r="EE269">
        <f t="shared" si="708"/>
        <v>480338</v>
      </c>
      <c r="EF269">
        <f t="shared" si="709"/>
        <v>24000</v>
      </c>
      <c r="EG269">
        <f t="shared" si="710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1"/>
        <v>24000</v>
      </c>
      <c r="ES269">
        <f t="shared" si="712"/>
        <v>24000</v>
      </c>
      <c r="ET269">
        <f t="shared" si="713"/>
        <v>456338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4"/>
        <v>0</v>
      </c>
      <c r="FC269">
        <f t="shared" si="715"/>
        <v>456338</v>
      </c>
      <c r="FD269">
        <f t="shared" si="716"/>
        <v>10317</v>
      </c>
      <c r="FE269">
        <f t="shared" si="717"/>
        <v>0</v>
      </c>
      <c r="FF269">
        <f t="shared" si="718"/>
        <v>10317</v>
      </c>
      <c r="FG269">
        <f t="shared" si="719"/>
        <v>0</v>
      </c>
      <c r="FH269">
        <f t="shared" si="720"/>
        <v>0</v>
      </c>
      <c r="FI269">
        <f t="shared" si="721"/>
        <v>0</v>
      </c>
      <c r="FJ269">
        <v>0</v>
      </c>
      <c r="FK269">
        <f t="shared" si="722"/>
        <v>0</v>
      </c>
      <c r="FL269" t="b">
        <f t="shared" si="723"/>
        <v>1</v>
      </c>
      <c r="FM269">
        <f t="shared" ca="1" si="724"/>
        <v>744</v>
      </c>
      <c r="FN269">
        <f t="shared" ca="1" si="725"/>
        <v>532882</v>
      </c>
      <c r="FO269">
        <f t="shared" si="726"/>
        <v>75000</v>
      </c>
      <c r="FP269">
        <f t="shared" ca="1" si="727"/>
        <v>457882</v>
      </c>
      <c r="FQ269">
        <f t="shared" ca="1" si="728"/>
        <v>0</v>
      </c>
      <c r="FR269">
        <f t="shared" ca="1" si="729"/>
        <v>0</v>
      </c>
      <c r="FS269">
        <f t="shared" ca="1" si="730"/>
        <v>0</v>
      </c>
      <c r="FT269">
        <f t="shared" ca="1" si="731"/>
        <v>0</v>
      </c>
      <c r="FU269">
        <f t="shared" ca="1" si="732"/>
        <v>0</v>
      </c>
      <c r="FV269">
        <f t="shared" ca="1" si="733"/>
        <v>0</v>
      </c>
      <c r="FW269">
        <f t="shared" ca="1" si="734"/>
        <v>0</v>
      </c>
      <c r="FX269">
        <f t="shared" ca="1" si="735"/>
        <v>0</v>
      </c>
      <c r="FY269">
        <f t="shared" ca="1" si="736"/>
        <v>0</v>
      </c>
      <c r="FZ269">
        <f t="shared" ca="1" si="737"/>
        <v>0</v>
      </c>
      <c r="GA269">
        <f t="shared" ca="1" si="738"/>
        <v>57882</v>
      </c>
      <c r="GB269">
        <f t="shared" ca="1" si="739"/>
        <v>2894.1000000000004</v>
      </c>
      <c r="GC269">
        <f t="shared" ca="1" si="740"/>
        <v>2894</v>
      </c>
      <c r="GD269">
        <f t="shared" ca="1" si="741"/>
        <v>0</v>
      </c>
      <c r="GE269">
        <f t="shared" ca="1" si="742"/>
        <v>0</v>
      </c>
      <c r="GF269">
        <f t="shared" ca="1" si="743"/>
        <v>2894</v>
      </c>
      <c r="GG269">
        <f t="shared" ca="1" si="744"/>
        <v>0</v>
      </c>
      <c r="GH269" t="b">
        <f t="shared" ca="1" si="745"/>
        <v>0</v>
      </c>
      <c r="GI269">
        <f t="shared" ca="1" si="746"/>
        <v>0</v>
      </c>
      <c r="GJ269">
        <f t="shared" ca="1" si="747"/>
        <v>2894</v>
      </c>
      <c r="GK269">
        <f t="shared" ca="1" si="748"/>
        <v>0</v>
      </c>
      <c r="GL269">
        <f t="shared" ca="1" si="749"/>
        <v>0</v>
      </c>
      <c r="GM269">
        <f t="shared" ca="1" si="750"/>
        <v>0</v>
      </c>
    </row>
    <row r="270" spans="1:195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752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46"/>
        <v>0</v>
      </c>
      <c r="L270">
        <f t="shared" si="647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4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51"/>
        <v>0</v>
      </c>
      <c r="S270">
        <f t="shared" si="649"/>
        <v>0</v>
      </c>
      <c r="T270">
        <f>_xlfn.XLOOKUP(B270,'[2]april-2025'!$A:$A,'[2]april-2025'!$C:$C,0,0)</f>
        <v>0</v>
      </c>
      <c r="U270">
        <f t="shared" si="650"/>
        <v>0</v>
      </c>
      <c r="V270">
        <f t="shared" si="651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52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53"/>
        <v>0</v>
      </c>
      <c r="AC270">
        <f t="shared" si="654"/>
        <v>0</v>
      </c>
      <c r="AD270">
        <f>_xlfn.XLOOKUP(B270,'[3]may-2025'!$A:$A,'[3]may-2025'!$C:$C,0,0)</f>
        <v>24700</v>
      </c>
      <c r="AE270">
        <f t="shared" si="655"/>
        <v>4446</v>
      </c>
      <c r="AF270">
        <f t="shared" si="656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57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58"/>
        <v>0</v>
      </c>
      <c r="AM270">
        <f t="shared" si="659"/>
        <v>32110</v>
      </c>
      <c r="AN270">
        <f>_xlfn.XLOOKUP(B270,'[4]june-2025'!$A:$A,'[4]june-2025'!$C:$C,0,0)</f>
        <v>24700</v>
      </c>
      <c r="AO270">
        <f t="shared" si="660"/>
        <v>4446</v>
      </c>
      <c r="AP270">
        <f t="shared" si="66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62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63"/>
        <v>0</v>
      </c>
      <c r="AW270">
        <f t="shared" si="664"/>
        <v>32110</v>
      </c>
      <c r="AX270">
        <f>_xlfn.XLOOKUP(B270,'[5]july-2025'!$A:$A,'[5]july-2025'!$C:$C,0,0)</f>
        <v>25400</v>
      </c>
      <c r="AY270">
        <f t="shared" si="665"/>
        <v>4572</v>
      </c>
      <c r="AZ270">
        <v>0</v>
      </c>
      <c r="BA270">
        <f t="shared" si="666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67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68"/>
        <v>0</v>
      </c>
      <c r="BH270">
        <f t="shared" si="669"/>
        <v>33020</v>
      </c>
      <c r="BI270">
        <f>_xlfn.XLOOKUP(B270,'[6]august-2025'!$A:$A,'[6]august-2025'!$C:$C,0,0)</f>
        <v>25400</v>
      </c>
      <c r="BJ270">
        <f t="shared" si="670"/>
        <v>4572</v>
      </c>
      <c r="BK270">
        <f t="shared" si="671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72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73"/>
        <v>0</v>
      </c>
      <c r="BR270">
        <f t="shared" si="674"/>
        <v>31020</v>
      </c>
      <c r="BS270">
        <f>_xlfn.XLOOKUP(B270,'[7]september-2025'!$A:$A,'[7]september-2025'!$C:$C,0,0)</f>
        <v>25400</v>
      </c>
      <c r="BT270">
        <f t="shared" si="675"/>
        <v>4572</v>
      </c>
      <c r="BU270">
        <f t="shared" si="676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77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78"/>
        <v>0</v>
      </c>
      <c r="CB270">
        <f t="shared" si="679"/>
        <v>31020</v>
      </c>
      <c r="CC270">
        <f>_xlfn.XLOOKUP(B270,'[8]october-2025'!$A:$A,'[8]october-2025'!$C:$C,0,0)</f>
        <v>25400</v>
      </c>
      <c r="CD270">
        <f t="shared" si="680"/>
        <v>4572</v>
      </c>
      <c r="CE270">
        <f t="shared" si="681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82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83"/>
        <v>0</v>
      </c>
      <c r="CL270">
        <f t="shared" si="684"/>
        <v>31020</v>
      </c>
      <c r="CM270">
        <f>_xlfn.XLOOKUP(B270,'[9]november-2025'!$A:$A,'[9]november-2025'!$C:$C,0,0)</f>
        <v>25400</v>
      </c>
      <c r="CN270">
        <f t="shared" si="685"/>
        <v>4572</v>
      </c>
      <c r="CO270">
        <f t="shared" si="686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87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88"/>
        <v>0</v>
      </c>
      <c r="CV270">
        <f t="shared" si="689"/>
        <v>31020</v>
      </c>
      <c r="CW270">
        <f>_xlfn.XLOOKUP(B270,'[10]december-2025'!$A:$A,'[10]december-2025'!$C:$C,0,0)</f>
        <v>25400</v>
      </c>
      <c r="CX270">
        <f t="shared" si="690"/>
        <v>4572</v>
      </c>
      <c r="CY270">
        <f t="shared" si="691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92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93"/>
        <v>0</v>
      </c>
      <c r="DF270">
        <f t="shared" si="694"/>
        <v>31020</v>
      </c>
      <c r="DG270">
        <f>_xlfn.XLOOKUP(B270,'[11]january-2026'!$A:$A,'[11]january-2026'!$C:$C,0,0)</f>
        <v>25400</v>
      </c>
      <c r="DH270">
        <f t="shared" si="695"/>
        <v>4572</v>
      </c>
      <c r="DI270">
        <f t="shared" si="696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7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8"/>
        <v>0</v>
      </c>
      <c r="DP270">
        <f t="shared" si="699"/>
        <v>31020</v>
      </c>
      <c r="DQ270">
        <f>_xlfn.XLOOKUP(B270,'[12]february-2026'!$A:$A,'[12]february-2026'!$C:$C,0,0)</f>
        <v>25400</v>
      </c>
      <c r="DR270">
        <f t="shared" si="700"/>
        <v>4572</v>
      </c>
      <c r="DS270">
        <f t="shared" si="701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2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3"/>
        <v>0</v>
      </c>
      <c r="DZ270">
        <f t="shared" si="704"/>
        <v>31020</v>
      </c>
      <c r="EA270">
        <f t="shared" si="705"/>
        <v>335180</v>
      </c>
      <c r="EB270">
        <f t="shared" si="706"/>
        <v>0</v>
      </c>
      <c r="EC270">
        <f t="shared" si="707"/>
        <v>50000</v>
      </c>
      <c r="ED270">
        <v>0</v>
      </c>
      <c r="EE270">
        <f t="shared" si="708"/>
        <v>285180</v>
      </c>
      <c r="EF270">
        <f t="shared" si="709"/>
        <v>14000</v>
      </c>
      <c r="EG270">
        <f t="shared" si="710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1"/>
        <v>14000</v>
      </c>
      <c r="ES270">
        <f t="shared" si="712"/>
        <v>14000</v>
      </c>
      <c r="ET270">
        <f t="shared" si="713"/>
        <v>271180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4"/>
        <v>50000</v>
      </c>
      <c r="FC270">
        <f t="shared" si="715"/>
        <v>221180</v>
      </c>
      <c r="FD270">
        <f t="shared" si="716"/>
        <v>-1441</v>
      </c>
      <c r="FE270">
        <f t="shared" si="717"/>
        <v>0</v>
      </c>
      <c r="FF270">
        <f t="shared" si="718"/>
        <v>-1441</v>
      </c>
      <c r="FG270">
        <f t="shared" si="719"/>
        <v>0</v>
      </c>
      <c r="FH270">
        <f t="shared" si="720"/>
        <v>0</v>
      </c>
      <c r="FI270">
        <f t="shared" si="721"/>
        <v>0</v>
      </c>
      <c r="FJ270">
        <v>0</v>
      </c>
      <c r="FK270">
        <f t="shared" si="722"/>
        <v>0</v>
      </c>
      <c r="FL270" t="b">
        <f t="shared" si="723"/>
        <v>0</v>
      </c>
      <c r="FM270">
        <f t="shared" ca="1" si="724"/>
        <v>1923</v>
      </c>
      <c r="FN270">
        <f t="shared" ca="1" si="725"/>
        <v>337103</v>
      </c>
      <c r="FO270">
        <f t="shared" si="726"/>
        <v>75000</v>
      </c>
      <c r="FP270">
        <f t="shared" ca="1" si="727"/>
        <v>262103</v>
      </c>
      <c r="FQ270">
        <f t="shared" ca="1" si="728"/>
        <v>0</v>
      </c>
      <c r="FR270">
        <f t="shared" ca="1" si="729"/>
        <v>0</v>
      </c>
      <c r="FS270">
        <f t="shared" ca="1" si="730"/>
        <v>0</v>
      </c>
      <c r="FT270">
        <f t="shared" ca="1" si="731"/>
        <v>0</v>
      </c>
      <c r="FU270">
        <f t="shared" ca="1" si="732"/>
        <v>0</v>
      </c>
      <c r="FV270">
        <f t="shared" ca="1" si="733"/>
        <v>0</v>
      </c>
      <c r="FW270">
        <f t="shared" ca="1" si="734"/>
        <v>0</v>
      </c>
      <c r="FX270">
        <f t="shared" ca="1" si="735"/>
        <v>0</v>
      </c>
      <c r="FY270">
        <f t="shared" ca="1" si="736"/>
        <v>0</v>
      </c>
      <c r="FZ270">
        <f t="shared" ca="1" si="737"/>
        <v>0</v>
      </c>
      <c r="GA270">
        <f t="shared" ca="1" si="738"/>
        <v>0</v>
      </c>
      <c r="GB270">
        <f t="shared" ca="1" si="739"/>
        <v>0</v>
      </c>
      <c r="GC270">
        <f t="shared" ca="1" si="740"/>
        <v>0</v>
      </c>
      <c r="GD270">
        <f t="shared" ca="1" si="741"/>
        <v>0</v>
      </c>
      <c r="GE270">
        <f t="shared" ca="1" si="742"/>
        <v>0</v>
      </c>
      <c r="GF270">
        <f t="shared" ca="1" si="743"/>
        <v>0</v>
      </c>
      <c r="GG270">
        <f t="shared" ca="1" si="744"/>
        <v>0</v>
      </c>
      <c r="GH270" t="b">
        <f t="shared" ca="1" si="745"/>
        <v>0</v>
      </c>
      <c r="GI270">
        <f t="shared" ca="1" si="746"/>
        <v>0</v>
      </c>
      <c r="GJ270">
        <f t="shared" ca="1" si="747"/>
        <v>0</v>
      </c>
      <c r="GK270">
        <f t="shared" ca="1" si="748"/>
        <v>0</v>
      </c>
      <c r="GL270">
        <f t="shared" ca="1" si="749"/>
        <v>0</v>
      </c>
      <c r="GM270">
        <f t="shared" ca="1" si="750"/>
        <v>0</v>
      </c>
    </row>
    <row r="271" spans="1:195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752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46"/>
        <v>6818.0000000000009</v>
      </c>
      <c r="L271">
        <f t="shared" si="647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4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51"/>
        <v>200</v>
      </c>
      <c r="S271">
        <f t="shared" si="649"/>
        <v>56502</v>
      </c>
      <c r="T271">
        <f>_xlfn.XLOOKUP(B271,'[2]april-2025'!$A:$A,'[2]april-2025'!$C:$C,0,0)</f>
        <v>48700</v>
      </c>
      <c r="U271">
        <f t="shared" si="650"/>
        <v>8766</v>
      </c>
      <c r="V271">
        <f t="shared" si="651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52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53"/>
        <v>200</v>
      </c>
      <c r="AC271">
        <f t="shared" si="654"/>
        <v>58450</v>
      </c>
      <c r="AD271">
        <f>_xlfn.XLOOKUP(B271,'[3]may-2025'!$A:$A,'[3]may-2025'!$C:$C,0,0)</f>
        <v>48700</v>
      </c>
      <c r="AE271">
        <f t="shared" si="655"/>
        <v>8766</v>
      </c>
      <c r="AF271">
        <f t="shared" si="656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57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58"/>
        <v>200</v>
      </c>
      <c r="AM271">
        <f t="shared" si="659"/>
        <v>58450</v>
      </c>
      <c r="AN271">
        <f>_xlfn.XLOOKUP(B271,'[4]june-2025'!$A:$A,'[4]june-2025'!$C:$C,0,0)</f>
        <v>48700</v>
      </c>
      <c r="AO271">
        <f t="shared" si="660"/>
        <v>8766</v>
      </c>
      <c r="AP271">
        <f t="shared" si="66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62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63"/>
        <v>200</v>
      </c>
      <c r="AW271">
        <f t="shared" si="664"/>
        <v>58450</v>
      </c>
      <c r="AX271">
        <f>_xlfn.XLOOKUP(B271,'[5]july-2025'!$A:$A,'[5]july-2025'!$C:$C,0,0)</f>
        <v>50200</v>
      </c>
      <c r="AY271">
        <f t="shared" si="665"/>
        <v>9036</v>
      </c>
      <c r="AZ271">
        <v>0</v>
      </c>
      <c r="BA271">
        <f t="shared" si="666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67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68"/>
        <v>200</v>
      </c>
      <c r="BH271">
        <f t="shared" si="669"/>
        <v>60400</v>
      </c>
      <c r="BI271">
        <f>_xlfn.XLOOKUP(B271,'[6]august-2025'!$A:$A,'[6]august-2025'!$C:$C,0,0)</f>
        <v>50200</v>
      </c>
      <c r="BJ271">
        <f t="shared" si="670"/>
        <v>9036</v>
      </c>
      <c r="BK271">
        <f t="shared" si="671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72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73"/>
        <v>200</v>
      </c>
      <c r="BR271">
        <f t="shared" si="674"/>
        <v>60400</v>
      </c>
      <c r="BS271">
        <f>_xlfn.XLOOKUP(B271,'[7]september-2025'!$A:$A,'[7]september-2025'!$C:$C,0,0)</f>
        <v>50200</v>
      </c>
      <c r="BT271">
        <f t="shared" si="675"/>
        <v>9036</v>
      </c>
      <c r="BU271">
        <f t="shared" si="676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77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78"/>
        <v>200</v>
      </c>
      <c r="CB271">
        <f t="shared" si="679"/>
        <v>60400</v>
      </c>
      <c r="CC271">
        <f>_xlfn.XLOOKUP(B271,'[8]october-2025'!$A:$A,'[8]october-2025'!$C:$C,0,0)</f>
        <v>50200</v>
      </c>
      <c r="CD271">
        <f t="shared" si="680"/>
        <v>9036</v>
      </c>
      <c r="CE271">
        <f t="shared" si="681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82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83"/>
        <v>200</v>
      </c>
      <c r="CL271">
        <f t="shared" si="684"/>
        <v>60400</v>
      </c>
      <c r="CM271">
        <f>_xlfn.XLOOKUP(B271,'[9]november-2025'!$A:$A,'[9]november-2025'!$C:$C,0,0)</f>
        <v>50200</v>
      </c>
      <c r="CN271">
        <f t="shared" si="685"/>
        <v>9036</v>
      </c>
      <c r="CO271">
        <f t="shared" si="686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87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88"/>
        <v>200</v>
      </c>
      <c r="CV271">
        <f t="shared" si="689"/>
        <v>60400</v>
      </c>
      <c r="CW271">
        <f>_xlfn.XLOOKUP(B271,'[10]december-2025'!$A:$A,'[10]december-2025'!$C:$C,0,0)</f>
        <v>50200</v>
      </c>
      <c r="CX271">
        <f t="shared" si="690"/>
        <v>9036</v>
      </c>
      <c r="CY271">
        <f t="shared" si="691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92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93"/>
        <v>200</v>
      </c>
      <c r="DF271">
        <f t="shared" si="694"/>
        <v>60400</v>
      </c>
      <c r="DG271">
        <f>_xlfn.XLOOKUP(B271,'[11]january-2026'!$A:$A,'[11]january-2026'!$C:$C,0,0)</f>
        <v>50200</v>
      </c>
      <c r="DH271">
        <f t="shared" si="695"/>
        <v>9036</v>
      </c>
      <c r="DI271">
        <f t="shared" si="696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7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8"/>
        <v>200</v>
      </c>
      <c r="DP271">
        <f t="shared" si="699"/>
        <v>60400</v>
      </c>
      <c r="DQ271">
        <f>_xlfn.XLOOKUP(B271,'[12]february-2026'!$A:$A,'[12]february-2026'!$C:$C,0,0)</f>
        <v>50200</v>
      </c>
      <c r="DR271">
        <f t="shared" si="700"/>
        <v>9036</v>
      </c>
      <c r="DS271">
        <f t="shared" si="701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2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3"/>
        <v>200</v>
      </c>
      <c r="DZ271">
        <f t="shared" si="704"/>
        <v>60400</v>
      </c>
      <c r="EA271">
        <f t="shared" si="705"/>
        <v>784972</v>
      </c>
      <c r="EB271">
        <f t="shared" si="706"/>
        <v>2400</v>
      </c>
      <c r="EC271">
        <f t="shared" si="707"/>
        <v>50000</v>
      </c>
      <c r="ED271">
        <v>0</v>
      </c>
      <c r="EE271">
        <f t="shared" si="708"/>
        <v>732572</v>
      </c>
      <c r="EF271">
        <f t="shared" si="709"/>
        <v>60000</v>
      </c>
      <c r="EG271">
        <f t="shared" si="710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1"/>
        <v>60720</v>
      </c>
      <c r="ES271">
        <f t="shared" si="712"/>
        <v>60720</v>
      </c>
      <c r="ET271">
        <f t="shared" si="713"/>
        <v>671852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4"/>
        <v>0</v>
      </c>
      <c r="FC271">
        <f t="shared" si="715"/>
        <v>671852</v>
      </c>
      <c r="FD271">
        <f t="shared" si="716"/>
        <v>12500</v>
      </c>
      <c r="FE271">
        <f t="shared" si="717"/>
        <v>34370</v>
      </c>
      <c r="FF271">
        <f t="shared" si="718"/>
        <v>46870</v>
      </c>
      <c r="FG271">
        <f t="shared" si="719"/>
        <v>46870</v>
      </c>
      <c r="FH271">
        <f t="shared" si="720"/>
        <v>1874.8</v>
      </c>
      <c r="FI271">
        <f t="shared" si="721"/>
        <v>48745</v>
      </c>
      <c r="FJ271">
        <v>0</v>
      </c>
      <c r="FK271">
        <f t="shared" si="722"/>
        <v>48745</v>
      </c>
      <c r="FL271" t="b">
        <f t="shared" si="723"/>
        <v>1</v>
      </c>
      <c r="FM271">
        <f t="shared" ca="1" si="724"/>
        <v>502</v>
      </c>
      <c r="FN271">
        <f t="shared" ca="1" si="725"/>
        <v>785474</v>
      </c>
      <c r="FO271">
        <f t="shared" si="726"/>
        <v>75000</v>
      </c>
      <c r="FP271">
        <f t="shared" ca="1" si="727"/>
        <v>710474</v>
      </c>
      <c r="FQ271">
        <f t="shared" ca="1" si="728"/>
        <v>0</v>
      </c>
      <c r="FR271">
        <f t="shared" ca="1" si="729"/>
        <v>0</v>
      </c>
      <c r="FS271">
        <f t="shared" ca="1" si="730"/>
        <v>0</v>
      </c>
      <c r="FT271">
        <f t="shared" ca="1" si="731"/>
        <v>0</v>
      </c>
      <c r="FU271">
        <f t="shared" ca="1" si="732"/>
        <v>0</v>
      </c>
      <c r="FV271">
        <f t="shared" ca="1" si="733"/>
        <v>0</v>
      </c>
      <c r="FW271">
        <f t="shared" ca="1" si="734"/>
        <v>0</v>
      </c>
      <c r="FX271">
        <f t="shared" ca="1" si="735"/>
        <v>0</v>
      </c>
      <c r="FY271">
        <f t="shared" ca="1" si="736"/>
        <v>0</v>
      </c>
      <c r="FZ271">
        <f t="shared" ca="1" si="737"/>
        <v>0</v>
      </c>
      <c r="GA271">
        <f t="shared" ca="1" si="738"/>
        <v>310474</v>
      </c>
      <c r="GB271">
        <f t="shared" ca="1" si="739"/>
        <v>15523.7</v>
      </c>
      <c r="GC271">
        <f t="shared" ca="1" si="740"/>
        <v>15524</v>
      </c>
      <c r="GD271">
        <f t="shared" ca="1" si="741"/>
        <v>0</v>
      </c>
      <c r="GE271">
        <f t="shared" ca="1" si="742"/>
        <v>0</v>
      </c>
      <c r="GF271">
        <f t="shared" ca="1" si="743"/>
        <v>15524</v>
      </c>
      <c r="GG271">
        <f t="shared" ca="1" si="744"/>
        <v>0</v>
      </c>
      <c r="GH271" t="b">
        <f t="shared" ca="1" si="745"/>
        <v>0</v>
      </c>
      <c r="GI271">
        <f t="shared" ca="1" si="746"/>
        <v>0</v>
      </c>
      <c r="GJ271">
        <f t="shared" ca="1" si="747"/>
        <v>15524</v>
      </c>
      <c r="GK271">
        <f t="shared" ca="1" si="748"/>
        <v>0</v>
      </c>
      <c r="GL271">
        <f t="shared" ca="1" si="749"/>
        <v>0</v>
      </c>
      <c r="GM271">
        <f t="shared" ca="1" si="750"/>
        <v>0</v>
      </c>
    </row>
    <row r="272" spans="1:195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752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46"/>
        <v>6622.0000000000009</v>
      </c>
      <c r="L272">
        <f t="shared" si="647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4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51"/>
        <v>200</v>
      </c>
      <c r="S272">
        <f t="shared" si="649"/>
        <v>47898</v>
      </c>
      <c r="T272">
        <f>_xlfn.XLOOKUP(B272,'[2]april-2025'!$A:$A,'[2]april-2025'!$C:$C,0,0)</f>
        <v>47300</v>
      </c>
      <c r="U272">
        <f t="shared" si="650"/>
        <v>8514</v>
      </c>
      <c r="V272">
        <f t="shared" si="651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52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53"/>
        <v>200</v>
      </c>
      <c r="AC272">
        <f t="shared" si="654"/>
        <v>49790</v>
      </c>
      <c r="AD272">
        <f>_xlfn.XLOOKUP(B272,'[3]may-2025'!$A:$A,'[3]may-2025'!$C:$C,0,0)</f>
        <v>47300</v>
      </c>
      <c r="AE272">
        <f t="shared" si="655"/>
        <v>8514</v>
      </c>
      <c r="AF272">
        <f t="shared" si="656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57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58"/>
        <v>200</v>
      </c>
      <c r="AM272">
        <f t="shared" si="659"/>
        <v>49790</v>
      </c>
      <c r="AN272">
        <f>_xlfn.XLOOKUP(B272,'[4]june-2025'!$A:$A,'[4]june-2025'!$C:$C,0,0)</f>
        <v>47300</v>
      </c>
      <c r="AO272">
        <f t="shared" si="660"/>
        <v>8514</v>
      </c>
      <c r="AP272">
        <f t="shared" si="66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62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63"/>
        <v>200</v>
      </c>
      <c r="AW272">
        <f t="shared" si="664"/>
        <v>49790</v>
      </c>
      <c r="AX272">
        <f>_xlfn.XLOOKUP(B272,'[5]july-2025'!$A:$A,'[5]july-2025'!$C:$C,0,0)</f>
        <v>48700</v>
      </c>
      <c r="AY272">
        <f t="shared" si="665"/>
        <v>8766</v>
      </c>
      <c r="AZ272">
        <v>0</v>
      </c>
      <c r="BA272">
        <f t="shared" si="666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67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68"/>
        <v>200</v>
      </c>
      <c r="BH272">
        <f t="shared" si="669"/>
        <v>51610</v>
      </c>
      <c r="BI272">
        <f>_xlfn.XLOOKUP(B272,'[6]august-2025'!$A:$A,'[6]august-2025'!$C:$C,0,0)</f>
        <v>48700</v>
      </c>
      <c r="BJ272">
        <f t="shared" si="670"/>
        <v>8766</v>
      </c>
      <c r="BK272">
        <f t="shared" si="671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72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73"/>
        <v>200</v>
      </c>
      <c r="BR272">
        <f t="shared" si="674"/>
        <v>51610</v>
      </c>
      <c r="BS272">
        <f>_xlfn.XLOOKUP(B272,'[7]september-2025'!$A:$A,'[7]september-2025'!$C:$C,0,0)</f>
        <v>48700</v>
      </c>
      <c r="BT272">
        <f t="shared" si="675"/>
        <v>8766</v>
      </c>
      <c r="BU272">
        <f t="shared" si="676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77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78"/>
        <v>200</v>
      </c>
      <c r="CB272">
        <f t="shared" si="679"/>
        <v>51610</v>
      </c>
      <c r="CC272">
        <f>_xlfn.XLOOKUP(B272,'[8]october-2025'!$A:$A,'[8]october-2025'!$C:$C,0,0)</f>
        <v>48700</v>
      </c>
      <c r="CD272">
        <f t="shared" si="680"/>
        <v>8766</v>
      </c>
      <c r="CE272">
        <f t="shared" si="681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82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83"/>
        <v>200</v>
      </c>
      <c r="CL272">
        <f t="shared" si="684"/>
        <v>51610</v>
      </c>
      <c r="CM272">
        <f>_xlfn.XLOOKUP(B272,'[9]november-2025'!$A:$A,'[9]november-2025'!$C:$C,0,0)</f>
        <v>48700</v>
      </c>
      <c r="CN272">
        <f t="shared" si="685"/>
        <v>8766</v>
      </c>
      <c r="CO272">
        <f t="shared" si="686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87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88"/>
        <v>200</v>
      </c>
      <c r="CV272">
        <f t="shared" si="689"/>
        <v>51610</v>
      </c>
      <c r="CW272">
        <f>_xlfn.XLOOKUP(B272,'[10]december-2025'!$A:$A,'[10]december-2025'!$C:$C,0,0)</f>
        <v>48700</v>
      </c>
      <c r="CX272">
        <f t="shared" si="690"/>
        <v>8766</v>
      </c>
      <c r="CY272">
        <f t="shared" si="691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92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93"/>
        <v>200</v>
      </c>
      <c r="DF272">
        <f t="shared" si="694"/>
        <v>51610</v>
      </c>
      <c r="DG272">
        <f>_xlfn.XLOOKUP(B272,'[11]january-2026'!$A:$A,'[11]january-2026'!$C:$C,0,0)</f>
        <v>48700</v>
      </c>
      <c r="DH272">
        <f t="shared" si="695"/>
        <v>8766</v>
      </c>
      <c r="DI272">
        <f t="shared" si="696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7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8"/>
        <v>200</v>
      </c>
      <c r="DP272">
        <f t="shared" si="699"/>
        <v>63610</v>
      </c>
      <c r="DQ272">
        <f>_xlfn.XLOOKUP(B272,'[12]february-2026'!$A:$A,'[12]february-2026'!$C:$C,0,0)</f>
        <v>48700</v>
      </c>
      <c r="DR272">
        <f t="shared" si="700"/>
        <v>8766</v>
      </c>
      <c r="DS272">
        <f t="shared" si="701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2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3"/>
        <v>200</v>
      </c>
      <c r="DZ272">
        <f t="shared" si="704"/>
        <v>51610</v>
      </c>
      <c r="EA272">
        <f t="shared" si="705"/>
        <v>763348</v>
      </c>
      <c r="EB272">
        <f t="shared" si="706"/>
        <v>2400</v>
      </c>
      <c r="EC272">
        <f t="shared" si="707"/>
        <v>50000</v>
      </c>
      <c r="ED272">
        <v>0</v>
      </c>
      <c r="EE272">
        <f t="shared" si="708"/>
        <v>710948</v>
      </c>
      <c r="EF272">
        <f t="shared" si="709"/>
        <v>132000</v>
      </c>
      <c r="EG272">
        <f t="shared" si="710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1"/>
        <v>132000</v>
      </c>
      <c r="ES272">
        <f t="shared" si="712"/>
        <v>132000</v>
      </c>
      <c r="ET272">
        <f t="shared" si="713"/>
        <v>578948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4"/>
        <v>0</v>
      </c>
      <c r="FC272">
        <f t="shared" si="715"/>
        <v>578948</v>
      </c>
      <c r="FD272">
        <f t="shared" si="716"/>
        <v>12500</v>
      </c>
      <c r="FE272">
        <f t="shared" si="717"/>
        <v>15790</v>
      </c>
      <c r="FF272">
        <f t="shared" si="718"/>
        <v>28290</v>
      </c>
      <c r="FG272">
        <f t="shared" si="719"/>
        <v>28290</v>
      </c>
      <c r="FH272">
        <f t="shared" si="720"/>
        <v>1131.6000000000001</v>
      </c>
      <c r="FI272">
        <f t="shared" si="721"/>
        <v>29422</v>
      </c>
      <c r="FJ272">
        <v>0</v>
      </c>
      <c r="FK272">
        <f t="shared" si="722"/>
        <v>29422</v>
      </c>
      <c r="FL272" t="b">
        <f t="shared" si="723"/>
        <v>1</v>
      </c>
      <c r="FM272">
        <f t="shared" ca="1" si="724"/>
        <v>527</v>
      </c>
      <c r="FN272">
        <f t="shared" ca="1" si="725"/>
        <v>763875</v>
      </c>
      <c r="FO272">
        <f t="shared" si="726"/>
        <v>75000</v>
      </c>
      <c r="FP272">
        <f t="shared" ca="1" si="727"/>
        <v>688875</v>
      </c>
      <c r="FQ272">
        <f t="shared" ca="1" si="728"/>
        <v>0</v>
      </c>
      <c r="FR272">
        <f t="shared" ca="1" si="729"/>
        <v>0</v>
      </c>
      <c r="FS272">
        <f t="shared" ca="1" si="730"/>
        <v>0</v>
      </c>
      <c r="FT272">
        <f t="shared" ca="1" si="731"/>
        <v>0</v>
      </c>
      <c r="FU272">
        <f t="shared" ca="1" si="732"/>
        <v>0</v>
      </c>
      <c r="FV272">
        <f t="shared" ca="1" si="733"/>
        <v>0</v>
      </c>
      <c r="FW272">
        <f t="shared" ca="1" si="734"/>
        <v>0</v>
      </c>
      <c r="FX272">
        <f t="shared" ca="1" si="735"/>
        <v>0</v>
      </c>
      <c r="FY272">
        <f t="shared" ca="1" si="736"/>
        <v>0</v>
      </c>
      <c r="FZ272">
        <f t="shared" ca="1" si="737"/>
        <v>0</v>
      </c>
      <c r="GA272">
        <f t="shared" ca="1" si="738"/>
        <v>288875</v>
      </c>
      <c r="GB272">
        <f t="shared" ca="1" si="739"/>
        <v>14443.75</v>
      </c>
      <c r="GC272">
        <f t="shared" ca="1" si="740"/>
        <v>14444</v>
      </c>
      <c r="GD272">
        <f t="shared" ca="1" si="741"/>
        <v>0</v>
      </c>
      <c r="GE272">
        <f t="shared" ca="1" si="742"/>
        <v>0</v>
      </c>
      <c r="GF272">
        <f t="shared" ca="1" si="743"/>
        <v>14444</v>
      </c>
      <c r="GG272">
        <f t="shared" ca="1" si="744"/>
        <v>0</v>
      </c>
      <c r="GH272" t="b">
        <f t="shared" ca="1" si="745"/>
        <v>0</v>
      </c>
      <c r="GI272">
        <f t="shared" ca="1" si="746"/>
        <v>0</v>
      </c>
      <c r="GJ272">
        <f t="shared" ca="1" si="747"/>
        <v>14444</v>
      </c>
      <c r="GK272">
        <f t="shared" ca="1" si="748"/>
        <v>0</v>
      </c>
      <c r="GL272">
        <f t="shared" ca="1" si="749"/>
        <v>0</v>
      </c>
      <c r="GM272">
        <f t="shared" ca="1" si="750"/>
        <v>0</v>
      </c>
    </row>
    <row r="273" spans="1:195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752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46"/>
        <v>7238.0000000000009</v>
      </c>
      <c r="L273">
        <f t="shared" si="647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4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51"/>
        <v>200</v>
      </c>
      <c r="S273">
        <f t="shared" si="649"/>
        <v>57782</v>
      </c>
      <c r="T273">
        <f>_xlfn.XLOOKUP(B273,'[2]april-2025'!$A:$A,'[2]april-2025'!$C:$C,0,0)</f>
        <v>51700</v>
      </c>
      <c r="U273">
        <f t="shared" si="650"/>
        <v>9306</v>
      </c>
      <c r="V273">
        <f t="shared" si="651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52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53"/>
        <v>200</v>
      </c>
      <c r="AC273">
        <f t="shared" si="654"/>
        <v>59850</v>
      </c>
      <c r="AD273">
        <f>_xlfn.XLOOKUP(B273,'[3]may-2025'!$A:$A,'[3]may-2025'!$C:$C,0,0)</f>
        <v>51700</v>
      </c>
      <c r="AE273">
        <f t="shared" si="655"/>
        <v>9306</v>
      </c>
      <c r="AF273">
        <f t="shared" si="656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57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58"/>
        <v>200</v>
      </c>
      <c r="AM273">
        <f t="shared" si="659"/>
        <v>59850</v>
      </c>
      <c r="AN273">
        <f>_xlfn.XLOOKUP(B273,'[4]june-2025'!$A:$A,'[4]june-2025'!$C:$C,0,0)</f>
        <v>51700</v>
      </c>
      <c r="AO273">
        <f t="shared" si="660"/>
        <v>9306</v>
      </c>
      <c r="AP273">
        <f t="shared" si="66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62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63"/>
        <v>200</v>
      </c>
      <c r="AW273">
        <f t="shared" si="664"/>
        <v>59850</v>
      </c>
      <c r="AX273">
        <f>_xlfn.XLOOKUP(B273,'[5]july-2025'!$A:$A,'[5]july-2025'!$C:$C,0,0)</f>
        <v>53300</v>
      </c>
      <c r="AY273">
        <f t="shared" si="665"/>
        <v>9594</v>
      </c>
      <c r="AZ273">
        <v>0</v>
      </c>
      <c r="BA273">
        <f t="shared" si="666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67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68"/>
        <v>200</v>
      </c>
      <c r="BH273">
        <f t="shared" si="669"/>
        <v>61930</v>
      </c>
      <c r="BI273">
        <f>_xlfn.XLOOKUP(B273,'[6]august-2025'!$A:$A,'[6]august-2025'!$C:$C,0,0)</f>
        <v>53300</v>
      </c>
      <c r="BJ273">
        <f t="shared" si="670"/>
        <v>9594</v>
      </c>
      <c r="BK273">
        <f t="shared" si="671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72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73"/>
        <v>200</v>
      </c>
      <c r="BR273">
        <f t="shared" si="674"/>
        <v>61930</v>
      </c>
      <c r="BS273">
        <f>_xlfn.XLOOKUP(B273,'[7]september-2025'!$A:$A,'[7]september-2025'!$C:$C,0,0)</f>
        <v>53300</v>
      </c>
      <c r="BT273">
        <f t="shared" si="675"/>
        <v>9594</v>
      </c>
      <c r="BU273">
        <f t="shared" si="676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77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78"/>
        <v>200</v>
      </c>
      <c r="CB273">
        <f t="shared" si="679"/>
        <v>61930</v>
      </c>
      <c r="CC273">
        <f>_xlfn.XLOOKUP(B273,'[8]october-2025'!$A:$A,'[8]october-2025'!$C:$C,0,0)</f>
        <v>53300</v>
      </c>
      <c r="CD273">
        <f t="shared" si="680"/>
        <v>9594</v>
      </c>
      <c r="CE273">
        <f t="shared" si="681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82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83"/>
        <v>200</v>
      </c>
      <c r="CL273">
        <f t="shared" si="684"/>
        <v>61930</v>
      </c>
      <c r="CM273">
        <f>_xlfn.XLOOKUP(B273,'[9]november-2025'!$A:$A,'[9]november-2025'!$C:$C,0,0)</f>
        <v>53300</v>
      </c>
      <c r="CN273">
        <f t="shared" si="685"/>
        <v>9594</v>
      </c>
      <c r="CO273">
        <f t="shared" si="686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87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88"/>
        <v>200</v>
      </c>
      <c r="CV273">
        <f t="shared" si="689"/>
        <v>61930</v>
      </c>
      <c r="CW273">
        <f>_xlfn.XLOOKUP(B273,'[10]december-2025'!$A:$A,'[10]december-2025'!$C:$C,0,0)</f>
        <v>53300</v>
      </c>
      <c r="CX273">
        <f t="shared" si="690"/>
        <v>9594</v>
      </c>
      <c r="CY273">
        <f t="shared" si="691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92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93"/>
        <v>200</v>
      </c>
      <c r="DF273">
        <f t="shared" si="694"/>
        <v>61930</v>
      </c>
      <c r="DG273">
        <f>_xlfn.XLOOKUP(B273,'[11]january-2026'!$A:$A,'[11]january-2026'!$C:$C,0,0)</f>
        <v>53300</v>
      </c>
      <c r="DH273">
        <f t="shared" si="695"/>
        <v>9594</v>
      </c>
      <c r="DI273">
        <f t="shared" si="696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7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8"/>
        <v>200</v>
      </c>
      <c r="DP273">
        <f t="shared" si="699"/>
        <v>61930</v>
      </c>
      <c r="DQ273">
        <f>_xlfn.XLOOKUP(B273,'[12]february-2026'!$A:$A,'[12]february-2026'!$C:$C,0,0)</f>
        <v>53300</v>
      </c>
      <c r="DR273">
        <f t="shared" si="700"/>
        <v>9594</v>
      </c>
      <c r="DS273">
        <f t="shared" si="701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2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3"/>
        <v>200</v>
      </c>
      <c r="DZ273">
        <f t="shared" si="704"/>
        <v>61930</v>
      </c>
      <c r="EA273">
        <f t="shared" si="705"/>
        <v>838692</v>
      </c>
      <c r="EB273">
        <f t="shared" si="706"/>
        <v>2400</v>
      </c>
      <c r="EC273">
        <f t="shared" si="707"/>
        <v>50000</v>
      </c>
      <c r="ED273">
        <v>0</v>
      </c>
      <c r="EE273">
        <f t="shared" si="708"/>
        <v>786292</v>
      </c>
      <c r="EF273">
        <f t="shared" si="709"/>
        <v>96000</v>
      </c>
      <c r="EG273">
        <f t="shared" si="710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1"/>
        <v>96720</v>
      </c>
      <c r="ES273">
        <f t="shared" si="712"/>
        <v>96720</v>
      </c>
      <c r="ET273">
        <f t="shared" si="713"/>
        <v>689572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4"/>
        <v>0</v>
      </c>
      <c r="FC273">
        <f t="shared" si="715"/>
        <v>689572</v>
      </c>
      <c r="FD273">
        <f t="shared" si="716"/>
        <v>12500</v>
      </c>
      <c r="FE273">
        <f t="shared" si="717"/>
        <v>37914</v>
      </c>
      <c r="FF273">
        <f t="shared" si="718"/>
        <v>50414</v>
      </c>
      <c r="FG273">
        <f t="shared" si="719"/>
        <v>50414</v>
      </c>
      <c r="FH273">
        <f t="shared" si="720"/>
        <v>2016.56</v>
      </c>
      <c r="FI273">
        <f t="shared" si="721"/>
        <v>52431</v>
      </c>
      <c r="FJ273">
        <v>0</v>
      </c>
      <c r="FK273">
        <f t="shared" si="722"/>
        <v>52431</v>
      </c>
      <c r="FL273" t="b">
        <f t="shared" si="723"/>
        <v>1</v>
      </c>
      <c r="FM273">
        <f t="shared" ca="1" si="724"/>
        <v>872</v>
      </c>
      <c r="FN273">
        <f t="shared" ca="1" si="725"/>
        <v>839564</v>
      </c>
      <c r="FO273">
        <f t="shared" si="726"/>
        <v>75000</v>
      </c>
      <c r="FP273">
        <f t="shared" ca="1" si="727"/>
        <v>764564</v>
      </c>
      <c r="FQ273">
        <f t="shared" ca="1" si="728"/>
        <v>0</v>
      </c>
      <c r="FR273">
        <f t="shared" ca="1" si="729"/>
        <v>0</v>
      </c>
      <c r="FS273">
        <f t="shared" ca="1" si="730"/>
        <v>0</v>
      </c>
      <c r="FT273">
        <f t="shared" ca="1" si="731"/>
        <v>0</v>
      </c>
      <c r="FU273">
        <f t="shared" ca="1" si="732"/>
        <v>0</v>
      </c>
      <c r="FV273">
        <f t="shared" ca="1" si="733"/>
        <v>0</v>
      </c>
      <c r="FW273">
        <f t="shared" ca="1" si="734"/>
        <v>0</v>
      </c>
      <c r="FX273">
        <f t="shared" ca="1" si="735"/>
        <v>0</v>
      </c>
      <c r="FY273">
        <f t="shared" ca="1" si="736"/>
        <v>0</v>
      </c>
      <c r="FZ273">
        <f t="shared" ca="1" si="737"/>
        <v>0</v>
      </c>
      <c r="GA273">
        <f t="shared" ca="1" si="738"/>
        <v>364564</v>
      </c>
      <c r="GB273">
        <f t="shared" ca="1" si="739"/>
        <v>18228.2</v>
      </c>
      <c r="GC273">
        <f t="shared" ca="1" si="740"/>
        <v>18228</v>
      </c>
      <c r="GD273">
        <f t="shared" ca="1" si="741"/>
        <v>0</v>
      </c>
      <c r="GE273">
        <f t="shared" ca="1" si="742"/>
        <v>0</v>
      </c>
      <c r="GF273">
        <f t="shared" ca="1" si="743"/>
        <v>18228</v>
      </c>
      <c r="GG273">
        <f t="shared" ca="1" si="744"/>
        <v>0</v>
      </c>
      <c r="GH273" t="b">
        <f t="shared" ca="1" si="745"/>
        <v>0</v>
      </c>
      <c r="GI273">
        <f t="shared" ca="1" si="746"/>
        <v>0</v>
      </c>
      <c r="GJ273">
        <f t="shared" ca="1" si="747"/>
        <v>18228</v>
      </c>
      <c r="GK273">
        <f t="shared" ca="1" si="748"/>
        <v>0</v>
      </c>
      <c r="GL273">
        <f t="shared" ca="1" si="749"/>
        <v>0</v>
      </c>
      <c r="GM273">
        <f t="shared" ca="1" si="750"/>
        <v>0</v>
      </c>
    </row>
    <row r="274" spans="1:195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752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46"/>
        <v>5278.0000000000009</v>
      </c>
      <c r="L274">
        <f t="shared" si="647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4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51"/>
        <v>200</v>
      </c>
      <c r="S274">
        <f t="shared" si="649"/>
        <v>42802</v>
      </c>
      <c r="T274">
        <f>_xlfn.XLOOKUP(B274,'[2]april-2025'!$A:$A,'[2]april-2025'!$C:$C,0,0)</f>
        <v>37700</v>
      </c>
      <c r="U274">
        <f t="shared" si="650"/>
        <v>6786</v>
      </c>
      <c r="V274">
        <f t="shared" si="651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52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53"/>
        <v>200</v>
      </c>
      <c r="AC274">
        <f t="shared" si="654"/>
        <v>44310</v>
      </c>
      <c r="AD274">
        <f>_xlfn.XLOOKUP(B274,'[3]may-2025'!$A:$A,'[3]may-2025'!$C:$C,0,0)</f>
        <v>37700</v>
      </c>
      <c r="AE274">
        <f t="shared" si="655"/>
        <v>6786</v>
      </c>
      <c r="AF274">
        <f t="shared" si="656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57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58"/>
        <v>200</v>
      </c>
      <c r="AM274">
        <f t="shared" si="659"/>
        <v>44310</v>
      </c>
      <c r="AN274">
        <f>_xlfn.XLOOKUP(B274,'[4]june-2025'!$A:$A,'[4]june-2025'!$C:$C,0,0)</f>
        <v>37700</v>
      </c>
      <c r="AO274">
        <f t="shared" si="660"/>
        <v>6786</v>
      </c>
      <c r="AP274">
        <f t="shared" si="66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62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63"/>
        <v>200</v>
      </c>
      <c r="AW274">
        <f t="shared" si="664"/>
        <v>44310</v>
      </c>
      <c r="AX274">
        <f>_xlfn.XLOOKUP(B274,'[5]july-2025'!$A:$A,'[5]july-2025'!$C:$C,0,0)</f>
        <v>38800</v>
      </c>
      <c r="AY274">
        <f t="shared" si="665"/>
        <v>6984</v>
      </c>
      <c r="AZ274">
        <v>0</v>
      </c>
      <c r="BA274">
        <f t="shared" si="666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67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68"/>
        <v>200</v>
      </c>
      <c r="BH274">
        <f t="shared" si="669"/>
        <v>45740</v>
      </c>
      <c r="BI274">
        <f>_xlfn.XLOOKUP(B274,'[6]august-2025'!$A:$A,'[6]august-2025'!$C:$C,0,0)</f>
        <v>38800</v>
      </c>
      <c r="BJ274">
        <f t="shared" si="670"/>
        <v>6984</v>
      </c>
      <c r="BK274">
        <f t="shared" si="671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72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73"/>
        <v>200</v>
      </c>
      <c r="BR274">
        <f t="shared" si="674"/>
        <v>45740</v>
      </c>
      <c r="BS274">
        <f>_xlfn.XLOOKUP(B274,'[7]september-2025'!$A:$A,'[7]september-2025'!$C:$C,0,0)</f>
        <v>38800</v>
      </c>
      <c r="BT274">
        <f t="shared" si="675"/>
        <v>6984</v>
      </c>
      <c r="BU274">
        <f t="shared" si="676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77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78"/>
        <v>200</v>
      </c>
      <c r="CB274">
        <f t="shared" si="679"/>
        <v>45740</v>
      </c>
      <c r="CC274">
        <f>_xlfn.XLOOKUP(B274,'[8]october-2025'!$A:$A,'[8]october-2025'!$C:$C,0,0)</f>
        <v>38800</v>
      </c>
      <c r="CD274">
        <f t="shared" si="680"/>
        <v>6984</v>
      </c>
      <c r="CE274">
        <f t="shared" si="681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82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83"/>
        <v>200</v>
      </c>
      <c r="CL274">
        <f t="shared" si="684"/>
        <v>45740</v>
      </c>
      <c r="CM274">
        <f>_xlfn.XLOOKUP(B274,'[9]november-2025'!$A:$A,'[9]november-2025'!$C:$C,0,0)</f>
        <v>38800</v>
      </c>
      <c r="CN274">
        <f t="shared" si="685"/>
        <v>6984</v>
      </c>
      <c r="CO274">
        <f t="shared" si="686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87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88"/>
        <v>200</v>
      </c>
      <c r="CV274">
        <f t="shared" si="689"/>
        <v>45740</v>
      </c>
      <c r="CW274">
        <f>_xlfn.XLOOKUP(B274,'[10]december-2025'!$A:$A,'[10]december-2025'!$C:$C,0,0)</f>
        <v>38800</v>
      </c>
      <c r="CX274">
        <f t="shared" si="690"/>
        <v>6984</v>
      </c>
      <c r="CY274">
        <f t="shared" si="691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92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93"/>
        <v>200</v>
      </c>
      <c r="DF274">
        <f t="shared" si="694"/>
        <v>45740</v>
      </c>
      <c r="DG274">
        <f>_xlfn.XLOOKUP(B274,'[11]january-2026'!$A:$A,'[11]january-2026'!$C:$C,0,0)</f>
        <v>38800</v>
      </c>
      <c r="DH274">
        <f t="shared" si="695"/>
        <v>6984</v>
      </c>
      <c r="DI274">
        <f t="shared" si="696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7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8"/>
        <v>200</v>
      </c>
      <c r="DP274">
        <f t="shared" si="699"/>
        <v>45740</v>
      </c>
      <c r="DQ274">
        <f>_xlfn.XLOOKUP(B274,'[12]february-2026'!$A:$A,'[12]february-2026'!$C:$C,0,0)</f>
        <v>38800</v>
      </c>
      <c r="DR274">
        <f t="shared" si="700"/>
        <v>6984</v>
      </c>
      <c r="DS274">
        <f t="shared" si="701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2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3"/>
        <v>200</v>
      </c>
      <c r="DZ274">
        <f t="shared" si="704"/>
        <v>45740</v>
      </c>
      <c r="EA274">
        <f t="shared" si="705"/>
        <v>610852</v>
      </c>
      <c r="EB274">
        <f t="shared" si="706"/>
        <v>2400</v>
      </c>
      <c r="EC274">
        <f t="shared" si="707"/>
        <v>50000</v>
      </c>
      <c r="ED274">
        <v>0</v>
      </c>
      <c r="EE274">
        <f t="shared" si="708"/>
        <v>558452</v>
      </c>
      <c r="EF274">
        <f t="shared" si="709"/>
        <v>60000</v>
      </c>
      <c r="EG274">
        <f t="shared" si="710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1"/>
        <v>60000</v>
      </c>
      <c r="ES274">
        <f t="shared" si="712"/>
        <v>60000</v>
      </c>
      <c r="ET274">
        <f t="shared" si="713"/>
        <v>498452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4"/>
        <v>0</v>
      </c>
      <c r="FC274">
        <f t="shared" si="715"/>
        <v>498452</v>
      </c>
      <c r="FD274">
        <f t="shared" si="716"/>
        <v>12423</v>
      </c>
      <c r="FE274">
        <f t="shared" si="717"/>
        <v>0</v>
      </c>
      <c r="FF274">
        <f t="shared" si="718"/>
        <v>12423</v>
      </c>
      <c r="FG274">
        <f t="shared" si="719"/>
        <v>0</v>
      </c>
      <c r="FH274">
        <f t="shared" si="720"/>
        <v>0</v>
      </c>
      <c r="FI274">
        <f t="shared" si="721"/>
        <v>0</v>
      </c>
      <c r="FJ274">
        <v>0</v>
      </c>
      <c r="FK274">
        <f t="shared" si="722"/>
        <v>0</v>
      </c>
      <c r="FL274" t="b">
        <f t="shared" si="723"/>
        <v>1</v>
      </c>
      <c r="FM274">
        <f t="shared" ca="1" si="724"/>
        <v>923</v>
      </c>
      <c r="FN274">
        <f t="shared" ca="1" si="725"/>
        <v>611775</v>
      </c>
      <c r="FO274">
        <f t="shared" si="726"/>
        <v>75000</v>
      </c>
      <c r="FP274">
        <f t="shared" ca="1" si="727"/>
        <v>536775</v>
      </c>
      <c r="FQ274">
        <f t="shared" ca="1" si="728"/>
        <v>0</v>
      </c>
      <c r="FR274">
        <f t="shared" ca="1" si="729"/>
        <v>0</v>
      </c>
      <c r="FS274">
        <f t="shared" ca="1" si="730"/>
        <v>0</v>
      </c>
      <c r="FT274">
        <f t="shared" ca="1" si="731"/>
        <v>0</v>
      </c>
      <c r="FU274">
        <f t="shared" ca="1" si="732"/>
        <v>0</v>
      </c>
      <c r="FV274">
        <f t="shared" ca="1" si="733"/>
        <v>0</v>
      </c>
      <c r="FW274">
        <f t="shared" ca="1" si="734"/>
        <v>0</v>
      </c>
      <c r="FX274">
        <f t="shared" ca="1" si="735"/>
        <v>0</v>
      </c>
      <c r="FY274">
        <f t="shared" ca="1" si="736"/>
        <v>0</v>
      </c>
      <c r="FZ274">
        <f t="shared" ca="1" si="737"/>
        <v>0</v>
      </c>
      <c r="GA274">
        <f t="shared" ca="1" si="738"/>
        <v>136775</v>
      </c>
      <c r="GB274">
        <f t="shared" ca="1" si="739"/>
        <v>6838.75</v>
      </c>
      <c r="GC274">
        <f t="shared" ca="1" si="740"/>
        <v>6839</v>
      </c>
      <c r="GD274">
        <f t="shared" ca="1" si="741"/>
        <v>0</v>
      </c>
      <c r="GE274">
        <f t="shared" ca="1" si="742"/>
        <v>0</v>
      </c>
      <c r="GF274">
        <f t="shared" ca="1" si="743"/>
        <v>6839</v>
      </c>
      <c r="GG274">
        <f t="shared" ca="1" si="744"/>
        <v>0</v>
      </c>
      <c r="GH274" t="b">
        <f t="shared" ca="1" si="745"/>
        <v>0</v>
      </c>
      <c r="GI274">
        <f t="shared" ca="1" si="746"/>
        <v>0</v>
      </c>
      <c r="GJ274">
        <f t="shared" ca="1" si="747"/>
        <v>6839</v>
      </c>
      <c r="GK274">
        <f t="shared" ca="1" si="748"/>
        <v>0</v>
      </c>
      <c r="GL274">
        <f t="shared" ca="1" si="749"/>
        <v>0</v>
      </c>
      <c r="GM274">
        <f t="shared" ca="1" si="750"/>
        <v>0</v>
      </c>
    </row>
    <row r="275" spans="1:195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752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46"/>
        <v>7238.0000000000009</v>
      </c>
      <c r="L275">
        <f t="shared" si="647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4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51"/>
        <v>200</v>
      </c>
      <c r="S275">
        <f t="shared" si="649"/>
        <v>61842</v>
      </c>
      <c r="T275">
        <f>_xlfn.XLOOKUP(B275,'[2]april-2025'!$A:$A,'[2]april-2025'!$C:$C,0,0)</f>
        <v>51700</v>
      </c>
      <c r="U275">
        <f t="shared" si="650"/>
        <v>9306</v>
      </c>
      <c r="V275">
        <f t="shared" si="651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52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53"/>
        <v>200</v>
      </c>
      <c r="AC275">
        <f t="shared" si="654"/>
        <v>63910</v>
      </c>
      <c r="AD275">
        <f>_xlfn.XLOOKUP(B275,'[3]may-2025'!$A:$A,'[3]may-2025'!$C:$C,0,0)</f>
        <v>51700</v>
      </c>
      <c r="AE275">
        <f t="shared" si="655"/>
        <v>9306</v>
      </c>
      <c r="AF275">
        <f t="shared" si="656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57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58"/>
        <v>200</v>
      </c>
      <c r="AM275">
        <f t="shared" si="659"/>
        <v>63910</v>
      </c>
      <c r="AN275">
        <f>_xlfn.XLOOKUP(B275,'[4]june-2025'!$A:$A,'[4]june-2025'!$C:$C,0,0)</f>
        <v>51700</v>
      </c>
      <c r="AO275">
        <f t="shared" si="660"/>
        <v>9306</v>
      </c>
      <c r="AP275">
        <f t="shared" si="66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62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63"/>
        <v>200</v>
      </c>
      <c r="AW275">
        <f t="shared" si="664"/>
        <v>63910</v>
      </c>
      <c r="AX275">
        <f>_xlfn.XLOOKUP(B275,'[5]july-2025'!$A:$A,'[5]july-2025'!$C:$C,0,0)</f>
        <v>53300</v>
      </c>
      <c r="AY275">
        <f t="shared" si="665"/>
        <v>9594</v>
      </c>
      <c r="AZ275">
        <v>0</v>
      </c>
      <c r="BA275">
        <f t="shared" si="666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67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68"/>
        <v>200</v>
      </c>
      <c r="BH275">
        <f t="shared" si="669"/>
        <v>65990</v>
      </c>
      <c r="BI275">
        <f>_xlfn.XLOOKUP(B275,'[6]august-2025'!$A:$A,'[6]august-2025'!$C:$C,0,0)</f>
        <v>53300</v>
      </c>
      <c r="BJ275">
        <f t="shared" si="670"/>
        <v>9594</v>
      </c>
      <c r="BK275">
        <f t="shared" si="671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72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73"/>
        <v>200</v>
      </c>
      <c r="BR275">
        <f t="shared" si="674"/>
        <v>65990</v>
      </c>
      <c r="BS275">
        <f>_xlfn.XLOOKUP(B275,'[7]september-2025'!$A:$A,'[7]september-2025'!$C:$C,0,0)</f>
        <v>53300</v>
      </c>
      <c r="BT275">
        <f t="shared" si="675"/>
        <v>9594</v>
      </c>
      <c r="BU275">
        <f t="shared" si="676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77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78"/>
        <v>200</v>
      </c>
      <c r="CB275">
        <f t="shared" si="679"/>
        <v>65990</v>
      </c>
      <c r="CC275">
        <f>_xlfn.XLOOKUP(B275,'[8]october-2025'!$A:$A,'[8]october-2025'!$C:$C,0,0)</f>
        <v>53300</v>
      </c>
      <c r="CD275">
        <f t="shared" si="680"/>
        <v>9594</v>
      </c>
      <c r="CE275">
        <f t="shared" si="681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82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83"/>
        <v>200</v>
      </c>
      <c r="CL275">
        <f t="shared" si="684"/>
        <v>65990</v>
      </c>
      <c r="CM275">
        <f>_xlfn.XLOOKUP(B275,'[9]november-2025'!$A:$A,'[9]november-2025'!$C:$C,0,0)</f>
        <v>53300</v>
      </c>
      <c r="CN275">
        <f t="shared" si="685"/>
        <v>9594</v>
      </c>
      <c r="CO275">
        <f t="shared" si="686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87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88"/>
        <v>200</v>
      </c>
      <c r="CV275">
        <f t="shared" si="689"/>
        <v>65990</v>
      </c>
      <c r="CW275">
        <f>_xlfn.XLOOKUP(B275,'[10]december-2025'!$A:$A,'[10]december-2025'!$C:$C,0,0)</f>
        <v>53300</v>
      </c>
      <c r="CX275">
        <f t="shared" si="690"/>
        <v>9594</v>
      </c>
      <c r="CY275">
        <f t="shared" si="691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92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93"/>
        <v>200</v>
      </c>
      <c r="DF275">
        <f t="shared" si="694"/>
        <v>65990</v>
      </c>
      <c r="DG275">
        <f>_xlfn.XLOOKUP(B275,'[11]january-2026'!$A:$A,'[11]january-2026'!$C:$C,0,0)</f>
        <v>53300</v>
      </c>
      <c r="DH275">
        <f t="shared" si="695"/>
        <v>9594</v>
      </c>
      <c r="DI275">
        <f t="shared" si="696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7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8"/>
        <v>200</v>
      </c>
      <c r="DP275">
        <f t="shared" si="699"/>
        <v>65990</v>
      </c>
      <c r="DQ275">
        <f>_xlfn.XLOOKUP(B275,'[12]february-2026'!$A:$A,'[12]february-2026'!$C:$C,0,0)</f>
        <v>53300</v>
      </c>
      <c r="DR275">
        <f t="shared" si="700"/>
        <v>9594</v>
      </c>
      <c r="DS275">
        <f t="shared" si="701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2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3"/>
        <v>200</v>
      </c>
      <c r="DZ275">
        <f t="shared" si="704"/>
        <v>65990</v>
      </c>
      <c r="EA275">
        <f t="shared" si="705"/>
        <v>838692</v>
      </c>
      <c r="EB275">
        <f t="shared" si="706"/>
        <v>2400</v>
      </c>
      <c r="EC275">
        <f t="shared" si="707"/>
        <v>50000</v>
      </c>
      <c r="ED275">
        <v>0</v>
      </c>
      <c r="EE275">
        <f t="shared" si="708"/>
        <v>786292</v>
      </c>
      <c r="EF275">
        <f t="shared" si="709"/>
        <v>48000</v>
      </c>
      <c r="EG275">
        <f t="shared" si="710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1"/>
        <v>48000</v>
      </c>
      <c r="ES275">
        <f t="shared" si="712"/>
        <v>48000</v>
      </c>
      <c r="ET275">
        <f t="shared" si="713"/>
        <v>738292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4"/>
        <v>0</v>
      </c>
      <c r="FC275">
        <f t="shared" si="715"/>
        <v>738292</v>
      </c>
      <c r="FD275">
        <f t="shared" si="716"/>
        <v>12500</v>
      </c>
      <c r="FE275">
        <f t="shared" si="717"/>
        <v>47658</v>
      </c>
      <c r="FF275">
        <f t="shared" si="718"/>
        <v>60158</v>
      </c>
      <c r="FG275">
        <f t="shared" si="719"/>
        <v>60158</v>
      </c>
      <c r="FH275">
        <f t="shared" si="720"/>
        <v>2406.3200000000002</v>
      </c>
      <c r="FI275">
        <f t="shared" si="721"/>
        <v>62564</v>
      </c>
      <c r="FJ275">
        <v>0</v>
      </c>
      <c r="FK275">
        <f t="shared" si="722"/>
        <v>62564</v>
      </c>
      <c r="FL275" t="b">
        <f t="shared" si="723"/>
        <v>1</v>
      </c>
      <c r="FM275">
        <f t="shared" ca="1" si="724"/>
        <v>533</v>
      </c>
      <c r="FN275">
        <f t="shared" ca="1" si="725"/>
        <v>839225</v>
      </c>
      <c r="FO275">
        <f t="shared" si="726"/>
        <v>75000</v>
      </c>
      <c r="FP275">
        <f t="shared" ca="1" si="727"/>
        <v>764225</v>
      </c>
      <c r="FQ275">
        <f t="shared" ca="1" si="728"/>
        <v>0</v>
      </c>
      <c r="FR275">
        <f t="shared" ca="1" si="729"/>
        <v>0</v>
      </c>
      <c r="FS275">
        <f t="shared" ca="1" si="730"/>
        <v>0</v>
      </c>
      <c r="FT275">
        <f t="shared" ca="1" si="731"/>
        <v>0</v>
      </c>
      <c r="FU275">
        <f t="shared" ca="1" si="732"/>
        <v>0</v>
      </c>
      <c r="FV275">
        <f t="shared" ca="1" si="733"/>
        <v>0</v>
      </c>
      <c r="FW275">
        <f t="shared" ca="1" si="734"/>
        <v>0</v>
      </c>
      <c r="FX275">
        <f t="shared" ca="1" si="735"/>
        <v>0</v>
      </c>
      <c r="FY275">
        <f t="shared" ca="1" si="736"/>
        <v>0</v>
      </c>
      <c r="FZ275">
        <f t="shared" ca="1" si="737"/>
        <v>0</v>
      </c>
      <c r="GA275">
        <f t="shared" ca="1" si="738"/>
        <v>364225</v>
      </c>
      <c r="GB275">
        <f t="shared" ca="1" si="739"/>
        <v>18211.25</v>
      </c>
      <c r="GC275">
        <f t="shared" ca="1" si="740"/>
        <v>18211</v>
      </c>
      <c r="GD275">
        <f t="shared" ca="1" si="741"/>
        <v>0</v>
      </c>
      <c r="GE275">
        <f t="shared" ca="1" si="742"/>
        <v>0</v>
      </c>
      <c r="GF275">
        <f t="shared" ca="1" si="743"/>
        <v>18211</v>
      </c>
      <c r="GG275">
        <f t="shared" ca="1" si="744"/>
        <v>0</v>
      </c>
      <c r="GH275" t="b">
        <f t="shared" ca="1" si="745"/>
        <v>0</v>
      </c>
      <c r="GI275">
        <f t="shared" ca="1" si="746"/>
        <v>0</v>
      </c>
      <c r="GJ275">
        <f t="shared" ca="1" si="747"/>
        <v>18211</v>
      </c>
      <c r="GK275">
        <f t="shared" ca="1" si="748"/>
        <v>0</v>
      </c>
      <c r="GL275">
        <f t="shared" ca="1" si="749"/>
        <v>0</v>
      </c>
      <c r="GM275">
        <f t="shared" ca="1" si="750"/>
        <v>0</v>
      </c>
    </row>
    <row r="276" spans="1:195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752"/>
        <v>6800</v>
      </c>
      <c r="I276">
        <f>_xlfn.XLOOKUP(B276,'[1]march-2025'!$A:$A,'[1]march-2025'!$J:$J,0,0)</f>
        <v>0</v>
      </c>
      <c r="J276">
        <f>_xlfn.XLOOKUP(B276,'[1]march-2025'!$A:$A,'[1]march-2025'!$C:$C,0,0)</f>
        <v>29800</v>
      </c>
      <c r="K276">
        <f t="shared" si="646"/>
        <v>4172</v>
      </c>
      <c r="L276">
        <f t="shared" si="647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4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51"/>
        <v>150</v>
      </c>
      <c r="S276">
        <f t="shared" si="649"/>
        <v>35898</v>
      </c>
      <c r="T276">
        <f>_xlfn.XLOOKUP(B276,'[2]april-2025'!$A:$A,'[2]april-2025'!$C:$C,0,0)</f>
        <v>29800</v>
      </c>
      <c r="U276">
        <f t="shared" si="650"/>
        <v>5364</v>
      </c>
      <c r="V276">
        <f t="shared" si="651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52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53"/>
        <v>150</v>
      </c>
      <c r="AC276">
        <f t="shared" si="654"/>
        <v>37090</v>
      </c>
      <c r="AD276">
        <f>_xlfn.XLOOKUP(B276,'[3]may-2025'!$A:$A,'[3]may-2025'!$C:$C,0,0)</f>
        <v>29800</v>
      </c>
      <c r="AE276">
        <f t="shared" si="655"/>
        <v>5364</v>
      </c>
      <c r="AF276">
        <f t="shared" si="656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57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58"/>
        <v>150</v>
      </c>
      <c r="AM276">
        <f t="shared" si="659"/>
        <v>37090</v>
      </c>
      <c r="AN276">
        <f>_xlfn.XLOOKUP(B276,'[4]june-2025'!$A:$A,'[4]june-2025'!$C:$C,0,0)</f>
        <v>29800</v>
      </c>
      <c r="AO276">
        <f t="shared" si="660"/>
        <v>5364</v>
      </c>
      <c r="AP276">
        <f t="shared" si="66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62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63"/>
        <v>150</v>
      </c>
      <c r="AW276">
        <f t="shared" si="664"/>
        <v>37090</v>
      </c>
      <c r="AX276">
        <f>_xlfn.XLOOKUP(B276,'[5]july-2025'!$A:$A,'[5]july-2025'!$C:$C,0,0)</f>
        <v>30700</v>
      </c>
      <c r="AY276">
        <f t="shared" si="665"/>
        <v>5526</v>
      </c>
      <c r="AZ276">
        <v>0</v>
      </c>
      <c r="BA276">
        <f t="shared" si="666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67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68"/>
        <v>200</v>
      </c>
      <c r="BH276">
        <f t="shared" si="669"/>
        <v>38210</v>
      </c>
      <c r="BI276">
        <f>_xlfn.XLOOKUP(B276,'[6]august-2025'!$A:$A,'[6]august-2025'!$C:$C,0,0)</f>
        <v>30700</v>
      </c>
      <c r="BJ276">
        <f t="shared" si="670"/>
        <v>5526</v>
      </c>
      <c r="BK276">
        <f t="shared" si="671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72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73"/>
        <v>200</v>
      </c>
      <c r="BR276">
        <f t="shared" si="674"/>
        <v>38210</v>
      </c>
      <c r="BS276">
        <f>_xlfn.XLOOKUP(B276,'[7]september-2025'!$A:$A,'[7]september-2025'!$C:$C,0,0)</f>
        <v>30700</v>
      </c>
      <c r="BT276">
        <f t="shared" si="675"/>
        <v>5526</v>
      </c>
      <c r="BU276">
        <f t="shared" si="676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77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78"/>
        <v>200</v>
      </c>
      <c r="CB276">
        <f t="shared" si="679"/>
        <v>38210</v>
      </c>
      <c r="CC276">
        <f>_xlfn.XLOOKUP(B276,'[8]october-2025'!$A:$A,'[8]october-2025'!$C:$C,0,0)</f>
        <v>30700</v>
      </c>
      <c r="CD276">
        <f t="shared" si="680"/>
        <v>5526</v>
      </c>
      <c r="CE276">
        <f t="shared" si="681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82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83"/>
        <v>200</v>
      </c>
      <c r="CL276">
        <f t="shared" si="684"/>
        <v>38210</v>
      </c>
      <c r="CM276">
        <f>_xlfn.XLOOKUP(B276,'[9]november-2025'!$A:$A,'[9]november-2025'!$C:$C,0,0)</f>
        <v>30700</v>
      </c>
      <c r="CN276">
        <f t="shared" si="685"/>
        <v>5526</v>
      </c>
      <c r="CO276">
        <f t="shared" si="686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87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88"/>
        <v>200</v>
      </c>
      <c r="CV276">
        <f t="shared" si="689"/>
        <v>38210</v>
      </c>
      <c r="CW276">
        <f>_xlfn.XLOOKUP(B276,'[10]december-2025'!$A:$A,'[10]december-2025'!$C:$C,0,0)</f>
        <v>30700</v>
      </c>
      <c r="CX276">
        <f t="shared" si="690"/>
        <v>5526</v>
      </c>
      <c r="CY276">
        <f t="shared" si="691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92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93"/>
        <v>200</v>
      </c>
      <c r="DF276">
        <f t="shared" si="694"/>
        <v>38210</v>
      </c>
      <c r="DG276">
        <f>_xlfn.XLOOKUP(B276,'[11]january-2026'!$A:$A,'[11]january-2026'!$C:$C,0,0)</f>
        <v>30700</v>
      </c>
      <c r="DH276">
        <f t="shared" si="695"/>
        <v>5526</v>
      </c>
      <c r="DI276">
        <f t="shared" si="696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7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8"/>
        <v>200</v>
      </c>
      <c r="DP276">
        <f t="shared" si="699"/>
        <v>38210</v>
      </c>
      <c r="DQ276">
        <f>_xlfn.XLOOKUP(B276,'[12]february-2026'!$A:$A,'[12]february-2026'!$C:$C,0,0)</f>
        <v>30700</v>
      </c>
      <c r="DR276">
        <f t="shared" si="700"/>
        <v>5526</v>
      </c>
      <c r="DS276">
        <f t="shared" si="701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2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3"/>
        <v>200</v>
      </c>
      <c r="DZ276">
        <f t="shared" si="704"/>
        <v>38210</v>
      </c>
      <c r="EA276">
        <f t="shared" si="705"/>
        <v>485848</v>
      </c>
      <c r="EB276">
        <f t="shared" si="706"/>
        <v>2200</v>
      </c>
      <c r="EC276">
        <f t="shared" si="707"/>
        <v>50000</v>
      </c>
      <c r="ED276">
        <v>0</v>
      </c>
      <c r="EE276">
        <f t="shared" si="708"/>
        <v>433648</v>
      </c>
      <c r="EF276">
        <f t="shared" si="709"/>
        <v>24000</v>
      </c>
      <c r="EG276">
        <f t="shared" si="710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1"/>
        <v>24000</v>
      </c>
      <c r="ES276">
        <f t="shared" si="712"/>
        <v>24000</v>
      </c>
      <c r="ET276">
        <f t="shared" si="713"/>
        <v>409648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4"/>
        <v>0</v>
      </c>
      <c r="FC276">
        <f t="shared" si="715"/>
        <v>409648</v>
      </c>
      <c r="FD276">
        <f t="shared" si="716"/>
        <v>7982</v>
      </c>
      <c r="FE276">
        <f t="shared" si="717"/>
        <v>0</v>
      </c>
      <c r="FF276">
        <f t="shared" si="718"/>
        <v>7982</v>
      </c>
      <c r="FG276">
        <f t="shared" si="719"/>
        <v>0</v>
      </c>
      <c r="FH276">
        <f t="shared" si="720"/>
        <v>0</v>
      </c>
      <c r="FI276">
        <f t="shared" si="721"/>
        <v>0</v>
      </c>
      <c r="FJ276">
        <v>0</v>
      </c>
      <c r="FK276">
        <f t="shared" si="722"/>
        <v>0</v>
      </c>
      <c r="FL276" t="b">
        <f t="shared" si="723"/>
        <v>0</v>
      </c>
      <c r="FM276">
        <f t="shared" ca="1" si="724"/>
        <v>2863</v>
      </c>
      <c r="FN276">
        <f t="shared" ca="1" si="725"/>
        <v>488711</v>
      </c>
      <c r="FO276">
        <f t="shared" si="726"/>
        <v>75000</v>
      </c>
      <c r="FP276">
        <f t="shared" ca="1" si="727"/>
        <v>413711</v>
      </c>
      <c r="FQ276">
        <f t="shared" ca="1" si="728"/>
        <v>0</v>
      </c>
      <c r="FR276">
        <f t="shared" ca="1" si="729"/>
        <v>0</v>
      </c>
      <c r="FS276">
        <f t="shared" ca="1" si="730"/>
        <v>0</v>
      </c>
      <c r="FT276">
        <f t="shared" ca="1" si="731"/>
        <v>0</v>
      </c>
      <c r="FU276">
        <f t="shared" ca="1" si="732"/>
        <v>0</v>
      </c>
      <c r="FV276">
        <f t="shared" ca="1" si="733"/>
        <v>0</v>
      </c>
      <c r="FW276">
        <f t="shared" ca="1" si="734"/>
        <v>0</v>
      </c>
      <c r="FX276">
        <f t="shared" ca="1" si="735"/>
        <v>0</v>
      </c>
      <c r="FY276">
        <f t="shared" ca="1" si="736"/>
        <v>0</v>
      </c>
      <c r="FZ276">
        <f t="shared" ca="1" si="737"/>
        <v>0</v>
      </c>
      <c r="GA276">
        <f t="shared" ca="1" si="738"/>
        <v>13711</v>
      </c>
      <c r="GB276">
        <f t="shared" ca="1" si="739"/>
        <v>685.55000000000007</v>
      </c>
      <c r="GC276">
        <f t="shared" ca="1" si="740"/>
        <v>686</v>
      </c>
      <c r="GD276">
        <f t="shared" ca="1" si="741"/>
        <v>0</v>
      </c>
      <c r="GE276">
        <f t="shared" ca="1" si="742"/>
        <v>0</v>
      </c>
      <c r="GF276">
        <f t="shared" ca="1" si="743"/>
        <v>686</v>
      </c>
      <c r="GG276">
        <f t="shared" ca="1" si="744"/>
        <v>0</v>
      </c>
      <c r="GH276" t="b">
        <f t="shared" ca="1" si="745"/>
        <v>0</v>
      </c>
      <c r="GI276">
        <f t="shared" ca="1" si="746"/>
        <v>0</v>
      </c>
      <c r="GJ276">
        <f t="shared" ca="1" si="747"/>
        <v>686</v>
      </c>
      <c r="GK276">
        <f t="shared" ca="1" si="748"/>
        <v>0</v>
      </c>
      <c r="GL276">
        <f t="shared" ca="1" si="749"/>
        <v>0</v>
      </c>
      <c r="GM276">
        <f t="shared" ca="1" si="750"/>
        <v>0</v>
      </c>
    </row>
    <row r="277" spans="1:195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752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46"/>
        <v>6622.0000000000009</v>
      </c>
      <c r="L277">
        <f t="shared" si="647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4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51"/>
        <v>200</v>
      </c>
      <c r="S277">
        <f t="shared" si="649"/>
        <v>52738</v>
      </c>
      <c r="T277">
        <f>_xlfn.XLOOKUP(B277,'[2]april-2025'!$A:$A,'[2]april-2025'!$C:$C,0,0)</f>
        <v>47300</v>
      </c>
      <c r="U277">
        <f t="shared" si="650"/>
        <v>8514</v>
      </c>
      <c r="V277">
        <f t="shared" si="651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52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53"/>
        <v>200</v>
      </c>
      <c r="AC277">
        <f t="shared" si="654"/>
        <v>54630</v>
      </c>
      <c r="AD277">
        <f>_xlfn.XLOOKUP(B277,'[3]may-2025'!$A:$A,'[3]may-2025'!$C:$C,0,0)</f>
        <v>47300</v>
      </c>
      <c r="AE277">
        <f t="shared" si="655"/>
        <v>8514</v>
      </c>
      <c r="AF277">
        <f t="shared" si="656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57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58"/>
        <v>200</v>
      </c>
      <c r="AM277">
        <f t="shared" si="659"/>
        <v>54630</v>
      </c>
      <c r="AN277">
        <f>_xlfn.XLOOKUP(B277,'[4]june-2025'!$A:$A,'[4]june-2025'!$C:$C,0,0)</f>
        <v>47300</v>
      </c>
      <c r="AO277">
        <f t="shared" si="660"/>
        <v>8514</v>
      </c>
      <c r="AP277">
        <f t="shared" si="66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62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63"/>
        <v>200</v>
      </c>
      <c r="AW277">
        <f t="shared" si="664"/>
        <v>54630</v>
      </c>
      <c r="AX277">
        <f>_xlfn.XLOOKUP(B277,'[5]july-2025'!$A:$A,'[5]july-2025'!$C:$C,0,0)</f>
        <v>48700</v>
      </c>
      <c r="AY277">
        <f t="shared" si="665"/>
        <v>8766</v>
      </c>
      <c r="AZ277">
        <v>0</v>
      </c>
      <c r="BA277">
        <f t="shared" si="666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67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68"/>
        <v>200</v>
      </c>
      <c r="BH277">
        <f t="shared" si="669"/>
        <v>56450</v>
      </c>
      <c r="BI277">
        <f>_xlfn.XLOOKUP(B277,'[6]august-2025'!$A:$A,'[6]august-2025'!$C:$C,0,0)</f>
        <v>48700</v>
      </c>
      <c r="BJ277">
        <f t="shared" si="670"/>
        <v>8766</v>
      </c>
      <c r="BK277">
        <f t="shared" si="671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72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73"/>
        <v>200</v>
      </c>
      <c r="BR277">
        <f t="shared" si="674"/>
        <v>56450</v>
      </c>
      <c r="BS277">
        <f>_xlfn.XLOOKUP(B277,'[7]september-2025'!$A:$A,'[7]september-2025'!$C:$C,0,0)</f>
        <v>48700</v>
      </c>
      <c r="BT277">
        <f t="shared" si="675"/>
        <v>8766</v>
      </c>
      <c r="BU277">
        <f t="shared" si="676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77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78"/>
        <v>200</v>
      </c>
      <c r="CB277">
        <f t="shared" si="679"/>
        <v>56450</v>
      </c>
      <c r="CC277">
        <f>_xlfn.XLOOKUP(B277,'[8]october-2025'!$A:$A,'[8]october-2025'!$C:$C,0,0)</f>
        <v>48700</v>
      </c>
      <c r="CD277">
        <f t="shared" si="680"/>
        <v>8766</v>
      </c>
      <c r="CE277">
        <f t="shared" si="681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82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83"/>
        <v>200</v>
      </c>
      <c r="CL277">
        <f t="shared" si="684"/>
        <v>56450</v>
      </c>
      <c r="CM277">
        <f>_xlfn.XLOOKUP(B277,'[9]november-2025'!$A:$A,'[9]november-2025'!$C:$C,0,0)</f>
        <v>48700</v>
      </c>
      <c r="CN277">
        <f t="shared" si="685"/>
        <v>8766</v>
      </c>
      <c r="CO277">
        <f t="shared" si="686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87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88"/>
        <v>200</v>
      </c>
      <c r="CV277">
        <f t="shared" si="689"/>
        <v>56450</v>
      </c>
      <c r="CW277">
        <f>_xlfn.XLOOKUP(B277,'[10]december-2025'!$A:$A,'[10]december-2025'!$C:$C,0,0)</f>
        <v>48700</v>
      </c>
      <c r="CX277">
        <f t="shared" si="690"/>
        <v>8766</v>
      </c>
      <c r="CY277">
        <f t="shared" si="691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92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93"/>
        <v>200</v>
      </c>
      <c r="DF277">
        <f t="shared" si="694"/>
        <v>56450</v>
      </c>
      <c r="DG277">
        <f>_xlfn.XLOOKUP(B277,'[11]january-2026'!$A:$A,'[11]january-2026'!$C:$C,0,0)</f>
        <v>48700</v>
      </c>
      <c r="DH277">
        <f t="shared" si="695"/>
        <v>8766</v>
      </c>
      <c r="DI277">
        <f t="shared" si="696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7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8"/>
        <v>200</v>
      </c>
      <c r="DP277">
        <f t="shared" si="699"/>
        <v>63450</v>
      </c>
      <c r="DQ277">
        <f>_xlfn.XLOOKUP(B277,'[12]february-2026'!$A:$A,'[12]february-2026'!$C:$C,0,0)</f>
        <v>48700</v>
      </c>
      <c r="DR277">
        <f t="shared" si="700"/>
        <v>8766</v>
      </c>
      <c r="DS277">
        <f t="shared" si="701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2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3"/>
        <v>200</v>
      </c>
      <c r="DZ277">
        <f t="shared" si="704"/>
        <v>63450</v>
      </c>
      <c r="EA277">
        <f t="shared" si="705"/>
        <v>762148</v>
      </c>
      <c r="EB277">
        <f t="shared" si="706"/>
        <v>2400</v>
      </c>
      <c r="EC277">
        <f t="shared" si="707"/>
        <v>50000</v>
      </c>
      <c r="ED277">
        <v>0</v>
      </c>
      <c r="EE277">
        <f t="shared" si="708"/>
        <v>709748</v>
      </c>
      <c r="EF277">
        <f t="shared" si="709"/>
        <v>70000</v>
      </c>
      <c r="EG277">
        <f t="shared" si="710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1"/>
        <v>70720</v>
      </c>
      <c r="ES277">
        <f t="shared" si="712"/>
        <v>70720</v>
      </c>
      <c r="ET277">
        <f t="shared" si="713"/>
        <v>639028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4"/>
        <v>0</v>
      </c>
      <c r="FC277">
        <f t="shared" si="715"/>
        <v>639028</v>
      </c>
      <c r="FD277">
        <f t="shared" si="716"/>
        <v>12500</v>
      </c>
      <c r="FE277">
        <f t="shared" si="717"/>
        <v>27806</v>
      </c>
      <c r="FF277">
        <f t="shared" si="718"/>
        <v>40306</v>
      </c>
      <c r="FG277">
        <f t="shared" si="719"/>
        <v>40306</v>
      </c>
      <c r="FH277">
        <f t="shared" si="720"/>
        <v>1612.24</v>
      </c>
      <c r="FI277">
        <f t="shared" si="721"/>
        <v>41918</v>
      </c>
      <c r="FJ277">
        <v>0</v>
      </c>
      <c r="FK277">
        <f t="shared" si="722"/>
        <v>41918</v>
      </c>
      <c r="FL277" t="b">
        <f t="shared" si="723"/>
        <v>1</v>
      </c>
      <c r="FM277">
        <f t="shared" ca="1" si="724"/>
        <v>510</v>
      </c>
      <c r="FN277">
        <f t="shared" ca="1" si="725"/>
        <v>762658</v>
      </c>
      <c r="FO277">
        <f t="shared" si="726"/>
        <v>75000</v>
      </c>
      <c r="FP277">
        <f t="shared" ca="1" si="727"/>
        <v>687658</v>
      </c>
      <c r="FQ277">
        <f t="shared" ca="1" si="728"/>
        <v>0</v>
      </c>
      <c r="FR277">
        <f t="shared" ca="1" si="729"/>
        <v>0</v>
      </c>
      <c r="FS277">
        <f t="shared" ca="1" si="730"/>
        <v>0</v>
      </c>
      <c r="FT277">
        <f t="shared" ca="1" si="731"/>
        <v>0</v>
      </c>
      <c r="FU277">
        <f t="shared" ca="1" si="732"/>
        <v>0</v>
      </c>
      <c r="FV277">
        <f t="shared" ca="1" si="733"/>
        <v>0</v>
      </c>
      <c r="FW277">
        <f t="shared" ca="1" si="734"/>
        <v>0</v>
      </c>
      <c r="FX277">
        <f t="shared" ca="1" si="735"/>
        <v>0</v>
      </c>
      <c r="FY277">
        <f t="shared" ca="1" si="736"/>
        <v>0</v>
      </c>
      <c r="FZ277">
        <f t="shared" ca="1" si="737"/>
        <v>0</v>
      </c>
      <c r="GA277">
        <f t="shared" ca="1" si="738"/>
        <v>287658</v>
      </c>
      <c r="GB277">
        <f t="shared" ca="1" si="739"/>
        <v>14382.900000000001</v>
      </c>
      <c r="GC277">
        <f t="shared" ca="1" si="740"/>
        <v>14383</v>
      </c>
      <c r="GD277">
        <f t="shared" ca="1" si="741"/>
        <v>0</v>
      </c>
      <c r="GE277">
        <f t="shared" ca="1" si="742"/>
        <v>0</v>
      </c>
      <c r="GF277">
        <f t="shared" ca="1" si="743"/>
        <v>14383</v>
      </c>
      <c r="GG277">
        <f t="shared" ca="1" si="744"/>
        <v>0</v>
      </c>
      <c r="GH277" t="b">
        <f t="shared" ca="1" si="745"/>
        <v>0</v>
      </c>
      <c r="GI277">
        <f t="shared" ca="1" si="746"/>
        <v>0</v>
      </c>
      <c r="GJ277">
        <f t="shared" ca="1" si="747"/>
        <v>14383</v>
      </c>
      <c r="GK277">
        <f t="shared" ca="1" si="748"/>
        <v>0</v>
      </c>
      <c r="GL277">
        <f t="shared" ca="1" si="749"/>
        <v>0</v>
      </c>
      <c r="GM277">
        <f t="shared" ca="1" si="750"/>
        <v>0</v>
      </c>
    </row>
    <row r="278" spans="1:195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752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46"/>
        <v>7028.0000000000009</v>
      </c>
      <c r="L278">
        <f t="shared" si="647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4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51"/>
        <v>200</v>
      </c>
      <c r="S278">
        <f t="shared" si="649"/>
        <v>58552</v>
      </c>
      <c r="T278">
        <f>_xlfn.XLOOKUP(B278,'[2]april-2025'!$A:$A,'[2]april-2025'!$C:$C,0,0)</f>
        <v>50200</v>
      </c>
      <c r="U278">
        <f t="shared" si="650"/>
        <v>9036</v>
      </c>
      <c r="V278">
        <f t="shared" si="651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52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53"/>
        <v>200</v>
      </c>
      <c r="AC278">
        <f t="shared" si="654"/>
        <v>60560</v>
      </c>
      <c r="AD278">
        <f>_xlfn.XLOOKUP(B278,'[3]may-2025'!$A:$A,'[3]may-2025'!$C:$C,0,0)</f>
        <v>50200</v>
      </c>
      <c r="AE278">
        <f t="shared" si="655"/>
        <v>9036</v>
      </c>
      <c r="AF278">
        <f t="shared" si="656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57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58"/>
        <v>200</v>
      </c>
      <c r="AM278">
        <f t="shared" si="659"/>
        <v>60560</v>
      </c>
      <c r="AN278">
        <f>_xlfn.XLOOKUP(B278,'[4]june-2025'!$A:$A,'[4]june-2025'!$C:$C,0,0)</f>
        <v>50200</v>
      </c>
      <c r="AO278">
        <f t="shared" si="660"/>
        <v>9036</v>
      </c>
      <c r="AP278">
        <f t="shared" si="66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62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63"/>
        <v>200</v>
      </c>
      <c r="AW278">
        <f t="shared" si="664"/>
        <v>60560</v>
      </c>
      <c r="AX278">
        <f>_xlfn.XLOOKUP(B278,'[5]july-2025'!$A:$A,'[5]july-2025'!$C:$C,0,0)</f>
        <v>51700</v>
      </c>
      <c r="AY278">
        <f t="shared" si="665"/>
        <v>9306</v>
      </c>
      <c r="AZ278">
        <v>0</v>
      </c>
      <c r="BA278">
        <f t="shared" si="666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67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68"/>
        <v>200</v>
      </c>
      <c r="BH278">
        <f t="shared" si="669"/>
        <v>62510</v>
      </c>
      <c r="BI278">
        <f>_xlfn.XLOOKUP(B278,'[6]august-2025'!$A:$A,'[6]august-2025'!$C:$C,0,0)</f>
        <v>51700</v>
      </c>
      <c r="BJ278">
        <f t="shared" si="670"/>
        <v>9306</v>
      </c>
      <c r="BK278">
        <f t="shared" si="671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72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73"/>
        <v>200</v>
      </c>
      <c r="BR278">
        <f t="shared" si="674"/>
        <v>62510</v>
      </c>
      <c r="BS278">
        <f>_xlfn.XLOOKUP(B278,'[7]september-2025'!$A:$A,'[7]september-2025'!$C:$C,0,0)</f>
        <v>51700</v>
      </c>
      <c r="BT278">
        <f t="shared" si="675"/>
        <v>9306</v>
      </c>
      <c r="BU278">
        <f t="shared" si="676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77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78"/>
        <v>200</v>
      </c>
      <c r="CB278">
        <f t="shared" si="679"/>
        <v>62510</v>
      </c>
      <c r="CC278">
        <f>_xlfn.XLOOKUP(B278,'[8]october-2025'!$A:$A,'[8]october-2025'!$C:$C,0,0)</f>
        <v>51700</v>
      </c>
      <c r="CD278">
        <f t="shared" si="680"/>
        <v>9306</v>
      </c>
      <c r="CE278">
        <f t="shared" si="681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82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83"/>
        <v>200</v>
      </c>
      <c r="CL278">
        <f t="shared" si="684"/>
        <v>62510</v>
      </c>
      <c r="CM278">
        <f>_xlfn.XLOOKUP(B278,'[9]november-2025'!$A:$A,'[9]november-2025'!$C:$C,0,0)</f>
        <v>51700</v>
      </c>
      <c r="CN278">
        <f t="shared" si="685"/>
        <v>9306</v>
      </c>
      <c r="CO278">
        <f t="shared" si="686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87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88"/>
        <v>200</v>
      </c>
      <c r="CV278">
        <f t="shared" si="689"/>
        <v>62510</v>
      </c>
      <c r="CW278">
        <f>_xlfn.XLOOKUP(B278,'[10]december-2025'!$A:$A,'[10]december-2025'!$C:$C,0,0)</f>
        <v>51700</v>
      </c>
      <c r="CX278">
        <f t="shared" si="690"/>
        <v>9306</v>
      </c>
      <c r="CY278">
        <f t="shared" si="691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92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93"/>
        <v>200</v>
      </c>
      <c r="DF278">
        <f t="shared" si="694"/>
        <v>62510</v>
      </c>
      <c r="DG278">
        <f>_xlfn.XLOOKUP(B278,'[11]january-2026'!$A:$A,'[11]january-2026'!$C:$C,0,0)</f>
        <v>51700</v>
      </c>
      <c r="DH278">
        <f t="shared" si="695"/>
        <v>9306</v>
      </c>
      <c r="DI278">
        <f t="shared" si="696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7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8"/>
        <v>200</v>
      </c>
      <c r="DP278">
        <f t="shared" si="699"/>
        <v>62510</v>
      </c>
      <c r="DQ278">
        <f>_xlfn.XLOOKUP(B278,'[12]february-2026'!$A:$A,'[12]february-2026'!$C:$C,0,0)</f>
        <v>51700</v>
      </c>
      <c r="DR278">
        <f t="shared" si="700"/>
        <v>9306</v>
      </c>
      <c r="DS278">
        <f t="shared" si="701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2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3"/>
        <v>200</v>
      </c>
      <c r="DZ278">
        <f t="shared" si="704"/>
        <v>62510</v>
      </c>
      <c r="EA278">
        <f t="shared" si="705"/>
        <v>809512</v>
      </c>
      <c r="EB278">
        <f t="shared" si="706"/>
        <v>2400</v>
      </c>
      <c r="EC278">
        <f t="shared" si="707"/>
        <v>50000</v>
      </c>
      <c r="ED278">
        <v>0</v>
      </c>
      <c r="EE278">
        <f t="shared" si="708"/>
        <v>757112</v>
      </c>
      <c r="EF278">
        <f t="shared" si="709"/>
        <v>60000</v>
      </c>
      <c r="EG278">
        <f t="shared" si="710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1"/>
        <v>60000</v>
      </c>
      <c r="ES278">
        <f t="shared" si="712"/>
        <v>60000</v>
      </c>
      <c r="ET278">
        <f t="shared" si="713"/>
        <v>697112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4"/>
        <v>0</v>
      </c>
      <c r="FC278">
        <f t="shared" si="715"/>
        <v>697112</v>
      </c>
      <c r="FD278">
        <f t="shared" si="716"/>
        <v>12500</v>
      </c>
      <c r="FE278">
        <f t="shared" si="717"/>
        <v>39422</v>
      </c>
      <c r="FF278">
        <f t="shared" si="718"/>
        <v>51922</v>
      </c>
      <c r="FG278">
        <f t="shared" si="719"/>
        <v>51922</v>
      </c>
      <c r="FH278">
        <f t="shared" si="720"/>
        <v>2076.88</v>
      </c>
      <c r="FI278">
        <f t="shared" si="721"/>
        <v>53999</v>
      </c>
      <c r="FJ278">
        <v>0</v>
      </c>
      <c r="FK278">
        <f t="shared" si="722"/>
        <v>53999</v>
      </c>
      <c r="FL278" t="b">
        <f t="shared" si="723"/>
        <v>1</v>
      </c>
      <c r="FM278">
        <f t="shared" ca="1" si="724"/>
        <v>661</v>
      </c>
      <c r="FN278">
        <f t="shared" ca="1" si="725"/>
        <v>810173</v>
      </c>
      <c r="FO278">
        <f t="shared" si="726"/>
        <v>75000</v>
      </c>
      <c r="FP278">
        <f t="shared" ca="1" si="727"/>
        <v>735173</v>
      </c>
      <c r="FQ278">
        <f t="shared" ca="1" si="728"/>
        <v>0</v>
      </c>
      <c r="FR278">
        <f t="shared" ca="1" si="729"/>
        <v>0</v>
      </c>
      <c r="FS278">
        <f t="shared" ca="1" si="730"/>
        <v>0</v>
      </c>
      <c r="FT278">
        <f t="shared" ca="1" si="731"/>
        <v>0</v>
      </c>
      <c r="FU278">
        <f t="shared" ca="1" si="732"/>
        <v>0</v>
      </c>
      <c r="FV278">
        <f t="shared" ca="1" si="733"/>
        <v>0</v>
      </c>
      <c r="FW278">
        <f t="shared" ca="1" si="734"/>
        <v>0</v>
      </c>
      <c r="FX278">
        <f t="shared" ca="1" si="735"/>
        <v>0</v>
      </c>
      <c r="FY278">
        <f t="shared" ca="1" si="736"/>
        <v>0</v>
      </c>
      <c r="FZ278">
        <f t="shared" ca="1" si="737"/>
        <v>0</v>
      </c>
      <c r="GA278">
        <f t="shared" ca="1" si="738"/>
        <v>335173</v>
      </c>
      <c r="GB278">
        <f t="shared" ca="1" si="739"/>
        <v>16758.650000000001</v>
      </c>
      <c r="GC278">
        <f t="shared" ca="1" si="740"/>
        <v>16759</v>
      </c>
      <c r="GD278">
        <f t="shared" ca="1" si="741"/>
        <v>0</v>
      </c>
      <c r="GE278">
        <f t="shared" ca="1" si="742"/>
        <v>0</v>
      </c>
      <c r="GF278">
        <f t="shared" ca="1" si="743"/>
        <v>16759</v>
      </c>
      <c r="GG278">
        <f t="shared" ca="1" si="744"/>
        <v>0</v>
      </c>
      <c r="GH278" t="b">
        <f t="shared" ca="1" si="745"/>
        <v>0</v>
      </c>
      <c r="GI278">
        <f t="shared" ca="1" si="746"/>
        <v>0</v>
      </c>
      <c r="GJ278">
        <f t="shared" ca="1" si="747"/>
        <v>16759</v>
      </c>
      <c r="GK278">
        <f t="shared" ca="1" si="748"/>
        <v>0</v>
      </c>
      <c r="GL278">
        <f t="shared" ca="1" si="749"/>
        <v>0</v>
      </c>
      <c r="GM278">
        <f t="shared" ca="1" si="750"/>
        <v>0</v>
      </c>
    </row>
    <row r="279" spans="1:195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752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46"/>
        <v>4690</v>
      </c>
      <c r="L279">
        <f t="shared" si="647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4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51"/>
        <v>200</v>
      </c>
      <c r="S279">
        <f t="shared" si="649"/>
        <v>37510</v>
      </c>
      <c r="T279">
        <f>_xlfn.XLOOKUP(B279,'[2]april-2025'!$A:$A,'[2]april-2025'!$C:$C,0,0)</f>
        <v>33500</v>
      </c>
      <c r="U279">
        <f t="shared" si="650"/>
        <v>6030</v>
      </c>
      <c r="V279">
        <f t="shared" si="651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52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53"/>
        <v>200</v>
      </c>
      <c r="AC279">
        <f t="shared" si="654"/>
        <v>38850</v>
      </c>
      <c r="AD279">
        <f>_xlfn.XLOOKUP(B279,'[3]may-2025'!$A:$A,'[3]may-2025'!$C:$C,0,0)</f>
        <v>33500</v>
      </c>
      <c r="AE279">
        <f t="shared" si="655"/>
        <v>6030</v>
      </c>
      <c r="AF279">
        <f t="shared" si="656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57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58"/>
        <v>200</v>
      </c>
      <c r="AM279">
        <f t="shared" si="659"/>
        <v>38850</v>
      </c>
      <c r="AN279">
        <f>_xlfn.XLOOKUP(B279,'[4]june-2025'!$A:$A,'[4]june-2025'!$C:$C,0,0)</f>
        <v>33500</v>
      </c>
      <c r="AO279">
        <f t="shared" si="660"/>
        <v>6030</v>
      </c>
      <c r="AP279">
        <f t="shared" si="66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62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63"/>
        <v>200</v>
      </c>
      <c r="AW279">
        <f t="shared" si="664"/>
        <v>38850</v>
      </c>
      <c r="AX279">
        <f>_xlfn.XLOOKUP(B279,'[5]july-2025'!$A:$A,'[5]july-2025'!$C:$C,0,0)</f>
        <v>34500</v>
      </c>
      <c r="AY279">
        <f t="shared" si="665"/>
        <v>6210</v>
      </c>
      <c r="AZ279">
        <v>0</v>
      </c>
      <c r="BA279">
        <f t="shared" si="666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67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68"/>
        <v>200</v>
      </c>
      <c r="BH279">
        <f t="shared" si="669"/>
        <v>40150</v>
      </c>
      <c r="BI279">
        <f>_xlfn.XLOOKUP(B279,'[6]august-2025'!$A:$A,'[6]august-2025'!$C:$C,0,0)</f>
        <v>34500</v>
      </c>
      <c r="BJ279">
        <f t="shared" si="670"/>
        <v>6210</v>
      </c>
      <c r="BK279">
        <f t="shared" si="671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72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73"/>
        <v>200</v>
      </c>
      <c r="BR279">
        <f t="shared" si="674"/>
        <v>40150</v>
      </c>
      <c r="BS279">
        <f>_xlfn.XLOOKUP(B279,'[7]september-2025'!$A:$A,'[7]september-2025'!$C:$C,0,0)</f>
        <v>34500</v>
      </c>
      <c r="BT279">
        <f t="shared" si="675"/>
        <v>6210</v>
      </c>
      <c r="BU279">
        <f t="shared" si="676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77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78"/>
        <v>200</v>
      </c>
      <c r="CB279">
        <f t="shared" si="679"/>
        <v>40150</v>
      </c>
      <c r="CC279">
        <f>_xlfn.XLOOKUP(B279,'[8]october-2025'!$A:$A,'[8]october-2025'!$C:$C,0,0)</f>
        <v>34500</v>
      </c>
      <c r="CD279">
        <f t="shared" si="680"/>
        <v>6210</v>
      </c>
      <c r="CE279">
        <f t="shared" si="681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82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83"/>
        <v>200</v>
      </c>
      <c r="CL279">
        <f t="shared" si="684"/>
        <v>40150</v>
      </c>
      <c r="CM279">
        <f>_xlfn.XLOOKUP(B279,'[9]november-2025'!$A:$A,'[9]november-2025'!$C:$C,0,0)</f>
        <v>34500</v>
      </c>
      <c r="CN279">
        <f t="shared" si="685"/>
        <v>6210</v>
      </c>
      <c r="CO279">
        <f t="shared" si="686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87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88"/>
        <v>200</v>
      </c>
      <c r="CV279">
        <f t="shared" si="689"/>
        <v>40150</v>
      </c>
      <c r="CW279">
        <f>_xlfn.XLOOKUP(B279,'[10]december-2025'!$A:$A,'[10]december-2025'!$C:$C,0,0)</f>
        <v>34500</v>
      </c>
      <c r="CX279">
        <f t="shared" si="690"/>
        <v>6210</v>
      </c>
      <c r="CY279">
        <f t="shared" si="691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92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93"/>
        <v>200</v>
      </c>
      <c r="DF279">
        <f t="shared" si="694"/>
        <v>40150</v>
      </c>
      <c r="DG279">
        <f>_xlfn.XLOOKUP(B279,'[11]january-2026'!$A:$A,'[11]january-2026'!$C:$C,0,0)</f>
        <v>34500</v>
      </c>
      <c r="DH279">
        <f t="shared" si="695"/>
        <v>6210</v>
      </c>
      <c r="DI279">
        <f t="shared" si="696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7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8"/>
        <v>200</v>
      </c>
      <c r="DP279">
        <f t="shared" si="699"/>
        <v>40150</v>
      </c>
      <c r="DQ279">
        <f>_xlfn.XLOOKUP(B279,'[12]february-2026'!$A:$A,'[12]february-2026'!$C:$C,0,0)</f>
        <v>34500</v>
      </c>
      <c r="DR279">
        <f t="shared" si="700"/>
        <v>6210</v>
      </c>
      <c r="DS279">
        <f t="shared" si="701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2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3"/>
        <v>200</v>
      </c>
      <c r="DZ279">
        <f t="shared" si="704"/>
        <v>40150</v>
      </c>
      <c r="EA279">
        <f t="shared" si="705"/>
        <v>544460</v>
      </c>
      <c r="EB279">
        <f t="shared" si="706"/>
        <v>2400</v>
      </c>
      <c r="EC279">
        <f t="shared" si="707"/>
        <v>50000</v>
      </c>
      <c r="ED279">
        <v>0</v>
      </c>
      <c r="EE279">
        <f t="shared" si="708"/>
        <v>492060</v>
      </c>
      <c r="EF279">
        <f t="shared" si="709"/>
        <v>60000</v>
      </c>
      <c r="EG279">
        <f t="shared" si="710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1"/>
        <v>60000</v>
      </c>
      <c r="ES279">
        <f t="shared" si="712"/>
        <v>60000</v>
      </c>
      <c r="ET279">
        <f t="shared" si="713"/>
        <v>432060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4"/>
        <v>0</v>
      </c>
      <c r="FC279">
        <f t="shared" si="715"/>
        <v>432060</v>
      </c>
      <c r="FD279">
        <f t="shared" si="716"/>
        <v>9103</v>
      </c>
      <c r="FE279">
        <f t="shared" si="717"/>
        <v>0</v>
      </c>
      <c r="FF279">
        <f t="shared" si="718"/>
        <v>9103</v>
      </c>
      <c r="FG279">
        <f t="shared" si="719"/>
        <v>0</v>
      </c>
      <c r="FH279">
        <f t="shared" si="720"/>
        <v>0</v>
      </c>
      <c r="FI279">
        <f t="shared" si="721"/>
        <v>0</v>
      </c>
      <c r="FJ279">
        <v>0</v>
      </c>
      <c r="FK279">
        <f t="shared" si="722"/>
        <v>0</v>
      </c>
      <c r="FL279" t="b">
        <f t="shared" si="723"/>
        <v>1</v>
      </c>
      <c r="FM279">
        <f t="shared" ca="1" si="724"/>
        <v>970</v>
      </c>
      <c r="FN279">
        <f t="shared" ca="1" si="725"/>
        <v>545430</v>
      </c>
      <c r="FO279">
        <f t="shared" si="726"/>
        <v>75000</v>
      </c>
      <c r="FP279">
        <f t="shared" ca="1" si="727"/>
        <v>470430</v>
      </c>
      <c r="FQ279">
        <f t="shared" ca="1" si="728"/>
        <v>0</v>
      </c>
      <c r="FR279">
        <f t="shared" ca="1" si="729"/>
        <v>0</v>
      </c>
      <c r="FS279">
        <f t="shared" ca="1" si="730"/>
        <v>0</v>
      </c>
      <c r="FT279">
        <f t="shared" ca="1" si="731"/>
        <v>0</v>
      </c>
      <c r="FU279">
        <f t="shared" ca="1" si="732"/>
        <v>0</v>
      </c>
      <c r="FV279">
        <f t="shared" ca="1" si="733"/>
        <v>0</v>
      </c>
      <c r="FW279">
        <f t="shared" ca="1" si="734"/>
        <v>0</v>
      </c>
      <c r="FX279">
        <f t="shared" ca="1" si="735"/>
        <v>0</v>
      </c>
      <c r="FY279">
        <f t="shared" ca="1" si="736"/>
        <v>0</v>
      </c>
      <c r="FZ279">
        <f t="shared" ca="1" si="737"/>
        <v>0</v>
      </c>
      <c r="GA279">
        <f t="shared" ca="1" si="738"/>
        <v>70430</v>
      </c>
      <c r="GB279">
        <f t="shared" ca="1" si="739"/>
        <v>3521.5</v>
      </c>
      <c r="GC279">
        <f t="shared" ca="1" si="740"/>
        <v>3522</v>
      </c>
      <c r="GD279">
        <f t="shared" ca="1" si="741"/>
        <v>0</v>
      </c>
      <c r="GE279">
        <f t="shared" ca="1" si="742"/>
        <v>0</v>
      </c>
      <c r="GF279">
        <f t="shared" ca="1" si="743"/>
        <v>3522</v>
      </c>
      <c r="GG279">
        <f t="shared" ca="1" si="744"/>
        <v>0</v>
      </c>
      <c r="GH279" t="b">
        <f t="shared" ca="1" si="745"/>
        <v>0</v>
      </c>
      <c r="GI279">
        <f t="shared" ca="1" si="746"/>
        <v>0</v>
      </c>
      <c r="GJ279">
        <f t="shared" ca="1" si="747"/>
        <v>3522</v>
      </c>
      <c r="GK279">
        <f t="shared" ca="1" si="748"/>
        <v>0</v>
      </c>
      <c r="GL279">
        <f t="shared" ca="1" si="749"/>
        <v>0</v>
      </c>
      <c r="GM279">
        <f t="shared" ca="1" si="750"/>
        <v>0</v>
      </c>
    </row>
    <row r="280" spans="1:195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752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46"/>
        <v>4690</v>
      </c>
      <c r="L280">
        <f t="shared" si="647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4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51"/>
        <v>200</v>
      </c>
      <c r="S280">
        <f t="shared" si="649"/>
        <v>39510</v>
      </c>
      <c r="T280">
        <f>_xlfn.XLOOKUP(B280,'[2]april-2025'!$A:$A,'[2]april-2025'!$C:$C,0,0)</f>
        <v>33500</v>
      </c>
      <c r="U280">
        <f t="shared" si="650"/>
        <v>6030</v>
      </c>
      <c r="V280">
        <f t="shared" si="651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52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53"/>
        <v>200</v>
      </c>
      <c r="AC280">
        <f t="shared" si="654"/>
        <v>40850</v>
      </c>
      <c r="AD280">
        <f>_xlfn.XLOOKUP(B280,'[3]may-2025'!$A:$A,'[3]may-2025'!$C:$C,0,0)</f>
        <v>33500</v>
      </c>
      <c r="AE280">
        <f t="shared" si="655"/>
        <v>6030</v>
      </c>
      <c r="AF280">
        <f t="shared" si="656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57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58"/>
        <v>200</v>
      </c>
      <c r="AM280">
        <f t="shared" si="659"/>
        <v>40850</v>
      </c>
      <c r="AN280">
        <f>_xlfn.XLOOKUP(B280,'[4]june-2025'!$A:$A,'[4]june-2025'!$C:$C,0,0)</f>
        <v>33500</v>
      </c>
      <c r="AO280">
        <f t="shared" si="660"/>
        <v>6030</v>
      </c>
      <c r="AP280">
        <f t="shared" si="66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62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63"/>
        <v>200</v>
      </c>
      <c r="AW280">
        <f t="shared" si="664"/>
        <v>40850</v>
      </c>
      <c r="AX280">
        <f>_xlfn.XLOOKUP(B280,'[5]july-2025'!$A:$A,'[5]july-2025'!$C:$C,0,0)</f>
        <v>34500</v>
      </c>
      <c r="AY280">
        <f t="shared" si="665"/>
        <v>6210</v>
      </c>
      <c r="AZ280">
        <v>0</v>
      </c>
      <c r="BA280">
        <f t="shared" si="666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67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68"/>
        <v>200</v>
      </c>
      <c r="BH280">
        <f t="shared" si="669"/>
        <v>42150</v>
      </c>
      <c r="BI280">
        <f>_xlfn.XLOOKUP(B280,'[6]august-2025'!$A:$A,'[6]august-2025'!$C:$C,0,0)</f>
        <v>34500</v>
      </c>
      <c r="BJ280">
        <f t="shared" si="670"/>
        <v>6210</v>
      </c>
      <c r="BK280">
        <f t="shared" si="671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72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73"/>
        <v>200</v>
      </c>
      <c r="BR280">
        <f t="shared" si="674"/>
        <v>42150</v>
      </c>
      <c r="BS280">
        <f>_xlfn.XLOOKUP(B280,'[7]september-2025'!$A:$A,'[7]september-2025'!$C:$C,0,0)</f>
        <v>34500</v>
      </c>
      <c r="BT280">
        <f t="shared" si="675"/>
        <v>6210</v>
      </c>
      <c r="BU280">
        <f t="shared" si="676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77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78"/>
        <v>200</v>
      </c>
      <c r="CB280">
        <f t="shared" si="679"/>
        <v>42150</v>
      </c>
      <c r="CC280">
        <f>_xlfn.XLOOKUP(B280,'[8]october-2025'!$A:$A,'[8]october-2025'!$C:$C,0,0)</f>
        <v>34500</v>
      </c>
      <c r="CD280">
        <f t="shared" si="680"/>
        <v>6210</v>
      </c>
      <c r="CE280">
        <f t="shared" si="681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82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83"/>
        <v>200</v>
      </c>
      <c r="CL280">
        <f t="shared" si="684"/>
        <v>42650</v>
      </c>
      <c r="CM280">
        <f>_xlfn.XLOOKUP(B280,'[9]november-2025'!$A:$A,'[9]november-2025'!$C:$C,0,0)</f>
        <v>34500</v>
      </c>
      <c r="CN280">
        <f t="shared" si="685"/>
        <v>6210</v>
      </c>
      <c r="CO280">
        <f t="shared" si="686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87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88"/>
        <v>200</v>
      </c>
      <c r="CV280">
        <f t="shared" si="689"/>
        <v>42650</v>
      </c>
      <c r="CW280">
        <f>_xlfn.XLOOKUP(B280,'[10]december-2025'!$A:$A,'[10]december-2025'!$C:$C,0,0)</f>
        <v>34500</v>
      </c>
      <c r="CX280">
        <f t="shared" si="690"/>
        <v>6210</v>
      </c>
      <c r="CY280">
        <f t="shared" si="691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92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93"/>
        <v>200</v>
      </c>
      <c r="DF280">
        <f t="shared" si="694"/>
        <v>42650</v>
      </c>
      <c r="DG280">
        <f>_xlfn.XLOOKUP(B280,'[11]january-2026'!$A:$A,'[11]january-2026'!$C:$C,0,0)</f>
        <v>34500</v>
      </c>
      <c r="DH280">
        <f t="shared" si="695"/>
        <v>6210</v>
      </c>
      <c r="DI280">
        <f t="shared" si="696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7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8"/>
        <v>200</v>
      </c>
      <c r="DP280">
        <f t="shared" si="699"/>
        <v>42650</v>
      </c>
      <c r="DQ280">
        <f>_xlfn.XLOOKUP(B280,'[12]february-2026'!$A:$A,'[12]february-2026'!$C:$C,0,0)</f>
        <v>34500</v>
      </c>
      <c r="DR280">
        <f t="shared" si="700"/>
        <v>6210</v>
      </c>
      <c r="DS280">
        <f t="shared" si="701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2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3"/>
        <v>200</v>
      </c>
      <c r="DZ280">
        <f t="shared" si="704"/>
        <v>42650</v>
      </c>
      <c r="EA280">
        <f t="shared" si="705"/>
        <v>544460</v>
      </c>
      <c r="EB280">
        <f t="shared" si="706"/>
        <v>2400</v>
      </c>
      <c r="EC280">
        <f t="shared" si="707"/>
        <v>50000</v>
      </c>
      <c r="ED280">
        <v>0</v>
      </c>
      <c r="EE280">
        <f t="shared" si="708"/>
        <v>492060</v>
      </c>
      <c r="EF280">
        <f t="shared" si="709"/>
        <v>33500</v>
      </c>
      <c r="EG280">
        <f t="shared" si="710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1"/>
        <v>33500</v>
      </c>
      <c r="ES280">
        <f t="shared" si="712"/>
        <v>33500</v>
      </c>
      <c r="ET280">
        <f t="shared" si="713"/>
        <v>458560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4"/>
        <v>0</v>
      </c>
      <c r="FC280">
        <f t="shared" si="715"/>
        <v>458560</v>
      </c>
      <c r="FD280">
        <f t="shared" si="716"/>
        <v>10428</v>
      </c>
      <c r="FE280">
        <f t="shared" si="717"/>
        <v>0</v>
      </c>
      <c r="FF280">
        <f t="shared" si="718"/>
        <v>10428</v>
      </c>
      <c r="FG280">
        <f t="shared" si="719"/>
        <v>0</v>
      </c>
      <c r="FH280">
        <f t="shared" si="720"/>
        <v>0</v>
      </c>
      <c r="FI280">
        <f t="shared" si="721"/>
        <v>0</v>
      </c>
      <c r="FJ280">
        <v>0</v>
      </c>
      <c r="FK280">
        <f t="shared" si="722"/>
        <v>0</v>
      </c>
      <c r="FL280" t="b">
        <f t="shared" si="723"/>
        <v>1</v>
      </c>
      <c r="FM280">
        <f t="shared" ca="1" si="724"/>
        <v>588</v>
      </c>
      <c r="FN280">
        <f t="shared" ca="1" si="725"/>
        <v>545048</v>
      </c>
      <c r="FO280">
        <f t="shared" si="726"/>
        <v>75000</v>
      </c>
      <c r="FP280">
        <f t="shared" ca="1" si="727"/>
        <v>470048</v>
      </c>
      <c r="FQ280">
        <f t="shared" ca="1" si="728"/>
        <v>0</v>
      </c>
      <c r="FR280">
        <f t="shared" ca="1" si="729"/>
        <v>0</v>
      </c>
      <c r="FS280">
        <f t="shared" ca="1" si="730"/>
        <v>0</v>
      </c>
      <c r="FT280">
        <f t="shared" ca="1" si="731"/>
        <v>0</v>
      </c>
      <c r="FU280">
        <f t="shared" ca="1" si="732"/>
        <v>0</v>
      </c>
      <c r="FV280">
        <f t="shared" ca="1" si="733"/>
        <v>0</v>
      </c>
      <c r="FW280">
        <f t="shared" ca="1" si="734"/>
        <v>0</v>
      </c>
      <c r="FX280">
        <f t="shared" ca="1" si="735"/>
        <v>0</v>
      </c>
      <c r="FY280">
        <f t="shared" ca="1" si="736"/>
        <v>0</v>
      </c>
      <c r="FZ280">
        <f t="shared" ca="1" si="737"/>
        <v>0</v>
      </c>
      <c r="GA280">
        <f t="shared" ca="1" si="738"/>
        <v>70048</v>
      </c>
      <c r="GB280">
        <f t="shared" ca="1" si="739"/>
        <v>3502.4</v>
      </c>
      <c r="GC280">
        <f t="shared" ca="1" si="740"/>
        <v>3502</v>
      </c>
      <c r="GD280">
        <f t="shared" ca="1" si="741"/>
        <v>0</v>
      </c>
      <c r="GE280">
        <f t="shared" ca="1" si="742"/>
        <v>0</v>
      </c>
      <c r="GF280">
        <f t="shared" ca="1" si="743"/>
        <v>3502</v>
      </c>
      <c r="GG280">
        <f t="shared" ca="1" si="744"/>
        <v>0</v>
      </c>
      <c r="GH280" t="b">
        <f t="shared" ca="1" si="745"/>
        <v>0</v>
      </c>
      <c r="GI280">
        <f t="shared" ca="1" si="746"/>
        <v>0</v>
      </c>
      <c r="GJ280">
        <f t="shared" ca="1" si="747"/>
        <v>3502</v>
      </c>
      <c r="GK280">
        <f t="shared" ca="1" si="748"/>
        <v>0</v>
      </c>
      <c r="GL280">
        <f t="shared" ca="1" si="749"/>
        <v>0</v>
      </c>
      <c r="GM280">
        <f t="shared" ca="1" si="750"/>
        <v>0</v>
      </c>
    </row>
    <row r="281" spans="1:195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752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46"/>
        <v>3780.0000000000005</v>
      </c>
      <c r="L281">
        <f t="shared" si="647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4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51"/>
        <v>150</v>
      </c>
      <c r="S281">
        <f t="shared" si="649"/>
        <v>31870</v>
      </c>
      <c r="T281">
        <f>_xlfn.XLOOKUP(B281,'[2]april-2025'!$A:$A,'[2]april-2025'!$C:$C,0,0)</f>
        <v>27000</v>
      </c>
      <c r="U281">
        <f t="shared" si="650"/>
        <v>4860</v>
      </c>
      <c r="V281">
        <f t="shared" si="651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52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53"/>
        <v>150</v>
      </c>
      <c r="AC281">
        <f t="shared" si="654"/>
        <v>32950</v>
      </c>
      <c r="AD281">
        <f>_xlfn.XLOOKUP(B281,'[3]may-2025'!$A:$A,'[3]may-2025'!$C:$C,0,0)</f>
        <v>31600</v>
      </c>
      <c r="AE281">
        <f t="shared" si="655"/>
        <v>5688</v>
      </c>
      <c r="AF281">
        <f t="shared" si="656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57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58"/>
        <v>200</v>
      </c>
      <c r="AM281">
        <f t="shared" si="659"/>
        <v>38880</v>
      </c>
      <c r="AN281">
        <f>_xlfn.XLOOKUP(B281,'[4]june-2025'!$A:$A,'[4]june-2025'!$C:$C,0,0)</f>
        <v>31600</v>
      </c>
      <c r="AO281">
        <f t="shared" si="660"/>
        <v>5688</v>
      </c>
      <c r="AP281">
        <f t="shared" si="66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62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63"/>
        <v>200</v>
      </c>
      <c r="AW281">
        <f t="shared" si="664"/>
        <v>38880</v>
      </c>
      <c r="AX281">
        <f>_xlfn.XLOOKUP(B281,'[5]july-2025'!$A:$A,'[5]july-2025'!$C:$C,0,0)</f>
        <v>32500</v>
      </c>
      <c r="AY281">
        <f t="shared" si="665"/>
        <v>5850</v>
      </c>
      <c r="AZ281">
        <v>0</v>
      </c>
      <c r="BA281">
        <f t="shared" si="666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67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68"/>
        <v>200</v>
      </c>
      <c r="BH281">
        <f t="shared" si="669"/>
        <v>40050</v>
      </c>
      <c r="BI281">
        <f>_xlfn.XLOOKUP(B281,'[6]august-2025'!$A:$A,'[6]august-2025'!$C:$C,0,0)</f>
        <v>32500</v>
      </c>
      <c r="BJ281">
        <f t="shared" si="670"/>
        <v>5850</v>
      </c>
      <c r="BK281">
        <f t="shared" si="671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72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73"/>
        <v>200</v>
      </c>
      <c r="BR281">
        <f t="shared" si="674"/>
        <v>40050</v>
      </c>
      <c r="BS281">
        <f>_xlfn.XLOOKUP(B281,'[7]september-2025'!$A:$A,'[7]september-2025'!$C:$C,0,0)</f>
        <v>32500</v>
      </c>
      <c r="BT281">
        <f t="shared" si="675"/>
        <v>5850</v>
      </c>
      <c r="BU281">
        <f t="shared" si="676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77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78"/>
        <v>200</v>
      </c>
      <c r="CB281">
        <f t="shared" si="679"/>
        <v>40050</v>
      </c>
      <c r="CC281">
        <f>_xlfn.XLOOKUP(B281,'[8]october-2025'!$A:$A,'[8]october-2025'!$C:$C,0,0)</f>
        <v>32500</v>
      </c>
      <c r="CD281">
        <f t="shared" si="680"/>
        <v>5850</v>
      </c>
      <c r="CE281">
        <f t="shared" si="681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82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83"/>
        <v>200</v>
      </c>
      <c r="CL281">
        <f t="shared" si="684"/>
        <v>40050</v>
      </c>
      <c r="CM281">
        <f>_xlfn.XLOOKUP(B281,'[9]november-2025'!$A:$A,'[9]november-2025'!$C:$C,0,0)</f>
        <v>32500</v>
      </c>
      <c r="CN281">
        <f t="shared" si="685"/>
        <v>5850</v>
      </c>
      <c r="CO281">
        <f t="shared" si="686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87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88"/>
        <v>200</v>
      </c>
      <c r="CV281">
        <f t="shared" si="689"/>
        <v>40050</v>
      </c>
      <c r="CW281">
        <f>_xlfn.XLOOKUP(B281,'[10]december-2025'!$A:$A,'[10]december-2025'!$C:$C,0,0)</f>
        <v>32500</v>
      </c>
      <c r="CX281">
        <f t="shared" si="690"/>
        <v>5850</v>
      </c>
      <c r="CY281">
        <f t="shared" si="691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92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93"/>
        <v>200</v>
      </c>
      <c r="DF281">
        <f t="shared" si="694"/>
        <v>40050</v>
      </c>
      <c r="DG281">
        <f>_xlfn.XLOOKUP(B281,'[11]january-2026'!$A:$A,'[11]january-2026'!$C:$C,0,0)</f>
        <v>32500</v>
      </c>
      <c r="DH281">
        <f t="shared" si="695"/>
        <v>5850</v>
      </c>
      <c r="DI281">
        <f t="shared" si="696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7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8"/>
        <v>200</v>
      </c>
      <c r="DP281">
        <f t="shared" si="699"/>
        <v>40050</v>
      </c>
      <c r="DQ281">
        <f>_xlfn.XLOOKUP(B281,'[12]february-2026'!$A:$A,'[12]february-2026'!$C:$C,0,0)</f>
        <v>32500</v>
      </c>
      <c r="DR281">
        <f t="shared" si="700"/>
        <v>5850</v>
      </c>
      <c r="DS281">
        <f t="shared" si="701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2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3"/>
        <v>200</v>
      </c>
      <c r="DZ281">
        <f t="shared" si="704"/>
        <v>40050</v>
      </c>
      <c r="EA281">
        <f t="shared" si="705"/>
        <v>496080</v>
      </c>
      <c r="EB281">
        <f t="shared" si="706"/>
        <v>2300</v>
      </c>
      <c r="EC281">
        <f t="shared" si="707"/>
        <v>50000</v>
      </c>
      <c r="ED281">
        <v>0</v>
      </c>
      <c r="EE281">
        <f t="shared" si="708"/>
        <v>443780</v>
      </c>
      <c r="EF281">
        <f t="shared" si="709"/>
        <v>24000</v>
      </c>
      <c r="EG281">
        <f t="shared" si="710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1"/>
        <v>24000</v>
      </c>
      <c r="ES281">
        <f t="shared" si="712"/>
        <v>24000</v>
      </c>
      <c r="ET281">
        <f t="shared" si="713"/>
        <v>419780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4"/>
        <v>0</v>
      </c>
      <c r="FC281">
        <f t="shared" si="715"/>
        <v>419780</v>
      </c>
      <c r="FD281">
        <f t="shared" si="716"/>
        <v>8489</v>
      </c>
      <c r="FE281">
        <f t="shared" si="717"/>
        <v>0</v>
      </c>
      <c r="FF281">
        <f t="shared" si="718"/>
        <v>8489</v>
      </c>
      <c r="FG281">
        <f t="shared" si="719"/>
        <v>0</v>
      </c>
      <c r="FH281">
        <f t="shared" si="720"/>
        <v>0</v>
      </c>
      <c r="FI281">
        <f t="shared" si="721"/>
        <v>0</v>
      </c>
      <c r="FJ281">
        <v>0</v>
      </c>
      <c r="FK281">
        <f t="shared" si="722"/>
        <v>0</v>
      </c>
      <c r="FL281" t="b">
        <f t="shared" si="723"/>
        <v>0</v>
      </c>
      <c r="FM281">
        <f t="shared" ca="1" si="724"/>
        <v>1156</v>
      </c>
      <c r="FN281">
        <f t="shared" ca="1" si="725"/>
        <v>497236</v>
      </c>
      <c r="FO281">
        <f t="shared" si="726"/>
        <v>75000</v>
      </c>
      <c r="FP281">
        <f t="shared" ca="1" si="727"/>
        <v>422236</v>
      </c>
      <c r="FQ281">
        <f t="shared" ca="1" si="728"/>
        <v>0</v>
      </c>
      <c r="FR281">
        <f t="shared" ca="1" si="729"/>
        <v>0</v>
      </c>
      <c r="FS281">
        <f t="shared" ca="1" si="730"/>
        <v>0</v>
      </c>
      <c r="FT281">
        <f t="shared" ca="1" si="731"/>
        <v>0</v>
      </c>
      <c r="FU281">
        <f t="shared" ca="1" si="732"/>
        <v>0</v>
      </c>
      <c r="FV281">
        <f t="shared" ca="1" si="733"/>
        <v>0</v>
      </c>
      <c r="FW281">
        <f t="shared" ca="1" si="734"/>
        <v>0</v>
      </c>
      <c r="FX281">
        <f t="shared" ca="1" si="735"/>
        <v>0</v>
      </c>
      <c r="FY281">
        <f t="shared" ca="1" si="736"/>
        <v>0</v>
      </c>
      <c r="FZ281">
        <f t="shared" ca="1" si="737"/>
        <v>0</v>
      </c>
      <c r="GA281">
        <f t="shared" ca="1" si="738"/>
        <v>22236</v>
      </c>
      <c r="GB281">
        <f t="shared" ca="1" si="739"/>
        <v>1111.8</v>
      </c>
      <c r="GC281">
        <f t="shared" ca="1" si="740"/>
        <v>1112</v>
      </c>
      <c r="GD281">
        <f t="shared" ca="1" si="741"/>
        <v>0</v>
      </c>
      <c r="GE281">
        <f t="shared" ca="1" si="742"/>
        <v>0</v>
      </c>
      <c r="GF281">
        <f t="shared" ca="1" si="743"/>
        <v>1112</v>
      </c>
      <c r="GG281">
        <f t="shared" ca="1" si="744"/>
        <v>0</v>
      </c>
      <c r="GH281" t="b">
        <f t="shared" ca="1" si="745"/>
        <v>0</v>
      </c>
      <c r="GI281">
        <f t="shared" ca="1" si="746"/>
        <v>0</v>
      </c>
      <c r="GJ281">
        <f t="shared" ca="1" si="747"/>
        <v>1112</v>
      </c>
      <c r="GK281">
        <f t="shared" ca="1" si="748"/>
        <v>0</v>
      </c>
      <c r="GL281">
        <f t="shared" ca="1" si="749"/>
        <v>0</v>
      </c>
      <c r="GM281">
        <f t="shared" ca="1" si="750"/>
        <v>0</v>
      </c>
    </row>
    <row r="282" spans="1:195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752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46"/>
        <v>3780.0000000000005</v>
      </c>
      <c r="L282">
        <f t="shared" si="647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4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51"/>
        <v>150</v>
      </c>
      <c r="S282">
        <f t="shared" si="649"/>
        <v>31870</v>
      </c>
      <c r="T282">
        <f>_xlfn.XLOOKUP(B282,'[2]april-2025'!$A:$A,'[2]april-2025'!$C:$C,0,0)</f>
        <v>27000</v>
      </c>
      <c r="U282">
        <f t="shared" si="650"/>
        <v>4860</v>
      </c>
      <c r="V282">
        <f t="shared" si="651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52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53"/>
        <v>150</v>
      </c>
      <c r="AC282">
        <f t="shared" si="654"/>
        <v>32950</v>
      </c>
      <c r="AD282">
        <f>_xlfn.XLOOKUP(B282,'[3]may-2025'!$A:$A,'[3]may-2025'!$C:$C,0,0)</f>
        <v>27000</v>
      </c>
      <c r="AE282">
        <f t="shared" si="655"/>
        <v>4860</v>
      </c>
      <c r="AF282">
        <f t="shared" si="656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57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58"/>
        <v>150</v>
      </c>
      <c r="AM282">
        <f t="shared" si="659"/>
        <v>32950</v>
      </c>
      <c r="AN282">
        <f>_xlfn.XLOOKUP(B282,'[4]june-2025'!$A:$A,'[4]june-2025'!$C:$C,0,0)</f>
        <v>27000</v>
      </c>
      <c r="AO282">
        <f t="shared" si="660"/>
        <v>4860</v>
      </c>
      <c r="AP282">
        <f t="shared" si="66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62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63"/>
        <v>150</v>
      </c>
      <c r="AW282">
        <f t="shared" si="664"/>
        <v>32950</v>
      </c>
      <c r="AX282">
        <f>_xlfn.XLOOKUP(B282,'[5]july-2025'!$A:$A,'[5]july-2025'!$C:$C,0,0)</f>
        <v>27800</v>
      </c>
      <c r="AY282">
        <f t="shared" si="665"/>
        <v>5004</v>
      </c>
      <c r="AZ282">
        <v>0</v>
      </c>
      <c r="BA282">
        <f t="shared" si="666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67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68"/>
        <v>150</v>
      </c>
      <c r="BH282">
        <f t="shared" si="669"/>
        <v>33990</v>
      </c>
      <c r="BI282">
        <f>_xlfn.XLOOKUP(B282,'[6]august-2025'!$A:$A,'[6]august-2025'!$C:$C,0,0)</f>
        <v>27800</v>
      </c>
      <c r="BJ282">
        <f t="shared" si="670"/>
        <v>5004</v>
      </c>
      <c r="BK282">
        <f t="shared" si="671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72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73"/>
        <v>150</v>
      </c>
      <c r="BR282">
        <f t="shared" si="674"/>
        <v>33990</v>
      </c>
      <c r="BS282">
        <f>_xlfn.XLOOKUP(B282,'[7]september-2025'!$A:$A,'[7]september-2025'!$C:$C,0,0)</f>
        <v>27800</v>
      </c>
      <c r="BT282">
        <f t="shared" si="675"/>
        <v>5004</v>
      </c>
      <c r="BU282">
        <f t="shared" si="676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77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78"/>
        <v>150</v>
      </c>
      <c r="CB282">
        <f t="shared" si="679"/>
        <v>33990</v>
      </c>
      <c r="CC282">
        <f>_xlfn.XLOOKUP(B282,'[8]october-2025'!$A:$A,'[8]october-2025'!$C:$C,0,0)</f>
        <v>27800</v>
      </c>
      <c r="CD282">
        <f t="shared" si="680"/>
        <v>5004</v>
      </c>
      <c r="CE282">
        <f t="shared" si="681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82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83"/>
        <v>150</v>
      </c>
      <c r="CL282">
        <f t="shared" si="684"/>
        <v>33990</v>
      </c>
      <c r="CM282">
        <f>_xlfn.XLOOKUP(B282,'[9]november-2025'!$A:$A,'[9]november-2025'!$C:$C,0,0)</f>
        <v>27800</v>
      </c>
      <c r="CN282">
        <f t="shared" si="685"/>
        <v>5004</v>
      </c>
      <c r="CO282">
        <f t="shared" si="686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87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88"/>
        <v>150</v>
      </c>
      <c r="CV282">
        <f t="shared" si="689"/>
        <v>33990</v>
      </c>
      <c r="CW282">
        <f>_xlfn.XLOOKUP(B282,'[10]december-2025'!$A:$A,'[10]december-2025'!$C:$C,0,0)</f>
        <v>27800</v>
      </c>
      <c r="CX282">
        <f t="shared" si="690"/>
        <v>5004</v>
      </c>
      <c r="CY282">
        <f t="shared" si="691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92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93"/>
        <v>150</v>
      </c>
      <c r="DF282">
        <f t="shared" si="694"/>
        <v>33990</v>
      </c>
      <c r="DG282">
        <f>_xlfn.XLOOKUP(B282,'[11]january-2026'!$A:$A,'[11]january-2026'!$C:$C,0,0)</f>
        <v>27800</v>
      </c>
      <c r="DH282">
        <f t="shared" si="695"/>
        <v>5004</v>
      </c>
      <c r="DI282">
        <f t="shared" si="696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7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8"/>
        <v>150</v>
      </c>
      <c r="DP282">
        <f t="shared" si="699"/>
        <v>33990</v>
      </c>
      <c r="DQ282">
        <f>_xlfn.XLOOKUP(B282,'[12]february-2026'!$A:$A,'[12]february-2026'!$C:$C,0,0)</f>
        <v>27800</v>
      </c>
      <c r="DR282">
        <f t="shared" si="700"/>
        <v>5004</v>
      </c>
      <c r="DS282">
        <f t="shared" si="701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2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3"/>
        <v>150</v>
      </c>
      <c r="DZ282">
        <f t="shared" si="704"/>
        <v>33990</v>
      </c>
      <c r="EA282">
        <f t="shared" si="705"/>
        <v>435240</v>
      </c>
      <c r="EB282">
        <f t="shared" si="706"/>
        <v>1800</v>
      </c>
      <c r="EC282">
        <f t="shared" si="707"/>
        <v>50000</v>
      </c>
      <c r="ED282">
        <v>0</v>
      </c>
      <c r="EE282">
        <f t="shared" si="708"/>
        <v>383440</v>
      </c>
      <c r="EF282">
        <f t="shared" si="709"/>
        <v>24000</v>
      </c>
      <c r="EG282">
        <f t="shared" si="710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1"/>
        <v>24000</v>
      </c>
      <c r="ES282">
        <f t="shared" si="712"/>
        <v>24000</v>
      </c>
      <c r="ET282">
        <f t="shared" si="713"/>
        <v>359440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4"/>
        <v>0</v>
      </c>
      <c r="FC282">
        <f t="shared" si="715"/>
        <v>359440</v>
      </c>
      <c r="FD282">
        <f t="shared" si="716"/>
        <v>5472</v>
      </c>
      <c r="FE282">
        <f t="shared" si="717"/>
        <v>0</v>
      </c>
      <c r="FF282">
        <f t="shared" si="718"/>
        <v>5472</v>
      </c>
      <c r="FG282">
        <f t="shared" si="719"/>
        <v>0</v>
      </c>
      <c r="FH282">
        <f t="shared" si="720"/>
        <v>0</v>
      </c>
      <c r="FI282">
        <f t="shared" si="721"/>
        <v>0</v>
      </c>
      <c r="FJ282">
        <v>0</v>
      </c>
      <c r="FK282">
        <f t="shared" si="722"/>
        <v>0</v>
      </c>
      <c r="FL282" t="b">
        <f t="shared" si="723"/>
        <v>0</v>
      </c>
      <c r="FM282">
        <f t="shared" ca="1" si="724"/>
        <v>2716</v>
      </c>
      <c r="FN282">
        <f t="shared" ca="1" si="725"/>
        <v>437956</v>
      </c>
      <c r="FO282">
        <f t="shared" si="726"/>
        <v>75000</v>
      </c>
      <c r="FP282">
        <f t="shared" ca="1" si="727"/>
        <v>362956</v>
      </c>
      <c r="FQ282">
        <f t="shared" ca="1" si="728"/>
        <v>0</v>
      </c>
      <c r="FR282">
        <f t="shared" ca="1" si="729"/>
        <v>0</v>
      </c>
      <c r="FS282">
        <f t="shared" ca="1" si="730"/>
        <v>0</v>
      </c>
      <c r="FT282">
        <f t="shared" ca="1" si="731"/>
        <v>0</v>
      </c>
      <c r="FU282">
        <f t="shared" ca="1" si="732"/>
        <v>0</v>
      </c>
      <c r="FV282">
        <f t="shared" ca="1" si="733"/>
        <v>0</v>
      </c>
      <c r="FW282">
        <f t="shared" ca="1" si="734"/>
        <v>0</v>
      </c>
      <c r="FX282">
        <f t="shared" ca="1" si="735"/>
        <v>0</v>
      </c>
      <c r="FY282">
        <f t="shared" ca="1" si="736"/>
        <v>0</v>
      </c>
      <c r="FZ282">
        <f t="shared" ca="1" si="737"/>
        <v>0</v>
      </c>
      <c r="GA282">
        <f t="shared" ca="1" si="738"/>
        <v>0</v>
      </c>
      <c r="GB282">
        <f t="shared" ca="1" si="739"/>
        <v>0</v>
      </c>
      <c r="GC282">
        <f t="shared" ca="1" si="740"/>
        <v>0</v>
      </c>
      <c r="GD282">
        <f t="shared" ca="1" si="741"/>
        <v>0</v>
      </c>
      <c r="GE282">
        <f t="shared" ca="1" si="742"/>
        <v>0</v>
      </c>
      <c r="GF282">
        <f t="shared" ca="1" si="743"/>
        <v>0</v>
      </c>
      <c r="GG282">
        <f t="shared" ca="1" si="744"/>
        <v>0</v>
      </c>
      <c r="GH282" t="b">
        <f t="shared" ca="1" si="745"/>
        <v>0</v>
      </c>
      <c r="GI282">
        <f t="shared" ca="1" si="746"/>
        <v>0</v>
      </c>
      <c r="GJ282">
        <f t="shared" ca="1" si="747"/>
        <v>0</v>
      </c>
      <c r="GK282">
        <f t="shared" ca="1" si="748"/>
        <v>0</v>
      </c>
      <c r="GL282">
        <f t="shared" ca="1" si="749"/>
        <v>0</v>
      </c>
      <c r="GM282">
        <f t="shared" ca="1" si="750"/>
        <v>0</v>
      </c>
    </row>
    <row r="283" spans="1:195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752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46"/>
        <v>6622.0000000000009</v>
      </c>
      <c r="L283">
        <f t="shared" si="647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4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51"/>
        <v>200</v>
      </c>
      <c r="S283">
        <f t="shared" si="649"/>
        <v>56298</v>
      </c>
      <c r="T283">
        <f>_xlfn.XLOOKUP(B283,'[2]april-2025'!$A:$A,'[2]april-2025'!$C:$C,0,0)</f>
        <v>47300</v>
      </c>
      <c r="U283">
        <f t="shared" si="650"/>
        <v>8514</v>
      </c>
      <c r="V283">
        <f t="shared" si="651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52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53"/>
        <v>200</v>
      </c>
      <c r="AC283">
        <f t="shared" si="654"/>
        <v>58190</v>
      </c>
      <c r="AD283">
        <f>_xlfn.XLOOKUP(B283,'[3]may-2025'!$A:$A,'[3]may-2025'!$C:$C,0,0)</f>
        <v>47300</v>
      </c>
      <c r="AE283">
        <f t="shared" si="655"/>
        <v>8514</v>
      </c>
      <c r="AF283">
        <f t="shared" si="656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57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58"/>
        <v>200</v>
      </c>
      <c r="AM283">
        <f t="shared" si="659"/>
        <v>58190</v>
      </c>
      <c r="AN283">
        <f>_xlfn.XLOOKUP(B283,'[4]june-2025'!$A:$A,'[4]june-2025'!$C:$C,0,0)</f>
        <v>47300</v>
      </c>
      <c r="AO283">
        <f t="shared" si="660"/>
        <v>8514</v>
      </c>
      <c r="AP283">
        <f t="shared" si="66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62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63"/>
        <v>200</v>
      </c>
      <c r="AW283">
        <f t="shared" si="664"/>
        <v>58190</v>
      </c>
      <c r="AX283">
        <f>_xlfn.XLOOKUP(B283,'[5]july-2025'!$A:$A,'[5]july-2025'!$C:$C,0,0)</f>
        <v>48700</v>
      </c>
      <c r="AY283">
        <f t="shared" si="665"/>
        <v>8766</v>
      </c>
      <c r="AZ283">
        <v>0</v>
      </c>
      <c r="BA283">
        <f t="shared" si="666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67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68"/>
        <v>200</v>
      </c>
      <c r="BH283">
        <f t="shared" si="669"/>
        <v>60010</v>
      </c>
      <c r="BI283">
        <f>_xlfn.XLOOKUP(B283,'[6]august-2025'!$A:$A,'[6]august-2025'!$C:$C,0,0)</f>
        <v>48700</v>
      </c>
      <c r="BJ283">
        <f t="shared" si="670"/>
        <v>8766</v>
      </c>
      <c r="BK283">
        <f t="shared" si="671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72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73"/>
        <v>200</v>
      </c>
      <c r="BR283">
        <f t="shared" si="674"/>
        <v>60010</v>
      </c>
      <c r="BS283">
        <f>_xlfn.XLOOKUP(B283,'[7]september-2025'!$A:$A,'[7]september-2025'!$C:$C,0,0)</f>
        <v>48700</v>
      </c>
      <c r="BT283">
        <f t="shared" si="675"/>
        <v>8766</v>
      </c>
      <c r="BU283">
        <f t="shared" si="676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77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78"/>
        <v>200</v>
      </c>
      <c r="CB283">
        <f t="shared" si="679"/>
        <v>60010</v>
      </c>
      <c r="CC283">
        <f>_xlfn.XLOOKUP(B283,'[8]october-2025'!$A:$A,'[8]october-2025'!$C:$C,0,0)</f>
        <v>48700</v>
      </c>
      <c r="CD283">
        <f t="shared" si="680"/>
        <v>8766</v>
      </c>
      <c r="CE283">
        <f t="shared" si="681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82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83"/>
        <v>200</v>
      </c>
      <c r="CL283">
        <f t="shared" si="684"/>
        <v>60010</v>
      </c>
      <c r="CM283">
        <f>_xlfn.XLOOKUP(B283,'[9]november-2025'!$A:$A,'[9]november-2025'!$C:$C,0,0)</f>
        <v>48700</v>
      </c>
      <c r="CN283">
        <f t="shared" si="685"/>
        <v>8766</v>
      </c>
      <c r="CO283">
        <f t="shared" si="686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87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88"/>
        <v>200</v>
      </c>
      <c r="CV283">
        <f t="shared" si="689"/>
        <v>60010</v>
      </c>
      <c r="CW283">
        <f>_xlfn.XLOOKUP(B283,'[10]december-2025'!$A:$A,'[10]december-2025'!$C:$C,0,0)</f>
        <v>48700</v>
      </c>
      <c r="CX283">
        <f t="shared" si="690"/>
        <v>8766</v>
      </c>
      <c r="CY283">
        <f t="shared" si="691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92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93"/>
        <v>200</v>
      </c>
      <c r="DF283">
        <f t="shared" si="694"/>
        <v>60010</v>
      </c>
      <c r="DG283">
        <f>_xlfn.XLOOKUP(B283,'[11]january-2026'!$A:$A,'[11]january-2026'!$C:$C,0,0)</f>
        <v>48700</v>
      </c>
      <c r="DH283">
        <f t="shared" si="695"/>
        <v>8766</v>
      </c>
      <c r="DI283">
        <f t="shared" si="696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7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8"/>
        <v>200</v>
      </c>
      <c r="DP283">
        <f t="shared" si="699"/>
        <v>60010</v>
      </c>
      <c r="DQ283">
        <f>_xlfn.XLOOKUP(B283,'[12]february-2026'!$A:$A,'[12]february-2026'!$C:$C,0,0)</f>
        <v>48700</v>
      </c>
      <c r="DR283">
        <f t="shared" si="700"/>
        <v>8766</v>
      </c>
      <c r="DS283">
        <f t="shared" si="701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2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3"/>
        <v>200</v>
      </c>
      <c r="DZ283">
        <f t="shared" si="704"/>
        <v>60010</v>
      </c>
      <c r="EA283">
        <f t="shared" si="705"/>
        <v>768148</v>
      </c>
      <c r="EB283">
        <f t="shared" si="706"/>
        <v>2400</v>
      </c>
      <c r="EC283">
        <f t="shared" si="707"/>
        <v>50000</v>
      </c>
      <c r="ED283">
        <v>0</v>
      </c>
      <c r="EE283">
        <f t="shared" si="708"/>
        <v>715748</v>
      </c>
      <c r="EF283">
        <f t="shared" si="709"/>
        <v>48000</v>
      </c>
      <c r="EG283">
        <f t="shared" si="710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1"/>
        <v>48000</v>
      </c>
      <c r="ES283">
        <f t="shared" si="712"/>
        <v>48000</v>
      </c>
      <c r="ET283">
        <f t="shared" si="713"/>
        <v>667748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4"/>
        <v>0</v>
      </c>
      <c r="FC283">
        <f t="shared" si="715"/>
        <v>667748</v>
      </c>
      <c r="FD283">
        <f t="shared" si="716"/>
        <v>12500</v>
      </c>
      <c r="FE283">
        <f t="shared" si="717"/>
        <v>33550</v>
      </c>
      <c r="FF283">
        <f t="shared" si="718"/>
        <v>46050</v>
      </c>
      <c r="FG283">
        <f t="shared" si="719"/>
        <v>46050</v>
      </c>
      <c r="FH283">
        <f t="shared" si="720"/>
        <v>1842</v>
      </c>
      <c r="FI283">
        <f t="shared" si="721"/>
        <v>47892</v>
      </c>
      <c r="FJ283">
        <v>0</v>
      </c>
      <c r="FK283">
        <f t="shared" si="722"/>
        <v>47892</v>
      </c>
      <c r="FL283" t="b">
        <f t="shared" si="723"/>
        <v>1</v>
      </c>
      <c r="FM283">
        <f t="shared" ca="1" si="724"/>
        <v>581</v>
      </c>
      <c r="FN283">
        <f t="shared" ca="1" si="725"/>
        <v>768729</v>
      </c>
      <c r="FO283">
        <f t="shared" si="726"/>
        <v>75000</v>
      </c>
      <c r="FP283">
        <f t="shared" ca="1" si="727"/>
        <v>693729</v>
      </c>
      <c r="FQ283">
        <f t="shared" ca="1" si="728"/>
        <v>0</v>
      </c>
      <c r="FR283">
        <f t="shared" ca="1" si="729"/>
        <v>0</v>
      </c>
      <c r="FS283">
        <f t="shared" ca="1" si="730"/>
        <v>0</v>
      </c>
      <c r="FT283">
        <f t="shared" ca="1" si="731"/>
        <v>0</v>
      </c>
      <c r="FU283">
        <f t="shared" ca="1" si="732"/>
        <v>0</v>
      </c>
      <c r="FV283">
        <f t="shared" ca="1" si="733"/>
        <v>0</v>
      </c>
      <c r="FW283">
        <f t="shared" ca="1" si="734"/>
        <v>0</v>
      </c>
      <c r="FX283">
        <f t="shared" ca="1" si="735"/>
        <v>0</v>
      </c>
      <c r="FY283">
        <f t="shared" ca="1" si="736"/>
        <v>0</v>
      </c>
      <c r="FZ283">
        <f t="shared" ca="1" si="737"/>
        <v>0</v>
      </c>
      <c r="GA283">
        <f t="shared" ca="1" si="738"/>
        <v>293729</v>
      </c>
      <c r="GB283">
        <f t="shared" ca="1" si="739"/>
        <v>14686.45</v>
      </c>
      <c r="GC283">
        <f t="shared" ca="1" si="740"/>
        <v>14686</v>
      </c>
      <c r="GD283">
        <f t="shared" ca="1" si="741"/>
        <v>0</v>
      </c>
      <c r="GE283">
        <f t="shared" ca="1" si="742"/>
        <v>0</v>
      </c>
      <c r="GF283">
        <f t="shared" ca="1" si="743"/>
        <v>14686</v>
      </c>
      <c r="GG283">
        <f t="shared" ca="1" si="744"/>
        <v>0</v>
      </c>
      <c r="GH283" t="b">
        <f t="shared" ca="1" si="745"/>
        <v>0</v>
      </c>
      <c r="GI283">
        <f t="shared" ca="1" si="746"/>
        <v>0</v>
      </c>
      <c r="GJ283">
        <f t="shared" ca="1" si="747"/>
        <v>14686</v>
      </c>
      <c r="GK283">
        <f t="shared" ca="1" si="748"/>
        <v>0</v>
      </c>
      <c r="GL283">
        <f t="shared" ca="1" si="749"/>
        <v>0</v>
      </c>
      <c r="GM283">
        <f t="shared" ca="1" si="750"/>
        <v>0</v>
      </c>
    </row>
    <row r="284" spans="1:195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752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46"/>
        <v>4690</v>
      </c>
      <c r="L284">
        <f t="shared" si="647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4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51"/>
        <v>200</v>
      </c>
      <c r="S284">
        <f t="shared" si="649"/>
        <v>40010</v>
      </c>
      <c r="T284">
        <f>_xlfn.XLOOKUP(B284,'[2]april-2025'!$A:$A,'[2]april-2025'!$C:$C,0,0)</f>
        <v>33500</v>
      </c>
      <c r="U284">
        <f t="shared" si="650"/>
        <v>6030</v>
      </c>
      <c r="V284">
        <f t="shared" si="651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52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53"/>
        <v>200</v>
      </c>
      <c r="AC284">
        <f t="shared" si="654"/>
        <v>41350</v>
      </c>
      <c r="AD284">
        <f>_xlfn.XLOOKUP(B284,'[3]may-2025'!$A:$A,'[3]may-2025'!$C:$C,0,0)</f>
        <v>33500</v>
      </c>
      <c r="AE284">
        <f t="shared" si="655"/>
        <v>6030</v>
      </c>
      <c r="AF284">
        <f t="shared" si="656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57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58"/>
        <v>200</v>
      </c>
      <c r="AM284">
        <f t="shared" si="659"/>
        <v>41350</v>
      </c>
      <c r="AN284">
        <f>_xlfn.XLOOKUP(B284,'[4]june-2025'!$A:$A,'[4]june-2025'!$C:$C,0,0)</f>
        <v>33500</v>
      </c>
      <c r="AO284">
        <f t="shared" si="660"/>
        <v>6030</v>
      </c>
      <c r="AP284">
        <f t="shared" si="66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62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63"/>
        <v>200</v>
      </c>
      <c r="AW284">
        <f t="shared" si="664"/>
        <v>41350</v>
      </c>
      <c r="AX284">
        <f>_xlfn.XLOOKUP(B284,'[5]july-2025'!$A:$A,'[5]july-2025'!$C:$C,0,0)</f>
        <v>34500</v>
      </c>
      <c r="AY284">
        <f t="shared" si="665"/>
        <v>6210</v>
      </c>
      <c r="AZ284">
        <v>0</v>
      </c>
      <c r="BA284">
        <f t="shared" si="666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67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68"/>
        <v>200</v>
      </c>
      <c r="BH284">
        <f t="shared" si="669"/>
        <v>42650</v>
      </c>
      <c r="BI284">
        <f>_xlfn.XLOOKUP(B284,'[6]august-2025'!$A:$A,'[6]august-2025'!$C:$C,0,0)</f>
        <v>34500</v>
      </c>
      <c r="BJ284">
        <f t="shared" si="670"/>
        <v>6210</v>
      </c>
      <c r="BK284">
        <f t="shared" si="671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72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73"/>
        <v>200</v>
      </c>
      <c r="BR284">
        <f t="shared" si="674"/>
        <v>42650</v>
      </c>
      <c r="BS284">
        <f>_xlfn.XLOOKUP(B284,'[7]september-2025'!$A:$A,'[7]september-2025'!$C:$C,0,0)</f>
        <v>34500</v>
      </c>
      <c r="BT284">
        <f t="shared" si="675"/>
        <v>6210</v>
      </c>
      <c r="BU284">
        <f t="shared" si="676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77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78"/>
        <v>200</v>
      </c>
      <c r="CB284">
        <f t="shared" si="679"/>
        <v>42650</v>
      </c>
      <c r="CC284">
        <f>_xlfn.XLOOKUP(B284,'[8]october-2025'!$A:$A,'[8]october-2025'!$C:$C,0,0)</f>
        <v>34500</v>
      </c>
      <c r="CD284">
        <f t="shared" si="680"/>
        <v>6210</v>
      </c>
      <c r="CE284">
        <f t="shared" si="681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82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83"/>
        <v>200</v>
      </c>
      <c r="CL284">
        <f t="shared" si="684"/>
        <v>42650</v>
      </c>
      <c r="CM284">
        <f>_xlfn.XLOOKUP(B284,'[9]november-2025'!$A:$A,'[9]november-2025'!$C:$C,0,0)</f>
        <v>34500</v>
      </c>
      <c r="CN284">
        <f t="shared" si="685"/>
        <v>6210</v>
      </c>
      <c r="CO284">
        <f t="shared" si="686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87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88"/>
        <v>200</v>
      </c>
      <c r="CV284">
        <f t="shared" si="689"/>
        <v>42650</v>
      </c>
      <c r="CW284">
        <f>_xlfn.XLOOKUP(B284,'[10]december-2025'!$A:$A,'[10]december-2025'!$C:$C,0,0)</f>
        <v>34500</v>
      </c>
      <c r="CX284">
        <f t="shared" si="690"/>
        <v>6210</v>
      </c>
      <c r="CY284">
        <f t="shared" si="691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92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93"/>
        <v>200</v>
      </c>
      <c r="DF284">
        <f t="shared" si="694"/>
        <v>42650</v>
      </c>
      <c r="DG284">
        <f>_xlfn.XLOOKUP(B284,'[11]january-2026'!$A:$A,'[11]january-2026'!$C:$C,0,0)</f>
        <v>34500</v>
      </c>
      <c r="DH284">
        <f t="shared" si="695"/>
        <v>6210</v>
      </c>
      <c r="DI284">
        <f t="shared" si="696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7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8"/>
        <v>200</v>
      </c>
      <c r="DP284">
        <f t="shared" si="699"/>
        <v>42650</v>
      </c>
      <c r="DQ284">
        <f>_xlfn.XLOOKUP(B284,'[12]february-2026'!$A:$A,'[12]february-2026'!$C:$C,0,0)</f>
        <v>34500</v>
      </c>
      <c r="DR284">
        <f t="shared" si="700"/>
        <v>6210</v>
      </c>
      <c r="DS284">
        <f t="shared" si="701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2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3"/>
        <v>200</v>
      </c>
      <c r="DZ284">
        <f t="shared" si="704"/>
        <v>42650</v>
      </c>
      <c r="EA284">
        <f t="shared" si="705"/>
        <v>544460</v>
      </c>
      <c r="EB284">
        <f t="shared" si="706"/>
        <v>2400</v>
      </c>
      <c r="EC284">
        <f t="shared" si="707"/>
        <v>50000</v>
      </c>
      <c r="ED284">
        <v>0</v>
      </c>
      <c r="EE284">
        <f t="shared" si="708"/>
        <v>492060</v>
      </c>
      <c r="EF284">
        <f t="shared" si="709"/>
        <v>30000</v>
      </c>
      <c r="EG284">
        <f t="shared" si="710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1"/>
        <v>30000</v>
      </c>
      <c r="ES284">
        <f t="shared" si="712"/>
        <v>30000</v>
      </c>
      <c r="ET284">
        <f t="shared" si="713"/>
        <v>462060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4"/>
        <v>0</v>
      </c>
      <c r="FC284">
        <f t="shared" si="715"/>
        <v>462060</v>
      </c>
      <c r="FD284">
        <f t="shared" si="716"/>
        <v>10603</v>
      </c>
      <c r="FE284">
        <f t="shared" si="717"/>
        <v>0</v>
      </c>
      <c r="FF284">
        <f t="shared" si="718"/>
        <v>10603</v>
      </c>
      <c r="FG284">
        <f t="shared" si="719"/>
        <v>0</v>
      </c>
      <c r="FH284">
        <f t="shared" si="720"/>
        <v>0</v>
      </c>
      <c r="FI284">
        <f t="shared" si="721"/>
        <v>0</v>
      </c>
      <c r="FJ284">
        <v>0</v>
      </c>
      <c r="FK284">
        <f t="shared" si="722"/>
        <v>0</v>
      </c>
      <c r="FL284" t="b">
        <f t="shared" si="723"/>
        <v>1</v>
      </c>
      <c r="FM284">
        <f t="shared" ca="1" si="724"/>
        <v>747</v>
      </c>
      <c r="FN284">
        <f t="shared" ca="1" si="725"/>
        <v>545207</v>
      </c>
      <c r="FO284">
        <f t="shared" si="726"/>
        <v>75000</v>
      </c>
      <c r="FP284">
        <f t="shared" ca="1" si="727"/>
        <v>470207</v>
      </c>
      <c r="FQ284">
        <f t="shared" ca="1" si="728"/>
        <v>0</v>
      </c>
      <c r="FR284">
        <f t="shared" ca="1" si="729"/>
        <v>0</v>
      </c>
      <c r="FS284">
        <f t="shared" ca="1" si="730"/>
        <v>0</v>
      </c>
      <c r="FT284">
        <f t="shared" ca="1" si="731"/>
        <v>0</v>
      </c>
      <c r="FU284">
        <f t="shared" ca="1" si="732"/>
        <v>0</v>
      </c>
      <c r="FV284">
        <f t="shared" ca="1" si="733"/>
        <v>0</v>
      </c>
      <c r="FW284">
        <f t="shared" ca="1" si="734"/>
        <v>0</v>
      </c>
      <c r="FX284">
        <f t="shared" ca="1" si="735"/>
        <v>0</v>
      </c>
      <c r="FY284">
        <f t="shared" ca="1" si="736"/>
        <v>0</v>
      </c>
      <c r="FZ284">
        <f t="shared" ca="1" si="737"/>
        <v>0</v>
      </c>
      <c r="GA284">
        <f t="shared" ca="1" si="738"/>
        <v>70207</v>
      </c>
      <c r="GB284">
        <f t="shared" ca="1" si="739"/>
        <v>3510.3500000000004</v>
      </c>
      <c r="GC284">
        <f t="shared" ca="1" si="740"/>
        <v>3510</v>
      </c>
      <c r="GD284">
        <f t="shared" ca="1" si="741"/>
        <v>0</v>
      </c>
      <c r="GE284">
        <f t="shared" ca="1" si="742"/>
        <v>0</v>
      </c>
      <c r="GF284">
        <f t="shared" ca="1" si="743"/>
        <v>3510</v>
      </c>
      <c r="GG284">
        <f t="shared" ca="1" si="744"/>
        <v>0</v>
      </c>
      <c r="GH284" t="b">
        <f t="shared" ca="1" si="745"/>
        <v>0</v>
      </c>
      <c r="GI284">
        <f t="shared" ca="1" si="746"/>
        <v>0</v>
      </c>
      <c r="GJ284">
        <f t="shared" ca="1" si="747"/>
        <v>3510</v>
      </c>
      <c r="GK284">
        <f t="shared" ca="1" si="748"/>
        <v>0</v>
      </c>
      <c r="GL284">
        <f t="shared" ca="1" si="749"/>
        <v>0</v>
      </c>
      <c r="GM284">
        <f t="shared" ca="1" si="750"/>
        <v>0</v>
      </c>
    </row>
    <row r="285" spans="1:195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752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46"/>
        <v>4690</v>
      </c>
      <c r="L285">
        <f t="shared" si="647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4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51"/>
        <v>200</v>
      </c>
      <c r="S285">
        <f t="shared" si="649"/>
        <v>37010</v>
      </c>
      <c r="T285">
        <f>_xlfn.XLOOKUP(B285,'[2]april-2025'!$A:$A,'[2]april-2025'!$C:$C,0,0)</f>
        <v>33500</v>
      </c>
      <c r="U285">
        <f t="shared" si="650"/>
        <v>6030</v>
      </c>
      <c r="V285">
        <f t="shared" si="651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52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53"/>
        <v>200</v>
      </c>
      <c r="AC285">
        <f t="shared" si="654"/>
        <v>38350</v>
      </c>
      <c r="AD285">
        <f>_xlfn.XLOOKUP(B285,'[3]may-2025'!$A:$A,'[3]may-2025'!$C:$C,0,0)</f>
        <v>33500</v>
      </c>
      <c r="AE285">
        <f t="shared" si="655"/>
        <v>6030</v>
      </c>
      <c r="AF285">
        <f t="shared" si="656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57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58"/>
        <v>200</v>
      </c>
      <c r="AM285">
        <f t="shared" si="659"/>
        <v>38350</v>
      </c>
      <c r="AN285">
        <f>_xlfn.XLOOKUP(B285,'[4]june-2025'!$A:$A,'[4]june-2025'!$C:$C,0,0)</f>
        <v>33500</v>
      </c>
      <c r="AO285">
        <f t="shared" si="660"/>
        <v>6030</v>
      </c>
      <c r="AP285">
        <f t="shared" si="66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62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63"/>
        <v>200</v>
      </c>
      <c r="AW285">
        <f t="shared" si="664"/>
        <v>38350</v>
      </c>
      <c r="AX285">
        <f>_xlfn.XLOOKUP(B285,'[5]july-2025'!$A:$A,'[5]july-2025'!$C:$C,0,0)</f>
        <v>34500</v>
      </c>
      <c r="AY285">
        <f t="shared" si="665"/>
        <v>6210</v>
      </c>
      <c r="AZ285">
        <v>0</v>
      </c>
      <c r="BA285">
        <f t="shared" si="666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67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68"/>
        <v>200</v>
      </c>
      <c r="BH285">
        <f t="shared" si="669"/>
        <v>39650</v>
      </c>
      <c r="BI285">
        <f>_xlfn.XLOOKUP(B285,'[6]august-2025'!$A:$A,'[6]august-2025'!$C:$C,0,0)</f>
        <v>34500</v>
      </c>
      <c r="BJ285">
        <f t="shared" si="670"/>
        <v>6210</v>
      </c>
      <c r="BK285">
        <f t="shared" si="671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72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73"/>
        <v>200</v>
      </c>
      <c r="BR285">
        <f t="shared" si="674"/>
        <v>39650</v>
      </c>
      <c r="BS285">
        <f>_xlfn.XLOOKUP(B285,'[7]september-2025'!$A:$A,'[7]september-2025'!$C:$C,0,0)</f>
        <v>34500</v>
      </c>
      <c r="BT285">
        <f t="shared" si="675"/>
        <v>6210</v>
      </c>
      <c r="BU285">
        <f t="shared" si="676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77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78"/>
        <v>200</v>
      </c>
      <c r="CB285">
        <f t="shared" si="679"/>
        <v>39650</v>
      </c>
      <c r="CC285">
        <f>_xlfn.XLOOKUP(B285,'[8]october-2025'!$A:$A,'[8]october-2025'!$C:$C,0,0)</f>
        <v>34500</v>
      </c>
      <c r="CD285">
        <f t="shared" si="680"/>
        <v>6210</v>
      </c>
      <c r="CE285">
        <f t="shared" si="681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82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83"/>
        <v>200</v>
      </c>
      <c r="CL285">
        <f t="shared" si="684"/>
        <v>39650</v>
      </c>
      <c r="CM285">
        <f>_xlfn.XLOOKUP(B285,'[9]november-2025'!$A:$A,'[9]november-2025'!$C:$C,0,0)</f>
        <v>34500</v>
      </c>
      <c r="CN285">
        <f t="shared" si="685"/>
        <v>6210</v>
      </c>
      <c r="CO285">
        <f t="shared" si="686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87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88"/>
        <v>200</v>
      </c>
      <c r="CV285">
        <f t="shared" si="689"/>
        <v>39650</v>
      </c>
      <c r="CW285">
        <f>_xlfn.XLOOKUP(B285,'[10]december-2025'!$A:$A,'[10]december-2025'!$C:$C,0,0)</f>
        <v>34500</v>
      </c>
      <c r="CX285">
        <f t="shared" si="690"/>
        <v>6210</v>
      </c>
      <c r="CY285">
        <f t="shared" si="691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92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93"/>
        <v>200</v>
      </c>
      <c r="DF285">
        <f t="shared" si="694"/>
        <v>39650</v>
      </c>
      <c r="DG285">
        <f>_xlfn.XLOOKUP(B285,'[11]january-2026'!$A:$A,'[11]january-2026'!$C:$C,0,0)</f>
        <v>34500</v>
      </c>
      <c r="DH285">
        <f t="shared" si="695"/>
        <v>6210</v>
      </c>
      <c r="DI285">
        <f t="shared" si="696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7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8"/>
        <v>200</v>
      </c>
      <c r="DP285">
        <f t="shared" si="699"/>
        <v>39650</v>
      </c>
      <c r="DQ285">
        <f>_xlfn.XLOOKUP(B285,'[12]february-2026'!$A:$A,'[12]february-2026'!$C:$C,0,0)</f>
        <v>34500</v>
      </c>
      <c r="DR285">
        <f t="shared" si="700"/>
        <v>6210</v>
      </c>
      <c r="DS285">
        <f t="shared" si="701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2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3"/>
        <v>200</v>
      </c>
      <c r="DZ285">
        <f t="shared" si="704"/>
        <v>39650</v>
      </c>
      <c r="EA285">
        <f t="shared" si="705"/>
        <v>538460</v>
      </c>
      <c r="EB285">
        <f t="shared" si="706"/>
        <v>2400</v>
      </c>
      <c r="EC285">
        <f t="shared" si="707"/>
        <v>50000</v>
      </c>
      <c r="ED285">
        <v>0</v>
      </c>
      <c r="EE285">
        <f t="shared" si="708"/>
        <v>486060</v>
      </c>
      <c r="EF285">
        <f t="shared" si="709"/>
        <v>60000</v>
      </c>
      <c r="EG285">
        <f t="shared" si="710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1"/>
        <v>60000</v>
      </c>
      <c r="ES285">
        <f t="shared" si="712"/>
        <v>60000</v>
      </c>
      <c r="ET285">
        <f t="shared" si="713"/>
        <v>426060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4"/>
        <v>0</v>
      </c>
      <c r="FC285">
        <f t="shared" si="715"/>
        <v>426060</v>
      </c>
      <c r="FD285">
        <f t="shared" si="716"/>
        <v>8803</v>
      </c>
      <c r="FE285">
        <f t="shared" si="717"/>
        <v>0</v>
      </c>
      <c r="FF285">
        <f t="shared" si="718"/>
        <v>8803</v>
      </c>
      <c r="FG285">
        <f t="shared" si="719"/>
        <v>0</v>
      </c>
      <c r="FH285">
        <f t="shared" si="720"/>
        <v>0</v>
      </c>
      <c r="FI285">
        <f t="shared" si="721"/>
        <v>0</v>
      </c>
      <c r="FJ285">
        <v>0</v>
      </c>
      <c r="FK285">
        <f t="shared" si="722"/>
        <v>0</v>
      </c>
      <c r="FL285" t="b">
        <f t="shared" si="723"/>
        <v>1</v>
      </c>
      <c r="FM285">
        <f t="shared" ca="1" si="724"/>
        <v>891</v>
      </c>
      <c r="FN285">
        <f t="shared" ca="1" si="725"/>
        <v>539351</v>
      </c>
      <c r="FO285">
        <f t="shared" si="726"/>
        <v>75000</v>
      </c>
      <c r="FP285">
        <f t="shared" ca="1" si="727"/>
        <v>464351</v>
      </c>
      <c r="FQ285">
        <f t="shared" ca="1" si="728"/>
        <v>0</v>
      </c>
      <c r="FR285">
        <f t="shared" ca="1" si="729"/>
        <v>0</v>
      </c>
      <c r="FS285">
        <f t="shared" ca="1" si="730"/>
        <v>0</v>
      </c>
      <c r="FT285">
        <f t="shared" ca="1" si="731"/>
        <v>0</v>
      </c>
      <c r="FU285">
        <f t="shared" ca="1" si="732"/>
        <v>0</v>
      </c>
      <c r="FV285">
        <f t="shared" ca="1" si="733"/>
        <v>0</v>
      </c>
      <c r="FW285">
        <f t="shared" ca="1" si="734"/>
        <v>0</v>
      </c>
      <c r="FX285">
        <f t="shared" ca="1" si="735"/>
        <v>0</v>
      </c>
      <c r="FY285">
        <f t="shared" ca="1" si="736"/>
        <v>0</v>
      </c>
      <c r="FZ285">
        <f t="shared" ca="1" si="737"/>
        <v>0</v>
      </c>
      <c r="GA285">
        <f t="shared" ca="1" si="738"/>
        <v>64351</v>
      </c>
      <c r="GB285">
        <f t="shared" ca="1" si="739"/>
        <v>3217.55</v>
      </c>
      <c r="GC285">
        <f t="shared" ca="1" si="740"/>
        <v>3218</v>
      </c>
      <c r="GD285">
        <f t="shared" ca="1" si="741"/>
        <v>0</v>
      </c>
      <c r="GE285">
        <f t="shared" ca="1" si="742"/>
        <v>0</v>
      </c>
      <c r="GF285">
        <f t="shared" ca="1" si="743"/>
        <v>3218</v>
      </c>
      <c r="GG285">
        <f t="shared" ca="1" si="744"/>
        <v>0</v>
      </c>
      <c r="GH285" t="b">
        <f t="shared" ca="1" si="745"/>
        <v>0</v>
      </c>
      <c r="GI285">
        <f t="shared" ca="1" si="746"/>
        <v>0</v>
      </c>
      <c r="GJ285">
        <f t="shared" ca="1" si="747"/>
        <v>3218</v>
      </c>
      <c r="GK285">
        <f t="shared" ca="1" si="748"/>
        <v>0</v>
      </c>
      <c r="GL285">
        <f t="shared" ca="1" si="749"/>
        <v>0</v>
      </c>
      <c r="GM285">
        <f t="shared" ca="1" si="750"/>
        <v>0</v>
      </c>
    </row>
    <row r="286" spans="1:195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752"/>
        <v>6800</v>
      </c>
      <c r="I286">
        <f>_xlfn.XLOOKUP(B286,'[1]march-2025'!$A:$A,'[1]march-2025'!$J:$J,0,0)</f>
        <v>70100</v>
      </c>
      <c r="J286">
        <f>_xlfn.XLOOKUP(B286,'[1]march-2025'!$A:$A,'[1]march-2025'!$C:$C,0,0)</f>
        <v>28900</v>
      </c>
      <c r="K286">
        <f t="shared" si="646"/>
        <v>4046.0000000000005</v>
      </c>
      <c r="L286">
        <f t="shared" si="647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4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51"/>
        <v>150</v>
      </c>
      <c r="S286">
        <f t="shared" si="649"/>
        <v>36264</v>
      </c>
      <c r="T286">
        <f>_xlfn.XLOOKUP(B286,'[2]april-2025'!$A:$A,'[2]april-2025'!$C:$C,0,0)</f>
        <v>28900</v>
      </c>
      <c r="U286">
        <f t="shared" si="650"/>
        <v>5202</v>
      </c>
      <c r="V286">
        <f t="shared" si="651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52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53"/>
        <v>150</v>
      </c>
      <c r="AC286">
        <f t="shared" si="654"/>
        <v>37420</v>
      </c>
      <c r="AD286">
        <f>_xlfn.XLOOKUP(B286,'[3]may-2025'!$A:$A,'[3]may-2025'!$C:$C,0,0)</f>
        <v>28900</v>
      </c>
      <c r="AE286">
        <f t="shared" si="655"/>
        <v>5202</v>
      </c>
      <c r="AF286">
        <f t="shared" si="656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57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58"/>
        <v>150</v>
      </c>
      <c r="AM286">
        <f t="shared" si="659"/>
        <v>37420</v>
      </c>
      <c r="AN286">
        <f>_xlfn.XLOOKUP(B286,'[4]june-2025'!$A:$A,'[4]june-2025'!$C:$C,0,0)</f>
        <v>28900</v>
      </c>
      <c r="AO286">
        <f t="shared" si="660"/>
        <v>5202</v>
      </c>
      <c r="AP286">
        <f t="shared" si="66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62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63"/>
        <v>150</v>
      </c>
      <c r="AW286">
        <f t="shared" si="664"/>
        <v>37420</v>
      </c>
      <c r="AX286">
        <f>_xlfn.XLOOKUP(B286,'[5]july-2025'!$A:$A,'[5]july-2025'!$C:$C,0,0)</f>
        <v>29800</v>
      </c>
      <c r="AY286">
        <f t="shared" si="665"/>
        <v>5364</v>
      </c>
      <c r="AZ286">
        <v>0</v>
      </c>
      <c r="BA286">
        <f t="shared" si="666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67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68"/>
        <v>150</v>
      </c>
      <c r="BH286">
        <f t="shared" si="669"/>
        <v>38590</v>
      </c>
      <c r="BI286">
        <f>_xlfn.XLOOKUP(B286,'[6]august-2025'!$A:$A,'[6]august-2025'!$C:$C,0,0)</f>
        <v>29800</v>
      </c>
      <c r="BJ286">
        <f t="shared" si="670"/>
        <v>5364</v>
      </c>
      <c r="BK286">
        <f t="shared" si="671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72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73"/>
        <v>150</v>
      </c>
      <c r="BR286">
        <f t="shared" si="674"/>
        <v>38590</v>
      </c>
      <c r="BS286">
        <f>_xlfn.XLOOKUP(B286,'[7]september-2025'!$A:$A,'[7]september-2025'!$C:$C,0,0)</f>
        <v>29800</v>
      </c>
      <c r="BT286">
        <f t="shared" si="675"/>
        <v>5364</v>
      </c>
      <c r="BU286">
        <f t="shared" si="676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77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78"/>
        <v>150</v>
      </c>
      <c r="CB286">
        <f t="shared" si="679"/>
        <v>36590</v>
      </c>
      <c r="CC286">
        <f>_xlfn.XLOOKUP(B286,'[8]october-2025'!$A:$A,'[8]october-2025'!$C:$C,0,0)</f>
        <v>29800</v>
      </c>
      <c r="CD286">
        <f t="shared" si="680"/>
        <v>5364</v>
      </c>
      <c r="CE286">
        <f t="shared" si="681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82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83"/>
        <v>150</v>
      </c>
      <c r="CL286">
        <f t="shared" si="684"/>
        <v>36590</v>
      </c>
      <c r="CM286">
        <f>_xlfn.XLOOKUP(B286,'[9]november-2025'!$A:$A,'[9]november-2025'!$C:$C,0,0)</f>
        <v>29800</v>
      </c>
      <c r="CN286">
        <f t="shared" si="685"/>
        <v>5364</v>
      </c>
      <c r="CO286">
        <f t="shared" si="686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87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88"/>
        <v>150</v>
      </c>
      <c r="CV286">
        <f t="shared" si="689"/>
        <v>36590</v>
      </c>
      <c r="CW286">
        <f>_xlfn.XLOOKUP(B286,'[10]december-2025'!$A:$A,'[10]december-2025'!$C:$C,0,0)</f>
        <v>29800</v>
      </c>
      <c r="CX286">
        <f t="shared" si="690"/>
        <v>5364</v>
      </c>
      <c r="CY286">
        <f t="shared" si="691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92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93"/>
        <v>150</v>
      </c>
      <c r="DF286">
        <f t="shared" si="694"/>
        <v>36590</v>
      </c>
      <c r="DG286">
        <f>_xlfn.XLOOKUP(B286,'[11]january-2026'!$A:$A,'[11]january-2026'!$C:$C,0,0)</f>
        <v>29800</v>
      </c>
      <c r="DH286">
        <f t="shared" si="695"/>
        <v>5364</v>
      </c>
      <c r="DI286">
        <f t="shared" si="696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7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8"/>
        <v>150</v>
      </c>
      <c r="DP286">
        <f t="shared" si="699"/>
        <v>36590</v>
      </c>
      <c r="DQ286">
        <f>_xlfn.XLOOKUP(B286,'[12]february-2026'!$A:$A,'[12]february-2026'!$C:$C,0,0)</f>
        <v>29800</v>
      </c>
      <c r="DR286">
        <f t="shared" si="700"/>
        <v>5364</v>
      </c>
      <c r="DS286">
        <f t="shared" si="701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2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3"/>
        <v>150</v>
      </c>
      <c r="DZ286">
        <f t="shared" si="704"/>
        <v>36590</v>
      </c>
      <c r="EA286">
        <f t="shared" si="705"/>
        <v>535944</v>
      </c>
      <c r="EB286">
        <f t="shared" si="706"/>
        <v>1800</v>
      </c>
      <c r="EC286">
        <f t="shared" si="707"/>
        <v>50000</v>
      </c>
      <c r="ED286">
        <v>0</v>
      </c>
      <c r="EE286">
        <f t="shared" si="708"/>
        <v>484144</v>
      </c>
      <c r="EF286">
        <f t="shared" si="709"/>
        <v>12000</v>
      </c>
      <c r="EG286">
        <f t="shared" si="710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1"/>
        <v>12000</v>
      </c>
      <c r="ES286">
        <f t="shared" si="712"/>
        <v>12000</v>
      </c>
      <c r="ET286">
        <f t="shared" si="713"/>
        <v>472144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4"/>
        <v>0</v>
      </c>
      <c r="FC286">
        <f t="shared" si="715"/>
        <v>472144</v>
      </c>
      <c r="FD286">
        <f t="shared" si="716"/>
        <v>11107</v>
      </c>
      <c r="FE286">
        <f t="shared" si="717"/>
        <v>0</v>
      </c>
      <c r="FF286">
        <f t="shared" si="718"/>
        <v>11107</v>
      </c>
      <c r="FG286">
        <f t="shared" si="719"/>
        <v>0</v>
      </c>
      <c r="FH286">
        <f t="shared" si="720"/>
        <v>0</v>
      </c>
      <c r="FI286">
        <f t="shared" si="721"/>
        <v>0</v>
      </c>
      <c r="FJ286">
        <v>0</v>
      </c>
      <c r="FK286">
        <f t="shared" si="722"/>
        <v>0</v>
      </c>
      <c r="FL286" t="b">
        <f t="shared" si="723"/>
        <v>1</v>
      </c>
      <c r="FM286">
        <f t="shared" ca="1" si="724"/>
        <v>718</v>
      </c>
      <c r="FN286">
        <f t="shared" ca="1" si="725"/>
        <v>536662</v>
      </c>
      <c r="FO286">
        <f t="shared" si="726"/>
        <v>75000</v>
      </c>
      <c r="FP286">
        <f t="shared" ca="1" si="727"/>
        <v>461662</v>
      </c>
      <c r="FQ286">
        <f t="shared" ca="1" si="728"/>
        <v>0</v>
      </c>
      <c r="FR286">
        <f t="shared" ca="1" si="729"/>
        <v>0</v>
      </c>
      <c r="FS286">
        <f t="shared" ca="1" si="730"/>
        <v>0</v>
      </c>
      <c r="FT286">
        <f t="shared" ca="1" si="731"/>
        <v>0</v>
      </c>
      <c r="FU286">
        <f t="shared" ca="1" si="732"/>
        <v>0</v>
      </c>
      <c r="FV286">
        <f t="shared" ca="1" si="733"/>
        <v>0</v>
      </c>
      <c r="FW286">
        <f t="shared" ca="1" si="734"/>
        <v>0</v>
      </c>
      <c r="FX286">
        <f t="shared" ca="1" si="735"/>
        <v>0</v>
      </c>
      <c r="FY286">
        <f t="shared" ca="1" si="736"/>
        <v>0</v>
      </c>
      <c r="FZ286">
        <f t="shared" ca="1" si="737"/>
        <v>0</v>
      </c>
      <c r="GA286">
        <f t="shared" ca="1" si="738"/>
        <v>61662</v>
      </c>
      <c r="GB286">
        <f t="shared" ca="1" si="739"/>
        <v>3083.1000000000004</v>
      </c>
      <c r="GC286">
        <f t="shared" ca="1" si="740"/>
        <v>3083</v>
      </c>
      <c r="GD286">
        <f t="shared" ca="1" si="741"/>
        <v>0</v>
      </c>
      <c r="GE286">
        <f t="shared" ca="1" si="742"/>
        <v>0</v>
      </c>
      <c r="GF286">
        <f t="shared" ca="1" si="743"/>
        <v>3083</v>
      </c>
      <c r="GG286">
        <f t="shared" ca="1" si="744"/>
        <v>0</v>
      </c>
      <c r="GH286" t="b">
        <f t="shared" ca="1" si="745"/>
        <v>0</v>
      </c>
      <c r="GI286">
        <f t="shared" ca="1" si="746"/>
        <v>0</v>
      </c>
      <c r="GJ286">
        <f t="shared" ca="1" si="747"/>
        <v>3083</v>
      </c>
      <c r="GK286">
        <f t="shared" ca="1" si="748"/>
        <v>0</v>
      </c>
      <c r="GL286">
        <f t="shared" ca="1" si="749"/>
        <v>0</v>
      </c>
      <c r="GM286">
        <f t="shared" ca="1" si="750"/>
        <v>0</v>
      </c>
    </row>
    <row r="287" spans="1:195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752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46"/>
        <v>7238.0000000000009</v>
      </c>
      <c r="L287">
        <f t="shared" si="647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4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51"/>
        <v>200</v>
      </c>
      <c r="S287">
        <f t="shared" si="649"/>
        <v>61342</v>
      </c>
      <c r="T287">
        <f>_xlfn.XLOOKUP(B287,'[2]april-2025'!$A:$A,'[2]april-2025'!$C:$C,0,0)</f>
        <v>51700</v>
      </c>
      <c r="U287">
        <f t="shared" si="650"/>
        <v>9306</v>
      </c>
      <c r="V287">
        <f t="shared" si="651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52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53"/>
        <v>200</v>
      </c>
      <c r="AC287">
        <f t="shared" si="654"/>
        <v>63410</v>
      </c>
      <c r="AD287">
        <f>_xlfn.XLOOKUP(B287,'[3]may-2025'!$A:$A,'[3]may-2025'!$C:$C,0,0)</f>
        <v>51700</v>
      </c>
      <c r="AE287">
        <f t="shared" si="655"/>
        <v>9306</v>
      </c>
      <c r="AF287">
        <f t="shared" si="656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57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58"/>
        <v>200</v>
      </c>
      <c r="AM287">
        <f t="shared" si="659"/>
        <v>63410</v>
      </c>
      <c r="AN287">
        <f>_xlfn.XLOOKUP(B287,'[4]june-2025'!$A:$A,'[4]june-2025'!$C:$C,0,0)</f>
        <v>51700</v>
      </c>
      <c r="AO287">
        <f t="shared" si="660"/>
        <v>9306</v>
      </c>
      <c r="AP287">
        <f t="shared" si="66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62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63"/>
        <v>200</v>
      </c>
      <c r="AW287">
        <f t="shared" si="664"/>
        <v>63410</v>
      </c>
      <c r="AX287">
        <f>_xlfn.XLOOKUP(B287,'[5]july-2025'!$A:$A,'[5]july-2025'!$C:$C,0,0)</f>
        <v>53300</v>
      </c>
      <c r="AY287">
        <f t="shared" si="665"/>
        <v>9594</v>
      </c>
      <c r="AZ287">
        <v>0</v>
      </c>
      <c r="BA287">
        <f t="shared" si="666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67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68"/>
        <v>200</v>
      </c>
      <c r="BH287">
        <f t="shared" si="669"/>
        <v>65490</v>
      </c>
      <c r="BI287">
        <f>_xlfn.XLOOKUP(B287,'[6]august-2025'!$A:$A,'[6]august-2025'!$C:$C,0,0)</f>
        <v>53300</v>
      </c>
      <c r="BJ287">
        <f t="shared" si="670"/>
        <v>9594</v>
      </c>
      <c r="BK287">
        <f t="shared" si="671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72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73"/>
        <v>200</v>
      </c>
      <c r="BR287">
        <f t="shared" si="674"/>
        <v>65490</v>
      </c>
      <c r="BS287">
        <f>_xlfn.XLOOKUP(B287,'[7]september-2025'!$A:$A,'[7]september-2025'!$C:$C,0,0)</f>
        <v>53300</v>
      </c>
      <c r="BT287">
        <f t="shared" si="675"/>
        <v>9594</v>
      </c>
      <c r="BU287">
        <f t="shared" si="676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77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78"/>
        <v>200</v>
      </c>
      <c r="CB287">
        <f t="shared" si="679"/>
        <v>65490</v>
      </c>
      <c r="CC287">
        <f>_xlfn.XLOOKUP(B287,'[8]october-2025'!$A:$A,'[8]october-2025'!$C:$C,0,0)</f>
        <v>53300</v>
      </c>
      <c r="CD287">
        <f t="shared" si="680"/>
        <v>9594</v>
      </c>
      <c r="CE287">
        <f t="shared" si="681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82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83"/>
        <v>200</v>
      </c>
      <c r="CL287">
        <f t="shared" si="684"/>
        <v>65490</v>
      </c>
      <c r="CM287">
        <f>_xlfn.XLOOKUP(B287,'[9]november-2025'!$A:$A,'[9]november-2025'!$C:$C,0,0)</f>
        <v>53300</v>
      </c>
      <c r="CN287">
        <f t="shared" si="685"/>
        <v>9594</v>
      </c>
      <c r="CO287">
        <f t="shared" si="686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87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88"/>
        <v>200</v>
      </c>
      <c r="CV287">
        <f t="shared" si="689"/>
        <v>65490</v>
      </c>
      <c r="CW287">
        <f>_xlfn.XLOOKUP(B287,'[10]december-2025'!$A:$A,'[10]december-2025'!$C:$C,0,0)</f>
        <v>53300</v>
      </c>
      <c r="CX287">
        <f t="shared" si="690"/>
        <v>9594</v>
      </c>
      <c r="CY287">
        <f t="shared" si="691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92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93"/>
        <v>200</v>
      </c>
      <c r="DF287">
        <f t="shared" si="694"/>
        <v>65490</v>
      </c>
      <c r="DG287">
        <f>_xlfn.XLOOKUP(B287,'[11]january-2026'!$A:$A,'[11]january-2026'!$C:$C,0,0)</f>
        <v>53300</v>
      </c>
      <c r="DH287">
        <f t="shared" si="695"/>
        <v>9594</v>
      </c>
      <c r="DI287">
        <f t="shared" si="696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7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8"/>
        <v>200</v>
      </c>
      <c r="DP287">
        <f t="shared" si="699"/>
        <v>65490</v>
      </c>
      <c r="DQ287">
        <f>_xlfn.XLOOKUP(B287,'[12]february-2026'!$A:$A,'[12]february-2026'!$C:$C,0,0)</f>
        <v>53300</v>
      </c>
      <c r="DR287">
        <f t="shared" si="700"/>
        <v>9594</v>
      </c>
      <c r="DS287">
        <f t="shared" si="701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2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3"/>
        <v>200</v>
      </c>
      <c r="DZ287">
        <f t="shared" si="704"/>
        <v>65490</v>
      </c>
      <c r="EA287">
        <f t="shared" si="705"/>
        <v>832692</v>
      </c>
      <c r="EB287">
        <f t="shared" si="706"/>
        <v>2400</v>
      </c>
      <c r="EC287">
        <f t="shared" si="707"/>
        <v>50000</v>
      </c>
      <c r="ED287">
        <v>0</v>
      </c>
      <c r="EE287">
        <f t="shared" si="708"/>
        <v>780292</v>
      </c>
      <c r="EF287">
        <f t="shared" si="709"/>
        <v>48000</v>
      </c>
      <c r="EG287">
        <f t="shared" si="710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1"/>
        <v>48000</v>
      </c>
      <c r="ES287">
        <f t="shared" si="712"/>
        <v>48000</v>
      </c>
      <c r="ET287">
        <f t="shared" si="713"/>
        <v>732292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4"/>
        <v>0</v>
      </c>
      <c r="FC287">
        <f t="shared" si="715"/>
        <v>732292</v>
      </c>
      <c r="FD287">
        <f t="shared" si="716"/>
        <v>12500</v>
      </c>
      <c r="FE287">
        <f t="shared" si="717"/>
        <v>46458</v>
      </c>
      <c r="FF287">
        <f t="shared" si="718"/>
        <v>58958</v>
      </c>
      <c r="FG287">
        <f t="shared" si="719"/>
        <v>58958</v>
      </c>
      <c r="FH287">
        <f t="shared" si="720"/>
        <v>2358.3200000000002</v>
      </c>
      <c r="FI287">
        <f t="shared" si="721"/>
        <v>61316</v>
      </c>
      <c r="FJ287">
        <v>0</v>
      </c>
      <c r="FK287">
        <f t="shared" si="722"/>
        <v>61316</v>
      </c>
      <c r="FL287" t="b">
        <f t="shared" si="723"/>
        <v>1</v>
      </c>
      <c r="FM287">
        <f t="shared" ca="1" si="724"/>
        <v>568</v>
      </c>
      <c r="FN287">
        <f t="shared" ca="1" si="725"/>
        <v>833260</v>
      </c>
      <c r="FO287">
        <f t="shared" si="726"/>
        <v>75000</v>
      </c>
      <c r="FP287">
        <f t="shared" ca="1" si="727"/>
        <v>758260</v>
      </c>
      <c r="FQ287">
        <f t="shared" ca="1" si="728"/>
        <v>0</v>
      </c>
      <c r="FR287">
        <f t="shared" ca="1" si="729"/>
        <v>0</v>
      </c>
      <c r="FS287">
        <f t="shared" ca="1" si="730"/>
        <v>0</v>
      </c>
      <c r="FT287">
        <f t="shared" ca="1" si="731"/>
        <v>0</v>
      </c>
      <c r="FU287">
        <f t="shared" ca="1" si="732"/>
        <v>0</v>
      </c>
      <c r="FV287">
        <f t="shared" ca="1" si="733"/>
        <v>0</v>
      </c>
      <c r="FW287">
        <f t="shared" ca="1" si="734"/>
        <v>0</v>
      </c>
      <c r="FX287">
        <f t="shared" ca="1" si="735"/>
        <v>0</v>
      </c>
      <c r="FY287">
        <f t="shared" ca="1" si="736"/>
        <v>0</v>
      </c>
      <c r="FZ287">
        <f t="shared" ca="1" si="737"/>
        <v>0</v>
      </c>
      <c r="GA287">
        <f t="shared" ca="1" si="738"/>
        <v>358260</v>
      </c>
      <c r="GB287">
        <f t="shared" ca="1" si="739"/>
        <v>17913</v>
      </c>
      <c r="GC287">
        <f t="shared" ca="1" si="740"/>
        <v>17913</v>
      </c>
      <c r="GD287">
        <f t="shared" ca="1" si="741"/>
        <v>0</v>
      </c>
      <c r="GE287">
        <f t="shared" ca="1" si="742"/>
        <v>0</v>
      </c>
      <c r="GF287">
        <f t="shared" ca="1" si="743"/>
        <v>17913</v>
      </c>
      <c r="GG287">
        <f t="shared" ca="1" si="744"/>
        <v>0</v>
      </c>
      <c r="GH287" t="b">
        <f t="shared" ca="1" si="745"/>
        <v>0</v>
      </c>
      <c r="GI287">
        <f t="shared" ca="1" si="746"/>
        <v>0</v>
      </c>
      <c r="GJ287">
        <f t="shared" ca="1" si="747"/>
        <v>17913</v>
      </c>
      <c r="GK287">
        <f t="shared" ca="1" si="748"/>
        <v>0</v>
      </c>
      <c r="GL287">
        <f t="shared" ca="1" si="749"/>
        <v>0</v>
      </c>
      <c r="GM287">
        <f t="shared" ca="1" si="750"/>
        <v>0</v>
      </c>
    </row>
    <row r="288" spans="1:195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752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46"/>
        <v>4830.0000000000009</v>
      </c>
      <c r="L288">
        <f t="shared" si="647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4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51"/>
        <v>200</v>
      </c>
      <c r="S288">
        <f t="shared" si="649"/>
        <v>40770</v>
      </c>
      <c r="T288">
        <f>_xlfn.XLOOKUP(B288,'[2]april-2025'!$A:$A,'[2]april-2025'!$C:$C,0,0)</f>
        <v>34500</v>
      </c>
      <c r="U288">
        <f t="shared" si="650"/>
        <v>6210</v>
      </c>
      <c r="V288">
        <f t="shared" si="651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52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53"/>
        <v>200</v>
      </c>
      <c r="AC288">
        <f t="shared" si="654"/>
        <v>42150</v>
      </c>
      <c r="AD288">
        <f>_xlfn.XLOOKUP(B288,'[3]may-2025'!$A:$A,'[3]may-2025'!$C:$C,0,0)</f>
        <v>34500</v>
      </c>
      <c r="AE288">
        <f t="shared" si="655"/>
        <v>6210</v>
      </c>
      <c r="AF288">
        <f t="shared" si="656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57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58"/>
        <v>200</v>
      </c>
      <c r="AM288">
        <f t="shared" si="659"/>
        <v>42150</v>
      </c>
      <c r="AN288">
        <f>_xlfn.XLOOKUP(B288,'[4]june-2025'!$A:$A,'[4]june-2025'!$C:$C,0,0)</f>
        <v>34500</v>
      </c>
      <c r="AO288">
        <f t="shared" si="660"/>
        <v>6210</v>
      </c>
      <c r="AP288">
        <f t="shared" si="66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62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63"/>
        <v>200</v>
      </c>
      <c r="AW288">
        <f t="shared" si="664"/>
        <v>42150</v>
      </c>
      <c r="AX288">
        <f>_xlfn.XLOOKUP(B288,'[5]july-2025'!$A:$A,'[5]july-2025'!$C:$C,0,0)</f>
        <v>35500</v>
      </c>
      <c r="AY288">
        <f t="shared" si="665"/>
        <v>6390</v>
      </c>
      <c r="AZ288">
        <v>0</v>
      </c>
      <c r="BA288">
        <f t="shared" si="666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67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68"/>
        <v>200</v>
      </c>
      <c r="BH288">
        <f t="shared" si="669"/>
        <v>43450</v>
      </c>
      <c r="BI288">
        <f>_xlfn.XLOOKUP(B288,'[6]august-2025'!$A:$A,'[6]august-2025'!$C:$C,0,0)</f>
        <v>35500</v>
      </c>
      <c r="BJ288">
        <f t="shared" si="670"/>
        <v>6390</v>
      </c>
      <c r="BK288">
        <f t="shared" si="671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72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73"/>
        <v>200</v>
      </c>
      <c r="BR288">
        <f t="shared" si="674"/>
        <v>43450</v>
      </c>
      <c r="BS288">
        <f>_xlfn.XLOOKUP(B288,'[7]september-2025'!$A:$A,'[7]september-2025'!$C:$C,0,0)</f>
        <v>35500</v>
      </c>
      <c r="BT288">
        <f t="shared" si="675"/>
        <v>6390</v>
      </c>
      <c r="BU288">
        <f t="shared" si="676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77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78"/>
        <v>200</v>
      </c>
      <c r="CB288">
        <f t="shared" si="679"/>
        <v>43450</v>
      </c>
      <c r="CC288">
        <f>_xlfn.XLOOKUP(B288,'[8]october-2025'!$A:$A,'[8]october-2025'!$C:$C,0,0)</f>
        <v>35500</v>
      </c>
      <c r="CD288">
        <f t="shared" si="680"/>
        <v>6390</v>
      </c>
      <c r="CE288">
        <f t="shared" si="681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82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83"/>
        <v>200</v>
      </c>
      <c r="CL288">
        <f t="shared" si="684"/>
        <v>43450</v>
      </c>
      <c r="CM288">
        <f>_xlfn.XLOOKUP(B288,'[9]november-2025'!$A:$A,'[9]november-2025'!$C:$C,0,0)</f>
        <v>35500</v>
      </c>
      <c r="CN288">
        <f t="shared" si="685"/>
        <v>6390</v>
      </c>
      <c r="CO288">
        <f t="shared" si="686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87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88"/>
        <v>200</v>
      </c>
      <c r="CV288">
        <f t="shared" si="689"/>
        <v>43450</v>
      </c>
      <c r="CW288">
        <f>_xlfn.XLOOKUP(B288,'[10]december-2025'!$A:$A,'[10]december-2025'!$C:$C,0,0)</f>
        <v>35500</v>
      </c>
      <c r="CX288">
        <f t="shared" si="690"/>
        <v>6390</v>
      </c>
      <c r="CY288">
        <f t="shared" si="691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92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93"/>
        <v>200</v>
      </c>
      <c r="DF288">
        <f t="shared" si="694"/>
        <v>43450</v>
      </c>
      <c r="DG288">
        <f>_xlfn.XLOOKUP(B288,'[11]january-2026'!$A:$A,'[11]january-2026'!$C:$C,0,0)</f>
        <v>35500</v>
      </c>
      <c r="DH288">
        <f t="shared" si="695"/>
        <v>6390</v>
      </c>
      <c r="DI288">
        <f t="shared" si="696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7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8"/>
        <v>200</v>
      </c>
      <c r="DP288">
        <f t="shared" si="699"/>
        <v>43450</v>
      </c>
      <c r="DQ288">
        <f>_xlfn.XLOOKUP(B288,'[12]february-2026'!$A:$A,'[12]february-2026'!$C:$C,0,0)</f>
        <v>35500</v>
      </c>
      <c r="DR288">
        <f t="shared" si="700"/>
        <v>6390</v>
      </c>
      <c r="DS288">
        <f t="shared" si="701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2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3"/>
        <v>200</v>
      </c>
      <c r="DZ288">
        <f t="shared" si="704"/>
        <v>43450</v>
      </c>
      <c r="EA288">
        <f t="shared" si="705"/>
        <v>560020</v>
      </c>
      <c r="EB288">
        <f t="shared" si="706"/>
        <v>2400</v>
      </c>
      <c r="EC288">
        <f t="shared" si="707"/>
        <v>50000</v>
      </c>
      <c r="ED288">
        <v>0</v>
      </c>
      <c r="EE288">
        <f t="shared" si="708"/>
        <v>507620</v>
      </c>
      <c r="EF288">
        <f t="shared" si="709"/>
        <v>36000</v>
      </c>
      <c r="EG288">
        <f t="shared" si="710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1"/>
        <v>36000</v>
      </c>
      <c r="ES288">
        <f t="shared" si="712"/>
        <v>36000</v>
      </c>
      <c r="ET288">
        <f t="shared" si="713"/>
        <v>471620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4"/>
        <v>0</v>
      </c>
      <c r="FC288">
        <f t="shared" si="715"/>
        <v>471620</v>
      </c>
      <c r="FD288">
        <f t="shared" si="716"/>
        <v>11081</v>
      </c>
      <c r="FE288">
        <f t="shared" si="717"/>
        <v>0</v>
      </c>
      <c r="FF288">
        <f t="shared" si="718"/>
        <v>11081</v>
      </c>
      <c r="FG288">
        <f t="shared" si="719"/>
        <v>0</v>
      </c>
      <c r="FH288">
        <f t="shared" si="720"/>
        <v>0</v>
      </c>
      <c r="FI288">
        <f t="shared" si="721"/>
        <v>0</v>
      </c>
      <c r="FJ288">
        <v>0</v>
      </c>
      <c r="FK288">
        <f t="shared" si="722"/>
        <v>0</v>
      </c>
      <c r="FL288" t="b">
        <f t="shared" si="723"/>
        <v>1</v>
      </c>
      <c r="FM288">
        <f t="shared" ca="1" si="724"/>
        <v>719</v>
      </c>
      <c r="FN288">
        <f t="shared" ca="1" si="725"/>
        <v>560739</v>
      </c>
      <c r="FO288">
        <f t="shared" si="726"/>
        <v>75000</v>
      </c>
      <c r="FP288">
        <f t="shared" ca="1" si="727"/>
        <v>485739</v>
      </c>
      <c r="FQ288">
        <f t="shared" ca="1" si="728"/>
        <v>0</v>
      </c>
      <c r="FR288">
        <f t="shared" ca="1" si="729"/>
        <v>0</v>
      </c>
      <c r="FS288">
        <f t="shared" ca="1" si="730"/>
        <v>0</v>
      </c>
      <c r="FT288">
        <f t="shared" ca="1" si="731"/>
        <v>0</v>
      </c>
      <c r="FU288">
        <f t="shared" ca="1" si="732"/>
        <v>0</v>
      </c>
      <c r="FV288">
        <f t="shared" ca="1" si="733"/>
        <v>0</v>
      </c>
      <c r="FW288">
        <f t="shared" ca="1" si="734"/>
        <v>0</v>
      </c>
      <c r="FX288">
        <f t="shared" ca="1" si="735"/>
        <v>0</v>
      </c>
      <c r="FY288">
        <f t="shared" ca="1" si="736"/>
        <v>0</v>
      </c>
      <c r="FZ288">
        <f t="shared" ca="1" si="737"/>
        <v>0</v>
      </c>
      <c r="GA288">
        <f t="shared" ca="1" si="738"/>
        <v>85739</v>
      </c>
      <c r="GB288">
        <f t="shared" ca="1" si="739"/>
        <v>4286.95</v>
      </c>
      <c r="GC288">
        <f t="shared" ca="1" si="740"/>
        <v>4287</v>
      </c>
      <c r="GD288">
        <f t="shared" ca="1" si="741"/>
        <v>0</v>
      </c>
      <c r="GE288">
        <f t="shared" ca="1" si="742"/>
        <v>0</v>
      </c>
      <c r="GF288">
        <f t="shared" ca="1" si="743"/>
        <v>4287</v>
      </c>
      <c r="GG288">
        <f t="shared" ca="1" si="744"/>
        <v>0</v>
      </c>
      <c r="GH288" t="b">
        <f t="shared" ca="1" si="745"/>
        <v>0</v>
      </c>
      <c r="GI288">
        <f t="shared" ca="1" si="746"/>
        <v>0</v>
      </c>
      <c r="GJ288">
        <f t="shared" ca="1" si="747"/>
        <v>4287</v>
      </c>
      <c r="GK288">
        <f t="shared" ca="1" si="748"/>
        <v>0</v>
      </c>
      <c r="GL288">
        <f t="shared" ca="1" si="749"/>
        <v>0</v>
      </c>
      <c r="GM288">
        <f t="shared" ca="1" si="750"/>
        <v>0</v>
      </c>
    </row>
    <row r="289" spans="1:195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752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46"/>
        <v>4830.0000000000009</v>
      </c>
      <c r="L289">
        <f t="shared" si="647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4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51"/>
        <v>200</v>
      </c>
      <c r="S289">
        <f t="shared" si="649"/>
        <v>41270</v>
      </c>
      <c r="T289">
        <f>_xlfn.XLOOKUP(B289,'[2]april-2025'!$A:$A,'[2]april-2025'!$C:$C,0,0)</f>
        <v>34500</v>
      </c>
      <c r="U289">
        <f t="shared" si="650"/>
        <v>6210</v>
      </c>
      <c r="V289">
        <f t="shared" si="651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52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53"/>
        <v>200</v>
      </c>
      <c r="AC289">
        <f t="shared" si="654"/>
        <v>42650</v>
      </c>
      <c r="AD289">
        <f>_xlfn.XLOOKUP(B289,'[3]may-2025'!$A:$A,'[3]may-2025'!$C:$C,0,0)</f>
        <v>34500</v>
      </c>
      <c r="AE289">
        <f t="shared" si="655"/>
        <v>6210</v>
      </c>
      <c r="AF289">
        <f t="shared" si="656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57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58"/>
        <v>200</v>
      </c>
      <c r="AM289">
        <f t="shared" si="659"/>
        <v>42650</v>
      </c>
      <c r="AN289">
        <f>_xlfn.XLOOKUP(B289,'[4]june-2025'!$A:$A,'[4]june-2025'!$C:$C,0,0)</f>
        <v>34500</v>
      </c>
      <c r="AO289">
        <f t="shared" si="660"/>
        <v>6210</v>
      </c>
      <c r="AP289">
        <f t="shared" si="66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62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63"/>
        <v>200</v>
      </c>
      <c r="AW289">
        <f t="shared" si="664"/>
        <v>42650</v>
      </c>
      <c r="AX289">
        <f>_xlfn.XLOOKUP(B289,'[5]july-2025'!$A:$A,'[5]july-2025'!$C:$C,0,0)</f>
        <v>35500</v>
      </c>
      <c r="AY289">
        <f t="shared" si="665"/>
        <v>6390</v>
      </c>
      <c r="AZ289">
        <v>0</v>
      </c>
      <c r="BA289">
        <f t="shared" si="666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67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68"/>
        <v>200</v>
      </c>
      <c r="BH289">
        <f t="shared" si="669"/>
        <v>43950</v>
      </c>
      <c r="BI289">
        <f>_xlfn.XLOOKUP(B289,'[6]august-2025'!$A:$A,'[6]august-2025'!$C:$C,0,0)</f>
        <v>35500</v>
      </c>
      <c r="BJ289">
        <f t="shared" si="670"/>
        <v>6390</v>
      </c>
      <c r="BK289">
        <f t="shared" si="671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72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73"/>
        <v>200</v>
      </c>
      <c r="BR289">
        <f t="shared" si="674"/>
        <v>43950</v>
      </c>
      <c r="BS289">
        <f>_xlfn.XLOOKUP(B289,'[7]september-2025'!$A:$A,'[7]september-2025'!$C:$C,0,0)</f>
        <v>35500</v>
      </c>
      <c r="BT289">
        <f t="shared" si="675"/>
        <v>6390</v>
      </c>
      <c r="BU289">
        <f t="shared" si="676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77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78"/>
        <v>200</v>
      </c>
      <c r="CB289">
        <f t="shared" si="679"/>
        <v>43950</v>
      </c>
      <c r="CC289">
        <f>_xlfn.XLOOKUP(B289,'[8]october-2025'!$A:$A,'[8]october-2025'!$C:$C,0,0)</f>
        <v>35500</v>
      </c>
      <c r="CD289">
        <f t="shared" si="680"/>
        <v>6390</v>
      </c>
      <c r="CE289">
        <f t="shared" si="681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82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83"/>
        <v>200</v>
      </c>
      <c r="CL289">
        <f t="shared" si="684"/>
        <v>43950</v>
      </c>
      <c r="CM289">
        <f>_xlfn.XLOOKUP(B289,'[9]november-2025'!$A:$A,'[9]november-2025'!$C:$C,0,0)</f>
        <v>35500</v>
      </c>
      <c r="CN289">
        <f t="shared" si="685"/>
        <v>6390</v>
      </c>
      <c r="CO289">
        <f t="shared" si="686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87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88"/>
        <v>200</v>
      </c>
      <c r="CV289">
        <f t="shared" si="689"/>
        <v>43950</v>
      </c>
      <c r="CW289">
        <f>_xlfn.XLOOKUP(B289,'[10]december-2025'!$A:$A,'[10]december-2025'!$C:$C,0,0)</f>
        <v>35500</v>
      </c>
      <c r="CX289">
        <f t="shared" si="690"/>
        <v>6390</v>
      </c>
      <c r="CY289">
        <f t="shared" si="691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92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93"/>
        <v>200</v>
      </c>
      <c r="DF289">
        <f t="shared" si="694"/>
        <v>43950</v>
      </c>
      <c r="DG289">
        <f>_xlfn.XLOOKUP(B289,'[11]january-2026'!$A:$A,'[11]january-2026'!$C:$C,0,0)</f>
        <v>35500</v>
      </c>
      <c r="DH289">
        <f t="shared" si="695"/>
        <v>6390</v>
      </c>
      <c r="DI289">
        <f t="shared" si="696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7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8"/>
        <v>200</v>
      </c>
      <c r="DP289">
        <f t="shared" si="699"/>
        <v>43950</v>
      </c>
      <c r="DQ289">
        <f>_xlfn.XLOOKUP(B289,'[12]february-2026'!$A:$A,'[12]february-2026'!$C:$C,0,0)</f>
        <v>35500</v>
      </c>
      <c r="DR289">
        <f t="shared" si="700"/>
        <v>6390</v>
      </c>
      <c r="DS289">
        <f t="shared" si="701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2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3"/>
        <v>200</v>
      </c>
      <c r="DZ289">
        <f t="shared" si="704"/>
        <v>43950</v>
      </c>
      <c r="EA289">
        <f t="shared" si="705"/>
        <v>560020</v>
      </c>
      <c r="EB289">
        <f t="shared" si="706"/>
        <v>2400</v>
      </c>
      <c r="EC289">
        <f t="shared" si="707"/>
        <v>50000</v>
      </c>
      <c r="ED289">
        <v>0</v>
      </c>
      <c r="EE289">
        <f t="shared" si="708"/>
        <v>507620</v>
      </c>
      <c r="EF289">
        <f t="shared" si="709"/>
        <v>30000</v>
      </c>
      <c r="EG289">
        <f t="shared" si="710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1"/>
        <v>30000</v>
      </c>
      <c r="ES289">
        <f t="shared" si="712"/>
        <v>30000</v>
      </c>
      <c r="ET289">
        <f t="shared" si="713"/>
        <v>477620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4"/>
        <v>0</v>
      </c>
      <c r="FC289">
        <f t="shared" si="715"/>
        <v>477620</v>
      </c>
      <c r="FD289">
        <f t="shared" si="716"/>
        <v>11381</v>
      </c>
      <c r="FE289">
        <f t="shared" si="717"/>
        <v>0</v>
      </c>
      <c r="FF289">
        <f t="shared" si="718"/>
        <v>11381</v>
      </c>
      <c r="FG289">
        <f t="shared" si="719"/>
        <v>0</v>
      </c>
      <c r="FH289">
        <f t="shared" si="720"/>
        <v>0</v>
      </c>
      <c r="FI289">
        <f t="shared" si="721"/>
        <v>0</v>
      </c>
      <c r="FJ289">
        <v>0</v>
      </c>
      <c r="FK289">
        <f t="shared" si="722"/>
        <v>0</v>
      </c>
      <c r="FL289" t="b">
        <f t="shared" si="723"/>
        <v>1</v>
      </c>
      <c r="FM289">
        <f t="shared" ca="1" si="724"/>
        <v>599</v>
      </c>
      <c r="FN289">
        <f t="shared" ca="1" si="725"/>
        <v>560619</v>
      </c>
      <c r="FO289">
        <f t="shared" si="726"/>
        <v>75000</v>
      </c>
      <c r="FP289">
        <f t="shared" ca="1" si="727"/>
        <v>485619</v>
      </c>
      <c r="FQ289">
        <f t="shared" ca="1" si="728"/>
        <v>0</v>
      </c>
      <c r="FR289">
        <f t="shared" ca="1" si="729"/>
        <v>0</v>
      </c>
      <c r="FS289">
        <f t="shared" ca="1" si="730"/>
        <v>0</v>
      </c>
      <c r="FT289">
        <f t="shared" ca="1" si="731"/>
        <v>0</v>
      </c>
      <c r="FU289">
        <f t="shared" ca="1" si="732"/>
        <v>0</v>
      </c>
      <c r="FV289">
        <f t="shared" ca="1" si="733"/>
        <v>0</v>
      </c>
      <c r="FW289">
        <f t="shared" ca="1" si="734"/>
        <v>0</v>
      </c>
      <c r="FX289">
        <f t="shared" ca="1" si="735"/>
        <v>0</v>
      </c>
      <c r="FY289">
        <f t="shared" ca="1" si="736"/>
        <v>0</v>
      </c>
      <c r="FZ289">
        <f t="shared" ca="1" si="737"/>
        <v>0</v>
      </c>
      <c r="GA289">
        <f t="shared" ca="1" si="738"/>
        <v>85619</v>
      </c>
      <c r="GB289">
        <f t="shared" ca="1" si="739"/>
        <v>4280.95</v>
      </c>
      <c r="GC289">
        <f t="shared" ca="1" si="740"/>
        <v>4281</v>
      </c>
      <c r="GD289">
        <f t="shared" ca="1" si="741"/>
        <v>0</v>
      </c>
      <c r="GE289">
        <f t="shared" ca="1" si="742"/>
        <v>0</v>
      </c>
      <c r="GF289">
        <f t="shared" ca="1" si="743"/>
        <v>4281</v>
      </c>
      <c r="GG289">
        <f t="shared" ca="1" si="744"/>
        <v>0</v>
      </c>
      <c r="GH289" t="b">
        <f t="shared" ca="1" si="745"/>
        <v>0</v>
      </c>
      <c r="GI289">
        <f t="shared" ca="1" si="746"/>
        <v>0</v>
      </c>
      <c r="GJ289">
        <f t="shared" ca="1" si="747"/>
        <v>4281</v>
      </c>
      <c r="GK289">
        <f t="shared" ca="1" si="748"/>
        <v>0</v>
      </c>
      <c r="GL289">
        <f t="shared" ca="1" si="749"/>
        <v>0</v>
      </c>
      <c r="GM289">
        <f t="shared" ca="1" si="750"/>
        <v>0</v>
      </c>
    </row>
    <row r="290" spans="1:195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752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46"/>
        <v>3780.0000000000005</v>
      </c>
      <c r="L290">
        <f t="shared" si="647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4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51"/>
        <v>150</v>
      </c>
      <c r="S290">
        <f t="shared" si="649"/>
        <v>32370</v>
      </c>
      <c r="T290">
        <f>_xlfn.XLOOKUP(B290,'[2]april-2025'!$A:$A,'[2]april-2025'!$C:$C,0,0)</f>
        <v>27000</v>
      </c>
      <c r="U290">
        <f t="shared" si="650"/>
        <v>4860</v>
      </c>
      <c r="V290">
        <f t="shared" si="651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52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53"/>
        <v>150</v>
      </c>
      <c r="AC290">
        <f t="shared" si="654"/>
        <v>33450</v>
      </c>
      <c r="AD290">
        <f>_xlfn.XLOOKUP(B290,'[3]may-2025'!$A:$A,'[3]may-2025'!$C:$C,0,0)</f>
        <v>31600</v>
      </c>
      <c r="AE290">
        <f t="shared" si="655"/>
        <v>5688</v>
      </c>
      <c r="AF290">
        <f t="shared" si="656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57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58"/>
        <v>200</v>
      </c>
      <c r="AM290">
        <f t="shared" si="659"/>
        <v>39380</v>
      </c>
      <c r="AN290">
        <f>_xlfn.XLOOKUP(B290,'[4]june-2025'!$A:$A,'[4]june-2025'!$C:$C,0,0)</f>
        <v>27000</v>
      </c>
      <c r="AO290">
        <f t="shared" si="660"/>
        <v>4860</v>
      </c>
      <c r="AP290">
        <f t="shared" si="66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62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63"/>
        <v>150</v>
      </c>
      <c r="AW290">
        <f t="shared" si="664"/>
        <v>33450</v>
      </c>
      <c r="AX290">
        <f>_xlfn.XLOOKUP(B290,'[5]july-2025'!$A:$A,'[5]july-2025'!$C:$C,0,0)</f>
        <v>32500</v>
      </c>
      <c r="AY290">
        <f t="shared" si="665"/>
        <v>5850</v>
      </c>
      <c r="AZ290">
        <v>0</v>
      </c>
      <c r="BA290">
        <f t="shared" si="666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67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68"/>
        <v>200</v>
      </c>
      <c r="BH290">
        <f t="shared" si="669"/>
        <v>40550</v>
      </c>
      <c r="BI290">
        <f>_xlfn.XLOOKUP(B290,'[6]august-2025'!$A:$A,'[6]august-2025'!$C:$C,0,0)</f>
        <v>32500</v>
      </c>
      <c r="BJ290">
        <f t="shared" si="670"/>
        <v>5850</v>
      </c>
      <c r="BK290">
        <f t="shared" si="671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72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73"/>
        <v>200</v>
      </c>
      <c r="BR290">
        <f t="shared" si="674"/>
        <v>40550</v>
      </c>
      <c r="BS290">
        <f>_xlfn.XLOOKUP(B290,'[7]september-2025'!$A:$A,'[7]september-2025'!$C:$C,0,0)</f>
        <v>32500</v>
      </c>
      <c r="BT290">
        <f t="shared" si="675"/>
        <v>5850</v>
      </c>
      <c r="BU290">
        <f t="shared" si="676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77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78"/>
        <v>200</v>
      </c>
      <c r="CB290">
        <f t="shared" si="679"/>
        <v>40550</v>
      </c>
      <c r="CC290">
        <f>_xlfn.XLOOKUP(B290,'[8]october-2025'!$A:$A,'[8]october-2025'!$C:$C,0,0)</f>
        <v>32500</v>
      </c>
      <c r="CD290">
        <f t="shared" si="680"/>
        <v>5850</v>
      </c>
      <c r="CE290">
        <f t="shared" si="681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82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83"/>
        <v>200</v>
      </c>
      <c r="CL290">
        <f t="shared" si="684"/>
        <v>40550</v>
      </c>
      <c r="CM290">
        <f>_xlfn.XLOOKUP(B290,'[9]november-2025'!$A:$A,'[9]november-2025'!$C:$C,0,0)</f>
        <v>32500</v>
      </c>
      <c r="CN290">
        <f t="shared" si="685"/>
        <v>5850</v>
      </c>
      <c r="CO290">
        <f t="shared" si="686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87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88"/>
        <v>200</v>
      </c>
      <c r="CV290">
        <f t="shared" si="689"/>
        <v>40550</v>
      </c>
      <c r="CW290">
        <f>_xlfn.XLOOKUP(B290,'[10]december-2025'!$A:$A,'[10]december-2025'!$C:$C,0,0)</f>
        <v>32500</v>
      </c>
      <c r="CX290">
        <f t="shared" si="690"/>
        <v>5850</v>
      </c>
      <c r="CY290">
        <f t="shared" si="691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92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93"/>
        <v>200</v>
      </c>
      <c r="DF290">
        <f t="shared" si="694"/>
        <v>40550</v>
      </c>
      <c r="DG290">
        <f>_xlfn.XLOOKUP(B290,'[11]january-2026'!$A:$A,'[11]january-2026'!$C:$C,0,0)</f>
        <v>32500</v>
      </c>
      <c r="DH290">
        <f t="shared" si="695"/>
        <v>5850</v>
      </c>
      <c r="DI290">
        <f t="shared" si="696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7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8"/>
        <v>200</v>
      </c>
      <c r="DP290">
        <f t="shared" si="699"/>
        <v>40550</v>
      </c>
      <c r="DQ290">
        <f>_xlfn.XLOOKUP(B290,'[12]february-2026'!$A:$A,'[12]february-2026'!$C:$C,0,0)</f>
        <v>32500</v>
      </c>
      <c r="DR290">
        <f t="shared" si="700"/>
        <v>5850</v>
      </c>
      <c r="DS290">
        <f t="shared" si="701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2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3"/>
        <v>200</v>
      </c>
      <c r="DZ290">
        <f t="shared" si="704"/>
        <v>40550</v>
      </c>
      <c r="EA290">
        <f t="shared" si="705"/>
        <v>496100</v>
      </c>
      <c r="EB290">
        <f t="shared" si="706"/>
        <v>2250</v>
      </c>
      <c r="EC290">
        <f t="shared" si="707"/>
        <v>50000</v>
      </c>
      <c r="ED290">
        <v>0</v>
      </c>
      <c r="EE290">
        <f t="shared" si="708"/>
        <v>443850</v>
      </c>
      <c r="EF290">
        <f t="shared" si="709"/>
        <v>24000</v>
      </c>
      <c r="EG290">
        <f t="shared" si="710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1"/>
        <v>24000</v>
      </c>
      <c r="ES290">
        <f t="shared" si="712"/>
        <v>24000</v>
      </c>
      <c r="ET290">
        <f t="shared" si="713"/>
        <v>419850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4"/>
        <v>0</v>
      </c>
      <c r="FC290">
        <f t="shared" si="715"/>
        <v>419850</v>
      </c>
      <c r="FD290">
        <f t="shared" si="716"/>
        <v>8493</v>
      </c>
      <c r="FE290">
        <f t="shared" si="717"/>
        <v>0</v>
      </c>
      <c r="FF290">
        <f t="shared" si="718"/>
        <v>8493</v>
      </c>
      <c r="FG290">
        <f t="shared" si="719"/>
        <v>0</v>
      </c>
      <c r="FH290">
        <f t="shared" si="720"/>
        <v>0</v>
      </c>
      <c r="FI290">
        <f t="shared" si="721"/>
        <v>0</v>
      </c>
      <c r="FJ290">
        <v>0</v>
      </c>
      <c r="FK290">
        <f t="shared" si="722"/>
        <v>0</v>
      </c>
      <c r="FL290" t="b">
        <f t="shared" si="723"/>
        <v>0</v>
      </c>
      <c r="FM290">
        <f t="shared" ca="1" si="724"/>
        <v>1279</v>
      </c>
      <c r="FN290">
        <f t="shared" ca="1" si="725"/>
        <v>497379</v>
      </c>
      <c r="FO290">
        <f t="shared" si="726"/>
        <v>75000</v>
      </c>
      <c r="FP290">
        <f t="shared" ca="1" si="727"/>
        <v>422379</v>
      </c>
      <c r="FQ290">
        <f t="shared" ca="1" si="728"/>
        <v>0</v>
      </c>
      <c r="FR290">
        <f t="shared" ca="1" si="729"/>
        <v>0</v>
      </c>
      <c r="FS290">
        <f t="shared" ca="1" si="730"/>
        <v>0</v>
      </c>
      <c r="FT290">
        <f t="shared" ca="1" si="731"/>
        <v>0</v>
      </c>
      <c r="FU290">
        <f t="shared" ca="1" si="732"/>
        <v>0</v>
      </c>
      <c r="FV290">
        <f t="shared" ca="1" si="733"/>
        <v>0</v>
      </c>
      <c r="FW290">
        <f t="shared" ca="1" si="734"/>
        <v>0</v>
      </c>
      <c r="FX290">
        <f t="shared" ca="1" si="735"/>
        <v>0</v>
      </c>
      <c r="FY290">
        <f t="shared" ca="1" si="736"/>
        <v>0</v>
      </c>
      <c r="FZ290">
        <f t="shared" ca="1" si="737"/>
        <v>0</v>
      </c>
      <c r="GA290">
        <f t="shared" ca="1" si="738"/>
        <v>22379</v>
      </c>
      <c r="GB290">
        <f t="shared" ca="1" si="739"/>
        <v>1118.95</v>
      </c>
      <c r="GC290">
        <f t="shared" ca="1" si="740"/>
        <v>1119</v>
      </c>
      <c r="GD290">
        <f t="shared" ca="1" si="741"/>
        <v>0</v>
      </c>
      <c r="GE290">
        <f t="shared" ca="1" si="742"/>
        <v>0</v>
      </c>
      <c r="GF290">
        <f t="shared" ca="1" si="743"/>
        <v>1119</v>
      </c>
      <c r="GG290">
        <f t="shared" ca="1" si="744"/>
        <v>0</v>
      </c>
      <c r="GH290" t="b">
        <f t="shared" ca="1" si="745"/>
        <v>0</v>
      </c>
      <c r="GI290">
        <f t="shared" ca="1" si="746"/>
        <v>0</v>
      </c>
      <c r="GJ290">
        <f t="shared" ca="1" si="747"/>
        <v>1119</v>
      </c>
      <c r="GK290">
        <f t="shared" ca="1" si="748"/>
        <v>0</v>
      </c>
      <c r="GL290">
        <f t="shared" ca="1" si="749"/>
        <v>0</v>
      </c>
      <c r="GM290">
        <f t="shared" ca="1" si="750"/>
        <v>0</v>
      </c>
    </row>
    <row r="291" spans="1:195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752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46"/>
        <v>4424</v>
      </c>
      <c r="L291">
        <f t="shared" si="647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4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51"/>
        <v>150</v>
      </c>
      <c r="S291">
        <f t="shared" si="649"/>
        <v>37666</v>
      </c>
      <c r="T291">
        <f>_xlfn.XLOOKUP(B291,'[2]april-2025'!$A:$A,'[2]april-2025'!$C:$C,0,0)</f>
        <v>31600</v>
      </c>
      <c r="U291">
        <f t="shared" si="650"/>
        <v>5688</v>
      </c>
      <c r="V291">
        <f t="shared" si="651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52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53"/>
        <v>200</v>
      </c>
      <c r="AC291">
        <f t="shared" si="654"/>
        <v>38880</v>
      </c>
      <c r="AD291">
        <f>_xlfn.XLOOKUP(B291,'[3]may-2025'!$A:$A,'[3]may-2025'!$C:$C,0,0)</f>
        <v>31600</v>
      </c>
      <c r="AE291">
        <f t="shared" si="655"/>
        <v>5688</v>
      </c>
      <c r="AF291">
        <f t="shared" si="656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57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58"/>
        <v>200</v>
      </c>
      <c r="AM291">
        <f t="shared" si="659"/>
        <v>38880</v>
      </c>
      <c r="AN291">
        <f>_xlfn.XLOOKUP(B291,'[4]june-2025'!$A:$A,'[4]june-2025'!$C:$C,0,0)</f>
        <v>31600</v>
      </c>
      <c r="AO291">
        <f t="shared" si="660"/>
        <v>5688</v>
      </c>
      <c r="AP291">
        <f t="shared" si="66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62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63"/>
        <v>200</v>
      </c>
      <c r="AW291">
        <f t="shared" si="664"/>
        <v>38880</v>
      </c>
      <c r="AX291">
        <f>_xlfn.XLOOKUP(B291,'[5]july-2025'!$A:$A,'[5]july-2025'!$C:$C,0,0)</f>
        <v>32500</v>
      </c>
      <c r="AY291">
        <f t="shared" si="665"/>
        <v>5850</v>
      </c>
      <c r="AZ291">
        <v>0</v>
      </c>
      <c r="BA291">
        <f t="shared" si="666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67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68"/>
        <v>200</v>
      </c>
      <c r="BH291">
        <f t="shared" si="669"/>
        <v>40050</v>
      </c>
      <c r="BI291">
        <f>_xlfn.XLOOKUP(B291,'[6]august-2025'!$A:$A,'[6]august-2025'!$C:$C,0,0)</f>
        <v>32500</v>
      </c>
      <c r="BJ291">
        <f t="shared" si="670"/>
        <v>5850</v>
      </c>
      <c r="BK291">
        <f t="shared" si="671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72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73"/>
        <v>200</v>
      </c>
      <c r="BR291">
        <f t="shared" si="674"/>
        <v>40050</v>
      </c>
      <c r="BS291">
        <f>_xlfn.XLOOKUP(B291,'[7]september-2025'!$A:$A,'[7]september-2025'!$C:$C,0,0)</f>
        <v>32500</v>
      </c>
      <c r="BT291">
        <f t="shared" si="675"/>
        <v>5850</v>
      </c>
      <c r="BU291">
        <f t="shared" si="676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77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78"/>
        <v>200</v>
      </c>
      <c r="CB291">
        <f t="shared" si="679"/>
        <v>40050</v>
      </c>
      <c r="CC291">
        <f>_xlfn.XLOOKUP(B291,'[8]october-2025'!$A:$A,'[8]october-2025'!$C:$C,0,0)</f>
        <v>32500</v>
      </c>
      <c r="CD291">
        <f t="shared" si="680"/>
        <v>5850</v>
      </c>
      <c r="CE291">
        <f t="shared" si="681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82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83"/>
        <v>200</v>
      </c>
      <c r="CL291">
        <f t="shared" si="684"/>
        <v>40050</v>
      </c>
      <c r="CM291">
        <f>_xlfn.XLOOKUP(B291,'[9]november-2025'!$A:$A,'[9]november-2025'!$C:$C,0,0)</f>
        <v>32500</v>
      </c>
      <c r="CN291">
        <f t="shared" si="685"/>
        <v>5850</v>
      </c>
      <c r="CO291">
        <f t="shared" si="686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87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88"/>
        <v>200</v>
      </c>
      <c r="CV291">
        <f t="shared" si="689"/>
        <v>40050</v>
      </c>
      <c r="CW291">
        <f>_xlfn.XLOOKUP(B291,'[10]december-2025'!$A:$A,'[10]december-2025'!$C:$C,0,0)</f>
        <v>32500</v>
      </c>
      <c r="CX291">
        <f t="shared" si="690"/>
        <v>5850</v>
      </c>
      <c r="CY291">
        <f t="shared" si="691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92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93"/>
        <v>200</v>
      </c>
      <c r="DF291">
        <f t="shared" si="694"/>
        <v>40050</v>
      </c>
      <c r="DG291">
        <f>_xlfn.XLOOKUP(B291,'[11]january-2026'!$A:$A,'[11]january-2026'!$C:$C,0,0)</f>
        <v>32500</v>
      </c>
      <c r="DH291">
        <f t="shared" si="695"/>
        <v>5850</v>
      </c>
      <c r="DI291">
        <f t="shared" si="696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7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8"/>
        <v>200</v>
      </c>
      <c r="DP291">
        <f t="shared" si="699"/>
        <v>40050</v>
      </c>
      <c r="DQ291">
        <f>_xlfn.XLOOKUP(B291,'[12]february-2026'!$A:$A,'[12]february-2026'!$C:$C,0,0)</f>
        <v>32500</v>
      </c>
      <c r="DR291">
        <f t="shared" si="700"/>
        <v>5850</v>
      </c>
      <c r="DS291">
        <f t="shared" si="701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2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3"/>
        <v>200</v>
      </c>
      <c r="DZ291">
        <f t="shared" si="704"/>
        <v>40050</v>
      </c>
      <c r="EA291">
        <f t="shared" si="705"/>
        <v>507856</v>
      </c>
      <c r="EB291">
        <f t="shared" si="706"/>
        <v>2350</v>
      </c>
      <c r="EC291">
        <f t="shared" si="707"/>
        <v>50000</v>
      </c>
      <c r="ED291">
        <v>0</v>
      </c>
      <c r="EE291">
        <f t="shared" si="708"/>
        <v>455506</v>
      </c>
      <c r="EF291">
        <f t="shared" si="709"/>
        <v>24000</v>
      </c>
      <c r="EG291">
        <f t="shared" si="710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1"/>
        <v>24000</v>
      </c>
      <c r="ES291">
        <f t="shared" si="712"/>
        <v>24000</v>
      </c>
      <c r="ET291">
        <f t="shared" si="713"/>
        <v>431506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4"/>
        <v>0</v>
      </c>
      <c r="FC291">
        <f t="shared" si="715"/>
        <v>431506</v>
      </c>
      <c r="FD291">
        <f t="shared" si="716"/>
        <v>9075</v>
      </c>
      <c r="FE291">
        <f t="shared" si="717"/>
        <v>0</v>
      </c>
      <c r="FF291">
        <f t="shared" si="718"/>
        <v>9075</v>
      </c>
      <c r="FG291">
        <f t="shared" si="719"/>
        <v>0</v>
      </c>
      <c r="FH291">
        <f t="shared" si="720"/>
        <v>0</v>
      </c>
      <c r="FI291">
        <f t="shared" si="721"/>
        <v>0</v>
      </c>
      <c r="FJ291">
        <v>0</v>
      </c>
      <c r="FK291">
        <f t="shared" si="722"/>
        <v>0</v>
      </c>
      <c r="FL291" t="b">
        <f t="shared" si="723"/>
        <v>1</v>
      </c>
      <c r="FM291">
        <f t="shared" ca="1" si="724"/>
        <v>524</v>
      </c>
      <c r="FN291">
        <f t="shared" ca="1" si="725"/>
        <v>508380</v>
      </c>
      <c r="FO291">
        <f t="shared" si="726"/>
        <v>75000</v>
      </c>
      <c r="FP291">
        <f t="shared" ca="1" si="727"/>
        <v>433380</v>
      </c>
      <c r="FQ291">
        <f t="shared" ca="1" si="728"/>
        <v>0</v>
      </c>
      <c r="FR291">
        <f t="shared" ca="1" si="729"/>
        <v>0</v>
      </c>
      <c r="FS291">
        <f t="shared" ca="1" si="730"/>
        <v>0</v>
      </c>
      <c r="FT291">
        <f t="shared" ca="1" si="731"/>
        <v>0</v>
      </c>
      <c r="FU291">
        <f t="shared" ca="1" si="732"/>
        <v>0</v>
      </c>
      <c r="FV291">
        <f t="shared" ca="1" si="733"/>
        <v>0</v>
      </c>
      <c r="FW291">
        <f t="shared" ca="1" si="734"/>
        <v>0</v>
      </c>
      <c r="FX291">
        <f t="shared" ca="1" si="735"/>
        <v>0</v>
      </c>
      <c r="FY291">
        <f t="shared" ca="1" si="736"/>
        <v>0</v>
      </c>
      <c r="FZ291">
        <f t="shared" ca="1" si="737"/>
        <v>0</v>
      </c>
      <c r="GA291">
        <f t="shared" ca="1" si="738"/>
        <v>33380</v>
      </c>
      <c r="GB291">
        <f t="shared" ca="1" si="739"/>
        <v>1669</v>
      </c>
      <c r="GC291">
        <f t="shared" ca="1" si="740"/>
        <v>1669</v>
      </c>
      <c r="GD291">
        <f t="shared" ca="1" si="741"/>
        <v>0</v>
      </c>
      <c r="GE291">
        <f t="shared" ca="1" si="742"/>
        <v>0</v>
      </c>
      <c r="GF291">
        <f t="shared" ca="1" si="743"/>
        <v>1669</v>
      </c>
      <c r="GG291">
        <f t="shared" ca="1" si="744"/>
        <v>0</v>
      </c>
      <c r="GH291" t="b">
        <f t="shared" ca="1" si="745"/>
        <v>0</v>
      </c>
      <c r="GI291">
        <f t="shared" ca="1" si="746"/>
        <v>0</v>
      </c>
      <c r="GJ291">
        <f t="shared" ca="1" si="747"/>
        <v>1669</v>
      </c>
      <c r="GK291">
        <f t="shared" ca="1" si="748"/>
        <v>0</v>
      </c>
      <c r="GL291">
        <f t="shared" ca="1" si="749"/>
        <v>0</v>
      </c>
      <c r="GM291">
        <f t="shared" ca="1" si="750"/>
        <v>0</v>
      </c>
    </row>
    <row r="292" spans="1:195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752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46"/>
        <v>7238.0000000000009</v>
      </c>
      <c r="L292">
        <f t="shared" si="647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4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51"/>
        <v>200</v>
      </c>
      <c r="S292">
        <f t="shared" si="649"/>
        <v>55842</v>
      </c>
      <c r="T292">
        <f>_xlfn.XLOOKUP(B292,'[2]april-2025'!$A:$A,'[2]april-2025'!$C:$C,0,0)</f>
        <v>51700</v>
      </c>
      <c r="U292">
        <f t="shared" si="650"/>
        <v>9306</v>
      </c>
      <c r="V292">
        <f t="shared" si="651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52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53"/>
        <v>200</v>
      </c>
      <c r="AC292">
        <f t="shared" si="654"/>
        <v>57910</v>
      </c>
      <c r="AD292">
        <f>_xlfn.XLOOKUP(B292,'[3]may-2025'!$A:$A,'[3]may-2025'!$C:$C,0,0)</f>
        <v>51700</v>
      </c>
      <c r="AE292">
        <f t="shared" si="655"/>
        <v>9306</v>
      </c>
      <c r="AF292">
        <f t="shared" si="656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57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58"/>
        <v>200</v>
      </c>
      <c r="AM292">
        <f t="shared" si="659"/>
        <v>57910</v>
      </c>
      <c r="AN292">
        <f>_xlfn.XLOOKUP(B292,'[4]june-2025'!$A:$A,'[4]june-2025'!$C:$C,0,0)</f>
        <v>51700</v>
      </c>
      <c r="AO292">
        <f t="shared" si="660"/>
        <v>9306</v>
      </c>
      <c r="AP292">
        <f t="shared" si="66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62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63"/>
        <v>200</v>
      </c>
      <c r="AW292">
        <f t="shared" si="664"/>
        <v>57910</v>
      </c>
      <c r="AX292">
        <f>_xlfn.XLOOKUP(B292,'[5]july-2025'!$A:$A,'[5]july-2025'!$C:$C,0,0)</f>
        <v>53300</v>
      </c>
      <c r="AY292">
        <f t="shared" si="665"/>
        <v>9594</v>
      </c>
      <c r="AZ292">
        <v>0</v>
      </c>
      <c r="BA292">
        <f t="shared" si="666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67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68"/>
        <v>200</v>
      </c>
      <c r="BH292">
        <f t="shared" si="669"/>
        <v>59990</v>
      </c>
      <c r="BI292">
        <f>_xlfn.XLOOKUP(B292,'[6]august-2025'!$A:$A,'[6]august-2025'!$C:$C,0,0)</f>
        <v>53300</v>
      </c>
      <c r="BJ292">
        <f t="shared" si="670"/>
        <v>9594</v>
      </c>
      <c r="BK292">
        <f t="shared" si="671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72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73"/>
        <v>200</v>
      </c>
      <c r="BR292">
        <f t="shared" si="674"/>
        <v>59990</v>
      </c>
      <c r="BS292">
        <f>_xlfn.XLOOKUP(B292,'[7]september-2025'!$A:$A,'[7]september-2025'!$C:$C,0,0)</f>
        <v>53300</v>
      </c>
      <c r="BT292">
        <f t="shared" si="675"/>
        <v>9594</v>
      </c>
      <c r="BU292">
        <f t="shared" si="676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77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78"/>
        <v>200</v>
      </c>
      <c r="CB292">
        <f t="shared" si="679"/>
        <v>59990</v>
      </c>
      <c r="CC292">
        <f>_xlfn.XLOOKUP(B292,'[8]october-2025'!$A:$A,'[8]october-2025'!$C:$C,0,0)</f>
        <v>53300</v>
      </c>
      <c r="CD292">
        <f t="shared" si="680"/>
        <v>9594</v>
      </c>
      <c r="CE292">
        <f t="shared" si="681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82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83"/>
        <v>200</v>
      </c>
      <c r="CL292">
        <f t="shared" si="684"/>
        <v>59990</v>
      </c>
      <c r="CM292">
        <f>_xlfn.XLOOKUP(B292,'[9]november-2025'!$A:$A,'[9]november-2025'!$C:$C,0,0)</f>
        <v>53300</v>
      </c>
      <c r="CN292">
        <f t="shared" si="685"/>
        <v>9594</v>
      </c>
      <c r="CO292">
        <f t="shared" si="686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87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88"/>
        <v>200</v>
      </c>
      <c r="CV292">
        <f t="shared" si="689"/>
        <v>59990</v>
      </c>
      <c r="CW292">
        <f>_xlfn.XLOOKUP(B292,'[10]december-2025'!$A:$A,'[10]december-2025'!$C:$C,0,0)</f>
        <v>53300</v>
      </c>
      <c r="CX292">
        <f t="shared" si="690"/>
        <v>9594</v>
      </c>
      <c r="CY292">
        <f t="shared" si="691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92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93"/>
        <v>200</v>
      </c>
      <c r="DF292">
        <f t="shared" si="694"/>
        <v>59990</v>
      </c>
      <c r="DG292">
        <f>_xlfn.XLOOKUP(B292,'[11]january-2026'!$A:$A,'[11]january-2026'!$C:$C,0,0)</f>
        <v>53300</v>
      </c>
      <c r="DH292">
        <f t="shared" si="695"/>
        <v>9594</v>
      </c>
      <c r="DI292">
        <f t="shared" si="696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7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8"/>
        <v>200</v>
      </c>
      <c r="DP292">
        <f t="shared" si="699"/>
        <v>59990</v>
      </c>
      <c r="DQ292">
        <f>_xlfn.XLOOKUP(B292,'[12]february-2026'!$A:$A,'[12]february-2026'!$C:$C,0,0)</f>
        <v>53300</v>
      </c>
      <c r="DR292">
        <f t="shared" si="700"/>
        <v>9594</v>
      </c>
      <c r="DS292">
        <f t="shared" si="701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2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3"/>
        <v>200</v>
      </c>
      <c r="DZ292">
        <f t="shared" si="704"/>
        <v>59990</v>
      </c>
      <c r="EA292">
        <f t="shared" si="705"/>
        <v>838692</v>
      </c>
      <c r="EB292">
        <f t="shared" si="706"/>
        <v>2400</v>
      </c>
      <c r="EC292">
        <f t="shared" si="707"/>
        <v>50000</v>
      </c>
      <c r="ED292">
        <v>0</v>
      </c>
      <c r="EE292">
        <f t="shared" si="708"/>
        <v>786292</v>
      </c>
      <c r="EF292">
        <f t="shared" si="709"/>
        <v>120000</v>
      </c>
      <c r="EG292">
        <f t="shared" si="710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1"/>
        <v>120000</v>
      </c>
      <c r="ES292">
        <f t="shared" si="712"/>
        <v>120000</v>
      </c>
      <c r="ET292">
        <f t="shared" si="713"/>
        <v>666292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4"/>
        <v>0</v>
      </c>
      <c r="FC292">
        <f t="shared" si="715"/>
        <v>666292</v>
      </c>
      <c r="FD292">
        <f t="shared" si="716"/>
        <v>12500</v>
      </c>
      <c r="FE292">
        <f t="shared" si="717"/>
        <v>33258</v>
      </c>
      <c r="FF292">
        <f t="shared" si="718"/>
        <v>45758</v>
      </c>
      <c r="FG292">
        <f t="shared" si="719"/>
        <v>45758</v>
      </c>
      <c r="FH292">
        <f t="shared" si="720"/>
        <v>1830.32</v>
      </c>
      <c r="FI292">
        <f t="shared" si="721"/>
        <v>47588</v>
      </c>
      <c r="FJ292">
        <v>0</v>
      </c>
      <c r="FK292">
        <f t="shared" si="722"/>
        <v>47588</v>
      </c>
      <c r="FL292" t="b">
        <f t="shared" si="723"/>
        <v>1</v>
      </c>
      <c r="FM292">
        <f t="shared" ca="1" si="724"/>
        <v>956</v>
      </c>
      <c r="FN292">
        <f t="shared" ca="1" si="725"/>
        <v>839648</v>
      </c>
      <c r="FO292">
        <f t="shared" si="726"/>
        <v>75000</v>
      </c>
      <c r="FP292">
        <f t="shared" ca="1" si="727"/>
        <v>764648</v>
      </c>
      <c r="FQ292">
        <f t="shared" ca="1" si="728"/>
        <v>0</v>
      </c>
      <c r="FR292">
        <f t="shared" ca="1" si="729"/>
        <v>0</v>
      </c>
      <c r="FS292">
        <f t="shared" ca="1" si="730"/>
        <v>0</v>
      </c>
      <c r="FT292">
        <f t="shared" ca="1" si="731"/>
        <v>0</v>
      </c>
      <c r="FU292">
        <f t="shared" ca="1" si="732"/>
        <v>0</v>
      </c>
      <c r="FV292">
        <f t="shared" ca="1" si="733"/>
        <v>0</v>
      </c>
      <c r="FW292">
        <f t="shared" ca="1" si="734"/>
        <v>0</v>
      </c>
      <c r="FX292">
        <f t="shared" ca="1" si="735"/>
        <v>0</v>
      </c>
      <c r="FY292">
        <f t="shared" ca="1" si="736"/>
        <v>0</v>
      </c>
      <c r="FZ292">
        <f t="shared" ca="1" si="737"/>
        <v>0</v>
      </c>
      <c r="GA292">
        <f t="shared" ca="1" si="738"/>
        <v>364648</v>
      </c>
      <c r="GB292">
        <f t="shared" ca="1" si="739"/>
        <v>18232.400000000001</v>
      </c>
      <c r="GC292">
        <f t="shared" ca="1" si="740"/>
        <v>18232</v>
      </c>
      <c r="GD292">
        <f t="shared" ca="1" si="741"/>
        <v>0</v>
      </c>
      <c r="GE292">
        <f t="shared" ca="1" si="742"/>
        <v>0</v>
      </c>
      <c r="GF292">
        <f t="shared" ca="1" si="743"/>
        <v>18232</v>
      </c>
      <c r="GG292">
        <f t="shared" ca="1" si="744"/>
        <v>0</v>
      </c>
      <c r="GH292" t="b">
        <f t="shared" ca="1" si="745"/>
        <v>0</v>
      </c>
      <c r="GI292">
        <f t="shared" ca="1" si="746"/>
        <v>0</v>
      </c>
      <c r="GJ292">
        <f t="shared" ca="1" si="747"/>
        <v>18232</v>
      </c>
      <c r="GK292">
        <f t="shared" ca="1" si="748"/>
        <v>0</v>
      </c>
      <c r="GL292">
        <f t="shared" ca="1" si="749"/>
        <v>0</v>
      </c>
      <c r="GM292">
        <f t="shared" ca="1" si="750"/>
        <v>0</v>
      </c>
    </row>
    <row r="293" spans="1:195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752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46"/>
        <v>5278.0000000000009</v>
      </c>
      <c r="L293">
        <f t="shared" si="647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4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51"/>
        <v>200</v>
      </c>
      <c r="S293">
        <f t="shared" si="649"/>
        <v>42802</v>
      </c>
      <c r="T293">
        <f>_xlfn.XLOOKUP(B293,'[2]april-2025'!$A:$A,'[2]april-2025'!$C:$C,0,0)</f>
        <v>37700</v>
      </c>
      <c r="U293">
        <f t="shared" si="650"/>
        <v>6786</v>
      </c>
      <c r="V293">
        <f t="shared" si="651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52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53"/>
        <v>200</v>
      </c>
      <c r="AC293">
        <f t="shared" si="654"/>
        <v>44310</v>
      </c>
      <c r="AD293">
        <f>_xlfn.XLOOKUP(B293,'[3]may-2025'!$A:$A,'[3]may-2025'!$C:$C,0,0)</f>
        <v>37700</v>
      </c>
      <c r="AE293">
        <f t="shared" si="655"/>
        <v>6786</v>
      </c>
      <c r="AF293">
        <f t="shared" si="656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57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58"/>
        <v>200</v>
      </c>
      <c r="AM293">
        <f t="shared" si="659"/>
        <v>44310</v>
      </c>
      <c r="AN293">
        <f>_xlfn.XLOOKUP(B293,'[4]june-2025'!$A:$A,'[4]june-2025'!$C:$C,0,0)</f>
        <v>37700</v>
      </c>
      <c r="AO293">
        <f t="shared" si="660"/>
        <v>6786</v>
      </c>
      <c r="AP293">
        <f t="shared" si="66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62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63"/>
        <v>200</v>
      </c>
      <c r="AW293">
        <f t="shared" si="664"/>
        <v>44310</v>
      </c>
      <c r="AX293">
        <f>_xlfn.XLOOKUP(B293,'[5]july-2025'!$A:$A,'[5]july-2025'!$C:$C,0,0)</f>
        <v>38800</v>
      </c>
      <c r="AY293">
        <f t="shared" si="665"/>
        <v>6984</v>
      </c>
      <c r="AZ293">
        <v>0</v>
      </c>
      <c r="BA293">
        <f t="shared" si="666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67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68"/>
        <v>200</v>
      </c>
      <c r="BH293">
        <f t="shared" si="669"/>
        <v>45740</v>
      </c>
      <c r="BI293">
        <f>_xlfn.XLOOKUP(B293,'[6]august-2025'!$A:$A,'[6]august-2025'!$C:$C,0,0)</f>
        <v>38800</v>
      </c>
      <c r="BJ293">
        <f t="shared" si="670"/>
        <v>6984</v>
      </c>
      <c r="BK293">
        <f t="shared" si="671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72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73"/>
        <v>200</v>
      </c>
      <c r="BR293">
        <f t="shared" si="674"/>
        <v>45740</v>
      </c>
      <c r="BS293">
        <f>_xlfn.XLOOKUP(B293,'[7]september-2025'!$A:$A,'[7]september-2025'!$C:$C,0,0)</f>
        <v>38800</v>
      </c>
      <c r="BT293">
        <f t="shared" si="675"/>
        <v>6984</v>
      </c>
      <c r="BU293">
        <f t="shared" si="676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77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78"/>
        <v>200</v>
      </c>
      <c r="CB293">
        <f t="shared" si="679"/>
        <v>45740</v>
      </c>
      <c r="CC293">
        <f>_xlfn.XLOOKUP(B293,'[8]october-2025'!$A:$A,'[8]october-2025'!$C:$C,0,0)</f>
        <v>38800</v>
      </c>
      <c r="CD293">
        <f t="shared" si="680"/>
        <v>6984</v>
      </c>
      <c r="CE293">
        <f t="shared" si="681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82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83"/>
        <v>200</v>
      </c>
      <c r="CL293">
        <f t="shared" si="684"/>
        <v>45740</v>
      </c>
      <c r="CM293">
        <f>_xlfn.XLOOKUP(B293,'[9]november-2025'!$A:$A,'[9]november-2025'!$C:$C,0,0)</f>
        <v>38800</v>
      </c>
      <c r="CN293">
        <f t="shared" si="685"/>
        <v>6984</v>
      </c>
      <c r="CO293">
        <f t="shared" si="686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87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88"/>
        <v>200</v>
      </c>
      <c r="CV293">
        <f t="shared" si="689"/>
        <v>45740</v>
      </c>
      <c r="CW293">
        <f>_xlfn.XLOOKUP(B293,'[10]december-2025'!$A:$A,'[10]december-2025'!$C:$C,0,0)</f>
        <v>38800</v>
      </c>
      <c r="CX293">
        <f t="shared" si="690"/>
        <v>6984</v>
      </c>
      <c r="CY293">
        <f t="shared" si="691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92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93"/>
        <v>200</v>
      </c>
      <c r="DF293">
        <f t="shared" si="694"/>
        <v>45740</v>
      </c>
      <c r="DG293">
        <f>_xlfn.XLOOKUP(B293,'[11]january-2026'!$A:$A,'[11]january-2026'!$C:$C,0,0)</f>
        <v>38800</v>
      </c>
      <c r="DH293">
        <f t="shared" si="695"/>
        <v>6984</v>
      </c>
      <c r="DI293">
        <f t="shared" si="696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7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8"/>
        <v>200</v>
      </c>
      <c r="DP293">
        <f t="shared" si="699"/>
        <v>45740</v>
      </c>
      <c r="DQ293">
        <f>_xlfn.XLOOKUP(B293,'[12]february-2026'!$A:$A,'[12]february-2026'!$C:$C,0,0)</f>
        <v>38800</v>
      </c>
      <c r="DR293">
        <f t="shared" si="700"/>
        <v>6984</v>
      </c>
      <c r="DS293">
        <f t="shared" si="701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2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3"/>
        <v>200</v>
      </c>
      <c r="DZ293">
        <f t="shared" si="704"/>
        <v>45740</v>
      </c>
      <c r="EA293">
        <f t="shared" si="705"/>
        <v>610852</v>
      </c>
      <c r="EB293">
        <f t="shared" si="706"/>
        <v>2400</v>
      </c>
      <c r="EC293">
        <f t="shared" si="707"/>
        <v>50000</v>
      </c>
      <c r="ED293">
        <v>0</v>
      </c>
      <c r="EE293">
        <f t="shared" si="708"/>
        <v>558452</v>
      </c>
      <c r="EF293">
        <f t="shared" si="709"/>
        <v>60000</v>
      </c>
      <c r="EG293">
        <f t="shared" si="710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1"/>
        <v>60000</v>
      </c>
      <c r="ES293">
        <f t="shared" si="712"/>
        <v>60000</v>
      </c>
      <c r="ET293">
        <f t="shared" si="713"/>
        <v>498452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4"/>
        <v>0</v>
      </c>
      <c r="FC293">
        <f t="shared" si="715"/>
        <v>498452</v>
      </c>
      <c r="FD293">
        <f t="shared" si="716"/>
        <v>12423</v>
      </c>
      <c r="FE293">
        <f t="shared" si="717"/>
        <v>0</v>
      </c>
      <c r="FF293">
        <f t="shared" si="718"/>
        <v>12423</v>
      </c>
      <c r="FG293">
        <f t="shared" si="719"/>
        <v>0</v>
      </c>
      <c r="FH293">
        <f t="shared" si="720"/>
        <v>0</v>
      </c>
      <c r="FI293">
        <f t="shared" si="721"/>
        <v>0</v>
      </c>
      <c r="FJ293">
        <v>0</v>
      </c>
      <c r="FK293">
        <f t="shared" si="722"/>
        <v>0</v>
      </c>
      <c r="FL293" t="b">
        <f t="shared" si="723"/>
        <v>1</v>
      </c>
      <c r="FM293">
        <f t="shared" ca="1" si="724"/>
        <v>732</v>
      </c>
      <c r="FN293">
        <f t="shared" ca="1" si="725"/>
        <v>611584</v>
      </c>
      <c r="FO293">
        <f t="shared" si="726"/>
        <v>75000</v>
      </c>
      <c r="FP293">
        <f t="shared" ca="1" si="727"/>
        <v>536584</v>
      </c>
      <c r="FQ293">
        <f t="shared" ca="1" si="728"/>
        <v>0</v>
      </c>
      <c r="FR293">
        <f t="shared" ca="1" si="729"/>
        <v>0</v>
      </c>
      <c r="FS293">
        <f t="shared" ca="1" si="730"/>
        <v>0</v>
      </c>
      <c r="FT293">
        <f t="shared" ca="1" si="731"/>
        <v>0</v>
      </c>
      <c r="FU293">
        <f t="shared" ca="1" si="732"/>
        <v>0</v>
      </c>
      <c r="FV293">
        <f t="shared" ca="1" si="733"/>
        <v>0</v>
      </c>
      <c r="FW293">
        <f t="shared" ca="1" si="734"/>
        <v>0</v>
      </c>
      <c r="FX293">
        <f t="shared" ca="1" si="735"/>
        <v>0</v>
      </c>
      <c r="FY293">
        <f t="shared" ca="1" si="736"/>
        <v>0</v>
      </c>
      <c r="FZ293">
        <f t="shared" ca="1" si="737"/>
        <v>0</v>
      </c>
      <c r="GA293">
        <f t="shared" ca="1" si="738"/>
        <v>136584</v>
      </c>
      <c r="GB293">
        <f t="shared" ca="1" si="739"/>
        <v>6829.2000000000007</v>
      </c>
      <c r="GC293">
        <f t="shared" ca="1" si="740"/>
        <v>6829</v>
      </c>
      <c r="GD293">
        <f t="shared" ca="1" si="741"/>
        <v>0</v>
      </c>
      <c r="GE293">
        <f t="shared" ca="1" si="742"/>
        <v>0</v>
      </c>
      <c r="GF293">
        <f t="shared" ca="1" si="743"/>
        <v>6829</v>
      </c>
      <c r="GG293">
        <f t="shared" ca="1" si="744"/>
        <v>0</v>
      </c>
      <c r="GH293" t="b">
        <f t="shared" ca="1" si="745"/>
        <v>0</v>
      </c>
      <c r="GI293">
        <f t="shared" ca="1" si="746"/>
        <v>0</v>
      </c>
      <c r="GJ293">
        <f t="shared" ca="1" si="747"/>
        <v>6829</v>
      </c>
      <c r="GK293">
        <f t="shared" ca="1" si="748"/>
        <v>0</v>
      </c>
      <c r="GL293">
        <f t="shared" ca="1" si="749"/>
        <v>0</v>
      </c>
      <c r="GM293">
        <f t="shared" ca="1" si="750"/>
        <v>0</v>
      </c>
    </row>
    <row r="294" spans="1:195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752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46"/>
        <v>3780.0000000000005</v>
      </c>
      <c r="L294">
        <f t="shared" si="647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4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51"/>
        <v>150</v>
      </c>
      <c r="S294">
        <f t="shared" si="649"/>
        <v>32370</v>
      </c>
      <c r="T294">
        <f>_xlfn.XLOOKUP(B294,'[2]april-2025'!$A:$A,'[2]april-2025'!$C:$C,0,0)</f>
        <v>27000</v>
      </c>
      <c r="U294">
        <f t="shared" si="650"/>
        <v>4860</v>
      </c>
      <c r="V294">
        <f t="shared" si="651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52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53"/>
        <v>150</v>
      </c>
      <c r="AC294">
        <f t="shared" si="654"/>
        <v>33450</v>
      </c>
      <c r="AD294">
        <f>_xlfn.XLOOKUP(B294,'[3]may-2025'!$A:$A,'[3]may-2025'!$C:$C,0,0)</f>
        <v>31600</v>
      </c>
      <c r="AE294">
        <f t="shared" si="655"/>
        <v>5688</v>
      </c>
      <c r="AF294">
        <f t="shared" si="656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57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58"/>
        <v>200</v>
      </c>
      <c r="AM294">
        <f t="shared" si="659"/>
        <v>39380</v>
      </c>
      <c r="AN294">
        <f>_xlfn.XLOOKUP(B294,'[4]june-2025'!$A:$A,'[4]june-2025'!$C:$C,0,0)</f>
        <v>31600</v>
      </c>
      <c r="AO294">
        <f t="shared" si="660"/>
        <v>5688</v>
      </c>
      <c r="AP294">
        <f t="shared" si="66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62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63"/>
        <v>200</v>
      </c>
      <c r="AW294">
        <f t="shared" si="664"/>
        <v>39380</v>
      </c>
      <c r="AX294">
        <f>_xlfn.XLOOKUP(B294,'[5]july-2025'!$A:$A,'[5]july-2025'!$C:$C,0,0)</f>
        <v>32500</v>
      </c>
      <c r="AY294">
        <f t="shared" si="665"/>
        <v>5850</v>
      </c>
      <c r="AZ294">
        <v>0</v>
      </c>
      <c r="BA294">
        <f t="shared" si="666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67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68"/>
        <v>200</v>
      </c>
      <c r="BH294">
        <f t="shared" si="669"/>
        <v>40550</v>
      </c>
      <c r="BI294">
        <f>_xlfn.XLOOKUP(B294,'[6]august-2025'!$A:$A,'[6]august-2025'!$C:$C,0,0)</f>
        <v>32500</v>
      </c>
      <c r="BJ294">
        <f t="shared" si="670"/>
        <v>5850</v>
      </c>
      <c r="BK294">
        <f t="shared" si="671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72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73"/>
        <v>200</v>
      </c>
      <c r="BR294">
        <f t="shared" si="674"/>
        <v>40550</v>
      </c>
      <c r="BS294">
        <f>_xlfn.XLOOKUP(B294,'[7]september-2025'!$A:$A,'[7]september-2025'!$C:$C,0,0)</f>
        <v>32500</v>
      </c>
      <c r="BT294">
        <f t="shared" si="675"/>
        <v>5850</v>
      </c>
      <c r="BU294">
        <f t="shared" si="676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77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78"/>
        <v>200</v>
      </c>
      <c r="CB294">
        <f t="shared" si="679"/>
        <v>40550</v>
      </c>
      <c r="CC294">
        <f>_xlfn.XLOOKUP(B294,'[8]october-2025'!$A:$A,'[8]october-2025'!$C:$C,0,0)</f>
        <v>32500</v>
      </c>
      <c r="CD294">
        <f t="shared" si="680"/>
        <v>5850</v>
      </c>
      <c r="CE294">
        <f t="shared" si="681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82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83"/>
        <v>200</v>
      </c>
      <c r="CL294">
        <f t="shared" si="684"/>
        <v>40550</v>
      </c>
      <c r="CM294">
        <f>_xlfn.XLOOKUP(B294,'[9]november-2025'!$A:$A,'[9]november-2025'!$C:$C,0,0)</f>
        <v>32500</v>
      </c>
      <c r="CN294">
        <f t="shared" si="685"/>
        <v>5850</v>
      </c>
      <c r="CO294">
        <f t="shared" si="686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87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88"/>
        <v>200</v>
      </c>
      <c r="CV294">
        <f t="shared" si="689"/>
        <v>40550</v>
      </c>
      <c r="CW294">
        <f>_xlfn.XLOOKUP(B294,'[10]december-2025'!$A:$A,'[10]december-2025'!$C:$C,0,0)</f>
        <v>32500</v>
      </c>
      <c r="CX294">
        <f t="shared" si="690"/>
        <v>5850</v>
      </c>
      <c r="CY294">
        <f t="shared" si="691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92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93"/>
        <v>200</v>
      </c>
      <c r="DF294">
        <f t="shared" si="694"/>
        <v>40550</v>
      </c>
      <c r="DG294">
        <f>_xlfn.XLOOKUP(B294,'[11]january-2026'!$A:$A,'[11]january-2026'!$C:$C,0,0)</f>
        <v>32500</v>
      </c>
      <c r="DH294">
        <f t="shared" si="695"/>
        <v>5850</v>
      </c>
      <c r="DI294">
        <f t="shared" si="696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7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8"/>
        <v>200</v>
      </c>
      <c r="DP294">
        <f t="shared" si="699"/>
        <v>40550</v>
      </c>
      <c r="DQ294">
        <f>_xlfn.XLOOKUP(B294,'[12]february-2026'!$A:$A,'[12]february-2026'!$C:$C,0,0)</f>
        <v>32500</v>
      </c>
      <c r="DR294">
        <f t="shared" si="700"/>
        <v>5850</v>
      </c>
      <c r="DS294">
        <f t="shared" si="701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2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3"/>
        <v>200</v>
      </c>
      <c r="DZ294">
        <f t="shared" si="704"/>
        <v>40550</v>
      </c>
      <c r="EA294">
        <f t="shared" si="705"/>
        <v>502080</v>
      </c>
      <c r="EB294">
        <f t="shared" si="706"/>
        <v>2300</v>
      </c>
      <c r="EC294">
        <f t="shared" si="707"/>
        <v>50000</v>
      </c>
      <c r="ED294">
        <v>0</v>
      </c>
      <c r="EE294">
        <f t="shared" si="708"/>
        <v>449780</v>
      </c>
      <c r="EF294">
        <f t="shared" si="709"/>
        <v>24000</v>
      </c>
      <c r="EG294">
        <f t="shared" si="710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1"/>
        <v>24000</v>
      </c>
      <c r="ES294">
        <f t="shared" si="712"/>
        <v>24000</v>
      </c>
      <c r="ET294">
        <f t="shared" si="713"/>
        <v>425780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4"/>
        <v>0</v>
      </c>
      <c r="FC294">
        <f t="shared" si="715"/>
        <v>425780</v>
      </c>
      <c r="FD294">
        <f t="shared" si="716"/>
        <v>8789</v>
      </c>
      <c r="FE294">
        <f t="shared" si="717"/>
        <v>0</v>
      </c>
      <c r="FF294">
        <f t="shared" si="718"/>
        <v>8789</v>
      </c>
      <c r="FG294">
        <f t="shared" si="719"/>
        <v>0</v>
      </c>
      <c r="FH294">
        <f t="shared" si="720"/>
        <v>0</v>
      </c>
      <c r="FI294">
        <f t="shared" si="721"/>
        <v>0</v>
      </c>
      <c r="FJ294">
        <v>0</v>
      </c>
      <c r="FK294">
        <f t="shared" si="722"/>
        <v>0</v>
      </c>
      <c r="FL294" t="b">
        <f t="shared" si="723"/>
        <v>1</v>
      </c>
      <c r="FM294">
        <f t="shared" ca="1" si="724"/>
        <v>607</v>
      </c>
      <c r="FN294">
        <f t="shared" ca="1" si="725"/>
        <v>502687</v>
      </c>
      <c r="FO294">
        <f t="shared" si="726"/>
        <v>75000</v>
      </c>
      <c r="FP294">
        <f t="shared" ca="1" si="727"/>
        <v>427687</v>
      </c>
      <c r="FQ294">
        <f t="shared" ca="1" si="728"/>
        <v>0</v>
      </c>
      <c r="FR294">
        <f t="shared" ca="1" si="729"/>
        <v>0</v>
      </c>
      <c r="FS294">
        <f t="shared" ca="1" si="730"/>
        <v>0</v>
      </c>
      <c r="FT294">
        <f t="shared" ca="1" si="731"/>
        <v>0</v>
      </c>
      <c r="FU294">
        <f t="shared" ca="1" si="732"/>
        <v>0</v>
      </c>
      <c r="FV294">
        <f t="shared" ca="1" si="733"/>
        <v>0</v>
      </c>
      <c r="FW294">
        <f t="shared" ca="1" si="734"/>
        <v>0</v>
      </c>
      <c r="FX294">
        <f t="shared" ca="1" si="735"/>
        <v>0</v>
      </c>
      <c r="FY294">
        <f t="shared" ca="1" si="736"/>
        <v>0</v>
      </c>
      <c r="FZ294">
        <f t="shared" ca="1" si="737"/>
        <v>0</v>
      </c>
      <c r="GA294">
        <f t="shared" ca="1" si="738"/>
        <v>27687</v>
      </c>
      <c r="GB294">
        <f t="shared" ca="1" si="739"/>
        <v>1384.3500000000001</v>
      </c>
      <c r="GC294">
        <f t="shared" ca="1" si="740"/>
        <v>1384</v>
      </c>
      <c r="GD294">
        <f t="shared" ca="1" si="741"/>
        <v>0</v>
      </c>
      <c r="GE294">
        <f t="shared" ca="1" si="742"/>
        <v>0</v>
      </c>
      <c r="GF294">
        <f t="shared" ca="1" si="743"/>
        <v>1384</v>
      </c>
      <c r="GG294">
        <f t="shared" ca="1" si="744"/>
        <v>0</v>
      </c>
      <c r="GH294" t="b">
        <f t="shared" ca="1" si="745"/>
        <v>0</v>
      </c>
      <c r="GI294">
        <f t="shared" ca="1" si="746"/>
        <v>0</v>
      </c>
      <c r="GJ294">
        <f t="shared" ca="1" si="747"/>
        <v>1384</v>
      </c>
      <c r="GK294">
        <f t="shared" ca="1" si="748"/>
        <v>0</v>
      </c>
      <c r="GL294">
        <f t="shared" ca="1" si="749"/>
        <v>0</v>
      </c>
      <c r="GM294">
        <f t="shared" ca="1" si="750"/>
        <v>0</v>
      </c>
    </row>
    <row r="295" spans="1:195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753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46"/>
        <v>7238.0000000000009</v>
      </c>
      <c r="L295">
        <f t="shared" si="647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4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51"/>
        <v>200</v>
      </c>
      <c r="S295">
        <f t="shared" si="649"/>
        <v>57282</v>
      </c>
      <c r="T295">
        <f>_xlfn.XLOOKUP(B295,'[2]april-2025'!$A:$A,'[2]april-2025'!$C:$C,0,0)</f>
        <v>51700</v>
      </c>
      <c r="U295">
        <f t="shared" si="650"/>
        <v>9306</v>
      </c>
      <c r="V295">
        <f t="shared" si="651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52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53"/>
        <v>200</v>
      </c>
      <c r="AC295">
        <f t="shared" si="654"/>
        <v>59350</v>
      </c>
      <c r="AD295">
        <f>_xlfn.XLOOKUP(B295,'[3]may-2025'!$A:$A,'[3]may-2025'!$C:$C,0,0)</f>
        <v>51700</v>
      </c>
      <c r="AE295">
        <f t="shared" si="655"/>
        <v>9306</v>
      </c>
      <c r="AF295">
        <f t="shared" si="656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57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58"/>
        <v>200</v>
      </c>
      <c r="AM295">
        <f t="shared" si="659"/>
        <v>59350</v>
      </c>
      <c r="AN295">
        <f>_xlfn.XLOOKUP(B295,'[4]june-2025'!$A:$A,'[4]june-2025'!$C:$C,0,0)</f>
        <v>51700</v>
      </c>
      <c r="AO295">
        <f t="shared" si="660"/>
        <v>9306</v>
      </c>
      <c r="AP295">
        <f t="shared" si="66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62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63"/>
        <v>200</v>
      </c>
      <c r="AW295">
        <f t="shared" si="664"/>
        <v>59350</v>
      </c>
      <c r="AX295">
        <f>_xlfn.XLOOKUP(B295,'[5]july-2025'!$A:$A,'[5]july-2025'!$C:$C,0,0)</f>
        <v>53300</v>
      </c>
      <c r="AY295">
        <f t="shared" si="665"/>
        <v>9594</v>
      </c>
      <c r="AZ295">
        <v>0</v>
      </c>
      <c r="BA295">
        <f t="shared" si="666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67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68"/>
        <v>200</v>
      </c>
      <c r="BH295">
        <f t="shared" si="669"/>
        <v>61430</v>
      </c>
      <c r="BI295">
        <f>_xlfn.XLOOKUP(B295,'[6]august-2025'!$A:$A,'[6]august-2025'!$C:$C,0,0)</f>
        <v>53300</v>
      </c>
      <c r="BJ295">
        <f t="shared" si="670"/>
        <v>9594</v>
      </c>
      <c r="BK295">
        <f t="shared" si="671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72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73"/>
        <v>200</v>
      </c>
      <c r="BR295">
        <f t="shared" si="674"/>
        <v>61430</v>
      </c>
      <c r="BS295">
        <f>_xlfn.XLOOKUP(B295,'[7]september-2025'!$A:$A,'[7]september-2025'!$C:$C,0,0)</f>
        <v>53300</v>
      </c>
      <c r="BT295">
        <f t="shared" si="675"/>
        <v>9594</v>
      </c>
      <c r="BU295">
        <f t="shared" si="676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77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78"/>
        <v>200</v>
      </c>
      <c r="CB295">
        <f t="shared" si="679"/>
        <v>61430</v>
      </c>
      <c r="CC295">
        <f>_xlfn.XLOOKUP(B295,'[8]october-2025'!$A:$A,'[8]october-2025'!$C:$C,0,0)</f>
        <v>53300</v>
      </c>
      <c r="CD295">
        <f t="shared" si="680"/>
        <v>9594</v>
      </c>
      <c r="CE295">
        <f t="shared" si="681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82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83"/>
        <v>200</v>
      </c>
      <c r="CL295">
        <f t="shared" si="684"/>
        <v>61430</v>
      </c>
      <c r="CM295">
        <f>_xlfn.XLOOKUP(B295,'[9]november-2025'!$A:$A,'[9]november-2025'!$C:$C,0,0)</f>
        <v>53300</v>
      </c>
      <c r="CN295">
        <f t="shared" si="685"/>
        <v>9594</v>
      </c>
      <c r="CO295">
        <f t="shared" si="686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87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88"/>
        <v>200</v>
      </c>
      <c r="CV295">
        <f t="shared" si="689"/>
        <v>61430</v>
      </c>
      <c r="CW295">
        <f>_xlfn.XLOOKUP(B295,'[10]december-2025'!$A:$A,'[10]december-2025'!$C:$C,0,0)</f>
        <v>53300</v>
      </c>
      <c r="CX295">
        <f t="shared" si="690"/>
        <v>9594</v>
      </c>
      <c r="CY295">
        <f t="shared" si="691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92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93"/>
        <v>200</v>
      </c>
      <c r="DF295">
        <f t="shared" si="694"/>
        <v>61430</v>
      </c>
      <c r="DG295">
        <f>_xlfn.XLOOKUP(B295,'[11]january-2026'!$A:$A,'[11]january-2026'!$C:$C,0,0)</f>
        <v>53300</v>
      </c>
      <c r="DH295">
        <f t="shared" si="695"/>
        <v>9594</v>
      </c>
      <c r="DI295">
        <f t="shared" si="696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7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8"/>
        <v>200</v>
      </c>
      <c r="DP295">
        <f t="shared" si="699"/>
        <v>61430</v>
      </c>
      <c r="DQ295">
        <f>_xlfn.XLOOKUP(B295,'[12]february-2026'!$A:$A,'[12]february-2026'!$C:$C,0,0)</f>
        <v>53300</v>
      </c>
      <c r="DR295">
        <f t="shared" si="700"/>
        <v>9594</v>
      </c>
      <c r="DS295">
        <f t="shared" si="701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2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3"/>
        <v>200</v>
      </c>
      <c r="DZ295">
        <f t="shared" si="704"/>
        <v>61430</v>
      </c>
      <c r="EA295">
        <f t="shared" si="705"/>
        <v>832692</v>
      </c>
      <c r="EB295">
        <f t="shared" si="706"/>
        <v>2400</v>
      </c>
      <c r="EC295">
        <f t="shared" si="707"/>
        <v>50000</v>
      </c>
      <c r="ED295">
        <v>0</v>
      </c>
      <c r="EE295">
        <f t="shared" si="708"/>
        <v>780292</v>
      </c>
      <c r="EF295">
        <f t="shared" si="709"/>
        <v>96000</v>
      </c>
      <c r="EG295">
        <f t="shared" si="710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1"/>
        <v>96720</v>
      </c>
      <c r="ES295">
        <f t="shared" si="712"/>
        <v>96720</v>
      </c>
      <c r="ET295">
        <f t="shared" si="713"/>
        <v>683572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4"/>
        <v>0</v>
      </c>
      <c r="FC295">
        <f t="shared" si="715"/>
        <v>683572</v>
      </c>
      <c r="FD295">
        <f t="shared" si="716"/>
        <v>12500</v>
      </c>
      <c r="FE295">
        <f t="shared" si="717"/>
        <v>36714</v>
      </c>
      <c r="FF295">
        <f t="shared" si="718"/>
        <v>49214</v>
      </c>
      <c r="FG295">
        <f t="shared" si="719"/>
        <v>49214</v>
      </c>
      <c r="FH295">
        <f t="shared" si="720"/>
        <v>1968.56</v>
      </c>
      <c r="FI295">
        <f t="shared" si="721"/>
        <v>51183</v>
      </c>
      <c r="FJ295">
        <v>0</v>
      </c>
      <c r="FK295">
        <f t="shared" si="722"/>
        <v>51183</v>
      </c>
      <c r="FL295" t="b">
        <f t="shared" si="723"/>
        <v>1</v>
      </c>
      <c r="FM295">
        <f t="shared" ca="1" si="724"/>
        <v>840</v>
      </c>
      <c r="FN295">
        <f t="shared" ca="1" si="725"/>
        <v>833532</v>
      </c>
      <c r="FO295">
        <f t="shared" si="726"/>
        <v>75000</v>
      </c>
      <c r="FP295">
        <f t="shared" ca="1" si="727"/>
        <v>758532</v>
      </c>
      <c r="FQ295">
        <f t="shared" ca="1" si="728"/>
        <v>0</v>
      </c>
      <c r="FR295">
        <f t="shared" ca="1" si="729"/>
        <v>0</v>
      </c>
      <c r="FS295">
        <f t="shared" ca="1" si="730"/>
        <v>0</v>
      </c>
      <c r="FT295">
        <f t="shared" ca="1" si="731"/>
        <v>0</v>
      </c>
      <c r="FU295">
        <f t="shared" ca="1" si="732"/>
        <v>0</v>
      </c>
      <c r="FV295">
        <f t="shared" ca="1" si="733"/>
        <v>0</v>
      </c>
      <c r="FW295">
        <f t="shared" ca="1" si="734"/>
        <v>0</v>
      </c>
      <c r="FX295">
        <f t="shared" ca="1" si="735"/>
        <v>0</v>
      </c>
      <c r="FY295">
        <f t="shared" ca="1" si="736"/>
        <v>0</v>
      </c>
      <c r="FZ295">
        <f t="shared" ca="1" si="737"/>
        <v>0</v>
      </c>
      <c r="GA295">
        <f t="shared" ca="1" si="738"/>
        <v>358532</v>
      </c>
      <c r="GB295">
        <f t="shared" ca="1" si="739"/>
        <v>17926.600000000002</v>
      </c>
      <c r="GC295">
        <f t="shared" ca="1" si="740"/>
        <v>17927</v>
      </c>
      <c r="GD295">
        <f t="shared" ca="1" si="741"/>
        <v>0</v>
      </c>
      <c r="GE295">
        <f t="shared" ca="1" si="742"/>
        <v>0</v>
      </c>
      <c r="GF295">
        <f t="shared" ca="1" si="743"/>
        <v>17927</v>
      </c>
      <c r="GG295">
        <f t="shared" ca="1" si="744"/>
        <v>0</v>
      </c>
      <c r="GH295" t="b">
        <f t="shared" ca="1" si="745"/>
        <v>0</v>
      </c>
      <c r="GI295">
        <f t="shared" ca="1" si="746"/>
        <v>0</v>
      </c>
      <c r="GJ295">
        <f t="shared" ca="1" si="747"/>
        <v>17927</v>
      </c>
      <c r="GK295">
        <f t="shared" ca="1" si="748"/>
        <v>0</v>
      </c>
      <c r="GL295">
        <f t="shared" ca="1" si="749"/>
        <v>0</v>
      </c>
      <c r="GM295">
        <f t="shared" ca="1" si="750"/>
        <v>0</v>
      </c>
    </row>
    <row r="296" spans="1:195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753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46"/>
        <v>4690</v>
      </c>
      <c r="L296">
        <f t="shared" si="647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4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51"/>
        <v>200</v>
      </c>
      <c r="S296">
        <f t="shared" si="649"/>
        <v>39510</v>
      </c>
      <c r="T296">
        <f>_xlfn.XLOOKUP(B296,'[2]april-2025'!$A:$A,'[2]april-2025'!$C:$C,0,0)</f>
        <v>33500</v>
      </c>
      <c r="U296">
        <f t="shared" si="650"/>
        <v>6030</v>
      </c>
      <c r="V296">
        <f t="shared" si="651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52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53"/>
        <v>200</v>
      </c>
      <c r="AC296">
        <f t="shared" si="654"/>
        <v>40850</v>
      </c>
      <c r="AD296">
        <f>_xlfn.XLOOKUP(B296,'[3]may-2025'!$A:$A,'[3]may-2025'!$C:$C,0,0)</f>
        <v>33500</v>
      </c>
      <c r="AE296">
        <f t="shared" si="655"/>
        <v>6030</v>
      </c>
      <c r="AF296">
        <f t="shared" si="656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57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58"/>
        <v>200</v>
      </c>
      <c r="AM296">
        <f t="shared" si="659"/>
        <v>40850</v>
      </c>
      <c r="AN296">
        <f>_xlfn.XLOOKUP(B296,'[4]june-2025'!$A:$A,'[4]june-2025'!$C:$C,0,0)</f>
        <v>33500</v>
      </c>
      <c r="AO296">
        <f t="shared" si="660"/>
        <v>6030</v>
      </c>
      <c r="AP296">
        <f t="shared" si="66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62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63"/>
        <v>200</v>
      </c>
      <c r="AW296">
        <f t="shared" si="664"/>
        <v>40850</v>
      </c>
      <c r="AX296">
        <f>_xlfn.XLOOKUP(B296,'[5]july-2025'!$A:$A,'[5]july-2025'!$C:$C,0,0)</f>
        <v>34500</v>
      </c>
      <c r="AY296">
        <f t="shared" si="665"/>
        <v>6210</v>
      </c>
      <c r="AZ296">
        <v>0</v>
      </c>
      <c r="BA296">
        <f t="shared" si="666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67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68"/>
        <v>200</v>
      </c>
      <c r="BH296">
        <f t="shared" si="669"/>
        <v>42150</v>
      </c>
      <c r="BI296">
        <f>_xlfn.XLOOKUP(B296,'[6]august-2025'!$A:$A,'[6]august-2025'!$C:$C,0,0)</f>
        <v>34500</v>
      </c>
      <c r="BJ296">
        <f t="shared" si="670"/>
        <v>6210</v>
      </c>
      <c r="BK296">
        <f t="shared" si="671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72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73"/>
        <v>200</v>
      </c>
      <c r="BR296">
        <f t="shared" si="674"/>
        <v>42150</v>
      </c>
      <c r="BS296">
        <f>_xlfn.XLOOKUP(B296,'[7]september-2025'!$A:$A,'[7]september-2025'!$C:$C,0,0)</f>
        <v>34500</v>
      </c>
      <c r="BT296">
        <f t="shared" si="675"/>
        <v>6210</v>
      </c>
      <c r="BU296">
        <f t="shared" si="676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77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78"/>
        <v>200</v>
      </c>
      <c r="CB296">
        <f t="shared" si="679"/>
        <v>42150</v>
      </c>
      <c r="CC296">
        <f>_xlfn.XLOOKUP(B296,'[8]october-2025'!$A:$A,'[8]october-2025'!$C:$C,0,0)</f>
        <v>34500</v>
      </c>
      <c r="CD296">
        <f t="shared" si="680"/>
        <v>6210</v>
      </c>
      <c r="CE296">
        <f t="shared" si="681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82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83"/>
        <v>200</v>
      </c>
      <c r="CL296">
        <f t="shared" si="684"/>
        <v>42150</v>
      </c>
      <c r="CM296">
        <f>_xlfn.XLOOKUP(B296,'[9]november-2025'!$A:$A,'[9]november-2025'!$C:$C,0,0)</f>
        <v>34500</v>
      </c>
      <c r="CN296">
        <f t="shared" si="685"/>
        <v>6210</v>
      </c>
      <c r="CO296">
        <f t="shared" si="686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87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88"/>
        <v>200</v>
      </c>
      <c r="CV296">
        <f t="shared" si="689"/>
        <v>42150</v>
      </c>
      <c r="CW296">
        <f>_xlfn.XLOOKUP(B296,'[10]december-2025'!$A:$A,'[10]december-2025'!$C:$C,0,0)</f>
        <v>34500</v>
      </c>
      <c r="CX296">
        <f t="shared" si="690"/>
        <v>6210</v>
      </c>
      <c r="CY296">
        <f t="shared" si="691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92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93"/>
        <v>200</v>
      </c>
      <c r="DF296">
        <f t="shared" si="694"/>
        <v>42150</v>
      </c>
      <c r="DG296">
        <f>_xlfn.XLOOKUP(B296,'[11]january-2026'!$A:$A,'[11]january-2026'!$C:$C,0,0)</f>
        <v>34500</v>
      </c>
      <c r="DH296">
        <f t="shared" si="695"/>
        <v>6210</v>
      </c>
      <c r="DI296">
        <f t="shared" si="696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7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8"/>
        <v>200</v>
      </c>
      <c r="DP296">
        <f t="shared" si="699"/>
        <v>42150</v>
      </c>
      <c r="DQ296">
        <f>_xlfn.XLOOKUP(B296,'[12]february-2026'!$A:$A,'[12]february-2026'!$C:$C,0,0)</f>
        <v>34500</v>
      </c>
      <c r="DR296">
        <f t="shared" si="700"/>
        <v>6210</v>
      </c>
      <c r="DS296">
        <f t="shared" si="701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2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3"/>
        <v>200</v>
      </c>
      <c r="DZ296">
        <f t="shared" si="704"/>
        <v>42150</v>
      </c>
      <c r="EA296">
        <f t="shared" si="705"/>
        <v>538460</v>
      </c>
      <c r="EB296">
        <f t="shared" si="706"/>
        <v>2400</v>
      </c>
      <c r="EC296">
        <f t="shared" si="707"/>
        <v>50000</v>
      </c>
      <c r="ED296">
        <v>0</v>
      </c>
      <c r="EE296">
        <f t="shared" si="708"/>
        <v>486060</v>
      </c>
      <c r="EF296">
        <f t="shared" si="709"/>
        <v>30000</v>
      </c>
      <c r="EG296">
        <f t="shared" si="710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1"/>
        <v>30000</v>
      </c>
      <c r="ES296">
        <f t="shared" si="712"/>
        <v>30000</v>
      </c>
      <c r="ET296">
        <f t="shared" si="713"/>
        <v>456060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4"/>
        <v>0</v>
      </c>
      <c r="FC296">
        <f t="shared" si="715"/>
        <v>456060</v>
      </c>
      <c r="FD296">
        <f t="shared" si="716"/>
        <v>10303</v>
      </c>
      <c r="FE296">
        <f t="shared" si="717"/>
        <v>0</v>
      </c>
      <c r="FF296">
        <f t="shared" si="718"/>
        <v>10303</v>
      </c>
      <c r="FG296">
        <f t="shared" si="719"/>
        <v>0</v>
      </c>
      <c r="FH296">
        <f t="shared" si="720"/>
        <v>0</v>
      </c>
      <c r="FI296">
        <f t="shared" si="721"/>
        <v>0</v>
      </c>
      <c r="FJ296">
        <v>0</v>
      </c>
      <c r="FK296">
        <f t="shared" si="722"/>
        <v>0</v>
      </c>
      <c r="FL296" t="b">
        <f t="shared" si="723"/>
        <v>1</v>
      </c>
      <c r="FM296">
        <f t="shared" ca="1" si="724"/>
        <v>826</v>
      </c>
      <c r="FN296">
        <f t="shared" ca="1" si="725"/>
        <v>539286</v>
      </c>
      <c r="FO296">
        <f t="shared" si="726"/>
        <v>75000</v>
      </c>
      <c r="FP296">
        <f t="shared" ca="1" si="727"/>
        <v>464286</v>
      </c>
      <c r="FQ296">
        <f t="shared" ca="1" si="728"/>
        <v>0</v>
      </c>
      <c r="FR296">
        <f t="shared" ca="1" si="729"/>
        <v>0</v>
      </c>
      <c r="FS296">
        <f t="shared" ca="1" si="730"/>
        <v>0</v>
      </c>
      <c r="FT296">
        <f t="shared" ca="1" si="731"/>
        <v>0</v>
      </c>
      <c r="FU296">
        <f t="shared" ca="1" si="732"/>
        <v>0</v>
      </c>
      <c r="FV296">
        <f t="shared" ca="1" si="733"/>
        <v>0</v>
      </c>
      <c r="FW296">
        <f t="shared" ca="1" si="734"/>
        <v>0</v>
      </c>
      <c r="FX296">
        <f t="shared" ca="1" si="735"/>
        <v>0</v>
      </c>
      <c r="FY296">
        <f t="shared" ca="1" si="736"/>
        <v>0</v>
      </c>
      <c r="FZ296">
        <f t="shared" ca="1" si="737"/>
        <v>0</v>
      </c>
      <c r="GA296">
        <f t="shared" ca="1" si="738"/>
        <v>64286</v>
      </c>
      <c r="GB296">
        <f t="shared" ca="1" si="739"/>
        <v>3214.3</v>
      </c>
      <c r="GC296">
        <f t="shared" ca="1" si="740"/>
        <v>3214</v>
      </c>
      <c r="GD296">
        <f t="shared" ca="1" si="741"/>
        <v>0</v>
      </c>
      <c r="GE296">
        <f t="shared" ca="1" si="742"/>
        <v>0</v>
      </c>
      <c r="GF296">
        <f t="shared" ca="1" si="743"/>
        <v>3214</v>
      </c>
      <c r="GG296">
        <f t="shared" ca="1" si="744"/>
        <v>0</v>
      </c>
      <c r="GH296" t="b">
        <f t="shared" ca="1" si="745"/>
        <v>0</v>
      </c>
      <c r="GI296">
        <f t="shared" ca="1" si="746"/>
        <v>0</v>
      </c>
      <c r="GJ296">
        <f t="shared" ca="1" si="747"/>
        <v>3214</v>
      </c>
      <c r="GK296">
        <f t="shared" ca="1" si="748"/>
        <v>0</v>
      </c>
      <c r="GL296">
        <f t="shared" ca="1" si="749"/>
        <v>0</v>
      </c>
      <c r="GM296">
        <f t="shared" ca="1" si="750"/>
        <v>0</v>
      </c>
    </row>
    <row r="297" spans="1:195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753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46"/>
        <v>0</v>
      </c>
      <c r="L297">
        <f t="shared" si="647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4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51"/>
        <v>0</v>
      </c>
      <c r="S297">
        <f t="shared" si="649"/>
        <v>0</v>
      </c>
      <c r="T297">
        <f>_xlfn.XLOOKUP(B297,'[2]april-2025'!$A:$A,'[2]april-2025'!$C:$C,0,0)</f>
        <v>0</v>
      </c>
      <c r="U297">
        <f t="shared" si="650"/>
        <v>0</v>
      </c>
      <c r="V297">
        <f t="shared" si="651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52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53"/>
        <v>0</v>
      </c>
      <c r="AC297">
        <f t="shared" si="654"/>
        <v>0</v>
      </c>
      <c r="AD297">
        <f>_xlfn.XLOOKUP(B297,'[3]may-2025'!$A:$A,'[3]may-2025'!$C:$C,0,0)</f>
        <v>24700</v>
      </c>
      <c r="AE297">
        <f t="shared" si="655"/>
        <v>4446</v>
      </c>
      <c r="AF297">
        <f t="shared" si="656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57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58"/>
        <v>150</v>
      </c>
      <c r="AM297">
        <f t="shared" si="659"/>
        <v>32460</v>
      </c>
      <c r="AN297">
        <f>_xlfn.XLOOKUP(B297,'[4]june-2025'!$A:$A,'[4]june-2025'!$C:$C,0,0)</f>
        <v>24700</v>
      </c>
      <c r="AO297">
        <f t="shared" si="660"/>
        <v>4446</v>
      </c>
      <c r="AP297">
        <f t="shared" si="66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62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63"/>
        <v>150</v>
      </c>
      <c r="AW297">
        <f t="shared" si="664"/>
        <v>32460</v>
      </c>
      <c r="AX297">
        <f>_xlfn.XLOOKUP(B297,'[5]july-2025'!$A:$A,'[5]july-2025'!$C:$C,0,0)</f>
        <v>24700</v>
      </c>
      <c r="AY297">
        <f t="shared" si="665"/>
        <v>4446</v>
      </c>
      <c r="AZ297">
        <v>0</v>
      </c>
      <c r="BA297">
        <f t="shared" si="666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67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68"/>
        <v>150</v>
      </c>
      <c r="BH297">
        <f t="shared" si="669"/>
        <v>32460</v>
      </c>
      <c r="BI297">
        <f>_xlfn.XLOOKUP(B297,'[6]august-2025'!$A:$A,'[6]august-2025'!$C:$C,0,0)</f>
        <v>28900</v>
      </c>
      <c r="BJ297">
        <f t="shared" si="670"/>
        <v>5202</v>
      </c>
      <c r="BK297">
        <f t="shared" si="671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72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73"/>
        <v>150</v>
      </c>
      <c r="BR297">
        <f t="shared" si="674"/>
        <v>37920</v>
      </c>
      <c r="BS297">
        <f>_xlfn.XLOOKUP(B297,'[7]september-2025'!$A:$A,'[7]september-2025'!$C:$C,0,0)</f>
        <v>28900</v>
      </c>
      <c r="BT297">
        <f t="shared" si="675"/>
        <v>5202</v>
      </c>
      <c r="BU297">
        <f t="shared" si="676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77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78"/>
        <v>150</v>
      </c>
      <c r="CB297">
        <f t="shared" si="679"/>
        <v>37920</v>
      </c>
      <c r="CC297">
        <f>_xlfn.XLOOKUP(B297,'[8]october-2025'!$A:$A,'[8]october-2025'!$C:$C,0,0)</f>
        <v>28900</v>
      </c>
      <c r="CD297">
        <f t="shared" si="680"/>
        <v>5202</v>
      </c>
      <c r="CE297">
        <f t="shared" si="681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82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83"/>
        <v>150</v>
      </c>
      <c r="CL297">
        <f t="shared" si="684"/>
        <v>37920</v>
      </c>
      <c r="CM297">
        <f>_xlfn.XLOOKUP(B297,'[9]november-2025'!$A:$A,'[9]november-2025'!$C:$C,0,0)</f>
        <v>28900</v>
      </c>
      <c r="CN297">
        <f t="shared" si="685"/>
        <v>5202</v>
      </c>
      <c r="CO297">
        <f t="shared" si="686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87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88"/>
        <v>150</v>
      </c>
      <c r="CV297">
        <f t="shared" si="689"/>
        <v>37920</v>
      </c>
      <c r="CW297">
        <f>_xlfn.XLOOKUP(B297,'[10]december-2025'!$A:$A,'[10]december-2025'!$C:$C,0,0)</f>
        <v>28900</v>
      </c>
      <c r="CX297">
        <f t="shared" si="690"/>
        <v>5202</v>
      </c>
      <c r="CY297">
        <f t="shared" si="691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92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93"/>
        <v>150</v>
      </c>
      <c r="DF297">
        <f t="shared" si="694"/>
        <v>37920</v>
      </c>
      <c r="DG297">
        <f>_xlfn.XLOOKUP(B297,'[11]january-2026'!$A:$A,'[11]january-2026'!$C:$C,0,0)</f>
        <v>28900</v>
      </c>
      <c r="DH297">
        <f t="shared" si="695"/>
        <v>5202</v>
      </c>
      <c r="DI297">
        <f t="shared" si="696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7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8"/>
        <v>150</v>
      </c>
      <c r="DP297">
        <f t="shared" si="699"/>
        <v>35920</v>
      </c>
      <c r="DQ297">
        <f>_xlfn.XLOOKUP(B297,'[12]february-2026'!$A:$A,'[12]february-2026'!$C:$C,0,0)</f>
        <v>28900</v>
      </c>
      <c r="DR297">
        <f t="shared" si="700"/>
        <v>5202</v>
      </c>
      <c r="DS297">
        <f t="shared" si="701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2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3"/>
        <v>150</v>
      </c>
      <c r="DZ297">
        <f t="shared" si="704"/>
        <v>35920</v>
      </c>
      <c r="EA297">
        <f t="shared" si="705"/>
        <v>364320</v>
      </c>
      <c r="EB297">
        <f t="shared" si="706"/>
        <v>1500</v>
      </c>
      <c r="EC297">
        <f t="shared" si="707"/>
        <v>50000</v>
      </c>
      <c r="ED297">
        <v>0</v>
      </c>
      <c r="EE297">
        <f t="shared" si="708"/>
        <v>312820</v>
      </c>
      <c r="EF297">
        <f t="shared" si="709"/>
        <v>4000</v>
      </c>
      <c r="EG297">
        <f t="shared" si="710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1"/>
        <v>4000</v>
      </c>
      <c r="ES297">
        <f t="shared" si="712"/>
        <v>4000</v>
      </c>
      <c r="ET297">
        <f t="shared" si="713"/>
        <v>308820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4"/>
        <v>0</v>
      </c>
      <c r="FC297">
        <f t="shared" si="715"/>
        <v>308820</v>
      </c>
      <c r="FD297">
        <f t="shared" si="716"/>
        <v>2941</v>
      </c>
      <c r="FE297">
        <f t="shared" si="717"/>
        <v>0</v>
      </c>
      <c r="FF297">
        <f t="shared" si="718"/>
        <v>2941</v>
      </c>
      <c r="FG297">
        <f t="shared" si="719"/>
        <v>0</v>
      </c>
      <c r="FH297">
        <f t="shared" si="720"/>
        <v>0</v>
      </c>
      <c r="FI297">
        <f t="shared" si="721"/>
        <v>0</v>
      </c>
      <c r="FJ297">
        <v>0</v>
      </c>
      <c r="FK297">
        <f t="shared" si="722"/>
        <v>0</v>
      </c>
      <c r="FL297" t="b">
        <f t="shared" si="723"/>
        <v>0</v>
      </c>
      <c r="FM297">
        <f t="shared" ca="1" si="724"/>
        <v>2057</v>
      </c>
      <c r="FN297">
        <f t="shared" ca="1" si="725"/>
        <v>366377</v>
      </c>
      <c r="FO297">
        <f t="shared" si="726"/>
        <v>75000</v>
      </c>
      <c r="FP297">
        <f t="shared" ca="1" si="727"/>
        <v>291377</v>
      </c>
      <c r="FQ297">
        <f t="shared" ca="1" si="728"/>
        <v>0</v>
      </c>
      <c r="FR297">
        <f t="shared" ca="1" si="729"/>
        <v>0</v>
      </c>
      <c r="FS297">
        <f t="shared" ca="1" si="730"/>
        <v>0</v>
      </c>
      <c r="FT297">
        <f t="shared" ca="1" si="731"/>
        <v>0</v>
      </c>
      <c r="FU297">
        <f t="shared" ca="1" si="732"/>
        <v>0</v>
      </c>
      <c r="FV297">
        <f t="shared" ca="1" si="733"/>
        <v>0</v>
      </c>
      <c r="FW297">
        <f t="shared" ca="1" si="734"/>
        <v>0</v>
      </c>
      <c r="FX297">
        <f t="shared" ca="1" si="735"/>
        <v>0</v>
      </c>
      <c r="FY297">
        <f t="shared" ca="1" si="736"/>
        <v>0</v>
      </c>
      <c r="FZ297">
        <f t="shared" ca="1" si="737"/>
        <v>0</v>
      </c>
      <c r="GA297">
        <f t="shared" ca="1" si="738"/>
        <v>0</v>
      </c>
      <c r="GB297">
        <f t="shared" ca="1" si="739"/>
        <v>0</v>
      </c>
      <c r="GC297">
        <f t="shared" ca="1" si="740"/>
        <v>0</v>
      </c>
      <c r="GD297">
        <f t="shared" ca="1" si="741"/>
        <v>0</v>
      </c>
      <c r="GE297">
        <f t="shared" ca="1" si="742"/>
        <v>0</v>
      </c>
      <c r="GF297">
        <f t="shared" ca="1" si="743"/>
        <v>0</v>
      </c>
      <c r="GG297">
        <f t="shared" ca="1" si="744"/>
        <v>0</v>
      </c>
      <c r="GH297" t="b">
        <f t="shared" ca="1" si="745"/>
        <v>0</v>
      </c>
      <c r="GI297">
        <f t="shared" ca="1" si="746"/>
        <v>0</v>
      </c>
      <c r="GJ297">
        <f t="shared" ca="1" si="747"/>
        <v>0</v>
      </c>
      <c r="GK297">
        <f t="shared" ca="1" si="748"/>
        <v>0</v>
      </c>
      <c r="GL297">
        <f t="shared" ca="1" si="749"/>
        <v>0</v>
      </c>
      <c r="GM297">
        <f t="shared" ca="1" si="750"/>
        <v>0</v>
      </c>
    </row>
    <row r="298" spans="1:195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753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46"/>
        <v>6818.0000000000009</v>
      </c>
      <c r="L298">
        <f t="shared" si="647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4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51"/>
        <v>200</v>
      </c>
      <c r="S298">
        <f t="shared" si="649"/>
        <v>49562</v>
      </c>
      <c r="T298">
        <f>_xlfn.XLOOKUP(B298,'[2]april-2025'!$A:$A,'[2]april-2025'!$C:$C,0,0)</f>
        <v>48700</v>
      </c>
      <c r="U298">
        <f t="shared" si="650"/>
        <v>8766</v>
      </c>
      <c r="V298">
        <f t="shared" si="651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52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53"/>
        <v>200</v>
      </c>
      <c r="AC298">
        <f t="shared" si="654"/>
        <v>51510</v>
      </c>
      <c r="AD298">
        <f>_xlfn.XLOOKUP(B298,'[3]may-2025'!$A:$A,'[3]may-2025'!$C:$C,0,0)</f>
        <v>48700</v>
      </c>
      <c r="AE298">
        <f t="shared" si="655"/>
        <v>8766</v>
      </c>
      <c r="AF298">
        <f t="shared" si="656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57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58"/>
        <v>200</v>
      </c>
      <c r="AM298">
        <f t="shared" si="659"/>
        <v>51510</v>
      </c>
      <c r="AN298">
        <f>_xlfn.XLOOKUP(B298,'[4]june-2025'!$A:$A,'[4]june-2025'!$C:$C,0,0)</f>
        <v>48700</v>
      </c>
      <c r="AO298">
        <f t="shared" si="660"/>
        <v>8766</v>
      </c>
      <c r="AP298">
        <f t="shared" si="66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62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63"/>
        <v>200</v>
      </c>
      <c r="AW298">
        <f t="shared" si="664"/>
        <v>51510</v>
      </c>
      <c r="AX298">
        <f>_xlfn.XLOOKUP(B298,'[5]july-2025'!$A:$A,'[5]july-2025'!$C:$C,0,0)</f>
        <v>50200</v>
      </c>
      <c r="AY298">
        <f t="shared" si="665"/>
        <v>9036</v>
      </c>
      <c r="AZ298">
        <v>0</v>
      </c>
      <c r="BA298">
        <f t="shared" si="666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67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68"/>
        <v>200</v>
      </c>
      <c r="BH298">
        <f t="shared" si="669"/>
        <v>53460</v>
      </c>
      <c r="BI298">
        <f>_xlfn.XLOOKUP(B298,'[6]august-2025'!$A:$A,'[6]august-2025'!$C:$C,0,0)</f>
        <v>50200</v>
      </c>
      <c r="BJ298">
        <f t="shared" si="670"/>
        <v>9036</v>
      </c>
      <c r="BK298">
        <f t="shared" si="671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72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73"/>
        <v>200</v>
      </c>
      <c r="BR298">
        <f t="shared" si="674"/>
        <v>53460</v>
      </c>
      <c r="BS298">
        <f>_xlfn.XLOOKUP(B298,'[7]september-2025'!$A:$A,'[7]september-2025'!$C:$C,0,0)</f>
        <v>50200</v>
      </c>
      <c r="BT298">
        <f t="shared" si="675"/>
        <v>9036</v>
      </c>
      <c r="BU298">
        <f t="shared" si="676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77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78"/>
        <v>200</v>
      </c>
      <c r="CB298">
        <f t="shared" si="679"/>
        <v>53460</v>
      </c>
      <c r="CC298">
        <f>_xlfn.XLOOKUP(B298,'[8]october-2025'!$A:$A,'[8]october-2025'!$C:$C,0,0)</f>
        <v>50200</v>
      </c>
      <c r="CD298">
        <f t="shared" si="680"/>
        <v>9036</v>
      </c>
      <c r="CE298">
        <f t="shared" si="681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82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83"/>
        <v>200</v>
      </c>
      <c r="CL298">
        <f t="shared" si="684"/>
        <v>53460</v>
      </c>
      <c r="CM298">
        <f>_xlfn.XLOOKUP(B298,'[9]november-2025'!$A:$A,'[9]november-2025'!$C:$C,0,0)</f>
        <v>50200</v>
      </c>
      <c r="CN298">
        <f t="shared" si="685"/>
        <v>9036</v>
      </c>
      <c r="CO298">
        <f t="shared" si="686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87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88"/>
        <v>200</v>
      </c>
      <c r="CV298">
        <f t="shared" si="689"/>
        <v>53460</v>
      </c>
      <c r="CW298">
        <f>_xlfn.XLOOKUP(B298,'[10]december-2025'!$A:$A,'[10]december-2025'!$C:$C,0,0)</f>
        <v>50200</v>
      </c>
      <c r="CX298">
        <f t="shared" si="690"/>
        <v>9036</v>
      </c>
      <c r="CY298">
        <f t="shared" si="691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92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93"/>
        <v>200</v>
      </c>
      <c r="DF298">
        <f t="shared" si="694"/>
        <v>53460</v>
      </c>
      <c r="DG298">
        <f>_xlfn.XLOOKUP(B298,'[11]january-2026'!$A:$A,'[11]january-2026'!$C:$C,0,0)</f>
        <v>50200</v>
      </c>
      <c r="DH298">
        <f t="shared" si="695"/>
        <v>9036</v>
      </c>
      <c r="DI298">
        <f t="shared" si="696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7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8"/>
        <v>200</v>
      </c>
      <c r="DP298">
        <f t="shared" si="699"/>
        <v>53460</v>
      </c>
      <c r="DQ298">
        <f>_xlfn.XLOOKUP(B298,'[12]february-2026'!$A:$A,'[12]february-2026'!$C:$C,0,0)</f>
        <v>50200</v>
      </c>
      <c r="DR298">
        <f t="shared" si="700"/>
        <v>9036</v>
      </c>
      <c r="DS298">
        <f t="shared" si="701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2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3"/>
        <v>200</v>
      </c>
      <c r="DZ298">
        <f t="shared" si="704"/>
        <v>53460</v>
      </c>
      <c r="EA298">
        <f t="shared" si="705"/>
        <v>784972</v>
      </c>
      <c r="EB298">
        <f t="shared" si="706"/>
        <v>2400</v>
      </c>
      <c r="EC298">
        <f t="shared" si="707"/>
        <v>50000</v>
      </c>
      <c r="ED298">
        <v>0</v>
      </c>
      <c r="EE298">
        <f t="shared" si="708"/>
        <v>732572</v>
      </c>
      <c r="EF298">
        <f t="shared" si="709"/>
        <v>144000</v>
      </c>
      <c r="EG298">
        <f t="shared" si="710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1"/>
        <v>144000</v>
      </c>
      <c r="ES298">
        <f t="shared" si="712"/>
        <v>144000</v>
      </c>
      <c r="ET298">
        <f t="shared" si="713"/>
        <v>588572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4"/>
        <v>0</v>
      </c>
      <c r="FC298">
        <f t="shared" si="715"/>
        <v>588572</v>
      </c>
      <c r="FD298">
        <f t="shared" si="716"/>
        <v>12500</v>
      </c>
      <c r="FE298">
        <f t="shared" si="717"/>
        <v>17714</v>
      </c>
      <c r="FF298">
        <f t="shared" si="718"/>
        <v>30214</v>
      </c>
      <c r="FG298">
        <f t="shared" si="719"/>
        <v>30214</v>
      </c>
      <c r="FH298">
        <f t="shared" si="720"/>
        <v>1208.56</v>
      </c>
      <c r="FI298">
        <f t="shared" si="721"/>
        <v>31423</v>
      </c>
      <c r="FJ298">
        <v>0</v>
      </c>
      <c r="FK298">
        <f t="shared" si="722"/>
        <v>31423</v>
      </c>
      <c r="FL298" t="b">
        <f t="shared" si="723"/>
        <v>1</v>
      </c>
      <c r="FM298">
        <f t="shared" ca="1" si="724"/>
        <v>898</v>
      </c>
      <c r="FN298">
        <f t="shared" ca="1" si="725"/>
        <v>785870</v>
      </c>
      <c r="FO298">
        <f t="shared" si="726"/>
        <v>75000</v>
      </c>
      <c r="FP298">
        <f t="shared" ca="1" si="727"/>
        <v>710870</v>
      </c>
      <c r="FQ298">
        <f t="shared" ca="1" si="728"/>
        <v>0</v>
      </c>
      <c r="FR298">
        <f t="shared" ca="1" si="729"/>
        <v>0</v>
      </c>
      <c r="FS298">
        <f t="shared" ca="1" si="730"/>
        <v>0</v>
      </c>
      <c r="FT298">
        <f t="shared" ca="1" si="731"/>
        <v>0</v>
      </c>
      <c r="FU298">
        <f t="shared" ca="1" si="732"/>
        <v>0</v>
      </c>
      <c r="FV298">
        <f t="shared" ca="1" si="733"/>
        <v>0</v>
      </c>
      <c r="FW298">
        <f t="shared" ca="1" si="734"/>
        <v>0</v>
      </c>
      <c r="FX298">
        <f t="shared" ca="1" si="735"/>
        <v>0</v>
      </c>
      <c r="FY298">
        <f t="shared" ca="1" si="736"/>
        <v>0</v>
      </c>
      <c r="FZ298">
        <f t="shared" ca="1" si="737"/>
        <v>0</v>
      </c>
      <c r="GA298">
        <f t="shared" ca="1" si="738"/>
        <v>310870</v>
      </c>
      <c r="GB298">
        <f t="shared" ca="1" si="739"/>
        <v>15543.5</v>
      </c>
      <c r="GC298">
        <f t="shared" ca="1" si="740"/>
        <v>15544</v>
      </c>
      <c r="GD298">
        <f t="shared" ca="1" si="741"/>
        <v>0</v>
      </c>
      <c r="GE298">
        <f t="shared" ca="1" si="742"/>
        <v>0</v>
      </c>
      <c r="GF298">
        <f t="shared" ca="1" si="743"/>
        <v>15544</v>
      </c>
      <c r="GG298">
        <f t="shared" ca="1" si="744"/>
        <v>0</v>
      </c>
      <c r="GH298" t="b">
        <f t="shared" ca="1" si="745"/>
        <v>0</v>
      </c>
      <c r="GI298">
        <f t="shared" ca="1" si="746"/>
        <v>0</v>
      </c>
      <c r="GJ298">
        <f t="shared" ca="1" si="747"/>
        <v>15544</v>
      </c>
      <c r="GK298">
        <f t="shared" ca="1" si="748"/>
        <v>0</v>
      </c>
      <c r="GL298">
        <f t="shared" ca="1" si="749"/>
        <v>0</v>
      </c>
      <c r="GM298">
        <f t="shared" ca="1" si="750"/>
        <v>0</v>
      </c>
    </row>
    <row r="299" spans="1:195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753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46"/>
        <v>4690</v>
      </c>
      <c r="L299">
        <f t="shared" si="647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4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51"/>
        <v>200</v>
      </c>
      <c r="S299">
        <f t="shared" si="649"/>
        <v>39510</v>
      </c>
      <c r="T299">
        <f>_xlfn.XLOOKUP(B299,'[2]april-2025'!$A:$A,'[2]april-2025'!$C:$C,0,0)</f>
        <v>33500</v>
      </c>
      <c r="U299">
        <f t="shared" si="650"/>
        <v>6030</v>
      </c>
      <c r="V299">
        <f t="shared" si="651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52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53"/>
        <v>200</v>
      </c>
      <c r="AC299">
        <f t="shared" si="654"/>
        <v>40850</v>
      </c>
      <c r="AD299">
        <f>_xlfn.XLOOKUP(B299,'[3]may-2025'!$A:$A,'[3]may-2025'!$C:$C,0,0)</f>
        <v>33500</v>
      </c>
      <c r="AE299">
        <f t="shared" si="655"/>
        <v>6030</v>
      </c>
      <c r="AF299">
        <f t="shared" si="656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57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58"/>
        <v>200</v>
      </c>
      <c r="AM299">
        <f t="shared" si="659"/>
        <v>40850</v>
      </c>
      <c r="AN299">
        <f>_xlfn.XLOOKUP(B299,'[4]june-2025'!$A:$A,'[4]june-2025'!$C:$C,0,0)</f>
        <v>33500</v>
      </c>
      <c r="AO299">
        <f t="shared" si="660"/>
        <v>6030</v>
      </c>
      <c r="AP299">
        <f t="shared" si="66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62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63"/>
        <v>200</v>
      </c>
      <c r="AW299">
        <f t="shared" si="664"/>
        <v>40850</v>
      </c>
      <c r="AX299">
        <f>_xlfn.XLOOKUP(B299,'[5]july-2025'!$A:$A,'[5]july-2025'!$C:$C,0,0)</f>
        <v>34500</v>
      </c>
      <c r="AY299">
        <f t="shared" si="665"/>
        <v>6210</v>
      </c>
      <c r="AZ299">
        <v>0</v>
      </c>
      <c r="BA299">
        <f t="shared" si="666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67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68"/>
        <v>200</v>
      </c>
      <c r="BH299">
        <f t="shared" si="669"/>
        <v>42150</v>
      </c>
      <c r="BI299">
        <f>_xlfn.XLOOKUP(B299,'[6]august-2025'!$A:$A,'[6]august-2025'!$C:$C,0,0)</f>
        <v>34500</v>
      </c>
      <c r="BJ299">
        <f t="shared" si="670"/>
        <v>6210</v>
      </c>
      <c r="BK299">
        <f t="shared" si="671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72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73"/>
        <v>200</v>
      </c>
      <c r="BR299">
        <f t="shared" si="674"/>
        <v>42150</v>
      </c>
      <c r="BS299">
        <f>_xlfn.XLOOKUP(B299,'[7]september-2025'!$A:$A,'[7]september-2025'!$C:$C,0,0)</f>
        <v>34500</v>
      </c>
      <c r="BT299">
        <f t="shared" si="675"/>
        <v>6210</v>
      </c>
      <c r="BU299">
        <f t="shared" si="676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77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78"/>
        <v>200</v>
      </c>
      <c r="CB299">
        <f t="shared" si="679"/>
        <v>42150</v>
      </c>
      <c r="CC299">
        <f>_xlfn.XLOOKUP(B299,'[8]october-2025'!$A:$A,'[8]october-2025'!$C:$C,0,0)</f>
        <v>34500</v>
      </c>
      <c r="CD299">
        <f t="shared" si="680"/>
        <v>6210</v>
      </c>
      <c r="CE299">
        <f t="shared" si="681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82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83"/>
        <v>200</v>
      </c>
      <c r="CL299">
        <f t="shared" si="684"/>
        <v>42150</v>
      </c>
      <c r="CM299">
        <f>_xlfn.XLOOKUP(B299,'[9]november-2025'!$A:$A,'[9]november-2025'!$C:$C,0,0)</f>
        <v>34500</v>
      </c>
      <c r="CN299">
        <f t="shared" si="685"/>
        <v>6210</v>
      </c>
      <c r="CO299">
        <f t="shared" si="686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87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88"/>
        <v>200</v>
      </c>
      <c r="CV299">
        <f t="shared" si="689"/>
        <v>42150</v>
      </c>
      <c r="CW299">
        <f>_xlfn.XLOOKUP(B299,'[10]december-2025'!$A:$A,'[10]december-2025'!$C:$C,0,0)</f>
        <v>34500</v>
      </c>
      <c r="CX299">
        <f t="shared" si="690"/>
        <v>6210</v>
      </c>
      <c r="CY299">
        <f t="shared" si="691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92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93"/>
        <v>200</v>
      </c>
      <c r="DF299">
        <f t="shared" si="694"/>
        <v>42150</v>
      </c>
      <c r="DG299">
        <f>_xlfn.XLOOKUP(B299,'[11]january-2026'!$A:$A,'[11]january-2026'!$C:$C,0,0)</f>
        <v>34500</v>
      </c>
      <c r="DH299">
        <f t="shared" si="695"/>
        <v>6210</v>
      </c>
      <c r="DI299">
        <f t="shared" si="696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7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8"/>
        <v>200</v>
      </c>
      <c r="DP299">
        <f t="shared" si="699"/>
        <v>42150</v>
      </c>
      <c r="DQ299">
        <f>_xlfn.XLOOKUP(B299,'[12]february-2026'!$A:$A,'[12]february-2026'!$C:$C,0,0)</f>
        <v>34500</v>
      </c>
      <c r="DR299">
        <f t="shared" si="700"/>
        <v>6210</v>
      </c>
      <c r="DS299">
        <f t="shared" si="701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2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3"/>
        <v>200</v>
      </c>
      <c r="DZ299">
        <f t="shared" si="704"/>
        <v>42150</v>
      </c>
      <c r="EA299">
        <f t="shared" si="705"/>
        <v>544460</v>
      </c>
      <c r="EB299">
        <f t="shared" si="706"/>
        <v>2400</v>
      </c>
      <c r="EC299">
        <f t="shared" si="707"/>
        <v>50000</v>
      </c>
      <c r="ED299">
        <v>0</v>
      </c>
      <c r="EE299">
        <f t="shared" si="708"/>
        <v>492060</v>
      </c>
      <c r="EF299">
        <f t="shared" si="709"/>
        <v>36000</v>
      </c>
      <c r="EG299">
        <f t="shared" si="710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1"/>
        <v>36000</v>
      </c>
      <c r="ES299">
        <f t="shared" si="712"/>
        <v>36000</v>
      </c>
      <c r="ET299">
        <f t="shared" si="713"/>
        <v>456060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4"/>
        <v>0</v>
      </c>
      <c r="FC299">
        <f t="shared" si="715"/>
        <v>456060</v>
      </c>
      <c r="FD299">
        <f t="shared" si="716"/>
        <v>10303</v>
      </c>
      <c r="FE299">
        <f t="shared" si="717"/>
        <v>0</v>
      </c>
      <c r="FF299">
        <f t="shared" si="718"/>
        <v>10303</v>
      </c>
      <c r="FG299">
        <f t="shared" si="719"/>
        <v>0</v>
      </c>
      <c r="FH299">
        <f t="shared" si="720"/>
        <v>0</v>
      </c>
      <c r="FI299">
        <f t="shared" si="721"/>
        <v>0</v>
      </c>
      <c r="FJ299">
        <v>0</v>
      </c>
      <c r="FK299">
        <f t="shared" si="722"/>
        <v>0</v>
      </c>
      <c r="FL299" t="b">
        <f t="shared" si="723"/>
        <v>1</v>
      </c>
      <c r="FM299">
        <f t="shared" ca="1" si="724"/>
        <v>982</v>
      </c>
      <c r="FN299">
        <f t="shared" ca="1" si="725"/>
        <v>545442</v>
      </c>
      <c r="FO299">
        <f t="shared" si="726"/>
        <v>75000</v>
      </c>
      <c r="FP299">
        <f t="shared" ca="1" si="727"/>
        <v>470442</v>
      </c>
      <c r="FQ299">
        <f t="shared" ca="1" si="728"/>
        <v>0</v>
      </c>
      <c r="FR299">
        <f t="shared" ca="1" si="729"/>
        <v>0</v>
      </c>
      <c r="FS299">
        <f t="shared" ca="1" si="730"/>
        <v>0</v>
      </c>
      <c r="FT299">
        <f t="shared" ca="1" si="731"/>
        <v>0</v>
      </c>
      <c r="FU299">
        <f t="shared" ca="1" si="732"/>
        <v>0</v>
      </c>
      <c r="FV299">
        <f t="shared" ca="1" si="733"/>
        <v>0</v>
      </c>
      <c r="FW299">
        <f t="shared" ca="1" si="734"/>
        <v>0</v>
      </c>
      <c r="FX299">
        <f t="shared" ca="1" si="735"/>
        <v>0</v>
      </c>
      <c r="FY299">
        <f t="shared" ca="1" si="736"/>
        <v>0</v>
      </c>
      <c r="FZ299">
        <f t="shared" ca="1" si="737"/>
        <v>0</v>
      </c>
      <c r="GA299">
        <f t="shared" ca="1" si="738"/>
        <v>70442</v>
      </c>
      <c r="GB299">
        <f t="shared" ca="1" si="739"/>
        <v>3522.1000000000004</v>
      </c>
      <c r="GC299">
        <f t="shared" ca="1" si="740"/>
        <v>3522</v>
      </c>
      <c r="GD299">
        <f t="shared" ca="1" si="741"/>
        <v>0</v>
      </c>
      <c r="GE299">
        <f t="shared" ca="1" si="742"/>
        <v>0</v>
      </c>
      <c r="GF299">
        <f t="shared" ca="1" si="743"/>
        <v>3522</v>
      </c>
      <c r="GG299">
        <f t="shared" ca="1" si="744"/>
        <v>0</v>
      </c>
      <c r="GH299" t="b">
        <f t="shared" ca="1" si="745"/>
        <v>0</v>
      </c>
      <c r="GI299">
        <f t="shared" ca="1" si="746"/>
        <v>0</v>
      </c>
      <c r="GJ299">
        <f t="shared" ca="1" si="747"/>
        <v>3522</v>
      </c>
      <c r="GK299">
        <f t="shared" ca="1" si="748"/>
        <v>0</v>
      </c>
      <c r="GL299">
        <f t="shared" ca="1" si="749"/>
        <v>0</v>
      </c>
      <c r="GM299">
        <f t="shared" ca="1" si="750"/>
        <v>0</v>
      </c>
    </row>
    <row r="300" spans="1:195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753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46"/>
        <v>4690</v>
      </c>
      <c r="L300">
        <f t="shared" si="647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4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51"/>
        <v>200</v>
      </c>
      <c r="S300">
        <f t="shared" si="649"/>
        <v>37510</v>
      </c>
      <c r="T300">
        <f>_xlfn.XLOOKUP(B300,'[2]april-2025'!$A:$A,'[2]april-2025'!$C:$C,0,0)</f>
        <v>33500</v>
      </c>
      <c r="U300">
        <f t="shared" si="650"/>
        <v>6030</v>
      </c>
      <c r="V300">
        <f t="shared" si="651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52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53"/>
        <v>200</v>
      </c>
      <c r="AC300">
        <f t="shared" si="654"/>
        <v>38850</v>
      </c>
      <c r="AD300">
        <f>_xlfn.XLOOKUP(B300,'[3]may-2025'!$A:$A,'[3]may-2025'!$C:$C,0,0)</f>
        <v>33500</v>
      </c>
      <c r="AE300">
        <f t="shared" si="655"/>
        <v>6030</v>
      </c>
      <c r="AF300">
        <f t="shared" si="656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57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58"/>
        <v>200</v>
      </c>
      <c r="AM300">
        <f t="shared" si="659"/>
        <v>38850</v>
      </c>
      <c r="AN300">
        <f>_xlfn.XLOOKUP(B300,'[4]june-2025'!$A:$A,'[4]june-2025'!$C:$C,0,0)</f>
        <v>33500</v>
      </c>
      <c r="AO300">
        <f t="shared" si="660"/>
        <v>6030</v>
      </c>
      <c r="AP300">
        <f t="shared" si="66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62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63"/>
        <v>200</v>
      </c>
      <c r="AW300">
        <f t="shared" si="664"/>
        <v>38850</v>
      </c>
      <c r="AX300">
        <f>_xlfn.XLOOKUP(B300,'[5]july-2025'!$A:$A,'[5]july-2025'!$C:$C,0,0)</f>
        <v>34500</v>
      </c>
      <c r="AY300">
        <f t="shared" si="665"/>
        <v>6210</v>
      </c>
      <c r="AZ300">
        <v>0</v>
      </c>
      <c r="BA300">
        <f t="shared" si="666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67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68"/>
        <v>200</v>
      </c>
      <c r="BH300">
        <f t="shared" si="669"/>
        <v>40150</v>
      </c>
      <c r="BI300">
        <f>_xlfn.XLOOKUP(B300,'[6]august-2025'!$A:$A,'[6]august-2025'!$C:$C,0,0)</f>
        <v>34500</v>
      </c>
      <c r="BJ300">
        <f t="shared" si="670"/>
        <v>6210</v>
      </c>
      <c r="BK300">
        <f t="shared" si="671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72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73"/>
        <v>200</v>
      </c>
      <c r="BR300">
        <f t="shared" si="674"/>
        <v>40150</v>
      </c>
      <c r="BS300">
        <f>_xlfn.XLOOKUP(B300,'[7]september-2025'!$A:$A,'[7]september-2025'!$C:$C,0,0)</f>
        <v>34500</v>
      </c>
      <c r="BT300">
        <f t="shared" si="675"/>
        <v>6210</v>
      </c>
      <c r="BU300">
        <f t="shared" si="676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77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78"/>
        <v>200</v>
      </c>
      <c r="CB300">
        <f t="shared" si="679"/>
        <v>40150</v>
      </c>
      <c r="CC300">
        <f>_xlfn.XLOOKUP(B300,'[8]october-2025'!$A:$A,'[8]october-2025'!$C:$C,0,0)</f>
        <v>34500</v>
      </c>
      <c r="CD300">
        <f t="shared" si="680"/>
        <v>6210</v>
      </c>
      <c r="CE300">
        <f t="shared" si="681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82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83"/>
        <v>200</v>
      </c>
      <c r="CL300">
        <f t="shared" si="684"/>
        <v>40150</v>
      </c>
      <c r="CM300">
        <f>_xlfn.XLOOKUP(B300,'[9]november-2025'!$A:$A,'[9]november-2025'!$C:$C,0,0)</f>
        <v>34500</v>
      </c>
      <c r="CN300">
        <f t="shared" si="685"/>
        <v>6210</v>
      </c>
      <c r="CO300">
        <f t="shared" si="686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87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88"/>
        <v>200</v>
      </c>
      <c r="CV300">
        <f t="shared" si="689"/>
        <v>40150</v>
      </c>
      <c r="CW300">
        <f>_xlfn.XLOOKUP(B300,'[10]december-2025'!$A:$A,'[10]december-2025'!$C:$C,0,0)</f>
        <v>34500</v>
      </c>
      <c r="CX300">
        <f t="shared" si="690"/>
        <v>6210</v>
      </c>
      <c r="CY300">
        <f t="shared" si="691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92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93"/>
        <v>200</v>
      </c>
      <c r="DF300">
        <f t="shared" si="694"/>
        <v>40150</v>
      </c>
      <c r="DG300">
        <f>_xlfn.XLOOKUP(B300,'[11]january-2026'!$A:$A,'[11]january-2026'!$C:$C,0,0)</f>
        <v>34500</v>
      </c>
      <c r="DH300">
        <f t="shared" si="695"/>
        <v>6210</v>
      </c>
      <c r="DI300">
        <f t="shared" si="696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7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8"/>
        <v>200</v>
      </c>
      <c r="DP300">
        <f t="shared" si="699"/>
        <v>40150</v>
      </c>
      <c r="DQ300">
        <f>_xlfn.XLOOKUP(B300,'[12]february-2026'!$A:$A,'[12]february-2026'!$C:$C,0,0)</f>
        <v>34500</v>
      </c>
      <c r="DR300">
        <f t="shared" si="700"/>
        <v>6210</v>
      </c>
      <c r="DS300">
        <f t="shared" si="701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2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3"/>
        <v>200</v>
      </c>
      <c r="DZ300">
        <f t="shared" si="704"/>
        <v>40150</v>
      </c>
      <c r="EA300">
        <f t="shared" si="705"/>
        <v>544460</v>
      </c>
      <c r="EB300">
        <f t="shared" si="706"/>
        <v>2400</v>
      </c>
      <c r="EC300">
        <f t="shared" si="707"/>
        <v>50000</v>
      </c>
      <c r="ED300">
        <v>0</v>
      </c>
      <c r="EE300">
        <f t="shared" si="708"/>
        <v>492060</v>
      </c>
      <c r="EF300">
        <f t="shared" si="709"/>
        <v>60000</v>
      </c>
      <c r="EG300">
        <f t="shared" si="710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1"/>
        <v>60000</v>
      </c>
      <c r="ES300">
        <f t="shared" si="712"/>
        <v>60000</v>
      </c>
      <c r="ET300">
        <f t="shared" si="713"/>
        <v>432060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4"/>
        <v>0</v>
      </c>
      <c r="FC300">
        <f t="shared" si="715"/>
        <v>432060</v>
      </c>
      <c r="FD300">
        <f t="shared" si="716"/>
        <v>9103</v>
      </c>
      <c r="FE300">
        <f t="shared" si="717"/>
        <v>0</v>
      </c>
      <c r="FF300">
        <f t="shared" si="718"/>
        <v>9103</v>
      </c>
      <c r="FG300">
        <f t="shared" si="719"/>
        <v>0</v>
      </c>
      <c r="FH300">
        <f t="shared" si="720"/>
        <v>0</v>
      </c>
      <c r="FI300">
        <f t="shared" si="721"/>
        <v>0</v>
      </c>
      <c r="FJ300">
        <v>0</v>
      </c>
      <c r="FK300">
        <f t="shared" si="722"/>
        <v>0</v>
      </c>
      <c r="FL300" t="b">
        <f t="shared" si="723"/>
        <v>1</v>
      </c>
      <c r="FM300">
        <f t="shared" ca="1" si="724"/>
        <v>684</v>
      </c>
      <c r="FN300">
        <f t="shared" ca="1" si="725"/>
        <v>545144</v>
      </c>
      <c r="FO300">
        <f t="shared" si="726"/>
        <v>75000</v>
      </c>
      <c r="FP300">
        <f t="shared" ca="1" si="727"/>
        <v>470144</v>
      </c>
      <c r="FQ300">
        <f t="shared" ca="1" si="728"/>
        <v>0</v>
      </c>
      <c r="FR300">
        <f t="shared" ca="1" si="729"/>
        <v>0</v>
      </c>
      <c r="FS300">
        <f t="shared" ca="1" si="730"/>
        <v>0</v>
      </c>
      <c r="FT300">
        <f t="shared" ca="1" si="731"/>
        <v>0</v>
      </c>
      <c r="FU300">
        <f t="shared" ca="1" si="732"/>
        <v>0</v>
      </c>
      <c r="FV300">
        <f t="shared" ca="1" si="733"/>
        <v>0</v>
      </c>
      <c r="FW300">
        <f t="shared" ca="1" si="734"/>
        <v>0</v>
      </c>
      <c r="FX300">
        <f t="shared" ca="1" si="735"/>
        <v>0</v>
      </c>
      <c r="FY300">
        <f t="shared" ca="1" si="736"/>
        <v>0</v>
      </c>
      <c r="FZ300">
        <f t="shared" ca="1" si="737"/>
        <v>0</v>
      </c>
      <c r="GA300">
        <f t="shared" ca="1" si="738"/>
        <v>70144</v>
      </c>
      <c r="GB300">
        <f t="shared" ca="1" si="739"/>
        <v>3507.2000000000003</v>
      </c>
      <c r="GC300">
        <f t="shared" ca="1" si="740"/>
        <v>3507</v>
      </c>
      <c r="GD300">
        <f t="shared" ca="1" si="741"/>
        <v>0</v>
      </c>
      <c r="GE300">
        <f t="shared" ca="1" si="742"/>
        <v>0</v>
      </c>
      <c r="GF300">
        <f t="shared" ca="1" si="743"/>
        <v>3507</v>
      </c>
      <c r="GG300">
        <f t="shared" ca="1" si="744"/>
        <v>0</v>
      </c>
      <c r="GH300" t="b">
        <f t="shared" ca="1" si="745"/>
        <v>0</v>
      </c>
      <c r="GI300">
        <f t="shared" ca="1" si="746"/>
        <v>0</v>
      </c>
      <c r="GJ300">
        <f t="shared" ca="1" si="747"/>
        <v>3507</v>
      </c>
      <c r="GK300">
        <f t="shared" ca="1" si="748"/>
        <v>0</v>
      </c>
      <c r="GL300">
        <f t="shared" ca="1" si="749"/>
        <v>0</v>
      </c>
      <c r="GM300">
        <f t="shared" ca="1" si="750"/>
        <v>0</v>
      </c>
    </row>
    <row r="301" spans="1:195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753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46"/>
        <v>4830.0000000000009</v>
      </c>
      <c r="L301">
        <f t="shared" si="647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4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51"/>
        <v>200</v>
      </c>
      <c r="S301">
        <f t="shared" si="649"/>
        <v>41170</v>
      </c>
      <c r="T301">
        <f>_xlfn.XLOOKUP(B301,'[2]april-2025'!$A:$A,'[2]april-2025'!$C:$C,0,0)</f>
        <v>34500</v>
      </c>
      <c r="U301">
        <f t="shared" si="650"/>
        <v>6210</v>
      </c>
      <c r="V301">
        <f t="shared" si="651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52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53"/>
        <v>200</v>
      </c>
      <c r="AC301">
        <f t="shared" si="654"/>
        <v>42550</v>
      </c>
      <c r="AD301">
        <f>_xlfn.XLOOKUP(B301,'[3]may-2025'!$A:$A,'[3]may-2025'!$C:$C,0,0)</f>
        <v>34500</v>
      </c>
      <c r="AE301">
        <f t="shared" si="655"/>
        <v>6210</v>
      </c>
      <c r="AF301">
        <f t="shared" si="656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57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58"/>
        <v>200</v>
      </c>
      <c r="AM301">
        <f t="shared" si="659"/>
        <v>42550</v>
      </c>
      <c r="AN301">
        <f>_xlfn.XLOOKUP(B301,'[4]june-2025'!$A:$A,'[4]june-2025'!$C:$C,0,0)</f>
        <v>34500</v>
      </c>
      <c r="AO301">
        <f t="shared" si="660"/>
        <v>6210</v>
      </c>
      <c r="AP301">
        <f t="shared" si="66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62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63"/>
        <v>200</v>
      </c>
      <c r="AW301">
        <f t="shared" si="664"/>
        <v>42550</v>
      </c>
      <c r="AX301">
        <f>_xlfn.XLOOKUP(B301,'[5]july-2025'!$A:$A,'[5]july-2025'!$C:$C,0,0)</f>
        <v>35500</v>
      </c>
      <c r="AY301">
        <f t="shared" si="665"/>
        <v>6390</v>
      </c>
      <c r="AZ301">
        <v>0</v>
      </c>
      <c r="BA301">
        <f t="shared" si="666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67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68"/>
        <v>200</v>
      </c>
      <c r="BH301">
        <f t="shared" si="669"/>
        <v>43850</v>
      </c>
      <c r="BI301">
        <f>_xlfn.XLOOKUP(B301,'[6]august-2025'!$A:$A,'[6]august-2025'!$C:$C,0,0)</f>
        <v>35500</v>
      </c>
      <c r="BJ301">
        <f t="shared" si="670"/>
        <v>6390</v>
      </c>
      <c r="BK301">
        <f t="shared" si="671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72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73"/>
        <v>200</v>
      </c>
      <c r="BR301">
        <f t="shared" si="674"/>
        <v>43850</v>
      </c>
      <c r="BS301">
        <f>_xlfn.XLOOKUP(B301,'[7]september-2025'!$A:$A,'[7]september-2025'!$C:$C,0,0)</f>
        <v>35500</v>
      </c>
      <c r="BT301">
        <f t="shared" si="675"/>
        <v>6390</v>
      </c>
      <c r="BU301">
        <f t="shared" si="676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77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78"/>
        <v>200</v>
      </c>
      <c r="CB301">
        <f t="shared" si="679"/>
        <v>43850</v>
      </c>
      <c r="CC301">
        <f>_xlfn.XLOOKUP(B301,'[8]october-2025'!$A:$A,'[8]october-2025'!$C:$C,0,0)</f>
        <v>35500</v>
      </c>
      <c r="CD301">
        <f t="shared" si="680"/>
        <v>6390</v>
      </c>
      <c r="CE301">
        <f t="shared" si="681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82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83"/>
        <v>200</v>
      </c>
      <c r="CL301">
        <f t="shared" si="684"/>
        <v>43850</v>
      </c>
      <c r="CM301">
        <f>_xlfn.XLOOKUP(B301,'[9]november-2025'!$A:$A,'[9]november-2025'!$C:$C,0,0)</f>
        <v>35500</v>
      </c>
      <c r="CN301">
        <f t="shared" si="685"/>
        <v>6390</v>
      </c>
      <c r="CO301">
        <f t="shared" si="686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87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88"/>
        <v>200</v>
      </c>
      <c r="CV301">
        <f t="shared" si="689"/>
        <v>43850</v>
      </c>
      <c r="CW301">
        <f>_xlfn.XLOOKUP(B301,'[10]december-2025'!$A:$A,'[10]december-2025'!$C:$C,0,0)</f>
        <v>35500</v>
      </c>
      <c r="CX301">
        <f t="shared" si="690"/>
        <v>6390</v>
      </c>
      <c r="CY301">
        <f t="shared" si="691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92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93"/>
        <v>200</v>
      </c>
      <c r="DF301">
        <f t="shared" si="694"/>
        <v>43850</v>
      </c>
      <c r="DG301">
        <f>_xlfn.XLOOKUP(B301,'[11]january-2026'!$A:$A,'[11]january-2026'!$C:$C,0,0)</f>
        <v>35500</v>
      </c>
      <c r="DH301">
        <f t="shared" si="695"/>
        <v>6390</v>
      </c>
      <c r="DI301">
        <f t="shared" si="696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7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8"/>
        <v>200</v>
      </c>
      <c r="DP301">
        <f t="shared" si="699"/>
        <v>43850</v>
      </c>
      <c r="DQ301">
        <f>_xlfn.XLOOKUP(B301,'[12]february-2026'!$A:$A,'[12]february-2026'!$C:$C,0,0)</f>
        <v>35500</v>
      </c>
      <c r="DR301">
        <f t="shared" si="700"/>
        <v>6390</v>
      </c>
      <c r="DS301">
        <f t="shared" si="701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2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3"/>
        <v>200</v>
      </c>
      <c r="DZ301">
        <f t="shared" si="704"/>
        <v>43850</v>
      </c>
      <c r="EA301">
        <f t="shared" si="705"/>
        <v>558820</v>
      </c>
      <c r="EB301">
        <f t="shared" si="706"/>
        <v>2400</v>
      </c>
      <c r="EC301">
        <f t="shared" si="707"/>
        <v>50000</v>
      </c>
      <c r="ED301">
        <v>0</v>
      </c>
      <c r="EE301">
        <f t="shared" si="708"/>
        <v>506420</v>
      </c>
      <c r="EF301">
        <f t="shared" si="709"/>
        <v>30000</v>
      </c>
      <c r="EG301">
        <f t="shared" si="710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1"/>
        <v>30000</v>
      </c>
      <c r="ES301">
        <f t="shared" si="712"/>
        <v>30000</v>
      </c>
      <c r="ET301">
        <f t="shared" si="713"/>
        <v>476420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4"/>
        <v>0</v>
      </c>
      <c r="FC301">
        <f t="shared" si="715"/>
        <v>476420</v>
      </c>
      <c r="FD301">
        <f t="shared" si="716"/>
        <v>11321</v>
      </c>
      <c r="FE301">
        <f t="shared" si="717"/>
        <v>0</v>
      </c>
      <c r="FF301">
        <f t="shared" si="718"/>
        <v>11321</v>
      </c>
      <c r="FG301">
        <f t="shared" si="719"/>
        <v>0</v>
      </c>
      <c r="FH301">
        <f t="shared" si="720"/>
        <v>0</v>
      </c>
      <c r="FI301">
        <f t="shared" si="721"/>
        <v>0</v>
      </c>
      <c r="FJ301">
        <v>0</v>
      </c>
      <c r="FK301">
        <f t="shared" si="722"/>
        <v>0</v>
      </c>
      <c r="FL301" t="b">
        <f t="shared" si="723"/>
        <v>1</v>
      </c>
      <c r="FM301">
        <f t="shared" ca="1" si="724"/>
        <v>937</v>
      </c>
      <c r="FN301">
        <f t="shared" ca="1" si="725"/>
        <v>559757</v>
      </c>
      <c r="FO301">
        <f t="shared" si="726"/>
        <v>75000</v>
      </c>
      <c r="FP301">
        <f t="shared" ca="1" si="727"/>
        <v>484757</v>
      </c>
      <c r="FQ301">
        <f t="shared" ca="1" si="728"/>
        <v>0</v>
      </c>
      <c r="FR301">
        <f t="shared" ca="1" si="729"/>
        <v>0</v>
      </c>
      <c r="FS301">
        <f t="shared" ca="1" si="730"/>
        <v>0</v>
      </c>
      <c r="FT301">
        <f t="shared" ca="1" si="731"/>
        <v>0</v>
      </c>
      <c r="FU301">
        <f t="shared" ca="1" si="732"/>
        <v>0</v>
      </c>
      <c r="FV301">
        <f t="shared" ca="1" si="733"/>
        <v>0</v>
      </c>
      <c r="FW301">
        <f t="shared" ca="1" si="734"/>
        <v>0</v>
      </c>
      <c r="FX301">
        <f t="shared" ca="1" si="735"/>
        <v>0</v>
      </c>
      <c r="FY301">
        <f t="shared" ca="1" si="736"/>
        <v>0</v>
      </c>
      <c r="FZ301">
        <f t="shared" ca="1" si="737"/>
        <v>0</v>
      </c>
      <c r="GA301">
        <f t="shared" ca="1" si="738"/>
        <v>84757</v>
      </c>
      <c r="GB301">
        <f t="shared" ca="1" si="739"/>
        <v>4237.8500000000004</v>
      </c>
      <c r="GC301">
        <f t="shared" ca="1" si="740"/>
        <v>4238</v>
      </c>
      <c r="GD301">
        <f t="shared" ca="1" si="741"/>
        <v>0</v>
      </c>
      <c r="GE301">
        <f t="shared" ca="1" si="742"/>
        <v>0</v>
      </c>
      <c r="GF301">
        <f t="shared" ca="1" si="743"/>
        <v>4238</v>
      </c>
      <c r="GG301">
        <f t="shared" ca="1" si="744"/>
        <v>0</v>
      </c>
      <c r="GH301" t="b">
        <f t="shared" ca="1" si="745"/>
        <v>0</v>
      </c>
      <c r="GI301">
        <f t="shared" ca="1" si="746"/>
        <v>0</v>
      </c>
      <c r="GJ301">
        <f t="shared" ca="1" si="747"/>
        <v>4238</v>
      </c>
      <c r="GK301">
        <f t="shared" ca="1" si="748"/>
        <v>0</v>
      </c>
      <c r="GL301">
        <f t="shared" ca="1" si="749"/>
        <v>0</v>
      </c>
      <c r="GM301">
        <f t="shared" ca="1" si="750"/>
        <v>0</v>
      </c>
    </row>
    <row r="302" spans="1:195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753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46"/>
        <v>4830.0000000000009</v>
      </c>
      <c r="L302">
        <f t="shared" si="647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4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51"/>
        <v>200</v>
      </c>
      <c r="S302">
        <f t="shared" si="649"/>
        <v>41270</v>
      </c>
      <c r="T302">
        <f>_xlfn.XLOOKUP(B302,'[2]april-2025'!$A:$A,'[2]april-2025'!$C:$C,0,0)</f>
        <v>34500</v>
      </c>
      <c r="U302">
        <f t="shared" si="650"/>
        <v>6210</v>
      </c>
      <c r="V302">
        <f t="shared" si="651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52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53"/>
        <v>200</v>
      </c>
      <c r="AC302">
        <f t="shared" si="654"/>
        <v>42650</v>
      </c>
      <c r="AD302">
        <f>_xlfn.XLOOKUP(B302,'[3]may-2025'!$A:$A,'[3]may-2025'!$C:$C,0,0)</f>
        <v>34500</v>
      </c>
      <c r="AE302">
        <f t="shared" si="655"/>
        <v>6210</v>
      </c>
      <c r="AF302">
        <f t="shared" si="656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57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58"/>
        <v>200</v>
      </c>
      <c r="AM302">
        <f t="shared" si="659"/>
        <v>42650</v>
      </c>
      <c r="AN302">
        <f>_xlfn.XLOOKUP(B302,'[4]june-2025'!$A:$A,'[4]june-2025'!$C:$C,0,0)</f>
        <v>34500</v>
      </c>
      <c r="AO302">
        <f t="shared" si="660"/>
        <v>6210</v>
      </c>
      <c r="AP302">
        <f t="shared" si="66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62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63"/>
        <v>200</v>
      </c>
      <c r="AW302">
        <f t="shared" si="664"/>
        <v>42650</v>
      </c>
      <c r="AX302">
        <f>_xlfn.XLOOKUP(B302,'[5]july-2025'!$A:$A,'[5]july-2025'!$C:$C,0,0)</f>
        <v>35500</v>
      </c>
      <c r="AY302">
        <f t="shared" si="665"/>
        <v>6390</v>
      </c>
      <c r="AZ302">
        <v>0</v>
      </c>
      <c r="BA302">
        <f t="shared" si="666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67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68"/>
        <v>200</v>
      </c>
      <c r="BH302">
        <f t="shared" si="669"/>
        <v>43950</v>
      </c>
      <c r="BI302">
        <f>_xlfn.XLOOKUP(B302,'[6]august-2025'!$A:$A,'[6]august-2025'!$C:$C,0,0)</f>
        <v>35500</v>
      </c>
      <c r="BJ302">
        <f t="shared" si="670"/>
        <v>6390</v>
      </c>
      <c r="BK302">
        <f t="shared" si="671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72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73"/>
        <v>200</v>
      </c>
      <c r="BR302">
        <f t="shared" si="674"/>
        <v>43950</v>
      </c>
      <c r="BS302">
        <f>_xlfn.XLOOKUP(B302,'[7]september-2025'!$A:$A,'[7]september-2025'!$C:$C,0,0)</f>
        <v>35500</v>
      </c>
      <c r="BT302">
        <f t="shared" si="675"/>
        <v>6390</v>
      </c>
      <c r="BU302">
        <f t="shared" si="676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77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78"/>
        <v>200</v>
      </c>
      <c r="CB302">
        <f t="shared" si="679"/>
        <v>43950</v>
      </c>
      <c r="CC302">
        <f>_xlfn.XLOOKUP(B302,'[8]october-2025'!$A:$A,'[8]october-2025'!$C:$C,0,0)</f>
        <v>35500</v>
      </c>
      <c r="CD302">
        <f t="shared" si="680"/>
        <v>6390</v>
      </c>
      <c r="CE302">
        <f t="shared" si="681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82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83"/>
        <v>200</v>
      </c>
      <c r="CL302">
        <f t="shared" si="684"/>
        <v>43950</v>
      </c>
      <c r="CM302">
        <f>_xlfn.XLOOKUP(B302,'[9]november-2025'!$A:$A,'[9]november-2025'!$C:$C,0,0)</f>
        <v>35500</v>
      </c>
      <c r="CN302">
        <f t="shared" si="685"/>
        <v>6390</v>
      </c>
      <c r="CO302">
        <f t="shared" si="686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87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88"/>
        <v>200</v>
      </c>
      <c r="CV302">
        <f t="shared" si="689"/>
        <v>43950</v>
      </c>
      <c r="CW302">
        <f>_xlfn.XLOOKUP(B302,'[10]december-2025'!$A:$A,'[10]december-2025'!$C:$C,0,0)</f>
        <v>35500</v>
      </c>
      <c r="CX302">
        <f t="shared" si="690"/>
        <v>6390</v>
      </c>
      <c r="CY302">
        <f t="shared" si="691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92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93"/>
        <v>200</v>
      </c>
      <c r="DF302">
        <f t="shared" si="694"/>
        <v>43950</v>
      </c>
      <c r="DG302">
        <f>_xlfn.XLOOKUP(B302,'[11]january-2026'!$A:$A,'[11]january-2026'!$C:$C,0,0)</f>
        <v>35500</v>
      </c>
      <c r="DH302">
        <f t="shared" si="695"/>
        <v>6390</v>
      </c>
      <c r="DI302">
        <f t="shared" si="696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7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8"/>
        <v>200</v>
      </c>
      <c r="DP302">
        <f t="shared" si="699"/>
        <v>43950</v>
      </c>
      <c r="DQ302">
        <f>_xlfn.XLOOKUP(B302,'[12]february-2026'!$A:$A,'[12]february-2026'!$C:$C,0,0)</f>
        <v>35500</v>
      </c>
      <c r="DR302">
        <f t="shared" si="700"/>
        <v>6390</v>
      </c>
      <c r="DS302">
        <f t="shared" si="701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2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3"/>
        <v>200</v>
      </c>
      <c r="DZ302">
        <f t="shared" si="704"/>
        <v>43950</v>
      </c>
      <c r="EA302">
        <f t="shared" si="705"/>
        <v>560020</v>
      </c>
      <c r="EB302">
        <f t="shared" si="706"/>
        <v>2400</v>
      </c>
      <c r="EC302">
        <f t="shared" si="707"/>
        <v>50000</v>
      </c>
      <c r="ED302">
        <v>0</v>
      </c>
      <c r="EE302">
        <f t="shared" si="708"/>
        <v>507620</v>
      </c>
      <c r="EF302">
        <f t="shared" si="709"/>
        <v>30000</v>
      </c>
      <c r="EG302">
        <f t="shared" si="710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1"/>
        <v>30000</v>
      </c>
      <c r="ES302">
        <f t="shared" si="712"/>
        <v>30000</v>
      </c>
      <c r="ET302">
        <f t="shared" si="713"/>
        <v>477620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4"/>
        <v>0</v>
      </c>
      <c r="FC302">
        <f t="shared" si="715"/>
        <v>477620</v>
      </c>
      <c r="FD302">
        <f t="shared" si="716"/>
        <v>11381</v>
      </c>
      <c r="FE302">
        <f t="shared" si="717"/>
        <v>0</v>
      </c>
      <c r="FF302">
        <f t="shared" si="718"/>
        <v>11381</v>
      </c>
      <c r="FG302">
        <f t="shared" si="719"/>
        <v>0</v>
      </c>
      <c r="FH302">
        <f t="shared" si="720"/>
        <v>0</v>
      </c>
      <c r="FI302">
        <f t="shared" si="721"/>
        <v>0</v>
      </c>
      <c r="FJ302">
        <v>0</v>
      </c>
      <c r="FK302">
        <f t="shared" si="722"/>
        <v>0</v>
      </c>
      <c r="FL302" t="b">
        <f t="shared" si="723"/>
        <v>1</v>
      </c>
      <c r="FM302">
        <f t="shared" ca="1" si="724"/>
        <v>554</v>
      </c>
      <c r="FN302">
        <f t="shared" ca="1" si="725"/>
        <v>560574</v>
      </c>
      <c r="FO302">
        <f t="shared" si="726"/>
        <v>75000</v>
      </c>
      <c r="FP302">
        <f t="shared" ca="1" si="727"/>
        <v>485574</v>
      </c>
      <c r="FQ302">
        <f t="shared" ca="1" si="728"/>
        <v>0</v>
      </c>
      <c r="FR302">
        <f t="shared" ca="1" si="729"/>
        <v>0</v>
      </c>
      <c r="FS302">
        <f t="shared" ca="1" si="730"/>
        <v>0</v>
      </c>
      <c r="FT302">
        <f t="shared" ca="1" si="731"/>
        <v>0</v>
      </c>
      <c r="FU302">
        <f t="shared" ca="1" si="732"/>
        <v>0</v>
      </c>
      <c r="FV302">
        <f t="shared" ca="1" si="733"/>
        <v>0</v>
      </c>
      <c r="FW302">
        <f t="shared" ca="1" si="734"/>
        <v>0</v>
      </c>
      <c r="FX302">
        <f t="shared" ca="1" si="735"/>
        <v>0</v>
      </c>
      <c r="FY302">
        <f t="shared" ca="1" si="736"/>
        <v>0</v>
      </c>
      <c r="FZ302">
        <f t="shared" ca="1" si="737"/>
        <v>0</v>
      </c>
      <c r="GA302">
        <f t="shared" ca="1" si="738"/>
        <v>85574</v>
      </c>
      <c r="GB302">
        <f t="shared" ca="1" si="739"/>
        <v>4278.7</v>
      </c>
      <c r="GC302">
        <f t="shared" ca="1" si="740"/>
        <v>4279</v>
      </c>
      <c r="GD302">
        <f t="shared" ca="1" si="741"/>
        <v>0</v>
      </c>
      <c r="GE302">
        <f t="shared" ca="1" si="742"/>
        <v>0</v>
      </c>
      <c r="GF302">
        <f t="shared" ca="1" si="743"/>
        <v>4279</v>
      </c>
      <c r="GG302">
        <f t="shared" ca="1" si="744"/>
        <v>0</v>
      </c>
      <c r="GH302" t="b">
        <f t="shared" ca="1" si="745"/>
        <v>0</v>
      </c>
      <c r="GI302">
        <f t="shared" ca="1" si="746"/>
        <v>0</v>
      </c>
      <c r="GJ302">
        <f t="shared" ca="1" si="747"/>
        <v>4279</v>
      </c>
      <c r="GK302">
        <f t="shared" ca="1" si="748"/>
        <v>0</v>
      </c>
      <c r="GL302">
        <f t="shared" ca="1" si="749"/>
        <v>0</v>
      </c>
      <c r="GM302">
        <f t="shared" ca="1" si="750"/>
        <v>0</v>
      </c>
    </row>
    <row r="303" spans="1:195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753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46"/>
        <v>4830.0000000000009</v>
      </c>
      <c r="L303">
        <f t="shared" si="647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4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51"/>
        <v>200</v>
      </c>
      <c r="S303">
        <f t="shared" si="649"/>
        <v>41270</v>
      </c>
      <c r="T303">
        <f>_xlfn.XLOOKUP(B303,'[2]april-2025'!$A:$A,'[2]april-2025'!$C:$C,0,0)</f>
        <v>34500</v>
      </c>
      <c r="U303">
        <f t="shared" si="650"/>
        <v>6210</v>
      </c>
      <c r="V303">
        <f t="shared" si="651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52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53"/>
        <v>200</v>
      </c>
      <c r="AC303">
        <f t="shared" si="654"/>
        <v>42650</v>
      </c>
      <c r="AD303">
        <f>_xlfn.XLOOKUP(B303,'[3]may-2025'!$A:$A,'[3]may-2025'!$C:$C,0,0)</f>
        <v>34500</v>
      </c>
      <c r="AE303">
        <f t="shared" si="655"/>
        <v>6210</v>
      </c>
      <c r="AF303">
        <f t="shared" si="656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57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58"/>
        <v>200</v>
      </c>
      <c r="AM303">
        <f t="shared" si="659"/>
        <v>42650</v>
      </c>
      <c r="AN303">
        <f>_xlfn.XLOOKUP(B303,'[4]june-2025'!$A:$A,'[4]june-2025'!$C:$C,0,0)</f>
        <v>34500</v>
      </c>
      <c r="AO303">
        <f t="shared" si="660"/>
        <v>6210</v>
      </c>
      <c r="AP303">
        <f t="shared" si="66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62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63"/>
        <v>200</v>
      </c>
      <c r="AW303">
        <f t="shared" si="664"/>
        <v>42650</v>
      </c>
      <c r="AX303">
        <f>_xlfn.XLOOKUP(B303,'[5]july-2025'!$A:$A,'[5]july-2025'!$C:$C,0,0)</f>
        <v>35500</v>
      </c>
      <c r="AY303">
        <f t="shared" si="665"/>
        <v>6390</v>
      </c>
      <c r="AZ303">
        <v>0</v>
      </c>
      <c r="BA303">
        <f t="shared" si="666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67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68"/>
        <v>200</v>
      </c>
      <c r="BH303">
        <f t="shared" si="669"/>
        <v>43950</v>
      </c>
      <c r="BI303">
        <f>_xlfn.XLOOKUP(B303,'[6]august-2025'!$A:$A,'[6]august-2025'!$C:$C,0,0)</f>
        <v>35500</v>
      </c>
      <c r="BJ303">
        <f t="shared" si="670"/>
        <v>6390</v>
      </c>
      <c r="BK303">
        <f t="shared" si="671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72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73"/>
        <v>200</v>
      </c>
      <c r="BR303">
        <f t="shared" si="674"/>
        <v>43950</v>
      </c>
      <c r="BS303">
        <f>_xlfn.XLOOKUP(B303,'[7]september-2025'!$A:$A,'[7]september-2025'!$C:$C,0,0)</f>
        <v>35500</v>
      </c>
      <c r="BT303">
        <f t="shared" si="675"/>
        <v>6390</v>
      </c>
      <c r="BU303">
        <f t="shared" si="676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77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78"/>
        <v>200</v>
      </c>
      <c r="CB303">
        <f t="shared" si="679"/>
        <v>43950</v>
      </c>
      <c r="CC303">
        <f>_xlfn.XLOOKUP(B303,'[8]october-2025'!$A:$A,'[8]october-2025'!$C:$C,0,0)</f>
        <v>35500</v>
      </c>
      <c r="CD303">
        <f t="shared" si="680"/>
        <v>6390</v>
      </c>
      <c r="CE303">
        <f t="shared" si="681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82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83"/>
        <v>200</v>
      </c>
      <c r="CL303">
        <f t="shared" si="684"/>
        <v>43950</v>
      </c>
      <c r="CM303">
        <f>_xlfn.XLOOKUP(B303,'[9]november-2025'!$A:$A,'[9]november-2025'!$C:$C,0,0)</f>
        <v>35500</v>
      </c>
      <c r="CN303">
        <f t="shared" si="685"/>
        <v>6390</v>
      </c>
      <c r="CO303">
        <f t="shared" si="686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87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88"/>
        <v>200</v>
      </c>
      <c r="CV303">
        <f t="shared" si="689"/>
        <v>43950</v>
      </c>
      <c r="CW303">
        <f>_xlfn.XLOOKUP(B303,'[10]december-2025'!$A:$A,'[10]december-2025'!$C:$C,0,0)</f>
        <v>35500</v>
      </c>
      <c r="CX303">
        <f t="shared" si="690"/>
        <v>6390</v>
      </c>
      <c r="CY303">
        <f t="shared" si="691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92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93"/>
        <v>200</v>
      </c>
      <c r="DF303">
        <f t="shared" si="694"/>
        <v>43950</v>
      </c>
      <c r="DG303">
        <f>_xlfn.XLOOKUP(B303,'[11]january-2026'!$A:$A,'[11]january-2026'!$C:$C,0,0)</f>
        <v>35500</v>
      </c>
      <c r="DH303">
        <f t="shared" si="695"/>
        <v>6390</v>
      </c>
      <c r="DI303">
        <f t="shared" si="696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7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8"/>
        <v>200</v>
      </c>
      <c r="DP303">
        <f t="shared" si="699"/>
        <v>43950</v>
      </c>
      <c r="DQ303">
        <f>_xlfn.XLOOKUP(B303,'[12]february-2026'!$A:$A,'[12]february-2026'!$C:$C,0,0)</f>
        <v>35500</v>
      </c>
      <c r="DR303">
        <f t="shared" si="700"/>
        <v>6390</v>
      </c>
      <c r="DS303">
        <f t="shared" si="701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2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3"/>
        <v>200</v>
      </c>
      <c r="DZ303">
        <f t="shared" si="704"/>
        <v>43950</v>
      </c>
      <c r="EA303">
        <f t="shared" si="705"/>
        <v>560020</v>
      </c>
      <c r="EB303">
        <f t="shared" si="706"/>
        <v>2400</v>
      </c>
      <c r="EC303">
        <f t="shared" si="707"/>
        <v>50000</v>
      </c>
      <c r="ED303">
        <v>0</v>
      </c>
      <c r="EE303">
        <f t="shared" si="708"/>
        <v>507620</v>
      </c>
      <c r="EF303">
        <f t="shared" si="709"/>
        <v>30000</v>
      </c>
      <c r="EG303">
        <f t="shared" si="710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1"/>
        <v>30000</v>
      </c>
      <c r="ES303">
        <f t="shared" si="712"/>
        <v>30000</v>
      </c>
      <c r="ET303">
        <f t="shared" si="713"/>
        <v>477620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4"/>
        <v>0</v>
      </c>
      <c r="FC303">
        <f t="shared" si="715"/>
        <v>477620</v>
      </c>
      <c r="FD303">
        <f t="shared" si="716"/>
        <v>11381</v>
      </c>
      <c r="FE303">
        <f t="shared" si="717"/>
        <v>0</v>
      </c>
      <c r="FF303">
        <f t="shared" si="718"/>
        <v>11381</v>
      </c>
      <c r="FG303">
        <f t="shared" si="719"/>
        <v>0</v>
      </c>
      <c r="FH303">
        <f t="shared" si="720"/>
        <v>0</v>
      </c>
      <c r="FI303">
        <f t="shared" si="721"/>
        <v>0</v>
      </c>
      <c r="FJ303">
        <v>0</v>
      </c>
      <c r="FK303">
        <f t="shared" si="722"/>
        <v>0</v>
      </c>
      <c r="FL303" t="b">
        <f t="shared" si="723"/>
        <v>1</v>
      </c>
      <c r="FM303">
        <f t="shared" ca="1" si="724"/>
        <v>892</v>
      </c>
      <c r="FN303">
        <f t="shared" ca="1" si="725"/>
        <v>560912</v>
      </c>
      <c r="FO303">
        <f t="shared" si="726"/>
        <v>75000</v>
      </c>
      <c r="FP303">
        <f t="shared" ca="1" si="727"/>
        <v>485912</v>
      </c>
      <c r="FQ303">
        <f t="shared" ca="1" si="728"/>
        <v>0</v>
      </c>
      <c r="FR303">
        <f t="shared" ca="1" si="729"/>
        <v>0</v>
      </c>
      <c r="FS303">
        <f t="shared" ca="1" si="730"/>
        <v>0</v>
      </c>
      <c r="FT303">
        <f t="shared" ca="1" si="731"/>
        <v>0</v>
      </c>
      <c r="FU303">
        <f t="shared" ca="1" si="732"/>
        <v>0</v>
      </c>
      <c r="FV303">
        <f t="shared" ca="1" si="733"/>
        <v>0</v>
      </c>
      <c r="FW303">
        <f t="shared" ca="1" si="734"/>
        <v>0</v>
      </c>
      <c r="FX303">
        <f t="shared" ca="1" si="735"/>
        <v>0</v>
      </c>
      <c r="FY303">
        <f t="shared" ca="1" si="736"/>
        <v>0</v>
      </c>
      <c r="FZ303">
        <f t="shared" ca="1" si="737"/>
        <v>0</v>
      </c>
      <c r="GA303">
        <f t="shared" ca="1" si="738"/>
        <v>85912</v>
      </c>
      <c r="GB303">
        <f t="shared" ca="1" si="739"/>
        <v>4295.6000000000004</v>
      </c>
      <c r="GC303">
        <f t="shared" ca="1" si="740"/>
        <v>4296</v>
      </c>
      <c r="GD303">
        <f t="shared" ca="1" si="741"/>
        <v>0</v>
      </c>
      <c r="GE303">
        <f t="shared" ca="1" si="742"/>
        <v>0</v>
      </c>
      <c r="GF303">
        <f t="shared" ca="1" si="743"/>
        <v>4296</v>
      </c>
      <c r="GG303">
        <f t="shared" ca="1" si="744"/>
        <v>0</v>
      </c>
      <c r="GH303" t="b">
        <f t="shared" ca="1" si="745"/>
        <v>0</v>
      </c>
      <c r="GI303">
        <f t="shared" ca="1" si="746"/>
        <v>0</v>
      </c>
      <c r="GJ303">
        <f t="shared" ca="1" si="747"/>
        <v>4296</v>
      </c>
      <c r="GK303">
        <f t="shared" ca="1" si="748"/>
        <v>0</v>
      </c>
      <c r="GL303">
        <f t="shared" ca="1" si="749"/>
        <v>0</v>
      </c>
      <c r="GM303">
        <f t="shared" ca="1" si="750"/>
        <v>0</v>
      </c>
    </row>
    <row r="304" spans="1:195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753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46"/>
        <v>4424</v>
      </c>
      <c r="L304">
        <f t="shared" si="647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4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51"/>
        <v>150</v>
      </c>
      <c r="S304">
        <f t="shared" si="649"/>
        <v>37666</v>
      </c>
      <c r="T304">
        <f>_xlfn.XLOOKUP(B304,'[2]april-2025'!$A:$A,'[2]april-2025'!$C:$C,0,0)</f>
        <v>31600</v>
      </c>
      <c r="U304">
        <f t="shared" si="650"/>
        <v>5688</v>
      </c>
      <c r="V304">
        <f t="shared" si="651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52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53"/>
        <v>200</v>
      </c>
      <c r="AC304">
        <f t="shared" si="654"/>
        <v>38880</v>
      </c>
      <c r="AD304">
        <f>_xlfn.XLOOKUP(B304,'[3]may-2025'!$A:$A,'[3]may-2025'!$C:$C,0,0)</f>
        <v>31600</v>
      </c>
      <c r="AE304">
        <f t="shared" si="655"/>
        <v>5688</v>
      </c>
      <c r="AF304">
        <f t="shared" si="656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57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58"/>
        <v>200</v>
      </c>
      <c r="AM304">
        <f t="shared" si="659"/>
        <v>38880</v>
      </c>
      <c r="AN304">
        <f>_xlfn.XLOOKUP(B304,'[4]june-2025'!$A:$A,'[4]june-2025'!$C:$C,0,0)</f>
        <v>31600</v>
      </c>
      <c r="AO304">
        <f t="shared" si="660"/>
        <v>5688</v>
      </c>
      <c r="AP304">
        <f t="shared" si="66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62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63"/>
        <v>200</v>
      </c>
      <c r="AW304">
        <f t="shared" si="664"/>
        <v>38880</v>
      </c>
      <c r="AX304">
        <f>_xlfn.XLOOKUP(B304,'[5]july-2025'!$A:$A,'[5]july-2025'!$C:$C,0,0)</f>
        <v>32500</v>
      </c>
      <c r="AY304">
        <f t="shared" si="665"/>
        <v>5850</v>
      </c>
      <c r="AZ304">
        <v>0</v>
      </c>
      <c r="BA304">
        <f t="shared" si="666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67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68"/>
        <v>200</v>
      </c>
      <c r="BH304">
        <f t="shared" si="669"/>
        <v>40050</v>
      </c>
      <c r="BI304">
        <f>_xlfn.XLOOKUP(B304,'[6]august-2025'!$A:$A,'[6]august-2025'!$C:$C,0,0)</f>
        <v>32500</v>
      </c>
      <c r="BJ304">
        <f t="shared" si="670"/>
        <v>5850</v>
      </c>
      <c r="BK304">
        <f t="shared" si="671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72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73"/>
        <v>200</v>
      </c>
      <c r="BR304">
        <f t="shared" si="674"/>
        <v>40050</v>
      </c>
      <c r="BS304">
        <f>_xlfn.XLOOKUP(B304,'[7]september-2025'!$A:$A,'[7]september-2025'!$C:$C,0,0)</f>
        <v>32500</v>
      </c>
      <c r="BT304">
        <f t="shared" si="675"/>
        <v>5850</v>
      </c>
      <c r="BU304">
        <f t="shared" si="676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77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78"/>
        <v>200</v>
      </c>
      <c r="CB304">
        <f t="shared" si="679"/>
        <v>40050</v>
      </c>
      <c r="CC304">
        <f>_xlfn.XLOOKUP(B304,'[8]october-2025'!$A:$A,'[8]october-2025'!$C:$C,0,0)</f>
        <v>32500</v>
      </c>
      <c r="CD304">
        <f t="shared" si="680"/>
        <v>5850</v>
      </c>
      <c r="CE304">
        <f t="shared" si="681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82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83"/>
        <v>200</v>
      </c>
      <c r="CL304">
        <f t="shared" si="684"/>
        <v>40050</v>
      </c>
      <c r="CM304">
        <f>_xlfn.XLOOKUP(B304,'[9]november-2025'!$A:$A,'[9]november-2025'!$C:$C,0,0)</f>
        <v>32500</v>
      </c>
      <c r="CN304">
        <f t="shared" si="685"/>
        <v>5850</v>
      </c>
      <c r="CO304">
        <f t="shared" si="686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87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88"/>
        <v>200</v>
      </c>
      <c r="CV304">
        <f t="shared" si="689"/>
        <v>40050</v>
      </c>
      <c r="CW304">
        <f>_xlfn.XLOOKUP(B304,'[10]december-2025'!$A:$A,'[10]december-2025'!$C:$C,0,0)</f>
        <v>32500</v>
      </c>
      <c r="CX304">
        <f t="shared" si="690"/>
        <v>5850</v>
      </c>
      <c r="CY304">
        <f t="shared" si="691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92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93"/>
        <v>200</v>
      </c>
      <c r="DF304">
        <f t="shared" si="694"/>
        <v>40050</v>
      </c>
      <c r="DG304">
        <f>_xlfn.XLOOKUP(B304,'[11]january-2026'!$A:$A,'[11]january-2026'!$C:$C,0,0)</f>
        <v>32500</v>
      </c>
      <c r="DH304">
        <f t="shared" si="695"/>
        <v>5850</v>
      </c>
      <c r="DI304">
        <f t="shared" si="696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7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8"/>
        <v>200</v>
      </c>
      <c r="DP304">
        <f t="shared" si="699"/>
        <v>40050</v>
      </c>
      <c r="DQ304">
        <f>_xlfn.XLOOKUP(B304,'[12]february-2026'!$A:$A,'[12]february-2026'!$C:$C,0,0)</f>
        <v>32500</v>
      </c>
      <c r="DR304">
        <f t="shared" si="700"/>
        <v>5850</v>
      </c>
      <c r="DS304">
        <f t="shared" si="701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2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3"/>
        <v>200</v>
      </c>
      <c r="DZ304">
        <f t="shared" si="704"/>
        <v>40050</v>
      </c>
      <c r="EA304">
        <f t="shared" si="705"/>
        <v>507856</v>
      </c>
      <c r="EB304">
        <f t="shared" si="706"/>
        <v>2350</v>
      </c>
      <c r="EC304">
        <f t="shared" si="707"/>
        <v>50000</v>
      </c>
      <c r="ED304">
        <v>0</v>
      </c>
      <c r="EE304">
        <f t="shared" si="708"/>
        <v>455506</v>
      </c>
      <c r="EF304">
        <f t="shared" si="709"/>
        <v>24000</v>
      </c>
      <c r="EG304">
        <f t="shared" si="710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1"/>
        <v>24000</v>
      </c>
      <c r="ES304">
        <f t="shared" si="712"/>
        <v>24000</v>
      </c>
      <c r="ET304">
        <f t="shared" si="713"/>
        <v>431506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4"/>
        <v>0</v>
      </c>
      <c r="FC304">
        <f t="shared" si="715"/>
        <v>431506</v>
      </c>
      <c r="FD304">
        <f t="shared" si="716"/>
        <v>9075</v>
      </c>
      <c r="FE304">
        <f t="shared" si="717"/>
        <v>0</v>
      </c>
      <c r="FF304">
        <f t="shared" si="718"/>
        <v>9075</v>
      </c>
      <c r="FG304">
        <f t="shared" si="719"/>
        <v>0</v>
      </c>
      <c r="FH304">
        <f t="shared" si="720"/>
        <v>0</v>
      </c>
      <c r="FI304">
        <f t="shared" si="721"/>
        <v>0</v>
      </c>
      <c r="FJ304">
        <v>0</v>
      </c>
      <c r="FK304">
        <f t="shared" si="722"/>
        <v>0</v>
      </c>
      <c r="FL304" t="b">
        <f t="shared" si="723"/>
        <v>1</v>
      </c>
      <c r="FM304">
        <f t="shared" ca="1" si="724"/>
        <v>585</v>
      </c>
      <c r="FN304">
        <f t="shared" ca="1" si="725"/>
        <v>508441</v>
      </c>
      <c r="FO304">
        <f t="shared" si="726"/>
        <v>75000</v>
      </c>
      <c r="FP304">
        <f t="shared" ca="1" si="727"/>
        <v>433441</v>
      </c>
      <c r="FQ304">
        <f t="shared" ca="1" si="728"/>
        <v>0</v>
      </c>
      <c r="FR304">
        <f t="shared" ca="1" si="729"/>
        <v>0</v>
      </c>
      <c r="FS304">
        <f t="shared" ca="1" si="730"/>
        <v>0</v>
      </c>
      <c r="FT304">
        <f t="shared" ca="1" si="731"/>
        <v>0</v>
      </c>
      <c r="FU304">
        <f t="shared" ca="1" si="732"/>
        <v>0</v>
      </c>
      <c r="FV304">
        <f t="shared" ca="1" si="733"/>
        <v>0</v>
      </c>
      <c r="FW304">
        <f t="shared" ca="1" si="734"/>
        <v>0</v>
      </c>
      <c r="FX304">
        <f t="shared" ca="1" si="735"/>
        <v>0</v>
      </c>
      <c r="FY304">
        <f t="shared" ca="1" si="736"/>
        <v>0</v>
      </c>
      <c r="FZ304">
        <f t="shared" ca="1" si="737"/>
        <v>0</v>
      </c>
      <c r="GA304">
        <f t="shared" ca="1" si="738"/>
        <v>33441</v>
      </c>
      <c r="GB304">
        <f t="shared" ca="1" si="739"/>
        <v>1672.0500000000002</v>
      </c>
      <c r="GC304">
        <f t="shared" ca="1" si="740"/>
        <v>1672</v>
      </c>
      <c r="GD304">
        <f t="shared" ca="1" si="741"/>
        <v>0</v>
      </c>
      <c r="GE304">
        <f t="shared" ca="1" si="742"/>
        <v>0</v>
      </c>
      <c r="GF304">
        <f t="shared" ca="1" si="743"/>
        <v>1672</v>
      </c>
      <c r="GG304">
        <f t="shared" ca="1" si="744"/>
        <v>0</v>
      </c>
      <c r="GH304" t="b">
        <f t="shared" ca="1" si="745"/>
        <v>0</v>
      </c>
      <c r="GI304">
        <f t="shared" ca="1" si="746"/>
        <v>0</v>
      </c>
      <c r="GJ304">
        <f t="shared" ca="1" si="747"/>
        <v>1672</v>
      </c>
      <c r="GK304">
        <f t="shared" ca="1" si="748"/>
        <v>0</v>
      </c>
      <c r="GL304">
        <f t="shared" ca="1" si="749"/>
        <v>0</v>
      </c>
      <c r="GM304">
        <f t="shared" ca="1" si="750"/>
        <v>0</v>
      </c>
    </row>
    <row r="305" spans="1:195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753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46"/>
        <v>4424</v>
      </c>
      <c r="L305">
        <f t="shared" si="647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4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51"/>
        <v>200</v>
      </c>
      <c r="S305">
        <f t="shared" si="649"/>
        <v>38116</v>
      </c>
      <c r="T305">
        <f>_xlfn.XLOOKUP(B305,'[2]april-2025'!$A:$A,'[2]april-2025'!$C:$C,0,0)</f>
        <v>31600</v>
      </c>
      <c r="U305">
        <f t="shared" si="650"/>
        <v>5688</v>
      </c>
      <c r="V305">
        <f t="shared" si="651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52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53"/>
        <v>200</v>
      </c>
      <c r="AC305">
        <f t="shared" si="654"/>
        <v>39380</v>
      </c>
      <c r="AD305">
        <f>_xlfn.XLOOKUP(B305,'[3]may-2025'!$A:$A,'[3]may-2025'!$C:$C,0,0)</f>
        <v>31600</v>
      </c>
      <c r="AE305">
        <f t="shared" si="655"/>
        <v>5688</v>
      </c>
      <c r="AF305">
        <f t="shared" si="656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57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58"/>
        <v>200</v>
      </c>
      <c r="AM305">
        <f t="shared" si="659"/>
        <v>39380</v>
      </c>
      <c r="AN305">
        <f>_xlfn.XLOOKUP(B305,'[4]june-2025'!$A:$A,'[4]june-2025'!$C:$C,0,0)</f>
        <v>31600</v>
      </c>
      <c r="AO305">
        <f t="shared" si="660"/>
        <v>5688</v>
      </c>
      <c r="AP305">
        <f t="shared" si="66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62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63"/>
        <v>200</v>
      </c>
      <c r="AW305">
        <f t="shared" si="664"/>
        <v>39380</v>
      </c>
      <c r="AX305">
        <f>_xlfn.XLOOKUP(B305,'[5]july-2025'!$A:$A,'[5]july-2025'!$C:$C,0,0)</f>
        <v>32500</v>
      </c>
      <c r="AY305">
        <f t="shared" si="665"/>
        <v>5850</v>
      </c>
      <c r="AZ305">
        <v>0</v>
      </c>
      <c r="BA305">
        <f t="shared" si="666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67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68"/>
        <v>200</v>
      </c>
      <c r="BH305">
        <f t="shared" si="669"/>
        <v>40550</v>
      </c>
      <c r="BI305">
        <f>_xlfn.XLOOKUP(B305,'[6]august-2025'!$A:$A,'[6]august-2025'!$C:$C,0,0)</f>
        <v>32500</v>
      </c>
      <c r="BJ305">
        <f t="shared" si="670"/>
        <v>5850</v>
      </c>
      <c r="BK305">
        <f t="shared" si="671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72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73"/>
        <v>200</v>
      </c>
      <c r="BR305">
        <f t="shared" si="674"/>
        <v>40550</v>
      </c>
      <c r="BS305">
        <f>_xlfn.XLOOKUP(B305,'[7]september-2025'!$A:$A,'[7]september-2025'!$C:$C,0,0)</f>
        <v>32500</v>
      </c>
      <c r="BT305">
        <f t="shared" si="675"/>
        <v>5850</v>
      </c>
      <c r="BU305">
        <f t="shared" si="676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77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78"/>
        <v>200</v>
      </c>
      <c r="CB305">
        <f t="shared" si="679"/>
        <v>40550</v>
      </c>
      <c r="CC305">
        <f>_xlfn.XLOOKUP(B305,'[8]october-2025'!$A:$A,'[8]october-2025'!$C:$C,0,0)</f>
        <v>32500</v>
      </c>
      <c r="CD305">
        <f t="shared" si="680"/>
        <v>5850</v>
      </c>
      <c r="CE305">
        <f t="shared" si="681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82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83"/>
        <v>200</v>
      </c>
      <c r="CL305">
        <f t="shared" si="684"/>
        <v>40550</v>
      </c>
      <c r="CM305">
        <f>_xlfn.XLOOKUP(B305,'[9]november-2025'!$A:$A,'[9]november-2025'!$C:$C,0,0)</f>
        <v>32500</v>
      </c>
      <c r="CN305">
        <f t="shared" si="685"/>
        <v>5850</v>
      </c>
      <c r="CO305">
        <f t="shared" si="686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87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88"/>
        <v>200</v>
      </c>
      <c r="CV305">
        <f t="shared" si="689"/>
        <v>40550</v>
      </c>
      <c r="CW305">
        <f>_xlfn.XLOOKUP(B305,'[10]december-2025'!$A:$A,'[10]december-2025'!$C:$C,0,0)</f>
        <v>32500</v>
      </c>
      <c r="CX305">
        <f t="shared" si="690"/>
        <v>5850</v>
      </c>
      <c r="CY305">
        <f t="shared" si="691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92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93"/>
        <v>200</v>
      </c>
      <c r="DF305">
        <f t="shared" si="694"/>
        <v>40550</v>
      </c>
      <c r="DG305">
        <f>_xlfn.XLOOKUP(B305,'[11]january-2026'!$A:$A,'[11]january-2026'!$C:$C,0,0)</f>
        <v>32500</v>
      </c>
      <c r="DH305">
        <f t="shared" si="695"/>
        <v>5850</v>
      </c>
      <c r="DI305">
        <f t="shared" si="696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7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8"/>
        <v>200</v>
      </c>
      <c r="DP305">
        <f t="shared" si="699"/>
        <v>40550</v>
      </c>
      <c r="DQ305">
        <f>_xlfn.XLOOKUP(B305,'[12]february-2026'!$A:$A,'[12]february-2026'!$C:$C,0,0)</f>
        <v>32500</v>
      </c>
      <c r="DR305">
        <f t="shared" si="700"/>
        <v>5850</v>
      </c>
      <c r="DS305">
        <f t="shared" si="701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2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3"/>
        <v>200</v>
      </c>
      <c r="DZ305">
        <f t="shared" si="704"/>
        <v>40550</v>
      </c>
      <c r="EA305">
        <f t="shared" si="705"/>
        <v>513856</v>
      </c>
      <c r="EB305">
        <f t="shared" si="706"/>
        <v>2400</v>
      </c>
      <c r="EC305">
        <f t="shared" si="707"/>
        <v>50000</v>
      </c>
      <c r="ED305">
        <v>0</v>
      </c>
      <c r="EE305">
        <f t="shared" si="708"/>
        <v>461456</v>
      </c>
      <c r="EF305">
        <f t="shared" si="709"/>
        <v>24000</v>
      </c>
      <c r="EG305">
        <f t="shared" si="710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1"/>
        <v>24000</v>
      </c>
      <c r="ES305">
        <f t="shared" si="712"/>
        <v>24000</v>
      </c>
      <c r="ET305">
        <f t="shared" si="713"/>
        <v>437456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4"/>
        <v>0</v>
      </c>
      <c r="FC305">
        <f t="shared" si="715"/>
        <v>437456</v>
      </c>
      <c r="FD305">
        <f t="shared" si="716"/>
        <v>9373</v>
      </c>
      <c r="FE305">
        <f t="shared" si="717"/>
        <v>0</v>
      </c>
      <c r="FF305">
        <f t="shared" si="718"/>
        <v>9373</v>
      </c>
      <c r="FG305">
        <f t="shared" si="719"/>
        <v>0</v>
      </c>
      <c r="FH305">
        <f t="shared" si="720"/>
        <v>0</v>
      </c>
      <c r="FI305">
        <f t="shared" si="721"/>
        <v>0</v>
      </c>
      <c r="FJ305">
        <v>0</v>
      </c>
      <c r="FK305">
        <f t="shared" si="722"/>
        <v>0</v>
      </c>
      <c r="FL305" t="b">
        <f t="shared" si="723"/>
        <v>1</v>
      </c>
      <c r="FM305">
        <f t="shared" ca="1" si="724"/>
        <v>652</v>
      </c>
      <c r="FN305">
        <f t="shared" ca="1" si="725"/>
        <v>514508</v>
      </c>
      <c r="FO305">
        <f t="shared" si="726"/>
        <v>75000</v>
      </c>
      <c r="FP305">
        <f t="shared" ca="1" si="727"/>
        <v>439508</v>
      </c>
      <c r="FQ305">
        <f t="shared" ca="1" si="728"/>
        <v>0</v>
      </c>
      <c r="FR305">
        <f t="shared" ca="1" si="729"/>
        <v>0</v>
      </c>
      <c r="FS305">
        <f t="shared" ca="1" si="730"/>
        <v>0</v>
      </c>
      <c r="FT305">
        <f t="shared" ca="1" si="731"/>
        <v>0</v>
      </c>
      <c r="FU305">
        <f t="shared" ca="1" si="732"/>
        <v>0</v>
      </c>
      <c r="FV305">
        <f t="shared" ca="1" si="733"/>
        <v>0</v>
      </c>
      <c r="FW305">
        <f t="shared" ca="1" si="734"/>
        <v>0</v>
      </c>
      <c r="FX305">
        <f t="shared" ca="1" si="735"/>
        <v>0</v>
      </c>
      <c r="FY305">
        <f t="shared" ca="1" si="736"/>
        <v>0</v>
      </c>
      <c r="FZ305">
        <f t="shared" ca="1" si="737"/>
        <v>0</v>
      </c>
      <c r="GA305">
        <f t="shared" ca="1" si="738"/>
        <v>39508</v>
      </c>
      <c r="GB305">
        <f t="shared" ca="1" si="739"/>
        <v>1975.4</v>
      </c>
      <c r="GC305">
        <f t="shared" ca="1" si="740"/>
        <v>1975</v>
      </c>
      <c r="GD305">
        <f t="shared" ca="1" si="741"/>
        <v>0</v>
      </c>
      <c r="GE305">
        <f t="shared" ca="1" si="742"/>
        <v>0</v>
      </c>
      <c r="GF305">
        <f t="shared" ca="1" si="743"/>
        <v>1975</v>
      </c>
      <c r="GG305">
        <f t="shared" ca="1" si="744"/>
        <v>0</v>
      </c>
      <c r="GH305" t="b">
        <f t="shared" ca="1" si="745"/>
        <v>0</v>
      </c>
      <c r="GI305">
        <f t="shared" ca="1" si="746"/>
        <v>0</v>
      </c>
      <c r="GJ305">
        <f t="shared" ca="1" si="747"/>
        <v>1975</v>
      </c>
      <c r="GK305">
        <f t="shared" ca="1" si="748"/>
        <v>0</v>
      </c>
      <c r="GL305">
        <f t="shared" ca="1" si="749"/>
        <v>0</v>
      </c>
      <c r="GM305">
        <f t="shared" ca="1" si="750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2026-01-09T08:16:03Z</dcterms:modified>
</cp:coreProperties>
</file>