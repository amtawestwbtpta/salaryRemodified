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D172A972-08EA-4856-8A66-F43D6B7B62A7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Sheet1!$A$1:$FY$302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R3" i="1" l="1"/>
  <c r="ER4" i="1"/>
  <c r="ER5" i="1"/>
  <c r="ER6" i="1"/>
  <c r="ER7" i="1"/>
  <c r="ER8" i="1"/>
  <c r="ER9" i="1"/>
  <c r="ER10" i="1"/>
  <c r="ER11" i="1"/>
  <c r="ER12" i="1"/>
  <c r="ER13" i="1"/>
  <c r="ER14" i="1"/>
  <c r="ER15" i="1"/>
  <c r="ER16" i="1"/>
  <c r="ER17" i="1"/>
  <c r="ER18" i="1"/>
  <c r="ER19" i="1"/>
  <c r="ER20" i="1"/>
  <c r="ER21" i="1"/>
  <c r="ER22" i="1"/>
  <c r="ER23" i="1"/>
  <c r="ER24" i="1"/>
  <c r="ER25" i="1"/>
  <c r="ER26" i="1"/>
  <c r="ER27" i="1"/>
  <c r="ER28" i="1"/>
  <c r="ER29" i="1"/>
  <c r="ER30" i="1"/>
  <c r="ER31" i="1"/>
  <c r="ER32" i="1"/>
  <c r="ER33" i="1"/>
  <c r="ER34" i="1"/>
  <c r="ER35" i="1"/>
  <c r="ER36" i="1"/>
  <c r="ER37" i="1"/>
  <c r="ER38" i="1"/>
  <c r="ER39" i="1"/>
  <c r="ER40" i="1"/>
  <c r="ER41" i="1"/>
  <c r="ER42" i="1"/>
  <c r="ER43" i="1"/>
  <c r="ER44" i="1"/>
  <c r="ER45" i="1"/>
  <c r="ER46" i="1"/>
  <c r="ER47" i="1"/>
  <c r="ER48" i="1"/>
  <c r="ER49" i="1"/>
  <c r="ER50" i="1"/>
  <c r="ER51" i="1"/>
  <c r="ER52" i="1"/>
  <c r="ER53" i="1"/>
  <c r="ER54" i="1"/>
  <c r="ER55" i="1"/>
  <c r="ER56" i="1"/>
  <c r="ER57" i="1"/>
  <c r="ER58" i="1"/>
  <c r="ER59" i="1"/>
  <c r="ER60" i="1"/>
  <c r="ER61" i="1"/>
  <c r="ER62" i="1"/>
  <c r="ER63" i="1"/>
  <c r="ER64" i="1"/>
  <c r="ER65" i="1"/>
  <c r="ER66" i="1"/>
  <c r="ER67" i="1"/>
  <c r="ER68" i="1"/>
  <c r="ER69" i="1"/>
  <c r="ER70" i="1"/>
  <c r="ER71" i="1"/>
  <c r="ER72" i="1"/>
  <c r="ER73" i="1"/>
  <c r="ER74" i="1"/>
  <c r="ER75" i="1"/>
  <c r="ER76" i="1"/>
  <c r="ER77" i="1"/>
  <c r="ER78" i="1"/>
  <c r="ER79" i="1"/>
  <c r="ER80" i="1"/>
  <c r="ER81" i="1"/>
  <c r="ER82" i="1"/>
  <c r="ER83" i="1"/>
  <c r="ER84" i="1"/>
  <c r="ER85" i="1"/>
  <c r="ER86" i="1"/>
  <c r="ER87" i="1"/>
  <c r="ER88" i="1"/>
  <c r="ER89" i="1"/>
  <c r="ER90" i="1"/>
  <c r="ER91" i="1"/>
  <c r="ER92" i="1"/>
  <c r="ER93" i="1"/>
  <c r="ER94" i="1"/>
  <c r="ER95" i="1"/>
  <c r="ER96" i="1"/>
  <c r="ER97" i="1"/>
  <c r="ER98" i="1"/>
  <c r="ER99" i="1"/>
  <c r="ER100" i="1"/>
  <c r="ER101" i="1"/>
  <c r="ER102" i="1"/>
  <c r="ER103" i="1"/>
  <c r="ER104" i="1"/>
  <c r="ER105" i="1"/>
  <c r="ER106" i="1"/>
  <c r="ER107" i="1"/>
  <c r="ER108" i="1"/>
  <c r="ER109" i="1"/>
  <c r="ER110" i="1"/>
  <c r="ER111" i="1"/>
  <c r="ER112" i="1"/>
  <c r="ER113" i="1"/>
  <c r="ER114" i="1"/>
  <c r="ER115" i="1"/>
  <c r="ER116" i="1"/>
  <c r="ER117" i="1"/>
  <c r="ER118" i="1"/>
  <c r="ER119" i="1"/>
  <c r="ER120" i="1"/>
  <c r="ER121" i="1"/>
  <c r="ER122" i="1"/>
  <c r="ER123" i="1"/>
  <c r="ER124" i="1"/>
  <c r="ER125" i="1"/>
  <c r="ER126" i="1"/>
  <c r="ER127" i="1"/>
  <c r="ER128" i="1"/>
  <c r="ER129" i="1"/>
  <c r="ER130" i="1"/>
  <c r="ER131" i="1"/>
  <c r="ER132" i="1"/>
  <c r="ER133" i="1"/>
  <c r="ER134" i="1"/>
  <c r="ER135" i="1"/>
  <c r="ER136" i="1"/>
  <c r="ER137" i="1"/>
  <c r="ER138" i="1"/>
  <c r="ER139" i="1"/>
  <c r="ER140" i="1"/>
  <c r="ER141" i="1"/>
  <c r="ER142" i="1"/>
  <c r="ER143" i="1"/>
  <c r="ER144" i="1"/>
  <c r="ER145" i="1"/>
  <c r="ER146" i="1"/>
  <c r="ER147" i="1"/>
  <c r="ER148" i="1"/>
  <c r="ER149" i="1"/>
  <c r="ER150" i="1"/>
  <c r="ER151" i="1"/>
  <c r="ER152" i="1"/>
  <c r="ER153" i="1"/>
  <c r="ER154" i="1"/>
  <c r="ER155" i="1"/>
  <c r="ER156" i="1"/>
  <c r="ER157" i="1"/>
  <c r="ER158" i="1"/>
  <c r="ER159" i="1"/>
  <c r="ER160" i="1"/>
  <c r="ER161" i="1"/>
  <c r="ER162" i="1"/>
  <c r="ER163" i="1"/>
  <c r="ER164" i="1"/>
  <c r="ER165" i="1"/>
  <c r="ER166" i="1"/>
  <c r="ER167" i="1"/>
  <c r="ER168" i="1"/>
  <c r="ER169" i="1"/>
  <c r="ER170" i="1"/>
  <c r="ER171" i="1"/>
  <c r="ER172" i="1"/>
  <c r="ER173" i="1"/>
  <c r="ER174" i="1"/>
  <c r="ER175" i="1"/>
  <c r="ER176" i="1"/>
  <c r="ER177" i="1"/>
  <c r="ER178" i="1"/>
  <c r="ER179" i="1"/>
  <c r="ER180" i="1"/>
  <c r="ER181" i="1"/>
  <c r="ER182" i="1"/>
  <c r="ER183" i="1"/>
  <c r="ER184" i="1"/>
  <c r="ER185" i="1"/>
  <c r="ER186" i="1"/>
  <c r="ER187" i="1"/>
  <c r="ER188" i="1"/>
  <c r="ER189" i="1"/>
  <c r="ER190" i="1"/>
  <c r="ER191" i="1"/>
  <c r="ER192" i="1"/>
  <c r="ER193" i="1"/>
  <c r="ER194" i="1"/>
  <c r="ER195" i="1"/>
  <c r="ER196" i="1"/>
  <c r="ER197" i="1"/>
  <c r="ER198" i="1"/>
  <c r="ER199" i="1"/>
  <c r="ER200" i="1"/>
  <c r="ER201" i="1"/>
  <c r="ER202" i="1"/>
  <c r="ER203" i="1"/>
  <c r="ER204" i="1"/>
  <c r="ER205" i="1"/>
  <c r="ER206" i="1"/>
  <c r="ER207" i="1"/>
  <c r="ER208" i="1"/>
  <c r="ER209" i="1"/>
  <c r="ER210" i="1"/>
  <c r="ER211" i="1"/>
  <c r="ER212" i="1"/>
  <c r="ER213" i="1"/>
  <c r="ER214" i="1"/>
  <c r="ER215" i="1"/>
  <c r="ER216" i="1"/>
  <c r="ER217" i="1"/>
  <c r="ER218" i="1"/>
  <c r="ER219" i="1"/>
  <c r="ER220" i="1"/>
  <c r="ER221" i="1"/>
  <c r="ER222" i="1"/>
  <c r="ER223" i="1"/>
  <c r="ER224" i="1"/>
  <c r="ER225" i="1"/>
  <c r="ER226" i="1"/>
  <c r="ER227" i="1"/>
  <c r="ER228" i="1"/>
  <c r="ER229" i="1"/>
  <c r="ER230" i="1"/>
  <c r="ER231" i="1"/>
  <c r="ER232" i="1"/>
  <c r="ER233" i="1"/>
  <c r="ER234" i="1"/>
  <c r="ER235" i="1"/>
  <c r="ER236" i="1"/>
  <c r="ER237" i="1"/>
  <c r="ER238" i="1"/>
  <c r="ER239" i="1"/>
  <c r="ER240" i="1"/>
  <c r="ER241" i="1"/>
  <c r="ER242" i="1"/>
  <c r="ER243" i="1"/>
  <c r="ER244" i="1"/>
  <c r="ER245" i="1"/>
  <c r="ER246" i="1"/>
  <c r="ER247" i="1"/>
  <c r="ER248" i="1"/>
  <c r="ER249" i="1"/>
  <c r="ER250" i="1"/>
  <c r="ER251" i="1"/>
  <c r="ER252" i="1"/>
  <c r="ER253" i="1"/>
  <c r="ER254" i="1"/>
  <c r="ER255" i="1"/>
  <c r="ER256" i="1"/>
  <c r="ER257" i="1"/>
  <c r="ER258" i="1"/>
  <c r="ER259" i="1"/>
  <c r="ER260" i="1"/>
  <c r="ER261" i="1"/>
  <c r="ER262" i="1"/>
  <c r="ER263" i="1"/>
  <c r="ER264" i="1"/>
  <c r="ER265" i="1"/>
  <c r="ER266" i="1"/>
  <c r="ER267" i="1"/>
  <c r="ER268" i="1"/>
  <c r="ER269" i="1"/>
  <c r="ER270" i="1"/>
  <c r="ER271" i="1"/>
  <c r="ER272" i="1"/>
  <c r="ER273" i="1"/>
  <c r="ER274" i="1"/>
  <c r="ER275" i="1"/>
  <c r="ER276" i="1"/>
  <c r="ER277" i="1"/>
  <c r="ER278" i="1"/>
  <c r="ER279" i="1"/>
  <c r="ER280" i="1"/>
  <c r="ER281" i="1"/>
  <c r="ER282" i="1"/>
  <c r="ER283" i="1"/>
  <c r="ER284" i="1"/>
  <c r="ER285" i="1"/>
  <c r="ER286" i="1"/>
  <c r="ER287" i="1"/>
  <c r="ER288" i="1"/>
  <c r="ER289" i="1"/>
  <c r="ER290" i="1"/>
  <c r="ER291" i="1"/>
  <c r="ER292" i="1"/>
  <c r="ER293" i="1"/>
  <c r="ER294" i="1"/>
  <c r="ER295" i="1"/>
  <c r="ER296" i="1"/>
  <c r="ER297" i="1"/>
  <c r="ER298" i="1"/>
  <c r="ER299" i="1"/>
  <c r="ER300" i="1"/>
  <c r="ER301" i="1"/>
  <c r="ER302" i="1"/>
  <c r="ER303" i="1"/>
  <c r="ER304" i="1"/>
  <c r="ER305" i="1"/>
  <c r="ER2" i="1"/>
  <c r="EM3" i="1"/>
  <c r="EM4" i="1"/>
  <c r="EM5" i="1"/>
  <c r="EM6" i="1"/>
  <c r="EM7" i="1"/>
  <c r="EM8" i="1"/>
  <c r="EM9" i="1"/>
  <c r="EM10" i="1"/>
  <c r="EM11" i="1"/>
  <c r="EM12" i="1"/>
  <c r="EM13" i="1"/>
  <c r="EM14" i="1"/>
  <c r="EM15" i="1"/>
  <c r="EM16" i="1"/>
  <c r="EM17" i="1"/>
  <c r="EM18" i="1"/>
  <c r="EM19" i="1"/>
  <c r="EM20" i="1"/>
  <c r="EM21" i="1"/>
  <c r="EM22" i="1"/>
  <c r="EM23" i="1"/>
  <c r="EM24" i="1"/>
  <c r="EM25" i="1"/>
  <c r="EM26" i="1"/>
  <c r="EM27" i="1"/>
  <c r="EM28" i="1"/>
  <c r="EM29" i="1"/>
  <c r="EM30" i="1"/>
  <c r="EM31" i="1"/>
  <c r="EM32" i="1"/>
  <c r="EM33" i="1"/>
  <c r="EM34" i="1"/>
  <c r="EM35" i="1"/>
  <c r="EM36" i="1"/>
  <c r="EM37" i="1"/>
  <c r="EM38" i="1"/>
  <c r="EM39" i="1"/>
  <c r="EM40" i="1"/>
  <c r="EM41" i="1"/>
  <c r="EM42" i="1"/>
  <c r="EM43" i="1"/>
  <c r="EM44" i="1"/>
  <c r="EM45" i="1"/>
  <c r="EM46" i="1"/>
  <c r="EM47" i="1"/>
  <c r="EM48" i="1"/>
  <c r="EM49" i="1"/>
  <c r="EM50" i="1"/>
  <c r="EM51" i="1"/>
  <c r="EM52" i="1"/>
  <c r="EM53" i="1"/>
  <c r="EM54" i="1"/>
  <c r="EM55" i="1"/>
  <c r="EM56" i="1"/>
  <c r="EM57" i="1"/>
  <c r="EM58" i="1"/>
  <c r="EM59" i="1"/>
  <c r="EM60" i="1"/>
  <c r="EM61" i="1"/>
  <c r="EM62" i="1"/>
  <c r="EM63" i="1"/>
  <c r="EM64" i="1"/>
  <c r="EM65" i="1"/>
  <c r="EM66" i="1"/>
  <c r="EM67" i="1"/>
  <c r="EM68" i="1"/>
  <c r="EM69" i="1"/>
  <c r="EM70" i="1"/>
  <c r="EM71" i="1"/>
  <c r="EM72" i="1"/>
  <c r="EM73" i="1"/>
  <c r="EM74" i="1"/>
  <c r="EM75" i="1"/>
  <c r="EM76" i="1"/>
  <c r="EM77" i="1"/>
  <c r="EM78" i="1"/>
  <c r="EM79" i="1"/>
  <c r="EM80" i="1"/>
  <c r="EM81" i="1"/>
  <c r="EM82" i="1"/>
  <c r="EM83" i="1"/>
  <c r="EM84" i="1"/>
  <c r="EM85" i="1"/>
  <c r="EM86" i="1"/>
  <c r="EM87" i="1"/>
  <c r="EM88" i="1"/>
  <c r="EM89" i="1"/>
  <c r="EM90" i="1"/>
  <c r="EM91" i="1"/>
  <c r="EM92" i="1"/>
  <c r="EM93" i="1"/>
  <c r="EM94" i="1"/>
  <c r="EM95" i="1"/>
  <c r="EM96" i="1"/>
  <c r="EM97" i="1"/>
  <c r="EM98" i="1"/>
  <c r="EM99" i="1"/>
  <c r="EM100" i="1"/>
  <c r="EM101" i="1"/>
  <c r="EM102" i="1"/>
  <c r="EM103" i="1"/>
  <c r="EM104" i="1"/>
  <c r="EM105" i="1"/>
  <c r="EM106" i="1"/>
  <c r="EM107" i="1"/>
  <c r="EM108" i="1"/>
  <c r="EM109" i="1"/>
  <c r="EM110" i="1"/>
  <c r="EM111" i="1"/>
  <c r="EM112" i="1"/>
  <c r="EM113" i="1"/>
  <c r="EM114" i="1"/>
  <c r="EM115" i="1"/>
  <c r="EM116" i="1"/>
  <c r="EM117" i="1"/>
  <c r="EM118" i="1"/>
  <c r="EM119" i="1"/>
  <c r="EM120" i="1"/>
  <c r="EM121" i="1"/>
  <c r="EM122" i="1"/>
  <c r="EM123" i="1"/>
  <c r="EM124" i="1"/>
  <c r="EM125" i="1"/>
  <c r="EM126" i="1"/>
  <c r="EM127" i="1"/>
  <c r="EM128" i="1"/>
  <c r="EM129" i="1"/>
  <c r="EM130" i="1"/>
  <c r="EM131" i="1"/>
  <c r="EM132" i="1"/>
  <c r="EM133" i="1"/>
  <c r="EM134" i="1"/>
  <c r="EM135" i="1"/>
  <c r="EM136" i="1"/>
  <c r="EM137" i="1"/>
  <c r="EM138" i="1"/>
  <c r="EM139" i="1"/>
  <c r="EM140" i="1"/>
  <c r="EM141" i="1"/>
  <c r="EM142" i="1"/>
  <c r="EM143" i="1"/>
  <c r="EM144" i="1"/>
  <c r="EM145" i="1"/>
  <c r="EM146" i="1"/>
  <c r="EM147" i="1"/>
  <c r="EM148" i="1"/>
  <c r="EM149" i="1"/>
  <c r="EM150" i="1"/>
  <c r="EM151" i="1"/>
  <c r="EM152" i="1"/>
  <c r="EM153" i="1"/>
  <c r="EM154" i="1"/>
  <c r="EM155" i="1"/>
  <c r="EM156" i="1"/>
  <c r="EM157" i="1"/>
  <c r="EM158" i="1"/>
  <c r="EM159" i="1"/>
  <c r="EM160" i="1"/>
  <c r="EM161" i="1"/>
  <c r="EM162" i="1"/>
  <c r="EM163" i="1"/>
  <c r="EM164" i="1"/>
  <c r="EM165" i="1"/>
  <c r="EM166" i="1"/>
  <c r="EM167" i="1"/>
  <c r="EM168" i="1"/>
  <c r="EM169" i="1"/>
  <c r="EM170" i="1"/>
  <c r="EM171" i="1"/>
  <c r="EM172" i="1"/>
  <c r="EM173" i="1"/>
  <c r="EM174" i="1"/>
  <c r="EM175" i="1"/>
  <c r="EM176" i="1"/>
  <c r="EM177" i="1"/>
  <c r="EM178" i="1"/>
  <c r="EM179" i="1"/>
  <c r="EM180" i="1"/>
  <c r="EM181" i="1"/>
  <c r="EM182" i="1"/>
  <c r="EM183" i="1"/>
  <c r="EM184" i="1"/>
  <c r="EM185" i="1"/>
  <c r="EM186" i="1"/>
  <c r="EM187" i="1"/>
  <c r="EM188" i="1"/>
  <c r="EM189" i="1"/>
  <c r="EM190" i="1"/>
  <c r="EM191" i="1"/>
  <c r="EM192" i="1"/>
  <c r="EM193" i="1"/>
  <c r="EM194" i="1"/>
  <c r="EM195" i="1"/>
  <c r="EM196" i="1"/>
  <c r="EM197" i="1"/>
  <c r="EM198" i="1"/>
  <c r="EM199" i="1"/>
  <c r="EM200" i="1"/>
  <c r="EM201" i="1"/>
  <c r="EM202" i="1"/>
  <c r="EM203" i="1"/>
  <c r="EM204" i="1"/>
  <c r="EM205" i="1"/>
  <c r="EM206" i="1"/>
  <c r="EM207" i="1"/>
  <c r="EM208" i="1"/>
  <c r="EM209" i="1"/>
  <c r="EM210" i="1"/>
  <c r="EM211" i="1"/>
  <c r="EM212" i="1"/>
  <c r="EM213" i="1"/>
  <c r="EM214" i="1"/>
  <c r="EM215" i="1"/>
  <c r="EM216" i="1"/>
  <c r="EM217" i="1"/>
  <c r="EM218" i="1"/>
  <c r="EM219" i="1"/>
  <c r="EM220" i="1"/>
  <c r="EM221" i="1"/>
  <c r="EM222" i="1"/>
  <c r="EM223" i="1"/>
  <c r="EM224" i="1"/>
  <c r="EM225" i="1"/>
  <c r="EM226" i="1"/>
  <c r="EM227" i="1"/>
  <c r="EM228" i="1"/>
  <c r="EM229" i="1"/>
  <c r="EM230" i="1"/>
  <c r="EM231" i="1"/>
  <c r="EM232" i="1"/>
  <c r="EM233" i="1"/>
  <c r="EM234" i="1"/>
  <c r="EM235" i="1"/>
  <c r="EM236" i="1"/>
  <c r="EM237" i="1"/>
  <c r="EM238" i="1"/>
  <c r="EM239" i="1"/>
  <c r="EM240" i="1"/>
  <c r="EM241" i="1"/>
  <c r="EM242" i="1"/>
  <c r="EM243" i="1"/>
  <c r="EM244" i="1"/>
  <c r="EM245" i="1"/>
  <c r="EM246" i="1"/>
  <c r="EM247" i="1"/>
  <c r="EM248" i="1"/>
  <c r="EM249" i="1"/>
  <c r="EM250" i="1"/>
  <c r="EM251" i="1"/>
  <c r="EM252" i="1"/>
  <c r="EM253" i="1"/>
  <c r="EM254" i="1"/>
  <c r="EM255" i="1"/>
  <c r="EM256" i="1"/>
  <c r="EM257" i="1"/>
  <c r="EM258" i="1"/>
  <c r="EM259" i="1"/>
  <c r="EM260" i="1"/>
  <c r="EM261" i="1"/>
  <c r="EM262" i="1"/>
  <c r="EM263" i="1"/>
  <c r="EM264" i="1"/>
  <c r="EM265" i="1"/>
  <c r="EM266" i="1"/>
  <c r="EM267" i="1"/>
  <c r="EM268" i="1"/>
  <c r="EM269" i="1"/>
  <c r="EM270" i="1"/>
  <c r="EM271" i="1"/>
  <c r="EM272" i="1"/>
  <c r="EM273" i="1"/>
  <c r="EM274" i="1"/>
  <c r="EM275" i="1"/>
  <c r="EM276" i="1"/>
  <c r="EM277" i="1"/>
  <c r="EM278" i="1"/>
  <c r="EM279" i="1"/>
  <c r="EM280" i="1"/>
  <c r="EM281" i="1"/>
  <c r="EM282" i="1"/>
  <c r="EM283" i="1"/>
  <c r="EM284" i="1"/>
  <c r="EM285" i="1"/>
  <c r="EM286" i="1"/>
  <c r="EM287" i="1"/>
  <c r="EM288" i="1"/>
  <c r="EM289" i="1"/>
  <c r="EM290" i="1"/>
  <c r="EM291" i="1"/>
  <c r="EM292" i="1"/>
  <c r="EM293" i="1"/>
  <c r="EM294" i="1"/>
  <c r="EM295" i="1"/>
  <c r="EM296" i="1"/>
  <c r="EM297" i="1"/>
  <c r="EM298" i="1"/>
  <c r="EM299" i="1"/>
  <c r="EM300" i="1"/>
  <c r="EM301" i="1"/>
  <c r="EM302" i="1"/>
  <c r="EM303" i="1"/>
  <c r="EM304" i="1"/>
  <c r="EM305" i="1"/>
  <c r="EM2" i="1"/>
  <c r="EL3" i="1"/>
  <c r="EL4" i="1"/>
  <c r="EL5" i="1"/>
  <c r="EL6" i="1"/>
  <c r="EL7" i="1"/>
  <c r="EL8" i="1"/>
  <c r="EL9" i="1"/>
  <c r="EL10" i="1"/>
  <c r="EL11" i="1"/>
  <c r="EL12" i="1"/>
  <c r="EL13" i="1"/>
  <c r="EL14" i="1"/>
  <c r="EL15" i="1"/>
  <c r="EL16" i="1"/>
  <c r="EL17" i="1"/>
  <c r="EL18" i="1"/>
  <c r="EL19" i="1"/>
  <c r="EL20" i="1"/>
  <c r="EL21" i="1"/>
  <c r="EL22" i="1"/>
  <c r="EL23" i="1"/>
  <c r="EL24" i="1"/>
  <c r="EL25" i="1"/>
  <c r="EL26" i="1"/>
  <c r="EL27" i="1"/>
  <c r="EL28" i="1"/>
  <c r="EL29" i="1"/>
  <c r="EL30" i="1"/>
  <c r="EL31" i="1"/>
  <c r="EL32" i="1"/>
  <c r="EL33" i="1"/>
  <c r="EL34" i="1"/>
  <c r="EL35" i="1"/>
  <c r="EL36" i="1"/>
  <c r="EL37" i="1"/>
  <c r="EL38" i="1"/>
  <c r="EL39" i="1"/>
  <c r="EL40" i="1"/>
  <c r="EL41" i="1"/>
  <c r="EL42" i="1"/>
  <c r="EL43" i="1"/>
  <c r="EL44" i="1"/>
  <c r="EL45" i="1"/>
  <c r="EL46" i="1"/>
  <c r="EL47" i="1"/>
  <c r="EL48" i="1"/>
  <c r="EL49" i="1"/>
  <c r="EL50" i="1"/>
  <c r="EL51" i="1"/>
  <c r="EL52" i="1"/>
  <c r="EL53" i="1"/>
  <c r="EL54" i="1"/>
  <c r="EL55" i="1"/>
  <c r="EL56" i="1"/>
  <c r="EL57" i="1"/>
  <c r="EL58" i="1"/>
  <c r="EL59" i="1"/>
  <c r="EL60" i="1"/>
  <c r="EL61" i="1"/>
  <c r="EL62" i="1"/>
  <c r="EL63" i="1"/>
  <c r="EL64" i="1"/>
  <c r="EL65" i="1"/>
  <c r="EL66" i="1"/>
  <c r="EL67" i="1"/>
  <c r="EL68" i="1"/>
  <c r="EL69" i="1"/>
  <c r="EL70" i="1"/>
  <c r="EL71" i="1"/>
  <c r="EL72" i="1"/>
  <c r="EL73" i="1"/>
  <c r="EL74" i="1"/>
  <c r="EL75" i="1"/>
  <c r="EL76" i="1"/>
  <c r="EL77" i="1"/>
  <c r="EL78" i="1"/>
  <c r="EL79" i="1"/>
  <c r="EL80" i="1"/>
  <c r="EL81" i="1"/>
  <c r="EL82" i="1"/>
  <c r="EL83" i="1"/>
  <c r="EL84" i="1"/>
  <c r="EL85" i="1"/>
  <c r="EL86" i="1"/>
  <c r="EL87" i="1"/>
  <c r="EL88" i="1"/>
  <c r="EL89" i="1"/>
  <c r="EL90" i="1"/>
  <c r="EL91" i="1"/>
  <c r="EL92" i="1"/>
  <c r="EL93" i="1"/>
  <c r="EL94" i="1"/>
  <c r="EL95" i="1"/>
  <c r="EL96" i="1"/>
  <c r="EL97" i="1"/>
  <c r="EL98" i="1"/>
  <c r="EL99" i="1"/>
  <c r="EL100" i="1"/>
  <c r="EL101" i="1"/>
  <c r="EL102" i="1"/>
  <c r="EL103" i="1"/>
  <c r="EL104" i="1"/>
  <c r="EL105" i="1"/>
  <c r="EL106" i="1"/>
  <c r="EL107" i="1"/>
  <c r="EL108" i="1"/>
  <c r="EL109" i="1"/>
  <c r="EL110" i="1"/>
  <c r="EL111" i="1"/>
  <c r="EL112" i="1"/>
  <c r="EL113" i="1"/>
  <c r="EL114" i="1"/>
  <c r="EL115" i="1"/>
  <c r="EL116" i="1"/>
  <c r="EL117" i="1"/>
  <c r="EL118" i="1"/>
  <c r="EL119" i="1"/>
  <c r="EL120" i="1"/>
  <c r="EL121" i="1"/>
  <c r="EL122" i="1"/>
  <c r="EL123" i="1"/>
  <c r="EL124" i="1"/>
  <c r="EL125" i="1"/>
  <c r="EL126" i="1"/>
  <c r="EL127" i="1"/>
  <c r="EL128" i="1"/>
  <c r="EL129" i="1"/>
  <c r="EL130" i="1"/>
  <c r="EL131" i="1"/>
  <c r="EL132" i="1"/>
  <c r="EL133" i="1"/>
  <c r="EL134" i="1"/>
  <c r="EL135" i="1"/>
  <c r="EL136" i="1"/>
  <c r="EL137" i="1"/>
  <c r="EL138" i="1"/>
  <c r="EL139" i="1"/>
  <c r="EL140" i="1"/>
  <c r="EL141" i="1"/>
  <c r="EL142" i="1"/>
  <c r="EL143" i="1"/>
  <c r="EL144" i="1"/>
  <c r="EL145" i="1"/>
  <c r="EL146" i="1"/>
  <c r="EL147" i="1"/>
  <c r="EL148" i="1"/>
  <c r="EL149" i="1"/>
  <c r="EL150" i="1"/>
  <c r="EL151" i="1"/>
  <c r="EL152" i="1"/>
  <c r="EL153" i="1"/>
  <c r="EL154" i="1"/>
  <c r="EL155" i="1"/>
  <c r="EL156" i="1"/>
  <c r="EL157" i="1"/>
  <c r="EL158" i="1"/>
  <c r="EL159" i="1"/>
  <c r="EL160" i="1"/>
  <c r="EL161" i="1"/>
  <c r="EL162" i="1"/>
  <c r="EL163" i="1"/>
  <c r="EL164" i="1"/>
  <c r="EL165" i="1"/>
  <c r="EL166" i="1"/>
  <c r="EL167" i="1"/>
  <c r="EL168" i="1"/>
  <c r="EL169" i="1"/>
  <c r="EL170" i="1"/>
  <c r="EL171" i="1"/>
  <c r="EL172" i="1"/>
  <c r="EL173" i="1"/>
  <c r="EL174" i="1"/>
  <c r="EL175" i="1"/>
  <c r="EL176" i="1"/>
  <c r="EL177" i="1"/>
  <c r="EL178" i="1"/>
  <c r="EL179" i="1"/>
  <c r="EL180" i="1"/>
  <c r="EL181" i="1"/>
  <c r="EL182" i="1"/>
  <c r="EL183" i="1"/>
  <c r="EL184" i="1"/>
  <c r="EL185" i="1"/>
  <c r="EL186" i="1"/>
  <c r="EL187" i="1"/>
  <c r="EL188" i="1"/>
  <c r="EL189" i="1"/>
  <c r="EL190" i="1"/>
  <c r="EL191" i="1"/>
  <c r="EL192" i="1"/>
  <c r="EL193" i="1"/>
  <c r="EL194" i="1"/>
  <c r="EL195" i="1"/>
  <c r="EL196" i="1"/>
  <c r="EL197" i="1"/>
  <c r="EL198" i="1"/>
  <c r="EL199" i="1"/>
  <c r="EL200" i="1"/>
  <c r="EL201" i="1"/>
  <c r="EL202" i="1"/>
  <c r="EL203" i="1"/>
  <c r="EL204" i="1"/>
  <c r="EL205" i="1"/>
  <c r="EL206" i="1"/>
  <c r="EL207" i="1"/>
  <c r="EL208" i="1"/>
  <c r="EL209" i="1"/>
  <c r="EL210" i="1"/>
  <c r="EL211" i="1"/>
  <c r="EL212" i="1"/>
  <c r="EL213" i="1"/>
  <c r="EL214" i="1"/>
  <c r="EL215" i="1"/>
  <c r="EL216" i="1"/>
  <c r="EL217" i="1"/>
  <c r="EL218" i="1"/>
  <c r="EL219" i="1"/>
  <c r="EL220" i="1"/>
  <c r="EL221" i="1"/>
  <c r="EL222" i="1"/>
  <c r="EL223" i="1"/>
  <c r="EL224" i="1"/>
  <c r="EL225" i="1"/>
  <c r="EL226" i="1"/>
  <c r="EL227" i="1"/>
  <c r="EL228" i="1"/>
  <c r="EL229" i="1"/>
  <c r="EL230" i="1"/>
  <c r="EL231" i="1"/>
  <c r="EL232" i="1"/>
  <c r="EL233" i="1"/>
  <c r="EL234" i="1"/>
  <c r="EL235" i="1"/>
  <c r="EL236" i="1"/>
  <c r="EL237" i="1"/>
  <c r="EL238" i="1"/>
  <c r="EL239" i="1"/>
  <c r="EL240" i="1"/>
  <c r="EL241" i="1"/>
  <c r="EL242" i="1"/>
  <c r="EL243" i="1"/>
  <c r="EL244" i="1"/>
  <c r="EL245" i="1"/>
  <c r="EL246" i="1"/>
  <c r="EL247" i="1"/>
  <c r="EL248" i="1"/>
  <c r="EL249" i="1"/>
  <c r="EL250" i="1"/>
  <c r="EL251" i="1"/>
  <c r="EL252" i="1"/>
  <c r="EL253" i="1"/>
  <c r="EL254" i="1"/>
  <c r="EL255" i="1"/>
  <c r="EL256" i="1"/>
  <c r="EL257" i="1"/>
  <c r="EL258" i="1"/>
  <c r="EL259" i="1"/>
  <c r="EL260" i="1"/>
  <c r="EL261" i="1"/>
  <c r="EL262" i="1"/>
  <c r="EL263" i="1"/>
  <c r="EL264" i="1"/>
  <c r="EL265" i="1"/>
  <c r="EL266" i="1"/>
  <c r="EL267" i="1"/>
  <c r="EL268" i="1"/>
  <c r="EL269" i="1"/>
  <c r="EL270" i="1"/>
  <c r="EL271" i="1"/>
  <c r="EL272" i="1"/>
  <c r="EL273" i="1"/>
  <c r="EL274" i="1"/>
  <c r="EL275" i="1"/>
  <c r="EL276" i="1"/>
  <c r="EL277" i="1"/>
  <c r="EL278" i="1"/>
  <c r="EL279" i="1"/>
  <c r="EL280" i="1"/>
  <c r="EL281" i="1"/>
  <c r="EL282" i="1"/>
  <c r="EL283" i="1"/>
  <c r="EL284" i="1"/>
  <c r="EL285" i="1"/>
  <c r="EL286" i="1"/>
  <c r="EL287" i="1"/>
  <c r="EL288" i="1"/>
  <c r="EL289" i="1"/>
  <c r="EL290" i="1"/>
  <c r="EL291" i="1"/>
  <c r="EL292" i="1"/>
  <c r="EL293" i="1"/>
  <c r="EL294" i="1"/>
  <c r="EL295" i="1"/>
  <c r="EL296" i="1"/>
  <c r="EL297" i="1"/>
  <c r="EL298" i="1"/>
  <c r="EL299" i="1"/>
  <c r="EL300" i="1"/>
  <c r="EL301" i="1"/>
  <c r="EL302" i="1"/>
  <c r="EL303" i="1"/>
  <c r="EL304" i="1"/>
  <c r="EL305" i="1"/>
  <c r="EL2" i="1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3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" i="1"/>
  <c r="DA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163" i="1"/>
  <c r="EI164" i="1"/>
  <c r="EI165" i="1"/>
  <c r="EI166" i="1"/>
  <c r="EI167" i="1"/>
  <c r="EI168" i="1"/>
  <c r="EI169" i="1"/>
  <c r="EI170" i="1"/>
  <c r="EI171" i="1"/>
  <c r="EI172" i="1"/>
  <c r="EI173" i="1"/>
  <c r="EI174" i="1"/>
  <c r="EI175" i="1"/>
  <c r="EI176" i="1"/>
  <c r="EI177" i="1"/>
  <c r="EI178" i="1"/>
  <c r="EI179" i="1"/>
  <c r="EI180" i="1"/>
  <c r="EI181" i="1"/>
  <c r="EI182" i="1"/>
  <c r="EI183" i="1"/>
  <c r="EI184" i="1"/>
  <c r="EI185" i="1"/>
  <c r="EI186" i="1"/>
  <c r="EI187" i="1"/>
  <c r="EI188" i="1"/>
  <c r="EI189" i="1"/>
  <c r="EI190" i="1"/>
  <c r="EI191" i="1"/>
  <c r="EI192" i="1"/>
  <c r="EI193" i="1"/>
  <c r="EI194" i="1"/>
  <c r="EI195" i="1"/>
  <c r="EI196" i="1"/>
  <c r="EI197" i="1"/>
  <c r="EI198" i="1"/>
  <c r="EI199" i="1"/>
  <c r="EI200" i="1"/>
  <c r="EI201" i="1"/>
  <c r="EI202" i="1"/>
  <c r="EI203" i="1"/>
  <c r="EI204" i="1"/>
  <c r="EI205" i="1"/>
  <c r="EI206" i="1"/>
  <c r="EI207" i="1"/>
  <c r="EI208" i="1"/>
  <c r="EI209" i="1"/>
  <c r="EI210" i="1"/>
  <c r="EI211" i="1"/>
  <c r="EI212" i="1"/>
  <c r="EI213" i="1"/>
  <c r="EI214" i="1"/>
  <c r="EI215" i="1"/>
  <c r="EI216" i="1"/>
  <c r="EI217" i="1"/>
  <c r="EI218" i="1"/>
  <c r="EI219" i="1"/>
  <c r="EI220" i="1"/>
  <c r="EI221" i="1"/>
  <c r="EI222" i="1"/>
  <c r="EI223" i="1"/>
  <c r="EI224" i="1"/>
  <c r="EI225" i="1"/>
  <c r="EI226" i="1"/>
  <c r="EI227" i="1"/>
  <c r="EI228" i="1"/>
  <c r="EI229" i="1"/>
  <c r="EI230" i="1"/>
  <c r="EI231" i="1"/>
  <c r="EI232" i="1"/>
  <c r="EI233" i="1"/>
  <c r="EI234" i="1"/>
  <c r="EI235" i="1"/>
  <c r="EI236" i="1"/>
  <c r="EI237" i="1"/>
  <c r="EI238" i="1"/>
  <c r="EI239" i="1"/>
  <c r="EI240" i="1"/>
  <c r="EI241" i="1"/>
  <c r="EI242" i="1"/>
  <c r="EI243" i="1"/>
  <c r="EI244" i="1"/>
  <c r="EI245" i="1"/>
  <c r="EI246" i="1"/>
  <c r="EI247" i="1"/>
  <c r="EI248" i="1"/>
  <c r="EI249" i="1"/>
  <c r="EI250" i="1"/>
  <c r="EI251" i="1"/>
  <c r="EI252" i="1"/>
  <c r="EI253" i="1"/>
  <c r="EI254" i="1"/>
  <c r="EI255" i="1"/>
  <c r="EI256" i="1"/>
  <c r="EI257" i="1"/>
  <c r="EI258" i="1"/>
  <c r="EI259" i="1"/>
  <c r="EI260" i="1"/>
  <c r="EI261" i="1"/>
  <c r="EI262" i="1"/>
  <c r="EI263" i="1"/>
  <c r="EI264" i="1"/>
  <c r="EI265" i="1"/>
  <c r="EI266" i="1"/>
  <c r="EI267" i="1"/>
  <c r="EI268" i="1"/>
  <c r="EI269" i="1"/>
  <c r="EI270" i="1"/>
  <c r="EI271" i="1"/>
  <c r="EI272" i="1"/>
  <c r="EI273" i="1"/>
  <c r="EI274" i="1"/>
  <c r="EI275" i="1"/>
  <c r="EI276" i="1"/>
  <c r="EI277" i="1"/>
  <c r="EI278" i="1"/>
  <c r="EI279" i="1"/>
  <c r="EI280" i="1"/>
  <c r="EI281" i="1"/>
  <c r="EI282" i="1"/>
  <c r="EI283" i="1"/>
  <c r="EI284" i="1"/>
  <c r="EI285" i="1"/>
  <c r="EI286" i="1"/>
  <c r="EI287" i="1"/>
  <c r="EI288" i="1"/>
  <c r="EI289" i="1"/>
  <c r="EI290" i="1"/>
  <c r="EI291" i="1"/>
  <c r="EI292" i="1"/>
  <c r="EI293" i="1"/>
  <c r="EI294" i="1"/>
  <c r="EI295" i="1"/>
  <c r="EI296" i="1"/>
  <c r="EI297" i="1"/>
  <c r="EI298" i="1"/>
  <c r="EI299" i="1"/>
  <c r="EI300" i="1"/>
  <c r="EI301" i="1"/>
  <c r="EI302" i="1"/>
  <c r="EI303" i="1"/>
  <c r="EI304" i="1"/>
  <c r="EI305" i="1"/>
  <c r="EI2" i="1"/>
  <c r="EH3" i="1"/>
  <c r="EH4" i="1"/>
  <c r="EH5" i="1"/>
  <c r="EH6" i="1"/>
  <c r="EH7" i="1"/>
  <c r="EH8" i="1"/>
  <c r="EH9" i="1"/>
  <c r="EH10" i="1"/>
  <c r="EH11" i="1"/>
  <c r="EH12" i="1"/>
  <c r="EH13" i="1"/>
  <c r="EH14" i="1"/>
  <c r="EH15" i="1"/>
  <c r="EH16" i="1"/>
  <c r="EH17" i="1"/>
  <c r="EH18" i="1"/>
  <c r="EH19" i="1"/>
  <c r="EH20" i="1"/>
  <c r="EH21" i="1"/>
  <c r="EH22" i="1"/>
  <c r="EH23" i="1"/>
  <c r="EH24" i="1"/>
  <c r="EH25" i="1"/>
  <c r="EH26" i="1"/>
  <c r="EH27" i="1"/>
  <c r="EH28" i="1"/>
  <c r="EH29" i="1"/>
  <c r="EH30" i="1"/>
  <c r="EH31" i="1"/>
  <c r="EH32" i="1"/>
  <c r="EH33" i="1"/>
  <c r="EH34" i="1"/>
  <c r="EH35" i="1"/>
  <c r="EH36" i="1"/>
  <c r="EH37" i="1"/>
  <c r="EH38" i="1"/>
  <c r="EH39" i="1"/>
  <c r="EH40" i="1"/>
  <c r="EH41" i="1"/>
  <c r="EH42" i="1"/>
  <c r="EH43" i="1"/>
  <c r="EH44" i="1"/>
  <c r="EH45" i="1"/>
  <c r="EH46" i="1"/>
  <c r="EH47" i="1"/>
  <c r="EH48" i="1"/>
  <c r="EH49" i="1"/>
  <c r="EH50" i="1"/>
  <c r="EH51" i="1"/>
  <c r="EH52" i="1"/>
  <c r="EH53" i="1"/>
  <c r="EH54" i="1"/>
  <c r="EH55" i="1"/>
  <c r="EH56" i="1"/>
  <c r="EH57" i="1"/>
  <c r="EH58" i="1"/>
  <c r="EH59" i="1"/>
  <c r="EH60" i="1"/>
  <c r="EH61" i="1"/>
  <c r="EH62" i="1"/>
  <c r="EH63" i="1"/>
  <c r="EH64" i="1"/>
  <c r="EH65" i="1"/>
  <c r="EH66" i="1"/>
  <c r="EH67" i="1"/>
  <c r="EH68" i="1"/>
  <c r="EH69" i="1"/>
  <c r="EH70" i="1"/>
  <c r="EH71" i="1"/>
  <c r="EH72" i="1"/>
  <c r="EH73" i="1"/>
  <c r="EH74" i="1"/>
  <c r="EH75" i="1"/>
  <c r="EH76" i="1"/>
  <c r="EH77" i="1"/>
  <c r="EH78" i="1"/>
  <c r="EH79" i="1"/>
  <c r="EH80" i="1"/>
  <c r="EH81" i="1"/>
  <c r="EH82" i="1"/>
  <c r="EH83" i="1"/>
  <c r="EH84" i="1"/>
  <c r="EH85" i="1"/>
  <c r="EH86" i="1"/>
  <c r="EH87" i="1"/>
  <c r="EH88" i="1"/>
  <c r="EH89" i="1"/>
  <c r="EH90" i="1"/>
  <c r="EH91" i="1"/>
  <c r="EH92" i="1"/>
  <c r="EH93" i="1"/>
  <c r="EH94" i="1"/>
  <c r="EH95" i="1"/>
  <c r="EH96" i="1"/>
  <c r="EH97" i="1"/>
  <c r="EH98" i="1"/>
  <c r="EH99" i="1"/>
  <c r="EH100" i="1"/>
  <c r="EH101" i="1"/>
  <c r="EH102" i="1"/>
  <c r="EH103" i="1"/>
  <c r="EH104" i="1"/>
  <c r="EH105" i="1"/>
  <c r="EH106" i="1"/>
  <c r="EH107" i="1"/>
  <c r="EH108" i="1"/>
  <c r="EH109" i="1"/>
  <c r="EH110" i="1"/>
  <c r="EH111" i="1"/>
  <c r="EH112" i="1"/>
  <c r="EH113" i="1"/>
  <c r="EH114" i="1"/>
  <c r="EH115" i="1"/>
  <c r="EH116" i="1"/>
  <c r="EH117" i="1"/>
  <c r="EH118" i="1"/>
  <c r="EH119" i="1"/>
  <c r="EH120" i="1"/>
  <c r="EH121" i="1"/>
  <c r="EH122" i="1"/>
  <c r="EH123" i="1"/>
  <c r="EH124" i="1"/>
  <c r="EH125" i="1"/>
  <c r="EH126" i="1"/>
  <c r="EH127" i="1"/>
  <c r="EH128" i="1"/>
  <c r="EH129" i="1"/>
  <c r="EH130" i="1"/>
  <c r="EH131" i="1"/>
  <c r="EH132" i="1"/>
  <c r="EH133" i="1"/>
  <c r="EH134" i="1"/>
  <c r="EH135" i="1"/>
  <c r="EH136" i="1"/>
  <c r="EH137" i="1"/>
  <c r="EH138" i="1"/>
  <c r="EH139" i="1"/>
  <c r="EH140" i="1"/>
  <c r="EH141" i="1"/>
  <c r="EH142" i="1"/>
  <c r="EH143" i="1"/>
  <c r="EH144" i="1"/>
  <c r="EH145" i="1"/>
  <c r="EH146" i="1"/>
  <c r="EH147" i="1"/>
  <c r="EH148" i="1"/>
  <c r="EH149" i="1"/>
  <c r="EH150" i="1"/>
  <c r="EH151" i="1"/>
  <c r="EH152" i="1"/>
  <c r="EH153" i="1"/>
  <c r="EH154" i="1"/>
  <c r="EH155" i="1"/>
  <c r="EH156" i="1"/>
  <c r="EH157" i="1"/>
  <c r="EH158" i="1"/>
  <c r="EH159" i="1"/>
  <c r="EH160" i="1"/>
  <c r="EH161" i="1"/>
  <c r="EH162" i="1"/>
  <c r="EH163" i="1"/>
  <c r="EH164" i="1"/>
  <c r="EH165" i="1"/>
  <c r="EH166" i="1"/>
  <c r="EH167" i="1"/>
  <c r="EH168" i="1"/>
  <c r="EH169" i="1"/>
  <c r="EH170" i="1"/>
  <c r="EH171" i="1"/>
  <c r="EH172" i="1"/>
  <c r="EH173" i="1"/>
  <c r="EH174" i="1"/>
  <c r="EH175" i="1"/>
  <c r="EH176" i="1"/>
  <c r="EH177" i="1"/>
  <c r="EH178" i="1"/>
  <c r="EH179" i="1"/>
  <c r="EH180" i="1"/>
  <c r="EH181" i="1"/>
  <c r="EH182" i="1"/>
  <c r="EH183" i="1"/>
  <c r="EH184" i="1"/>
  <c r="EH185" i="1"/>
  <c r="EH186" i="1"/>
  <c r="EH187" i="1"/>
  <c r="EH188" i="1"/>
  <c r="EH189" i="1"/>
  <c r="EH190" i="1"/>
  <c r="EH191" i="1"/>
  <c r="EH192" i="1"/>
  <c r="EH193" i="1"/>
  <c r="EH194" i="1"/>
  <c r="EH195" i="1"/>
  <c r="EH196" i="1"/>
  <c r="EH197" i="1"/>
  <c r="EH198" i="1"/>
  <c r="EH199" i="1"/>
  <c r="EH200" i="1"/>
  <c r="EH201" i="1"/>
  <c r="EH202" i="1"/>
  <c r="EH203" i="1"/>
  <c r="EH204" i="1"/>
  <c r="EH205" i="1"/>
  <c r="EH206" i="1"/>
  <c r="EH207" i="1"/>
  <c r="EH208" i="1"/>
  <c r="EH209" i="1"/>
  <c r="EH210" i="1"/>
  <c r="EH211" i="1"/>
  <c r="EH212" i="1"/>
  <c r="EH213" i="1"/>
  <c r="EH214" i="1"/>
  <c r="EH215" i="1"/>
  <c r="EH216" i="1"/>
  <c r="EH217" i="1"/>
  <c r="EH218" i="1"/>
  <c r="EH219" i="1"/>
  <c r="EH220" i="1"/>
  <c r="EH221" i="1"/>
  <c r="EH222" i="1"/>
  <c r="EH223" i="1"/>
  <c r="EH224" i="1"/>
  <c r="EH225" i="1"/>
  <c r="EH226" i="1"/>
  <c r="EH227" i="1"/>
  <c r="EH228" i="1"/>
  <c r="EH229" i="1"/>
  <c r="EH230" i="1"/>
  <c r="EH231" i="1"/>
  <c r="EH232" i="1"/>
  <c r="EH233" i="1"/>
  <c r="EH234" i="1"/>
  <c r="EH235" i="1"/>
  <c r="EH236" i="1"/>
  <c r="EH237" i="1"/>
  <c r="EH238" i="1"/>
  <c r="EH239" i="1"/>
  <c r="EH240" i="1"/>
  <c r="EH241" i="1"/>
  <c r="EH242" i="1"/>
  <c r="EH243" i="1"/>
  <c r="EH244" i="1"/>
  <c r="EH245" i="1"/>
  <c r="EH246" i="1"/>
  <c r="EH247" i="1"/>
  <c r="EH248" i="1"/>
  <c r="EH249" i="1"/>
  <c r="EH250" i="1"/>
  <c r="EH251" i="1"/>
  <c r="EH252" i="1"/>
  <c r="EH253" i="1"/>
  <c r="EH254" i="1"/>
  <c r="EH255" i="1"/>
  <c r="EH256" i="1"/>
  <c r="EH257" i="1"/>
  <c r="EH258" i="1"/>
  <c r="EH259" i="1"/>
  <c r="EH260" i="1"/>
  <c r="EH261" i="1"/>
  <c r="EH262" i="1"/>
  <c r="EH263" i="1"/>
  <c r="EH264" i="1"/>
  <c r="EH265" i="1"/>
  <c r="EH266" i="1"/>
  <c r="EH267" i="1"/>
  <c r="EH268" i="1"/>
  <c r="EH269" i="1"/>
  <c r="EH270" i="1"/>
  <c r="EH271" i="1"/>
  <c r="EH272" i="1"/>
  <c r="EH273" i="1"/>
  <c r="EH274" i="1"/>
  <c r="EH275" i="1"/>
  <c r="EH276" i="1"/>
  <c r="EH277" i="1"/>
  <c r="EH278" i="1"/>
  <c r="EH279" i="1"/>
  <c r="EH280" i="1"/>
  <c r="EH281" i="1"/>
  <c r="EH282" i="1"/>
  <c r="EH283" i="1"/>
  <c r="EH284" i="1"/>
  <c r="EH285" i="1"/>
  <c r="EH286" i="1"/>
  <c r="EH287" i="1"/>
  <c r="EH288" i="1"/>
  <c r="EH289" i="1"/>
  <c r="EH290" i="1"/>
  <c r="EH291" i="1"/>
  <c r="EH292" i="1"/>
  <c r="EH293" i="1"/>
  <c r="EH294" i="1"/>
  <c r="EH295" i="1"/>
  <c r="EH296" i="1"/>
  <c r="EH297" i="1"/>
  <c r="EH298" i="1"/>
  <c r="EH299" i="1"/>
  <c r="EH300" i="1"/>
  <c r="EH301" i="1"/>
  <c r="EH302" i="1"/>
  <c r="EH303" i="1"/>
  <c r="EH304" i="1"/>
  <c r="EH305" i="1"/>
  <c r="EH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8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2" i="1"/>
  <c r="EF3" i="1"/>
  <c r="EF4" i="1"/>
  <c r="EF5" i="1"/>
  <c r="EF6" i="1"/>
  <c r="EF7" i="1"/>
  <c r="EF8" i="1"/>
  <c r="EF9" i="1"/>
  <c r="EF10" i="1"/>
  <c r="EF11" i="1"/>
  <c r="EF12" i="1"/>
  <c r="EF13" i="1"/>
  <c r="EF14" i="1"/>
  <c r="EF15" i="1"/>
  <c r="EF16" i="1"/>
  <c r="EF17" i="1"/>
  <c r="EF18" i="1"/>
  <c r="EF19" i="1"/>
  <c r="EF20" i="1"/>
  <c r="EF21" i="1"/>
  <c r="EF22" i="1"/>
  <c r="EF23" i="1"/>
  <c r="EF24" i="1"/>
  <c r="EF25" i="1"/>
  <c r="EF26" i="1"/>
  <c r="EF27" i="1"/>
  <c r="EF28" i="1"/>
  <c r="EF29" i="1"/>
  <c r="EF30" i="1"/>
  <c r="EF31" i="1"/>
  <c r="EF32" i="1"/>
  <c r="EF33" i="1"/>
  <c r="EF34" i="1"/>
  <c r="EF35" i="1"/>
  <c r="EF36" i="1"/>
  <c r="EF37" i="1"/>
  <c r="EF38" i="1"/>
  <c r="EF39" i="1"/>
  <c r="EF40" i="1"/>
  <c r="EF41" i="1"/>
  <c r="EF42" i="1"/>
  <c r="EF43" i="1"/>
  <c r="EF44" i="1"/>
  <c r="EF45" i="1"/>
  <c r="EF46" i="1"/>
  <c r="EF47" i="1"/>
  <c r="EF48" i="1"/>
  <c r="EF49" i="1"/>
  <c r="EF50" i="1"/>
  <c r="EF51" i="1"/>
  <c r="EF52" i="1"/>
  <c r="EF53" i="1"/>
  <c r="EF54" i="1"/>
  <c r="EF55" i="1"/>
  <c r="EF56" i="1"/>
  <c r="EF57" i="1"/>
  <c r="EF58" i="1"/>
  <c r="EF59" i="1"/>
  <c r="EF60" i="1"/>
  <c r="EF61" i="1"/>
  <c r="EF62" i="1"/>
  <c r="EF63" i="1"/>
  <c r="EF64" i="1"/>
  <c r="EF65" i="1"/>
  <c r="EF66" i="1"/>
  <c r="EF67" i="1"/>
  <c r="EF68" i="1"/>
  <c r="EF69" i="1"/>
  <c r="EF70" i="1"/>
  <c r="EF71" i="1"/>
  <c r="EF72" i="1"/>
  <c r="EF73" i="1"/>
  <c r="EF74" i="1"/>
  <c r="EF75" i="1"/>
  <c r="EF76" i="1"/>
  <c r="EF77" i="1"/>
  <c r="EF78" i="1"/>
  <c r="EF79" i="1"/>
  <c r="EF80" i="1"/>
  <c r="EF81" i="1"/>
  <c r="EF82" i="1"/>
  <c r="EF83" i="1"/>
  <c r="EF84" i="1"/>
  <c r="EF85" i="1"/>
  <c r="EF86" i="1"/>
  <c r="EF87" i="1"/>
  <c r="EF88" i="1"/>
  <c r="EF89" i="1"/>
  <c r="EF90" i="1"/>
  <c r="EF91" i="1"/>
  <c r="EF92" i="1"/>
  <c r="EF93" i="1"/>
  <c r="EF94" i="1"/>
  <c r="EF95" i="1"/>
  <c r="EF96" i="1"/>
  <c r="EF97" i="1"/>
  <c r="EF98" i="1"/>
  <c r="EF99" i="1"/>
  <c r="EF100" i="1"/>
  <c r="EF101" i="1"/>
  <c r="EF102" i="1"/>
  <c r="EF103" i="1"/>
  <c r="EF104" i="1"/>
  <c r="EF105" i="1"/>
  <c r="EF106" i="1"/>
  <c r="EF107" i="1"/>
  <c r="EF108" i="1"/>
  <c r="EF109" i="1"/>
  <c r="EF110" i="1"/>
  <c r="EF111" i="1"/>
  <c r="EF112" i="1"/>
  <c r="EF113" i="1"/>
  <c r="EF114" i="1"/>
  <c r="EF115" i="1"/>
  <c r="EF116" i="1"/>
  <c r="EF117" i="1"/>
  <c r="EF118" i="1"/>
  <c r="EF119" i="1"/>
  <c r="EF120" i="1"/>
  <c r="EF121" i="1"/>
  <c r="EF122" i="1"/>
  <c r="EF123" i="1"/>
  <c r="EF124" i="1"/>
  <c r="EF125" i="1"/>
  <c r="EF126" i="1"/>
  <c r="EF127" i="1"/>
  <c r="EF128" i="1"/>
  <c r="EF129" i="1"/>
  <c r="EF130" i="1"/>
  <c r="EF131" i="1"/>
  <c r="EF132" i="1"/>
  <c r="EF133" i="1"/>
  <c r="EF134" i="1"/>
  <c r="EF135" i="1"/>
  <c r="EF136" i="1"/>
  <c r="EF137" i="1"/>
  <c r="EF138" i="1"/>
  <c r="EF139" i="1"/>
  <c r="EF140" i="1"/>
  <c r="EF141" i="1"/>
  <c r="EF142" i="1"/>
  <c r="EF143" i="1"/>
  <c r="EF144" i="1"/>
  <c r="EF145" i="1"/>
  <c r="EF146" i="1"/>
  <c r="EF147" i="1"/>
  <c r="EF148" i="1"/>
  <c r="EF149" i="1"/>
  <c r="EF150" i="1"/>
  <c r="EF151" i="1"/>
  <c r="EF152" i="1"/>
  <c r="EF153" i="1"/>
  <c r="EF154" i="1"/>
  <c r="EF155" i="1"/>
  <c r="EF156" i="1"/>
  <c r="EF157" i="1"/>
  <c r="EF158" i="1"/>
  <c r="EF159" i="1"/>
  <c r="EF160" i="1"/>
  <c r="EF161" i="1"/>
  <c r="EF162" i="1"/>
  <c r="EF163" i="1"/>
  <c r="EF164" i="1"/>
  <c r="EF165" i="1"/>
  <c r="EF166" i="1"/>
  <c r="EF167" i="1"/>
  <c r="EF168" i="1"/>
  <c r="EF169" i="1"/>
  <c r="EF170" i="1"/>
  <c r="EF171" i="1"/>
  <c r="EF172" i="1"/>
  <c r="EF173" i="1"/>
  <c r="EF174" i="1"/>
  <c r="EF175" i="1"/>
  <c r="EF176" i="1"/>
  <c r="EF177" i="1"/>
  <c r="EF178" i="1"/>
  <c r="EF179" i="1"/>
  <c r="EF180" i="1"/>
  <c r="EF181" i="1"/>
  <c r="EF182" i="1"/>
  <c r="EF183" i="1"/>
  <c r="EF184" i="1"/>
  <c r="EF185" i="1"/>
  <c r="EF186" i="1"/>
  <c r="EF187" i="1"/>
  <c r="EF188" i="1"/>
  <c r="EF189" i="1"/>
  <c r="EF190" i="1"/>
  <c r="EF191" i="1"/>
  <c r="EF192" i="1"/>
  <c r="EF193" i="1"/>
  <c r="EF194" i="1"/>
  <c r="EF195" i="1"/>
  <c r="EF196" i="1"/>
  <c r="EF197" i="1"/>
  <c r="EF198" i="1"/>
  <c r="EF199" i="1"/>
  <c r="EF200" i="1"/>
  <c r="EF201" i="1"/>
  <c r="EF202" i="1"/>
  <c r="EF203" i="1"/>
  <c r="EF204" i="1"/>
  <c r="EF205" i="1"/>
  <c r="EF206" i="1"/>
  <c r="EF207" i="1"/>
  <c r="EF208" i="1"/>
  <c r="EF209" i="1"/>
  <c r="EF210" i="1"/>
  <c r="EF211" i="1"/>
  <c r="EF212" i="1"/>
  <c r="EF213" i="1"/>
  <c r="EF214" i="1"/>
  <c r="EF215" i="1"/>
  <c r="EF216" i="1"/>
  <c r="EF217" i="1"/>
  <c r="EF218" i="1"/>
  <c r="EF219" i="1"/>
  <c r="EF220" i="1"/>
  <c r="EF221" i="1"/>
  <c r="EF222" i="1"/>
  <c r="EF223" i="1"/>
  <c r="EF224" i="1"/>
  <c r="EF225" i="1"/>
  <c r="EF226" i="1"/>
  <c r="EF227" i="1"/>
  <c r="EF228" i="1"/>
  <c r="EF229" i="1"/>
  <c r="EF230" i="1"/>
  <c r="EF231" i="1"/>
  <c r="EF232" i="1"/>
  <c r="EF233" i="1"/>
  <c r="EF234" i="1"/>
  <c r="EF235" i="1"/>
  <c r="EF236" i="1"/>
  <c r="EF237" i="1"/>
  <c r="EF238" i="1"/>
  <c r="EF239" i="1"/>
  <c r="EF240" i="1"/>
  <c r="EF241" i="1"/>
  <c r="EF242" i="1"/>
  <c r="EF243" i="1"/>
  <c r="EF244" i="1"/>
  <c r="EF245" i="1"/>
  <c r="EF246" i="1"/>
  <c r="EF247" i="1"/>
  <c r="EF248" i="1"/>
  <c r="EF249" i="1"/>
  <c r="EF250" i="1"/>
  <c r="EF251" i="1"/>
  <c r="EF252" i="1"/>
  <c r="EF253" i="1"/>
  <c r="EF254" i="1"/>
  <c r="EF255" i="1"/>
  <c r="EF256" i="1"/>
  <c r="EF257" i="1"/>
  <c r="EF258" i="1"/>
  <c r="EF259" i="1"/>
  <c r="EF260" i="1"/>
  <c r="EF261" i="1"/>
  <c r="EF262" i="1"/>
  <c r="EF263" i="1"/>
  <c r="EF264" i="1"/>
  <c r="EF265" i="1"/>
  <c r="EF266" i="1"/>
  <c r="EF267" i="1"/>
  <c r="EF268" i="1"/>
  <c r="EF269" i="1"/>
  <c r="EF270" i="1"/>
  <c r="EF271" i="1"/>
  <c r="EF272" i="1"/>
  <c r="EF273" i="1"/>
  <c r="EF274" i="1"/>
  <c r="EF275" i="1"/>
  <c r="EF276" i="1"/>
  <c r="EF277" i="1"/>
  <c r="EF278" i="1"/>
  <c r="EF279" i="1"/>
  <c r="EF280" i="1"/>
  <c r="EF281" i="1"/>
  <c r="EF282" i="1"/>
  <c r="EF283" i="1"/>
  <c r="EF284" i="1"/>
  <c r="EF285" i="1"/>
  <c r="EF286" i="1"/>
  <c r="EF287" i="1"/>
  <c r="EF288" i="1"/>
  <c r="EF289" i="1"/>
  <c r="EF290" i="1"/>
  <c r="EF291" i="1"/>
  <c r="EF292" i="1"/>
  <c r="EF293" i="1"/>
  <c r="EF294" i="1"/>
  <c r="EF295" i="1"/>
  <c r="EF296" i="1"/>
  <c r="EF297" i="1"/>
  <c r="EF298" i="1"/>
  <c r="EF299" i="1"/>
  <c r="EF300" i="1"/>
  <c r="EF301" i="1"/>
  <c r="EF302" i="1"/>
  <c r="EF303" i="1"/>
  <c r="EF304" i="1"/>
  <c r="EF305" i="1"/>
  <c r="EF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4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300" i="1"/>
  <c r="EE301" i="1"/>
  <c r="EE302" i="1"/>
  <c r="EE303" i="1"/>
  <c r="EE304" i="1"/>
  <c r="EE305" i="1"/>
  <c r="EE2" i="1"/>
  <c r="BC2" i="1"/>
  <c r="ED3" i="1"/>
  <c r="ED4" i="1"/>
  <c r="ED5" i="1"/>
  <c r="ED6" i="1"/>
  <c r="ED7" i="1"/>
  <c r="ED8" i="1"/>
  <c r="ED9" i="1"/>
  <c r="ED10" i="1"/>
  <c r="ED11" i="1"/>
  <c r="ED12" i="1"/>
  <c r="ED13" i="1"/>
  <c r="ED14" i="1"/>
  <c r="ED15" i="1"/>
  <c r="ED16" i="1"/>
  <c r="ED17" i="1"/>
  <c r="ED18" i="1"/>
  <c r="ED19" i="1"/>
  <c r="ED20" i="1"/>
  <c r="ED21" i="1"/>
  <c r="ED22" i="1"/>
  <c r="ED23" i="1"/>
  <c r="ED24" i="1"/>
  <c r="ED25" i="1"/>
  <c r="ED26" i="1"/>
  <c r="ED27" i="1"/>
  <c r="ED28" i="1"/>
  <c r="ED29" i="1"/>
  <c r="ED30" i="1"/>
  <c r="ED31" i="1"/>
  <c r="ED32" i="1"/>
  <c r="ED33" i="1"/>
  <c r="ED34" i="1"/>
  <c r="ED35" i="1"/>
  <c r="ED36" i="1"/>
  <c r="ED37" i="1"/>
  <c r="ED38" i="1"/>
  <c r="ED39" i="1"/>
  <c r="ED40" i="1"/>
  <c r="ED41" i="1"/>
  <c r="ED42" i="1"/>
  <c r="ED43" i="1"/>
  <c r="ED44" i="1"/>
  <c r="ED45" i="1"/>
  <c r="ED46" i="1"/>
  <c r="ED47" i="1"/>
  <c r="ED48" i="1"/>
  <c r="ED49" i="1"/>
  <c r="ED50" i="1"/>
  <c r="ED51" i="1"/>
  <c r="ED52" i="1"/>
  <c r="ED53" i="1"/>
  <c r="ED54" i="1"/>
  <c r="ED55" i="1"/>
  <c r="ED56" i="1"/>
  <c r="ED57" i="1"/>
  <c r="ED58" i="1"/>
  <c r="ED59" i="1"/>
  <c r="ED60" i="1"/>
  <c r="ED61" i="1"/>
  <c r="ED62" i="1"/>
  <c r="ED63" i="1"/>
  <c r="ED64" i="1"/>
  <c r="ED65" i="1"/>
  <c r="ED66" i="1"/>
  <c r="ED67" i="1"/>
  <c r="ED68" i="1"/>
  <c r="ED69" i="1"/>
  <c r="ED70" i="1"/>
  <c r="ED71" i="1"/>
  <c r="ED72" i="1"/>
  <c r="ED73" i="1"/>
  <c r="ED74" i="1"/>
  <c r="ED75" i="1"/>
  <c r="ED76" i="1"/>
  <c r="ED77" i="1"/>
  <c r="ED78" i="1"/>
  <c r="ED79" i="1"/>
  <c r="ED80" i="1"/>
  <c r="ED81" i="1"/>
  <c r="ED82" i="1"/>
  <c r="ED83" i="1"/>
  <c r="ED84" i="1"/>
  <c r="ED85" i="1"/>
  <c r="ED86" i="1"/>
  <c r="ED87" i="1"/>
  <c r="ED88" i="1"/>
  <c r="ED89" i="1"/>
  <c r="ED90" i="1"/>
  <c r="ED91" i="1"/>
  <c r="ED92" i="1"/>
  <c r="ED93" i="1"/>
  <c r="ED94" i="1"/>
  <c r="ED95" i="1"/>
  <c r="ED96" i="1"/>
  <c r="ED97" i="1"/>
  <c r="ED98" i="1"/>
  <c r="ED99" i="1"/>
  <c r="ED100" i="1"/>
  <c r="ED101" i="1"/>
  <c r="ED102" i="1"/>
  <c r="ED103" i="1"/>
  <c r="ED104" i="1"/>
  <c r="ED105" i="1"/>
  <c r="ED106" i="1"/>
  <c r="ED107" i="1"/>
  <c r="ED108" i="1"/>
  <c r="ED109" i="1"/>
  <c r="ED110" i="1"/>
  <c r="ED111" i="1"/>
  <c r="ED112" i="1"/>
  <c r="ED113" i="1"/>
  <c r="ED114" i="1"/>
  <c r="ED115" i="1"/>
  <c r="ED116" i="1"/>
  <c r="ED117" i="1"/>
  <c r="ED118" i="1"/>
  <c r="ED119" i="1"/>
  <c r="ED120" i="1"/>
  <c r="ED121" i="1"/>
  <c r="ED122" i="1"/>
  <c r="ED123" i="1"/>
  <c r="ED124" i="1"/>
  <c r="ED125" i="1"/>
  <c r="ED126" i="1"/>
  <c r="ED127" i="1"/>
  <c r="ED128" i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8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300" i="1"/>
  <c r="ED301" i="1"/>
  <c r="ED302" i="1"/>
  <c r="ED303" i="1"/>
  <c r="ED304" i="1"/>
  <c r="ED305" i="1"/>
  <c r="ED2" i="1"/>
  <c r="AR2" i="1"/>
  <c r="EC3" i="1"/>
  <c r="EC4" i="1"/>
  <c r="EC5" i="1"/>
  <c r="EC6" i="1"/>
  <c r="EC7" i="1"/>
  <c r="EC8" i="1"/>
  <c r="EC9" i="1"/>
  <c r="EC10" i="1"/>
  <c r="EC11" i="1"/>
  <c r="EC12" i="1"/>
  <c r="EC13" i="1"/>
  <c r="EC14" i="1"/>
  <c r="EC15" i="1"/>
  <c r="EC16" i="1"/>
  <c r="EC17" i="1"/>
  <c r="EC18" i="1"/>
  <c r="EC19" i="1"/>
  <c r="EC20" i="1"/>
  <c r="EC21" i="1"/>
  <c r="EC22" i="1"/>
  <c r="EC23" i="1"/>
  <c r="EC24" i="1"/>
  <c r="EC25" i="1"/>
  <c r="EC26" i="1"/>
  <c r="EC27" i="1"/>
  <c r="EC28" i="1"/>
  <c r="EC29" i="1"/>
  <c r="EC30" i="1"/>
  <c r="EC31" i="1"/>
  <c r="EC32" i="1"/>
  <c r="EC33" i="1"/>
  <c r="EC34" i="1"/>
  <c r="EC35" i="1"/>
  <c r="EC36" i="1"/>
  <c r="EC37" i="1"/>
  <c r="EC38" i="1"/>
  <c r="EC39" i="1"/>
  <c r="EC40" i="1"/>
  <c r="EC41" i="1"/>
  <c r="EC42" i="1"/>
  <c r="EC43" i="1"/>
  <c r="EC44" i="1"/>
  <c r="EC45" i="1"/>
  <c r="EC46" i="1"/>
  <c r="EC47" i="1"/>
  <c r="EC48" i="1"/>
  <c r="EC49" i="1"/>
  <c r="EC50" i="1"/>
  <c r="EC51" i="1"/>
  <c r="EC52" i="1"/>
  <c r="EC53" i="1"/>
  <c r="EC54" i="1"/>
  <c r="EC55" i="1"/>
  <c r="EC56" i="1"/>
  <c r="EC57" i="1"/>
  <c r="EC58" i="1"/>
  <c r="EC59" i="1"/>
  <c r="EC60" i="1"/>
  <c r="EC61" i="1"/>
  <c r="EC62" i="1"/>
  <c r="EC63" i="1"/>
  <c r="EC64" i="1"/>
  <c r="EC65" i="1"/>
  <c r="EC66" i="1"/>
  <c r="EC67" i="1"/>
  <c r="EC68" i="1"/>
  <c r="EC69" i="1"/>
  <c r="EC70" i="1"/>
  <c r="EC71" i="1"/>
  <c r="EC72" i="1"/>
  <c r="EC73" i="1"/>
  <c r="EC74" i="1"/>
  <c r="EC75" i="1"/>
  <c r="EC76" i="1"/>
  <c r="EC77" i="1"/>
  <c r="EC78" i="1"/>
  <c r="EC79" i="1"/>
  <c r="EC80" i="1"/>
  <c r="EC81" i="1"/>
  <c r="EC82" i="1"/>
  <c r="EC83" i="1"/>
  <c r="EC84" i="1"/>
  <c r="EC85" i="1"/>
  <c r="EC86" i="1"/>
  <c r="EC87" i="1"/>
  <c r="EC88" i="1"/>
  <c r="EC89" i="1"/>
  <c r="EC90" i="1"/>
  <c r="EC91" i="1"/>
  <c r="EC92" i="1"/>
  <c r="EC93" i="1"/>
  <c r="EC94" i="1"/>
  <c r="EC95" i="1"/>
  <c r="EC96" i="1"/>
  <c r="EC97" i="1"/>
  <c r="EC98" i="1"/>
  <c r="EC99" i="1"/>
  <c r="EC100" i="1"/>
  <c r="EC101" i="1"/>
  <c r="EC102" i="1"/>
  <c r="EC103" i="1"/>
  <c r="EC104" i="1"/>
  <c r="EC105" i="1"/>
  <c r="EC106" i="1"/>
  <c r="EC107" i="1"/>
  <c r="EC108" i="1"/>
  <c r="EC109" i="1"/>
  <c r="EC110" i="1"/>
  <c r="EC111" i="1"/>
  <c r="EC112" i="1"/>
  <c r="EC113" i="1"/>
  <c r="EC114" i="1"/>
  <c r="EC115" i="1"/>
  <c r="EC116" i="1"/>
  <c r="EC117" i="1"/>
  <c r="EC118" i="1"/>
  <c r="EC119" i="1"/>
  <c r="EC120" i="1"/>
  <c r="EC121" i="1"/>
  <c r="EC122" i="1"/>
  <c r="EC123" i="1"/>
  <c r="EC124" i="1"/>
  <c r="EC125" i="1"/>
  <c r="EC126" i="1"/>
  <c r="EC127" i="1"/>
  <c r="EC128" i="1"/>
  <c r="EC129" i="1"/>
  <c r="EC130" i="1"/>
  <c r="EC131" i="1"/>
  <c r="EC132" i="1"/>
  <c r="EC133" i="1"/>
  <c r="EC134" i="1"/>
  <c r="EC135" i="1"/>
  <c r="EC136" i="1"/>
  <c r="EC137" i="1"/>
  <c r="EC138" i="1"/>
  <c r="EC139" i="1"/>
  <c r="EC140" i="1"/>
  <c r="EC141" i="1"/>
  <c r="EC142" i="1"/>
  <c r="EC143" i="1"/>
  <c r="EC144" i="1"/>
  <c r="EC145" i="1"/>
  <c r="EC146" i="1"/>
  <c r="EC147" i="1"/>
  <c r="EC148" i="1"/>
  <c r="EC149" i="1"/>
  <c r="EC150" i="1"/>
  <c r="EC151" i="1"/>
  <c r="EC152" i="1"/>
  <c r="EC153" i="1"/>
  <c r="EC154" i="1"/>
  <c r="EC155" i="1"/>
  <c r="EC156" i="1"/>
  <c r="EC157" i="1"/>
  <c r="EC158" i="1"/>
  <c r="EC159" i="1"/>
  <c r="EC160" i="1"/>
  <c r="EC161" i="1"/>
  <c r="EC162" i="1"/>
  <c r="EC163" i="1"/>
  <c r="EC164" i="1"/>
  <c r="EC165" i="1"/>
  <c r="EC166" i="1"/>
  <c r="EC167" i="1"/>
  <c r="EC168" i="1"/>
  <c r="EC169" i="1"/>
  <c r="EC170" i="1"/>
  <c r="EC171" i="1"/>
  <c r="EC172" i="1"/>
  <c r="EC173" i="1"/>
  <c r="EC174" i="1"/>
  <c r="EC175" i="1"/>
  <c r="EC176" i="1"/>
  <c r="EC177" i="1"/>
  <c r="EC178" i="1"/>
  <c r="EC179" i="1"/>
  <c r="EC180" i="1"/>
  <c r="EC181" i="1"/>
  <c r="EC182" i="1"/>
  <c r="EC183" i="1"/>
  <c r="EC184" i="1"/>
  <c r="EC185" i="1"/>
  <c r="EC186" i="1"/>
  <c r="EC187" i="1"/>
  <c r="EC188" i="1"/>
  <c r="EC189" i="1"/>
  <c r="EC190" i="1"/>
  <c r="EC191" i="1"/>
  <c r="EC192" i="1"/>
  <c r="EC193" i="1"/>
  <c r="EC194" i="1"/>
  <c r="EC195" i="1"/>
  <c r="EC196" i="1"/>
  <c r="EC197" i="1"/>
  <c r="EC198" i="1"/>
  <c r="EC199" i="1"/>
  <c r="EC200" i="1"/>
  <c r="EC201" i="1"/>
  <c r="EC202" i="1"/>
  <c r="EC203" i="1"/>
  <c r="EC204" i="1"/>
  <c r="EC205" i="1"/>
  <c r="EC206" i="1"/>
  <c r="EC207" i="1"/>
  <c r="EC208" i="1"/>
  <c r="EC209" i="1"/>
  <c r="EC210" i="1"/>
  <c r="EC211" i="1"/>
  <c r="EC212" i="1"/>
  <c r="EC213" i="1"/>
  <c r="EC214" i="1"/>
  <c r="EC215" i="1"/>
  <c r="EC216" i="1"/>
  <c r="EC217" i="1"/>
  <c r="EC218" i="1"/>
  <c r="EC219" i="1"/>
  <c r="EC220" i="1"/>
  <c r="EC221" i="1"/>
  <c r="EC222" i="1"/>
  <c r="EC223" i="1"/>
  <c r="EC224" i="1"/>
  <c r="EC225" i="1"/>
  <c r="EC226" i="1"/>
  <c r="EC227" i="1"/>
  <c r="EC228" i="1"/>
  <c r="EC229" i="1"/>
  <c r="EC230" i="1"/>
  <c r="EC231" i="1"/>
  <c r="EC232" i="1"/>
  <c r="EC233" i="1"/>
  <c r="EC234" i="1"/>
  <c r="EC235" i="1"/>
  <c r="EC236" i="1"/>
  <c r="EC237" i="1"/>
  <c r="EC238" i="1"/>
  <c r="EC239" i="1"/>
  <c r="EC240" i="1"/>
  <c r="EC241" i="1"/>
  <c r="EC242" i="1"/>
  <c r="EC243" i="1"/>
  <c r="EC244" i="1"/>
  <c r="EC245" i="1"/>
  <c r="EC246" i="1"/>
  <c r="EC247" i="1"/>
  <c r="EC248" i="1"/>
  <c r="EC249" i="1"/>
  <c r="EC250" i="1"/>
  <c r="EC251" i="1"/>
  <c r="EC252" i="1"/>
  <c r="EC253" i="1"/>
  <c r="EC254" i="1"/>
  <c r="EC255" i="1"/>
  <c r="EC256" i="1"/>
  <c r="EC257" i="1"/>
  <c r="EC258" i="1"/>
  <c r="EC259" i="1"/>
  <c r="EC260" i="1"/>
  <c r="EC261" i="1"/>
  <c r="EC262" i="1"/>
  <c r="EC263" i="1"/>
  <c r="EC264" i="1"/>
  <c r="EC265" i="1"/>
  <c r="EC266" i="1"/>
  <c r="EC267" i="1"/>
  <c r="EC268" i="1"/>
  <c r="EC269" i="1"/>
  <c r="EC270" i="1"/>
  <c r="EC271" i="1"/>
  <c r="EC272" i="1"/>
  <c r="EC273" i="1"/>
  <c r="EC274" i="1"/>
  <c r="EC275" i="1"/>
  <c r="EC276" i="1"/>
  <c r="EC277" i="1"/>
  <c r="EC278" i="1"/>
  <c r="EC279" i="1"/>
  <c r="EC280" i="1"/>
  <c r="EC281" i="1"/>
  <c r="EC282" i="1"/>
  <c r="EC283" i="1"/>
  <c r="EC284" i="1"/>
  <c r="EC285" i="1"/>
  <c r="EC286" i="1"/>
  <c r="EC287" i="1"/>
  <c r="EC288" i="1"/>
  <c r="EC289" i="1"/>
  <c r="EC290" i="1"/>
  <c r="EC291" i="1"/>
  <c r="EC292" i="1"/>
  <c r="EC293" i="1"/>
  <c r="EC294" i="1"/>
  <c r="EC295" i="1"/>
  <c r="EC296" i="1"/>
  <c r="EC297" i="1"/>
  <c r="EC298" i="1"/>
  <c r="EC299" i="1"/>
  <c r="EC300" i="1"/>
  <c r="EC301" i="1"/>
  <c r="EC302" i="1"/>
  <c r="EC303" i="1"/>
  <c r="EC304" i="1"/>
  <c r="EC305" i="1"/>
  <c r="EC2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EB21" i="1"/>
  <c r="EB22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36" i="1"/>
  <c r="EB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51" i="1"/>
  <c r="EB52" i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EB66" i="1"/>
  <c r="EB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81" i="1"/>
  <c r="EB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96" i="1"/>
  <c r="EB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111" i="1"/>
  <c r="EB112" i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126" i="1"/>
  <c r="EB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41" i="1"/>
  <c r="EB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56" i="1"/>
  <c r="EB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71" i="1"/>
  <c r="EB172" i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86" i="1"/>
  <c r="EB187" i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201" i="1"/>
  <c r="EB202" i="1"/>
  <c r="EB203" i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216" i="1"/>
  <c r="EB217" i="1"/>
  <c r="EB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31" i="1"/>
  <c r="EB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46" i="1"/>
  <c r="EB247" i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EB261" i="1"/>
  <c r="EB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76" i="1"/>
  <c r="EB277" i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91" i="1"/>
  <c r="EB292" i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2" i="1"/>
  <c r="H123" i="1"/>
  <c r="I123" i="1"/>
  <c r="J123" i="1"/>
  <c r="M123" i="1"/>
  <c r="N123" i="1"/>
  <c r="P123" i="1"/>
  <c r="Q123" i="1"/>
  <c r="T123" i="1"/>
  <c r="W123" i="1"/>
  <c r="X123" i="1"/>
  <c r="Z123" i="1"/>
  <c r="AA123" i="1"/>
  <c r="AD123" i="1"/>
  <c r="AG123" i="1"/>
  <c r="AJ123" i="1"/>
  <c r="AK123" i="1"/>
  <c r="AN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U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I123" i="1" s="1"/>
  <c r="DJ123" i="1"/>
  <c r="DK123" i="1"/>
  <c r="DM123" i="1"/>
  <c r="DN123" i="1"/>
  <c r="DQ123" i="1"/>
  <c r="DR123" i="1" s="1"/>
  <c r="DT123" i="1"/>
  <c r="DU123" i="1"/>
  <c r="DW123" i="1"/>
  <c r="DX123" i="1"/>
  <c r="FO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J18" i="1"/>
  <c r="M18" i="1"/>
  <c r="N18" i="1"/>
  <c r="P18" i="1"/>
  <c r="Q18" i="1"/>
  <c r="T18" i="1"/>
  <c r="W18" i="1"/>
  <c r="X18" i="1"/>
  <c r="Z18" i="1"/>
  <c r="AA18" i="1"/>
  <c r="AD18" i="1"/>
  <c r="AF18" i="1" s="1"/>
  <c r="AG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L18" i="1"/>
  <c r="BM18" i="1"/>
  <c r="BO18" i="1"/>
  <c r="BP18" i="1"/>
  <c r="BS18" i="1"/>
  <c r="BV18" i="1"/>
  <c r="BW18" i="1"/>
  <c r="BY18" i="1"/>
  <c r="BZ18" i="1"/>
  <c r="CC18" i="1"/>
  <c r="CD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DQ18" i="1"/>
  <c r="DT18" i="1"/>
  <c r="DU18" i="1"/>
  <c r="DW18" i="1"/>
  <c r="DX18" i="1"/>
  <c r="FO18" i="1"/>
  <c r="FO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DD305" i="1"/>
  <c r="DC305" i="1"/>
  <c r="DA305" i="1"/>
  <c r="CZ305" i="1"/>
  <c r="CW305" i="1"/>
  <c r="CY305" i="1" s="1"/>
  <c r="CT305" i="1"/>
  <c r="CS305" i="1"/>
  <c r="CQ305" i="1"/>
  <c r="CP305" i="1"/>
  <c r="CM305" i="1"/>
  <c r="CJ305" i="1"/>
  <c r="CI305" i="1"/>
  <c r="CG305" i="1"/>
  <c r="CF305" i="1"/>
  <c r="CC305" i="1"/>
  <c r="CE305" i="1" s="1"/>
  <c r="BZ305" i="1"/>
  <c r="BY305" i="1"/>
  <c r="BW305" i="1"/>
  <c r="BV305" i="1"/>
  <c r="BS305" i="1"/>
  <c r="BT305" i="1" s="1"/>
  <c r="BP305" i="1"/>
  <c r="BO305" i="1"/>
  <c r="BM305" i="1"/>
  <c r="BL305" i="1"/>
  <c r="BI305" i="1"/>
  <c r="BK305" i="1" s="1"/>
  <c r="BF305" i="1"/>
  <c r="BE305" i="1"/>
  <c r="BC305" i="1"/>
  <c r="BB305" i="1"/>
  <c r="AX305" i="1"/>
  <c r="AU305" i="1"/>
  <c r="AT305" i="1"/>
  <c r="AR305" i="1"/>
  <c r="AQ305" i="1"/>
  <c r="AN305" i="1"/>
  <c r="AP305" i="1" s="1"/>
  <c r="AK305" i="1"/>
  <c r="AJ305" i="1"/>
  <c r="AG305" i="1"/>
  <c r="AD305" i="1"/>
  <c r="AE305" i="1" s="1"/>
  <c r="AA305" i="1"/>
  <c r="Z305" i="1"/>
  <c r="X305" i="1"/>
  <c r="W305" i="1"/>
  <c r="T305" i="1"/>
  <c r="V305" i="1" s="1"/>
  <c r="Q305" i="1"/>
  <c r="P305" i="1"/>
  <c r="N305" i="1"/>
  <c r="M305" i="1"/>
  <c r="J305" i="1"/>
  <c r="I305" i="1"/>
  <c r="H305" i="1"/>
  <c r="FO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DD263" i="1"/>
  <c r="DC263" i="1"/>
  <c r="DA263" i="1"/>
  <c r="CZ263" i="1"/>
  <c r="CW263" i="1"/>
  <c r="CY263" i="1" s="1"/>
  <c r="CT263" i="1"/>
  <c r="CS263" i="1"/>
  <c r="CQ263" i="1"/>
  <c r="CP263" i="1"/>
  <c r="CM263" i="1"/>
  <c r="CN263" i="1" s="1"/>
  <c r="CJ263" i="1"/>
  <c r="CI263" i="1"/>
  <c r="CG263" i="1"/>
  <c r="CF263" i="1"/>
  <c r="CC263" i="1"/>
  <c r="CD263" i="1" s="1"/>
  <c r="BZ263" i="1"/>
  <c r="BY263" i="1"/>
  <c r="BW263" i="1"/>
  <c r="BV263" i="1"/>
  <c r="BS263" i="1"/>
  <c r="BU263" i="1" s="1"/>
  <c r="BP263" i="1"/>
  <c r="BO263" i="1"/>
  <c r="BM263" i="1"/>
  <c r="BL263" i="1"/>
  <c r="BI263" i="1"/>
  <c r="BK263" i="1" s="1"/>
  <c r="BF263" i="1"/>
  <c r="BE263" i="1"/>
  <c r="BC263" i="1"/>
  <c r="BB263" i="1"/>
  <c r="AX263" i="1"/>
  <c r="AY263" i="1" s="1"/>
  <c r="AU263" i="1"/>
  <c r="AT263" i="1"/>
  <c r="AR263" i="1"/>
  <c r="AQ263" i="1"/>
  <c r="AN263" i="1"/>
  <c r="AP263" i="1" s="1"/>
  <c r="AK263" i="1"/>
  <c r="AJ263" i="1"/>
  <c r="AG263" i="1"/>
  <c r="AD263" i="1"/>
  <c r="AF263" i="1" s="1"/>
  <c r="AA263" i="1"/>
  <c r="Z263" i="1"/>
  <c r="X263" i="1"/>
  <c r="W263" i="1"/>
  <c r="T263" i="1"/>
  <c r="Q263" i="1"/>
  <c r="P263" i="1"/>
  <c r="N263" i="1"/>
  <c r="M263" i="1"/>
  <c r="J263" i="1"/>
  <c r="I263" i="1"/>
  <c r="H263" i="1"/>
  <c r="J134" i="1"/>
  <c r="M134" i="1"/>
  <c r="N134" i="1"/>
  <c r="P134" i="1"/>
  <c r="Q134" i="1"/>
  <c r="T134" i="1"/>
  <c r="Y134" i="1" s="1"/>
  <c r="W134" i="1"/>
  <c r="X134" i="1"/>
  <c r="Z134" i="1"/>
  <c r="AA134" i="1"/>
  <c r="AD134" i="1"/>
  <c r="AI134" i="1" s="1"/>
  <c r="AG134" i="1"/>
  <c r="AJ134" i="1"/>
  <c r="AK134" i="1"/>
  <c r="AN134" i="1"/>
  <c r="AO134" i="1" s="1"/>
  <c r="AQ134" i="1"/>
  <c r="AR134" i="1"/>
  <c r="AT134" i="1"/>
  <c r="AU134" i="1"/>
  <c r="AX134" i="1"/>
  <c r="AY134" i="1" s="1"/>
  <c r="BB134" i="1"/>
  <c r="BC134" i="1"/>
  <c r="BE134" i="1"/>
  <c r="BF134" i="1"/>
  <c r="BI134" i="1"/>
  <c r="BJ134" i="1" s="1"/>
  <c r="BL134" i="1"/>
  <c r="BM134" i="1"/>
  <c r="BO134" i="1"/>
  <c r="BP134" i="1"/>
  <c r="BS134" i="1"/>
  <c r="BX134" i="1" s="1"/>
  <c r="BV134" i="1"/>
  <c r="BW134" i="1"/>
  <c r="BY134" i="1"/>
  <c r="BZ134" i="1"/>
  <c r="CC134" i="1"/>
  <c r="CE134" i="1" s="1"/>
  <c r="CF134" i="1"/>
  <c r="CG134" i="1"/>
  <c r="CI134" i="1"/>
  <c r="CJ134" i="1"/>
  <c r="CM134" i="1"/>
  <c r="CN134" i="1" s="1"/>
  <c r="CP134" i="1"/>
  <c r="CQ134" i="1"/>
  <c r="CS134" i="1"/>
  <c r="CT134" i="1"/>
  <c r="CW134" i="1"/>
  <c r="CX134" i="1" s="1"/>
  <c r="CZ134" i="1"/>
  <c r="DA134" i="1"/>
  <c r="DC134" i="1"/>
  <c r="DD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O134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6" i="1"/>
  <c r="FO27" i="1"/>
  <c r="FO28" i="1"/>
  <c r="FO29" i="1"/>
  <c r="FO30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99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4" i="1"/>
  <c r="FO125" i="1"/>
  <c r="FO126" i="1"/>
  <c r="FO127" i="1"/>
  <c r="FO128" i="1"/>
  <c r="FO129" i="1"/>
  <c r="FO130" i="1"/>
  <c r="FO131" i="1"/>
  <c r="FO132" i="1"/>
  <c r="FO133" i="1"/>
  <c r="FO135" i="1"/>
  <c r="FO136" i="1"/>
  <c r="FO137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1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5" i="1"/>
  <c r="FO206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1" i="1"/>
  <c r="FO252" i="1"/>
  <c r="FO253" i="1"/>
  <c r="FO254" i="1"/>
  <c r="FO255" i="1"/>
  <c r="FO256" i="1"/>
  <c r="FO257" i="1"/>
  <c r="FO258" i="1"/>
  <c r="FO259" i="1"/>
  <c r="FO260" i="1"/>
  <c r="FO261" i="1"/>
  <c r="FO262" i="1"/>
  <c r="FO264" i="1"/>
  <c r="FO265" i="1"/>
  <c r="FO266" i="1"/>
  <c r="FO267" i="1"/>
  <c r="FO268" i="1"/>
  <c r="FO269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4" i="1"/>
  <c r="DC125" i="1"/>
  <c r="DC126" i="1"/>
  <c r="DC127" i="1"/>
  <c r="DC128" i="1"/>
  <c r="DC129" i="1"/>
  <c r="DC130" i="1"/>
  <c r="DC131" i="1"/>
  <c r="DC132" i="1"/>
  <c r="DC133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304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X126" i="1" s="1"/>
  <c r="CW127" i="1"/>
  <c r="CX127" i="1" s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X142" i="1" s="1"/>
  <c r="CW143" i="1"/>
  <c r="CX143" i="1" s="1"/>
  <c r="CW144" i="1"/>
  <c r="CX144" i="1" s="1"/>
  <c r="CW145" i="1"/>
  <c r="CY145" i="1" s="1"/>
  <c r="CW146" i="1"/>
  <c r="CY146" i="1" s="1"/>
  <c r="CW147" i="1"/>
  <c r="CY147" i="1" s="1"/>
  <c r="CW148" i="1"/>
  <c r="CX148" i="1" s="1"/>
  <c r="CW149" i="1"/>
  <c r="CW150" i="1"/>
  <c r="CY150" i="1" s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Y174" i="1" s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Y180" i="1" s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X199" i="1" s="1"/>
  <c r="CW200" i="1"/>
  <c r="CX200" i="1" s="1"/>
  <c r="CW201" i="1"/>
  <c r="CX201" i="1" s="1"/>
  <c r="CW202" i="1"/>
  <c r="CY202" i="1" s="1"/>
  <c r="CW203" i="1"/>
  <c r="CW204" i="1"/>
  <c r="CX204" i="1" s="1"/>
  <c r="CW205" i="1"/>
  <c r="CW206" i="1"/>
  <c r="CX206" i="1" s="1"/>
  <c r="CW207" i="1"/>
  <c r="CX207" i="1" s="1"/>
  <c r="CW208" i="1"/>
  <c r="CX208" i="1" s="1"/>
  <c r="CW209" i="1"/>
  <c r="CX209" i="1" s="1"/>
  <c r="CW210" i="1"/>
  <c r="CY210" i="1" s="1"/>
  <c r="CW211" i="1"/>
  <c r="CX211" i="1" s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Y222" i="1" s="1"/>
  <c r="CW223" i="1"/>
  <c r="CY223" i="1" s="1"/>
  <c r="CW224" i="1"/>
  <c r="CW225" i="1"/>
  <c r="CW226" i="1"/>
  <c r="CX226" i="1" s="1"/>
  <c r="CW227" i="1"/>
  <c r="CX227" i="1" s="1"/>
  <c r="CW228" i="1"/>
  <c r="CX228" i="1" s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Y238" i="1" s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Y247" i="1" s="1"/>
  <c r="CW248" i="1"/>
  <c r="CY248" i="1" s="1"/>
  <c r="CW249" i="1"/>
  <c r="CW250" i="1"/>
  <c r="CX250" i="1" s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X260" i="1" s="1"/>
  <c r="CW261" i="1"/>
  <c r="CW262" i="1"/>
  <c r="CX262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Y287" i="1" s="1"/>
  <c r="CW288" i="1"/>
  <c r="CW289" i="1"/>
  <c r="CY289" i="1" s="1"/>
  <c r="CW290" i="1"/>
  <c r="CY290" i="1" s="1"/>
  <c r="CW291" i="1"/>
  <c r="CX291" i="1" s="1"/>
  <c r="CW292" i="1"/>
  <c r="CW293" i="1"/>
  <c r="CY293" i="1" s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Y303" i="1" s="1"/>
  <c r="CW304" i="1"/>
  <c r="CW2" i="1"/>
  <c r="CX2" i="1" s="1"/>
  <c r="CU4" i="1"/>
  <c r="CU61" i="1"/>
  <c r="CU138" i="1"/>
  <c r="CU147" i="1"/>
  <c r="CU194" i="1"/>
  <c r="CU200" i="1"/>
  <c r="CU204" i="1"/>
  <c r="CU270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O142" i="1" s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O295" i="1" s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2" i="1"/>
  <c r="CN2" i="1" s="1"/>
  <c r="CK4" i="1"/>
  <c r="CK61" i="1"/>
  <c r="CK138" i="1"/>
  <c r="CK147" i="1"/>
  <c r="CK194" i="1"/>
  <c r="CK200" i="1"/>
  <c r="CK204" i="1"/>
  <c r="CK270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4" i="1"/>
  <c r="CI125" i="1"/>
  <c r="CI126" i="1"/>
  <c r="CI127" i="1"/>
  <c r="CI128" i="1"/>
  <c r="CI129" i="1"/>
  <c r="CI130" i="1"/>
  <c r="CI131" i="1"/>
  <c r="CI132" i="1"/>
  <c r="CI133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4" i="1"/>
  <c r="CF125" i="1"/>
  <c r="CF126" i="1"/>
  <c r="CF127" i="1"/>
  <c r="CF128" i="1"/>
  <c r="CF129" i="1"/>
  <c r="CF130" i="1"/>
  <c r="CF131" i="1"/>
  <c r="CF132" i="1"/>
  <c r="CF133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5" i="1"/>
  <c r="CD135" i="1" s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D143" i="1" s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E181" i="1" s="1"/>
  <c r="CC182" i="1"/>
  <c r="CD182" i="1" s="1"/>
  <c r="CC183" i="1"/>
  <c r="CE183" i="1" s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E191" i="1" s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D207" i="1" s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D223" i="1" s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D231" i="1" s="1"/>
  <c r="CC232" i="1"/>
  <c r="CC233" i="1"/>
  <c r="CC234" i="1"/>
  <c r="CC235" i="1"/>
  <c r="CC236" i="1"/>
  <c r="CE236" i="1" s="1"/>
  <c r="CC237" i="1"/>
  <c r="CD237" i="1" s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E247" i="1" s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D287" i="1" s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E303" i="1" s="1"/>
  <c r="CC304" i="1"/>
  <c r="CE304" i="1" s="1"/>
  <c r="CC2" i="1"/>
  <c r="CD2" i="1" s="1"/>
  <c r="CA4" i="1"/>
  <c r="CA61" i="1"/>
  <c r="CA138" i="1"/>
  <c r="CA147" i="1"/>
  <c r="CA194" i="1"/>
  <c r="CA200" i="1"/>
  <c r="CA204" i="1"/>
  <c r="CA27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4" i="1"/>
  <c r="BY125" i="1"/>
  <c r="BY126" i="1"/>
  <c r="BY127" i="1"/>
  <c r="BY128" i="1"/>
  <c r="BY129" i="1"/>
  <c r="BY130" i="1"/>
  <c r="BY131" i="1"/>
  <c r="BY132" i="1"/>
  <c r="BY133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4" i="1"/>
  <c r="BV125" i="1"/>
  <c r="BV126" i="1"/>
  <c r="BV127" i="1"/>
  <c r="BV128" i="1"/>
  <c r="BV129" i="1"/>
  <c r="BV130" i="1"/>
  <c r="BV131" i="1"/>
  <c r="BV132" i="1"/>
  <c r="BV133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304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T132" i="1" s="1"/>
  <c r="BS133" i="1"/>
  <c r="BT133" i="1" s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T166" i="1" s="1"/>
  <c r="BS167" i="1"/>
  <c r="BU167" i="1" s="1"/>
  <c r="BS168" i="1"/>
  <c r="BU168" i="1" s="1"/>
  <c r="BS169" i="1"/>
  <c r="BU169" i="1" s="1"/>
  <c r="BS170" i="1"/>
  <c r="BT170" i="1" s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T202" i="1" s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T242" i="1" s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U250" i="1" s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T278" i="1" s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T294" i="1" s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2" i="1"/>
  <c r="BT2" i="1" s="1"/>
  <c r="BQ4" i="1"/>
  <c r="BQ61" i="1"/>
  <c r="BQ138" i="1"/>
  <c r="BQ147" i="1"/>
  <c r="BQ194" i="1"/>
  <c r="BQ200" i="1"/>
  <c r="BQ204" i="1"/>
  <c r="BQ270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4" i="1"/>
  <c r="BO125" i="1"/>
  <c r="BO126" i="1"/>
  <c r="BO127" i="1"/>
  <c r="BO128" i="1"/>
  <c r="BO129" i="1"/>
  <c r="BO130" i="1"/>
  <c r="BO131" i="1"/>
  <c r="BO132" i="1"/>
  <c r="BO133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4" i="1"/>
  <c r="BL125" i="1"/>
  <c r="BL126" i="1"/>
  <c r="BL127" i="1"/>
  <c r="BL128" i="1"/>
  <c r="BL129" i="1"/>
  <c r="BL130" i="1"/>
  <c r="BL131" i="1"/>
  <c r="BL132" i="1"/>
  <c r="BL133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K172" i="1" s="1"/>
  <c r="BI173" i="1"/>
  <c r="BI174" i="1"/>
  <c r="BK174" i="1" s="1"/>
  <c r="BI175" i="1"/>
  <c r="BK175" i="1" s="1"/>
  <c r="BI176" i="1"/>
  <c r="BK176" i="1" s="1"/>
  <c r="BI177" i="1"/>
  <c r="BJ177" i="1" s="1"/>
  <c r="BI178" i="1"/>
  <c r="BI179" i="1"/>
  <c r="BI180" i="1"/>
  <c r="BI181" i="1"/>
  <c r="BK181" i="1" s="1"/>
  <c r="BI182" i="1"/>
  <c r="BK182" i="1" s="1"/>
  <c r="BI183" i="1"/>
  <c r="BK183" i="1" s="1"/>
  <c r="BI184" i="1"/>
  <c r="BJ184" i="1" s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K224" i="1" s="1"/>
  <c r="BI225" i="1"/>
  <c r="BJ225" i="1" s="1"/>
  <c r="BI226" i="1"/>
  <c r="BK226" i="1" s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K236" i="1" s="1"/>
  <c r="BI237" i="1"/>
  <c r="BI238" i="1"/>
  <c r="BK238" i="1" s="1"/>
  <c r="BI239" i="1"/>
  <c r="BK239" i="1" s="1"/>
  <c r="BI240" i="1"/>
  <c r="BK240" i="1" s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J248" i="1" s="1"/>
  <c r="BI249" i="1"/>
  <c r="BJ249" i="1" s="1"/>
  <c r="BI250" i="1"/>
  <c r="BI251" i="1"/>
  <c r="BI252" i="1"/>
  <c r="BI253" i="1"/>
  <c r="BI254" i="1"/>
  <c r="BK254" i="1" s="1"/>
  <c r="BI255" i="1"/>
  <c r="BJ255" i="1" s="1"/>
  <c r="BI256" i="1"/>
  <c r="BJ256" i="1" s="1"/>
  <c r="BI257" i="1"/>
  <c r="BJ257" i="1" s="1"/>
  <c r="BI258" i="1"/>
  <c r="BI259" i="1"/>
  <c r="BI260" i="1"/>
  <c r="BI261" i="1"/>
  <c r="BI262" i="1"/>
  <c r="BJ262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K284" i="1" s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K296" i="1" s="1"/>
  <c r="BI297" i="1"/>
  <c r="BK297" i="1" s="1"/>
  <c r="BI298" i="1"/>
  <c r="BJ298" i="1" s="1"/>
  <c r="BI299" i="1"/>
  <c r="BK299" i="1" s="1"/>
  <c r="BI300" i="1"/>
  <c r="BK300" i="1" s="1"/>
  <c r="BI301" i="1"/>
  <c r="BK301" i="1" s="1"/>
  <c r="BI302" i="1"/>
  <c r="BI303" i="1"/>
  <c r="BK303" i="1" s="1"/>
  <c r="BI304" i="1"/>
  <c r="BK304" i="1" s="1"/>
  <c r="BI2" i="1"/>
  <c r="BJ2" i="1" s="1"/>
  <c r="BG4" i="1"/>
  <c r="BG61" i="1"/>
  <c r="BG138" i="1"/>
  <c r="BG147" i="1"/>
  <c r="BG194" i="1"/>
  <c r="BG200" i="1"/>
  <c r="BG204" i="1"/>
  <c r="BG270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4" i="1"/>
  <c r="BE125" i="1"/>
  <c r="BE126" i="1"/>
  <c r="BE127" i="1"/>
  <c r="BE128" i="1"/>
  <c r="BE129" i="1"/>
  <c r="BE130" i="1"/>
  <c r="BE131" i="1"/>
  <c r="BE132" i="1"/>
  <c r="BE133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29" i="1"/>
  <c r="BB130" i="1"/>
  <c r="BB131" i="1"/>
  <c r="BB132" i="1"/>
  <c r="BB133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4" i="1"/>
  <c r="AY124" i="1" s="1"/>
  <c r="AX125" i="1"/>
  <c r="AY125" i="1" s="1"/>
  <c r="AX126" i="1"/>
  <c r="BA126" i="1" s="1"/>
  <c r="AX127" i="1"/>
  <c r="AX128" i="1"/>
  <c r="BA128" i="1" s="1"/>
  <c r="AX129" i="1"/>
  <c r="AX130" i="1"/>
  <c r="BA130" i="1" s="1"/>
  <c r="AX131" i="1"/>
  <c r="AX132" i="1"/>
  <c r="AY132" i="1" s="1"/>
  <c r="AX133" i="1"/>
  <c r="AX135" i="1"/>
  <c r="AY135" i="1" s="1"/>
  <c r="AX136" i="1"/>
  <c r="BA136" i="1" s="1"/>
  <c r="AX137" i="1"/>
  <c r="AX138" i="1"/>
  <c r="AX139" i="1"/>
  <c r="AY139" i="1" s="1"/>
  <c r="AX140" i="1"/>
  <c r="BA140" i="1" s="1"/>
  <c r="AX141" i="1"/>
  <c r="AY141" i="1" s="1"/>
  <c r="AX142" i="1"/>
  <c r="AY142" i="1" s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BA158" i="1" s="1"/>
  <c r="AX159" i="1"/>
  <c r="BA159" i="1" s="1"/>
  <c r="AX160" i="1"/>
  <c r="AX161" i="1"/>
  <c r="AY161" i="1" s="1"/>
  <c r="AX162" i="1"/>
  <c r="AX163" i="1"/>
  <c r="BA163" i="1" s="1"/>
  <c r="AX164" i="1"/>
  <c r="BA164" i="1" s="1"/>
  <c r="AX165" i="1"/>
  <c r="AY165" i="1" s="1"/>
  <c r="AX166" i="1"/>
  <c r="AX167" i="1"/>
  <c r="BA167" i="1" s="1"/>
  <c r="AX168" i="1"/>
  <c r="AX169" i="1"/>
  <c r="AY169" i="1" s="1"/>
  <c r="AX170" i="1"/>
  <c r="AX171" i="1"/>
  <c r="AY171" i="1" s="1"/>
  <c r="AX172" i="1"/>
  <c r="BA172" i="1" s="1"/>
  <c r="AX173" i="1"/>
  <c r="AY173" i="1" s="1"/>
  <c r="AX174" i="1"/>
  <c r="AY174" i="1" s="1"/>
  <c r="AX175" i="1"/>
  <c r="BA175" i="1" s="1"/>
  <c r="AX176" i="1"/>
  <c r="AX177" i="1"/>
  <c r="BA177" i="1" s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BA184" i="1" s="1"/>
  <c r="AX185" i="1"/>
  <c r="AX186" i="1"/>
  <c r="AX187" i="1"/>
  <c r="AY187" i="1" s="1"/>
  <c r="AX188" i="1"/>
  <c r="AX189" i="1"/>
  <c r="AY189" i="1" s="1"/>
  <c r="AX190" i="1"/>
  <c r="AY190" i="1" s="1"/>
  <c r="AX191" i="1"/>
  <c r="BA191" i="1" s="1"/>
  <c r="AX192" i="1"/>
  <c r="AX193" i="1"/>
  <c r="BA193" i="1" s="1"/>
  <c r="AX194" i="1"/>
  <c r="AX195" i="1"/>
  <c r="BA195" i="1" s="1"/>
  <c r="AX196" i="1"/>
  <c r="AX197" i="1"/>
  <c r="AY197" i="1" s="1"/>
  <c r="AX198" i="1"/>
  <c r="AX199" i="1"/>
  <c r="BA199" i="1" s="1"/>
  <c r="AX200" i="1"/>
  <c r="BA200" i="1" s="1"/>
  <c r="AX201" i="1"/>
  <c r="AX202" i="1"/>
  <c r="AX203" i="1"/>
  <c r="AY203" i="1" s="1"/>
  <c r="AX204" i="1"/>
  <c r="BA204" i="1" s="1"/>
  <c r="AX205" i="1"/>
  <c r="AY205" i="1" s="1"/>
  <c r="AX206" i="1"/>
  <c r="AY206" i="1" s="1"/>
  <c r="AX207" i="1"/>
  <c r="AY207" i="1" s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BA231" i="1" s="1"/>
  <c r="AX232" i="1"/>
  <c r="AX233" i="1"/>
  <c r="AY233" i="1" s="1"/>
  <c r="AX234" i="1"/>
  <c r="AX235" i="1"/>
  <c r="BA235" i="1" s="1"/>
  <c r="AX236" i="1"/>
  <c r="BA236" i="1" s="1"/>
  <c r="AX237" i="1"/>
  <c r="AY237" i="1" s="1"/>
  <c r="AX238" i="1"/>
  <c r="AY238" i="1" s="1"/>
  <c r="AX239" i="1"/>
  <c r="BA239" i="1" s="1"/>
  <c r="AX240" i="1"/>
  <c r="AX241" i="1"/>
  <c r="BA241" i="1" s="1"/>
  <c r="AX242" i="1"/>
  <c r="AX243" i="1"/>
  <c r="BA243" i="1" s="1"/>
  <c r="AX244" i="1"/>
  <c r="BA244" i="1" s="1"/>
  <c r="AX245" i="1"/>
  <c r="AY245" i="1" s="1"/>
  <c r="AX246" i="1"/>
  <c r="BA246" i="1" s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4" i="1"/>
  <c r="BA264" i="1" s="1"/>
  <c r="AX265" i="1"/>
  <c r="BA265" i="1" s="1"/>
  <c r="AX266" i="1"/>
  <c r="BA266" i="1" s="1"/>
  <c r="AX267" i="1"/>
  <c r="AX268" i="1"/>
  <c r="AY268" i="1" s="1"/>
  <c r="AX269" i="1"/>
  <c r="BA269" i="1" s="1"/>
  <c r="AX270" i="1"/>
  <c r="AY270" i="1" s="1"/>
  <c r="AX271" i="1"/>
  <c r="AY271" i="1" s="1"/>
  <c r="AX272" i="1"/>
  <c r="AX273" i="1"/>
  <c r="AX274" i="1"/>
  <c r="BA274" i="1" s="1"/>
  <c r="AX275" i="1"/>
  <c r="AX276" i="1"/>
  <c r="AY276" i="1" s="1"/>
  <c r="AX277" i="1"/>
  <c r="AX278" i="1"/>
  <c r="BA278" i="1" s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Y290" i="1" s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Y298" i="1" s="1"/>
  <c r="AX299" i="1"/>
  <c r="AX300" i="1"/>
  <c r="AY300" i="1" s="1"/>
  <c r="AX301" i="1"/>
  <c r="BA301" i="1" s="1"/>
  <c r="AX302" i="1"/>
  <c r="AX303" i="1"/>
  <c r="AY303" i="1" s="1"/>
  <c r="AX304" i="1"/>
  <c r="BA304" i="1" s="1"/>
  <c r="AX2" i="1"/>
  <c r="AY2" i="1" s="1"/>
  <c r="AV4" i="1"/>
  <c r="AV61" i="1"/>
  <c r="AV138" i="1"/>
  <c r="AV147" i="1"/>
  <c r="AV194" i="1"/>
  <c r="AV200" i="1"/>
  <c r="AV204" i="1"/>
  <c r="AV27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4" i="1"/>
  <c r="AT125" i="1"/>
  <c r="AT126" i="1"/>
  <c r="AT127" i="1"/>
  <c r="AT128" i="1"/>
  <c r="AT129" i="1"/>
  <c r="AT130" i="1"/>
  <c r="AT131" i="1"/>
  <c r="AT132" i="1"/>
  <c r="AT133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29" i="1"/>
  <c r="AQ130" i="1"/>
  <c r="AQ131" i="1"/>
  <c r="AQ132" i="1"/>
  <c r="AQ133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2" i="1"/>
  <c r="AN3" i="1"/>
  <c r="AO3" i="1" s="1"/>
  <c r="AN4" i="1"/>
  <c r="AO4" i="1" s="1"/>
  <c r="AN5" i="1"/>
  <c r="AN6" i="1"/>
  <c r="AO6" i="1" s="1"/>
  <c r="AN7" i="1"/>
  <c r="AN8" i="1"/>
  <c r="AN9" i="1"/>
  <c r="AN10" i="1"/>
  <c r="AN11" i="1"/>
  <c r="AP11" i="1" s="1"/>
  <c r="AN12" i="1"/>
  <c r="AO12" i="1" s="1"/>
  <c r="AN13" i="1"/>
  <c r="AN14" i="1"/>
  <c r="AO14" i="1" s="1"/>
  <c r="AN15" i="1"/>
  <c r="AN16" i="1"/>
  <c r="AN17" i="1"/>
  <c r="AN19" i="1"/>
  <c r="AN20" i="1"/>
  <c r="AP20" i="1" s="1"/>
  <c r="AN21" i="1"/>
  <c r="AO21" i="1" s="1"/>
  <c r="AN22" i="1"/>
  <c r="AN23" i="1"/>
  <c r="AN24" i="1"/>
  <c r="AP24" i="1" s="1"/>
  <c r="AN25" i="1"/>
  <c r="AN26" i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N35" i="1"/>
  <c r="AN36" i="1"/>
  <c r="AN37" i="1"/>
  <c r="AO37" i="1" s="1"/>
  <c r="AN38" i="1"/>
  <c r="AN39" i="1"/>
  <c r="AO39" i="1" s="1"/>
  <c r="AN40" i="1"/>
  <c r="AO40" i="1" s="1"/>
  <c r="AN41" i="1"/>
  <c r="AN42" i="1"/>
  <c r="AN43" i="1"/>
  <c r="AN44" i="1"/>
  <c r="AO44" i="1" s="1"/>
  <c r="AN45" i="1"/>
  <c r="AO45" i="1" s="1"/>
  <c r="AN46" i="1"/>
  <c r="AN47" i="1"/>
  <c r="AO47" i="1" s="1"/>
  <c r="AN48" i="1"/>
  <c r="AO48" i="1" s="1"/>
  <c r="AN49" i="1"/>
  <c r="AN50" i="1"/>
  <c r="AN51" i="1"/>
  <c r="AN52" i="1"/>
  <c r="AP52" i="1" s="1"/>
  <c r="AN53" i="1"/>
  <c r="AO53" i="1" s="1"/>
  <c r="AN54" i="1"/>
  <c r="AN55" i="1"/>
  <c r="AO55" i="1" s="1"/>
  <c r="AN56" i="1"/>
  <c r="AN57" i="1"/>
  <c r="AN58" i="1"/>
  <c r="AN59" i="1"/>
  <c r="AN60" i="1"/>
  <c r="AN61" i="1"/>
  <c r="AO61" i="1" s="1"/>
  <c r="AN62" i="1"/>
  <c r="AN63" i="1"/>
  <c r="AO63" i="1" s="1"/>
  <c r="AN64" i="1"/>
  <c r="AP64" i="1" s="1"/>
  <c r="AN65" i="1"/>
  <c r="AN66" i="1"/>
  <c r="AN67" i="1"/>
  <c r="AN68" i="1"/>
  <c r="AN69" i="1"/>
  <c r="AO69" i="1" s="1"/>
  <c r="AN70" i="1"/>
  <c r="AN71" i="1"/>
  <c r="AO71" i="1" s="1"/>
  <c r="AN72" i="1"/>
  <c r="AN73" i="1"/>
  <c r="AN74" i="1"/>
  <c r="AN75" i="1"/>
  <c r="AN76" i="1"/>
  <c r="AP76" i="1" s="1"/>
  <c r="AN77" i="1"/>
  <c r="AO77" i="1" s="1"/>
  <c r="AN78" i="1"/>
  <c r="AN79" i="1"/>
  <c r="AO79" i="1" s="1"/>
  <c r="AN80" i="1"/>
  <c r="AP80" i="1" s="1"/>
  <c r="AN81" i="1"/>
  <c r="AN82" i="1"/>
  <c r="AN83" i="1"/>
  <c r="AN84" i="1"/>
  <c r="AP84" i="1" s="1"/>
  <c r="AN85" i="1"/>
  <c r="AO85" i="1" s="1"/>
  <c r="AN86" i="1"/>
  <c r="AN87" i="1"/>
  <c r="AO87" i="1" s="1"/>
  <c r="AN88" i="1"/>
  <c r="AO88" i="1" s="1"/>
  <c r="AN89" i="1"/>
  <c r="AN90" i="1"/>
  <c r="AN91" i="1"/>
  <c r="AN92" i="1"/>
  <c r="AO92" i="1" s="1"/>
  <c r="AN93" i="1"/>
  <c r="AO93" i="1" s="1"/>
  <c r="AN94" i="1"/>
  <c r="AN95" i="1"/>
  <c r="AO95" i="1" s="1"/>
  <c r="AN96" i="1"/>
  <c r="AO96" i="1" s="1"/>
  <c r="AN97" i="1"/>
  <c r="AN98" i="1"/>
  <c r="AN99" i="1"/>
  <c r="AN100" i="1"/>
  <c r="AN101" i="1"/>
  <c r="AO101" i="1" s="1"/>
  <c r="AN102" i="1"/>
  <c r="AN103" i="1"/>
  <c r="AO103" i="1" s="1"/>
  <c r="AN104" i="1"/>
  <c r="AP104" i="1" s="1"/>
  <c r="AN105" i="1"/>
  <c r="AN106" i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N115" i="1"/>
  <c r="AN116" i="1"/>
  <c r="AO116" i="1" s="1"/>
  <c r="AN117" i="1"/>
  <c r="AO117" i="1" s="1"/>
  <c r="AN118" i="1"/>
  <c r="AN119" i="1"/>
  <c r="AO119" i="1" s="1"/>
  <c r="AN120" i="1"/>
  <c r="AP120" i="1" s="1"/>
  <c r="AN121" i="1"/>
  <c r="AN122" i="1"/>
  <c r="AN124" i="1"/>
  <c r="AN125" i="1"/>
  <c r="AO125" i="1" s="1"/>
  <c r="AN126" i="1"/>
  <c r="AO126" i="1" s="1"/>
  <c r="AN127" i="1"/>
  <c r="AN128" i="1"/>
  <c r="AO128" i="1" s="1"/>
  <c r="AN129" i="1"/>
  <c r="AO129" i="1" s="1"/>
  <c r="AN130" i="1"/>
  <c r="AN131" i="1"/>
  <c r="AN132" i="1"/>
  <c r="AN133" i="1"/>
  <c r="AO133" i="1" s="1"/>
  <c r="AN135" i="1"/>
  <c r="AO135" i="1" s="1"/>
  <c r="AN136" i="1"/>
  <c r="AN137" i="1"/>
  <c r="AO137" i="1" s="1"/>
  <c r="AN138" i="1"/>
  <c r="AN139" i="1"/>
  <c r="AN140" i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N149" i="1"/>
  <c r="AN150" i="1"/>
  <c r="AO150" i="1" s="1"/>
  <c r="AN151" i="1"/>
  <c r="AO151" i="1" s="1"/>
  <c r="AN152" i="1"/>
  <c r="AN153" i="1"/>
  <c r="AO153" i="1" s="1"/>
  <c r="AN154" i="1"/>
  <c r="AN155" i="1"/>
  <c r="AN156" i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N173" i="1"/>
  <c r="AN174" i="1"/>
  <c r="AO174" i="1" s="1"/>
  <c r="AN175" i="1"/>
  <c r="AO175" i="1" s="1"/>
  <c r="AN176" i="1"/>
  <c r="AN177" i="1"/>
  <c r="AP177" i="1" s="1"/>
  <c r="AN178" i="1"/>
  <c r="AP178" i="1" s="1"/>
  <c r="AN179" i="1"/>
  <c r="AN180" i="1"/>
  <c r="AN181" i="1"/>
  <c r="AN182" i="1"/>
  <c r="AO182" i="1" s="1"/>
  <c r="AN183" i="1"/>
  <c r="AO183" i="1" s="1"/>
  <c r="AN184" i="1"/>
  <c r="AN185" i="1"/>
  <c r="AP185" i="1" s="1"/>
  <c r="AN186" i="1"/>
  <c r="AN187" i="1"/>
  <c r="AN188" i="1"/>
  <c r="AN189" i="1"/>
  <c r="AN190" i="1"/>
  <c r="AO190" i="1" s="1"/>
  <c r="AN191" i="1"/>
  <c r="AO191" i="1" s="1"/>
  <c r="AN192" i="1"/>
  <c r="AN193" i="1"/>
  <c r="AP193" i="1" s="1"/>
  <c r="AN194" i="1"/>
  <c r="AO194" i="1" s="1"/>
  <c r="AN195" i="1"/>
  <c r="AN196" i="1"/>
  <c r="AN197" i="1"/>
  <c r="AN198" i="1"/>
  <c r="AO198" i="1" s="1"/>
  <c r="AN199" i="1"/>
  <c r="AO199" i="1" s="1"/>
  <c r="AN200" i="1"/>
  <c r="AN201" i="1"/>
  <c r="AP201" i="1" s="1"/>
  <c r="AN202" i="1"/>
  <c r="AN203" i="1"/>
  <c r="AN204" i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N213" i="1"/>
  <c r="AN214" i="1"/>
  <c r="AO214" i="1" s="1"/>
  <c r="AN215" i="1"/>
  <c r="AO215" i="1" s="1"/>
  <c r="AN216" i="1"/>
  <c r="AN217" i="1"/>
  <c r="AP217" i="1" s="1"/>
  <c r="AN218" i="1"/>
  <c r="AO218" i="1" s="1"/>
  <c r="AN219" i="1"/>
  <c r="AN220" i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N245" i="1"/>
  <c r="AN246" i="1"/>
  <c r="AO246" i="1" s="1"/>
  <c r="AN247" i="1"/>
  <c r="AO247" i="1" s="1"/>
  <c r="AN248" i="1"/>
  <c r="AN249" i="1"/>
  <c r="AP249" i="1" s="1"/>
  <c r="AN250" i="1"/>
  <c r="AN251" i="1"/>
  <c r="AN252" i="1"/>
  <c r="AN253" i="1"/>
  <c r="AN254" i="1"/>
  <c r="AO254" i="1" s="1"/>
  <c r="AN255" i="1"/>
  <c r="AO255" i="1" s="1"/>
  <c r="AN256" i="1"/>
  <c r="AN257" i="1"/>
  <c r="AP257" i="1" s="1"/>
  <c r="AN258" i="1"/>
  <c r="AO258" i="1" s="1"/>
  <c r="AN259" i="1"/>
  <c r="AN260" i="1"/>
  <c r="AN261" i="1"/>
  <c r="AN262" i="1"/>
  <c r="AO262" i="1" s="1"/>
  <c r="AN264" i="1"/>
  <c r="AO264" i="1" s="1"/>
  <c r="AN265" i="1"/>
  <c r="AN266" i="1"/>
  <c r="AP266" i="1" s="1"/>
  <c r="AN267" i="1"/>
  <c r="AN268" i="1"/>
  <c r="AN269" i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N278" i="1"/>
  <c r="AN279" i="1"/>
  <c r="AO279" i="1" s="1"/>
  <c r="AN280" i="1"/>
  <c r="AO280" i="1" s="1"/>
  <c r="AN281" i="1"/>
  <c r="AN282" i="1"/>
  <c r="AP282" i="1" s="1"/>
  <c r="AN283" i="1"/>
  <c r="AN284" i="1"/>
  <c r="AN285" i="1"/>
  <c r="AN286" i="1"/>
  <c r="AN287" i="1"/>
  <c r="AO287" i="1" s="1"/>
  <c r="AN288" i="1"/>
  <c r="AO288" i="1" s="1"/>
  <c r="AN289" i="1"/>
  <c r="AN290" i="1"/>
  <c r="AP290" i="1" s="1"/>
  <c r="AN291" i="1"/>
  <c r="AO291" i="1" s="1"/>
  <c r="AN292" i="1"/>
  <c r="AN293" i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N302" i="1"/>
  <c r="AN303" i="1"/>
  <c r="AO303" i="1" s="1"/>
  <c r="AN304" i="1"/>
  <c r="AO304" i="1" s="1"/>
  <c r="AN2" i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K2" i="1"/>
  <c r="AJ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4" i="1"/>
  <c r="AG125" i="1"/>
  <c r="AG126" i="1"/>
  <c r="AG127" i="1"/>
  <c r="AG128" i="1"/>
  <c r="AG129" i="1"/>
  <c r="AG130" i="1"/>
  <c r="AG131" i="1"/>
  <c r="AG132" i="1"/>
  <c r="AG133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D67" i="1"/>
  <c r="AD68" i="1"/>
  <c r="AD69" i="1"/>
  <c r="AD70" i="1"/>
  <c r="AD71" i="1"/>
  <c r="AD72" i="1"/>
  <c r="AD73" i="1"/>
  <c r="AE73" i="1" s="1"/>
  <c r="AD74" i="1"/>
  <c r="AD75" i="1"/>
  <c r="AD76" i="1"/>
  <c r="AD77" i="1"/>
  <c r="AD78" i="1"/>
  <c r="AD79" i="1"/>
  <c r="AD80" i="1"/>
  <c r="AD81" i="1"/>
  <c r="AE81" i="1" s="1"/>
  <c r="AD82" i="1"/>
  <c r="AD83" i="1"/>
  <c r="AD84" i="1"/>
  <c r="AD85" i="1"/>
  <c r="AD86" i="1"/>
  <c r="AD87" i="1"/>
  <c r="AD88" i="1"/>
  <c r="AD89" i="1"/>
  <c r="AE89" i="1" s="1"/>
  <c r="AD90" i="1"/>
  <c r="AD91" i="1"/>
  <c r="AD92" i="1"/>
  <c r="AD93" i="1"/>
  <c r="AD94" i="1"/>
  <c r="AD95" i="1"/>
  <c r="AD96" i="1"/>
  <c r="AD97" i="1"/>
  <c r="AE97" i="1" s="1"/>
  <c r="AD98" i="1"/>
  <c r="AD99" i="1"/>
  <c r="AD100" i="1"/>
  <c r="AD101" i="1"/>
  <c r="AD102" i="1"/>
  <c r="AD103" i="1"/>
  <c r="AD104" i="1"/>
  <c r="AD105" i="1"/>
  <c r="AF105" i="1" s="1"/>
  <c r="AD106" i="1"/>
  <c r="AD107" i="1"/>
  <c r="AD108" i="1"/>
  <c r="AD109" i="1"/>
  <c r="AD110" i="1"/>
  <c r="AD111" i="1"/>
  <c r="AD112" i="1"/>
  <c r="AE112" i="1" s="1"/>
  <c r="AD113" i="1"/>
  <c r="AE113" i="1" s="1"/>
  <c r="AD114" i="1"/>
  <c r="AD115" i="1"/>
  <c r="AD116" i="1"/>
  <c r="AD117" i="1"/>
  <c r="AD118" i="1"/>
  <c r="AD119" i="1"/>
  <c r="AD120" i="1"/>
  <c r="AD121" i="1"/>
  <c r="AE121" i="1" s="1"/>
  <c r="AD122" i="1"/>
  <c r="AD124" i="1"/>
  <c r="AD125" i="1"/>
  <c r="AE125" i="1" s="1"/>
  <c r="AD126" i="1"/>
  <c r="AD127" i="1"/>
  <c r="AD128" i="1"/>
  <c r="AF128" i="1" s="1"/>
  <c r="AD129" i="1"/>
  <c r="AE129" i="1" s="1"/>
  <c r="AD130" i="1"/>
  <c r="AE130" i="1" s="1"/>
  <c r="AD131" i="1"/>
  <c r="AD132" i="1"/>
  <c r="AD133" i="1"/>
  <c r="AF133" i="1" s="1"/>
  <c r="AD135" i="1"/>
  <c r="AD136" i="1"/>
  <c r="AD137" i="1"/>
  <c r="AE137" i="1" s="1"/>
  <c r="AD138" i="1"/>
  <c r="AF138" i="1" s="1"/>
  <c r="AD139" i="1"/>
  <c r="AD140" i="1"/>
  <c r="AD141" i="1"/>
  <c r="AE141" i="1" s="1"/>
  <c r="AD142" i="1"/>
  <c r="AD143" i="1"/>
  <c r="AD144" i="1"/>
  <c r="AD145" i="1"/>
  <c r="AE145" i="1" s="1"/>
  <c r="AD146" i="1"/>
  <c r="AE146" i="1" s="1"/>
  <c r="AD147" i="1"/>
  <c r="AD148" i="1"/>
  <c r="AD149" i="1"/>
  <c r="AE149" i="1" s="1"/>
  <c r="AD150" i="1"/>
  <c r="AD151" i="1"/>
  <c r="AD152" i="1"/>
  <c r="AD153" i="1"/>
  <c r="AF153" i="1" s="1"/>
  <c r="AD154" i="1"/>
  <c r="AF154" i="1" s="1"/>
  <c r="AD155" i="1"/>
  <c r="AE155" i="1" s="1"/>
  <c r="AD156" i="1"/>
  <c r="AD157" i="1"/>
  <c r="AE157" i="1" s="1"/>
  <c r="AD158" i="1"/>
  <c r="AD159" i="1"/>
  <c r="AD160" i="1"/>
  <c r="AD161" i="1"/>
  <c r="AE161" i="1" s="1"/>
  <c r="AD162" i="1"/>
  <c r="AF162" i="1" s="1"/>
  <c r="AD163" i="1"/>
  <c r="AE163" i="1" s="1"/>
  <c r="AD164" i="1"/>
  <c r="AD165" i="1"/>
  <c r="AE165" i="1" s="1"/>
  <c r="AD166" i="1"/>
  <c r="AD167" i="1"/>
  <c r="AD168" i="1"/>
  <c r="AD169" i="1"/>
  <c r="AF169" i="1" s="1"/>
  <c r="AD170" i="1"/>
  <c r="AE170" i="1" s="1"/>
  <c r="AD171" i="1"/>
  <c r="AE171" i="1" s="1"/>
  <c r="AD172" i="1"/>
  <c r="AD173" i="1"/>
  <c r="AE173" i="1" s="1"/>
  <c r="AD174" i="1"/>
  <c r="AD175" i="1"/>
  <c r="AD176" i="1"/>
  <c r="AD177" i="1"/>
  <c r="AF177" i="1" s="1"/>
  <c r="AD178" i="1"/>
  <c r="AE178" i="1" s="1"/>
  <c r="AD179" i="1"/>
  <c r="AE179" i="1" s="1"/>
  <c r="AD180" i="1"/>
  <c r="AD181" i="1"/>
  <c r="AE181" i="1" s="1"/>
  <c r="AD182" i="1"/>
  <c r="AD183" i="1"/>
  <c r="AD184" i="1"/>
  <c r="AD185" i="1"/>
  <c r="AE185" i="1" s="1"/>
  <c r="AD186" i="1"/>
  <c r="AE186" i="1" s="1"/>
  <c r="AD187" i="1"/>
  <c r="AF187" i="1" s="1"/>
  <c r="AD188" i="1"/>
  <c r="AD189" i="1"/>
  <c r="AE189" i="1" s="1"/>
  <c r="AD190" i="1"/>
  <c r="AD191" i="1"/>
  <c r="AD192" i="1"/>
  <c r="AD193" i="1"/>
  <c r="AE193" i="1" s="1"/>
  <c r="AD194" i="1"/>
  <c r="AE194" i="1" s="1"/>
  <c r="AD195" i="1"/>
  <c r="AE195" i="1" s="1"/>
  <c r="AD196" i="1"/>
  <c r="AD197" i="1"/>
  <c r="AF197" i="1" s="1"/>
  <c r="AD198" i="1"/>
  <c r="AD199" i="1"/>
  <c r="AD200" i="1"/>
  <c r="AD201" i="1"/>
  <c r="AE201" i="1" s="1"/>
  <c r="AD202" i="1"/>
  <c r="AE202" i="1" s="1"/>
  <c r="AD203" i="1"/>
  <c r="AF203" i="1" s="1"/>
  <c r="AD204" i="1"/>
  <c r="AD205" i="1"/>
  <c r="AD206" i="1"/>
  <c r="AD207" i="1"/>
  <c r="AD208" i="1"/>
  <c r="AD209" i="1"/>
  <c r="AE209" i="1" s="1"/>
  <c r="AD210" i="1"/>
  <c r="AF210" i="1" s="1"/>
  <c r="AD211" i="1"/>
  <c r="AE211" i="1" s="1"/>
  <c r="AD212" i="1"/>
  <c r="AD213" i="1"/>
  <c r="AE213" i="1" s="1"/>
  <c r="AD214" i="1"/>
  <c r="AD215" i="1"/>
  <c r="AD216" i="1"/>
  <c r="AD217" i="1"/>
  <c r="AE217" i="1" s="1"/>
  <c r="AD218" i="1"/>
  <c r="AE218" i="1" s="1"/>
  <c r="AD219" i="1"/>
  <c r="AF219" i="1" s="1"/>
  <c r="AD220" i="1"/>
  <c r="AD221" i="1"/>
  <c r="AE221" i="1" s="1"/>
  <c r="AD222" i="1"/>
  <c r="AD223" i="1"/>
  <c r="AD224" i="1"/>
  <c r="AD225" i="1"/>
  <c r="AE225" i="1" s="1"/>
  <c r="AD226" i="1"/>
  <c r="AD227" i="1"/>
  <c r="AE227" i="1" s="1"/>
  <c r="AD228" i="1"/>
  <c r="AD229" i="1"/>
  <c r="AE229" i="1" s="1"/>
  <c r="AD230" i="1"/>
  <c r="AD231" i="1"/>
  <c r="AD232" i="1"/>
  <c r="AD233" i="1"/>
  <c r="AE233" i="1" s="1"/>
  <c r="AD234" i="1"/>
  <c r="AE234" i="1" s="1"/>
  <c r="AD235" i="1"/>
  <c r="AE235" i="1" s="1"/>
  <c r="AD236" i="1"/>
  <c r="AD237" i="1"/>
  <c r="AE237" i="1" s="1"/>
  <c r="AD238" i="1"/>
  <c r="AD239" i="1"/>
  <c r="AD240" i="1"/>
  <c r="AD241" i="1"/>
  <c r="AF241" i="1" s="1"/>
  <c r="AD242" i="1"/>
  <c r="AE242" i="1" s="1"/>
  <c r="AD243" i="1"/>
  <c r="AE243" i="1" s="1"/>
  <c r="AD244" i="1"/>
  <c r="AD245" i="1"/>
  <c r="AE245" i="1" s="1"/>
  <c r="AD246" i="1"/>
  <c r="AD247" i="1"/>
  <c r="AD248" i="1"/>
  <c r="AD249" i="1"/>
  <c r="AE249" i="1" s="1"/>
  <c r="AD250" i="1"/>
  <c r="AF250" i="1" s="1"/>
  <c r="AD251" i="1"/>
  <c r="AE251" i="1" s="1"/>
  <c r="AD252" i="1"/>
  <c r="AD253" i="1"/>
  <c r="AE253" i="1" s="1"/>
  <c r="AD254" i="1"/>
  <c r="AD255" i="1"/>
  <c r="AD256" i="1"/>
  <c r="AD257" i="1"/>
  <c r="AE257" i="1" s="1"/>
  <c r="AD258" i="1"/>
  <c r="AE258" i="1" s="1"/>
  <c r="AD259" i="1"/>
  <c r="AE259" i="1" s="1"/>
  <c r="AD260" i="1"/>
  <c r="AD261" i="1"/>
  <c r="AF261" i="1" s="1"/>
  <c r="AD262" i="1"/>
  <c r="AD264" i="1"/>
  <c r="AD265" i="1"/>
  <c r="AD266" i="1"/>
  <c r="AE266" i="1" s="1"/>
  <c r="AD267" i="1"/>
  <c r="AE267" i="1" s="1"/>
  <c r="AD268" i="1"/>
  <c r="AD269" i="1"/>
  <c r="AD270" i="1"/>
  <c r="AD271" i="1"/>
  <c r="AD272" i="1"/>
  <c r="AD273" i="1"/>
  <c r="AD274" i="1"/>
  <c r="AE274" i="1" s="1"/>
  <c r="AD275" i="1"/>
  <c r="AE275" i="1" s="1"/>
  <c r="AD276" i="1"/>
  <c r="AD277" i="1"/>
  <c r="AD278" i="1"/>
  <c r="AD279" i="1"/>
  <c r="AD280" i="1"/>
  <c r="AD281" i="1"/>
  <c r="AD282" i="1"/>
  <c r="AE282" i="1" s="1"/>
  <c r="AD283" i="1"/>
  <c r="AE283" i="1" s="1"/>
  <c r="AD284" i="1"/>
  <c r="AD285" i="1"/>
  <c r="AD286" i="1"/>
  <c r="AD287" i="1"/>
  <c r="AD288" i="1"/>
  <c r="AD289" i="1"/>
  <c r="AD290" i="1"/>
  <c r="AE290" i="1" s="1"/>
  <c r="AD291" i="1"/>
  <c r="AE291" i="1" s="1"/>
  <c r="AD292" i="1"/>
  <c r="AD293" i="1"/>
  <c r="AD294" i="1"/>
  <c r="AD295" i="1"/>
  <c r="AD296" i="1"/>
  <c r="AD297" i="1"/>
  <c r="AD298" i="1"/>
  <c r="AE298" i="1" s="1"/>
  <c r="AD299" i="1"/>
  <c r="AE299" i="1" s="1"/>
  <c r="AD300" i="1"/>
  <c r="AD301" i="1"/>
  <c r="AD302" i="1"/>
  <c r="AD303" i="1"/>
  <c r="AD304" i="1"/>
  <c r="AD2" i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4" i="1"/>
  <c r="T125" i="1"/>
  <c r="T126" i="1"/>
  <c r="T127" i="1"/>
  <c r="T128" i="1"/>
  <c r="T129" i="1"/>
  <c r="T130" i="1"/>
  <c r="T131" i="1"/>
  <c r="T132" i="1"/>
  <c r="T133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R4" i="1"/>
  <c r="R61" i="1"/>
  <c r="R138" i="1"/>
  <c r="R147" i="1"/>
  <c r="R194" i="1"/>
  <c r="R200" i="1"/>
  <c r="R204" i="1"/>
  <c r="R2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4" i="1"/>
  <c r="P125" i="1"/>
  <c r="P126" i="1"/>
  <c r="P127" i="1"/>
  <c r="P128" i="1"/>
  <c r="P129" i="1"/>
  <c r="P130" i="1"/>
  <c r="P131" i="1"/>
  <c r="P132" i="1"/>
  <c r="P133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4" i="1"/>
  <c r="M125" i="1"/>
  <c r="M126" i="1"/>
  <c r="M127" i="1"/>
  <c r="M128" i="1"/>
  <c r="M129" i="1"/>
  <c r="M130" i="1"/>
  <c r="M131" i="1"/>
  <c r="M132" i="1"/>
  <c r="M133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4" i="1"/>
  <c r="J125" i="1"/>
  <c r="J126" i="1"/>
  <c r="J127" i="1"/>
  <c r="J128" i="1"/>
  <c r="J129" i="1"/>
  <c r="J130" i="1"/>
  <c r="J131" i="1"/>
  <c r="J132" i="1"/>
  <c r="J133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L254" i="1" l="1"/>
  <c r="L190" i="1"/>
  <c r="L125" i="1"/>
  <c r="K68" i="1"/>
  <c r="L36" i="1"/>
  <c r="V297" i="1"/>
  <c r="Y297" i="1"/>
  <c r="V265" i="1"/>
  <c r="V232" i="1"/>
  <c r="V200" i="1"/>
  <c r="V168" i="1"/>
  <c r="V136" i="1"/>
  <c r="V102" i="1"/>
  <c r="V70" i="1"/>
  <c r="V30" i="1"/>
  <c r="AE2" i="1"/>
  <c r="AF297" i="1"/>
  <c r="AF289" i="1"/>
  <c r="AE281" i="1"/>
  <c r="AE273" i="1"/>
  <c r="AE265" i="1"/>
  <c r="AE256" i="1"/>
  <c r="AE248" i="1"/>
  <c r="AE240" i="1"/>
  <c r="AE232" i="1"/>
  <c r="AF224" i="1"/>
  <c r="AE216" i="1"/>
  <c r="AE208" i="1"/>
  <c r="AE200" i="1"/>
  <c r="AE192" i="1"/>
  <c r="AF184" i="1"/>
  <c r="AE176" i="1"/>
  <c r="AE168" i="1"/>
  <c r="AF160" i="1"/>
  <c r="AE152" i="1"/>
  <c r="AE144" i="1"/>
  <c r="AE136" i="1"/>
  <c r="AE127" i="1"/>
  <c r="AE118" i="1"/>
  <c r="AE110" i="1"/>
  <c r="AE102" i="1"/>
  <c r="AE94" i="1"/>
  <c r="AE86" i="1"/>
  <c r="AE78" i="1"/>
  <c r="AP301" i="1"/>
  <c r="AP293" i="1"/>
  <c r="AP285" i="1"/>
  <c r="AP277" i="1"/>
  <c r="AP269" i="1"/>
  <c r="AP260" i="1"/>
  <c r="AP252" i="1"/>
  <c r="AP244" i="1"/>
  <c r="AP236" i="1"/>
  <c r="AP228" i="1"/>
  <c r="AP220" i="1"/>
  <c r="AP212" i="1"/>
  <c r="AP204" i="1"/>
  <c r="AP196" i="1"/>
  <c r="AP188" i="1"/>
  <c r="AP180" i="1"/>
  <c r="AP172" i="1"/>
  <c r="AP164" i="1"/>
  <c r="AP156" i="1"/>
  <c r="AP148" i="1"/>
  <c r="AP140" i="1"/>
  <c r="AP131" i="1"/>
  <c r="AP122" i="1"/>
  <c r="AP114" i="1"/>
  <c r="AP106" i="1"/>
  <c r="AP98" i="1"/>
  <c r="AP90" i="1"/>
  <c r="AP82" i="1"/>
  <c r="AP74" i="1"/>
  <c r="AP66" i="1"/>
  <c r="AP58" i="1"/>
  <c r="AP50" i="1"/>
  <c r="AP42" i="1"/>
  <c r="AP34" i="1"/>
  <c r="AP26" i="1"/>
  <c r="AP17" i="1"/>
  <c r="AP9" i="1"/>
  <c r="L246" i="1"/>
  <c r="L182" i="1"/>
  <c r="L116" i="1"/>
  <c r="V281" i="1"/>
  <c r="V248" i="1"/>
  <c r="V216" i="1"/>
  <c r="V184" i="1"/>
  <c r="V152" i="1"/>
  <c r="V118" i="1"/>
  <c r="U86" i="1"/>
  <c r="V62" i="1"/>
  <c r="V38" i="1"/>
  <c r="U22" i="1"/>
  <c r="V13" i="1"/>
  <c r="U5" i="1"/>
  <c r="L294" i="1"/>
  <c r="L270" i="1"/>
  <c r="O270" i="1"/>
  <c r="S270" i="1" s="1"/>
  <c r="L245" i="1"/>
  <c r="L221" i="1"/>
  <c r="L205" i="1"/>
  <c r="L189" i="1"/>
  <c r="L173" i="1"/>
  <c r="L157" i="1"/>
  <c r="L132" i="1"/>
  <c r="O132" i="1"/>
  <c r="L115" i="1"/>
  <c r="K99" i="1"/>
  <c r="L83" i="1"/>
  <c r="K67" i="1"/>
  <c r="K51" i="1"/>
  <c r="L35" i="1"/>
  <c r="L27" i="1"/>
  <c r="L19" i="1"/>
  <c r="L10" i="1"/>
  <c r="V304" i="1"/>
  <c r="V296" i="1"/>
  <c r="V288" i="1"/>
  <c r="V280" i="1"/>
  <c r="V272" i="1"/>
  <c r="V264" i="1"/>
  <c r="V255" i="1"/>
  <c r="V247" i="1"/>
  <c r="V239" i="1"/>
  <c r="V231" i="1"/>
  <c r="V223" i="1"/>
  <c r="V215" i="1"/>
  <c r="V207" i="1"/>
  <c r="V199" i="1"/>
  <c r="V191" i="1"/>
  <c r="V183" i="1"/>
  <c r="V175" i="1"/>
  <c r="V167" i="1"/>
  <c r="V159" i="1"/>
  <c r="V151" i="1"/>
  <c r="V143" i="1"/>
  <c r="V135" i="1"/>
  <c r="V126" i="1"/>
  <c r="V117" i="1"/>
  <c r="V109" i="1"/>
  <c r="V101" i="1"/>
  <c r="U93" i="1"/>
  <c r="V85" i="1"/>
  <c r="U77" i="1"/>
  <c r="V69" i="1"/>
  <c r="V61" i="1"/>
  <c r="V53" i="1"/>
  <c r="V45" i="1"/>
  <c r="V37" i="1"/>
  <c r="V29" i="1"/>
  <c r="V21" i="1"/>
  <c r="V12" i="1"/>
  <c r="U4" i="1"/>
  <c r="AF304" i="1"/>
  <c r="AE296" i="1"/>
  <c r="AF288" i="1"/>
  <c r="AE280" i="1"/>
  <c r="AE272" i="1"/>
  <c r="AE264" i="1"/>
  <c r="AF255" i="1"/>
  <c r="AE247" i="1"/>
  <c r="AE239" i="1"/>
  <c r="AF231" i="1"/>
  <c r="AE223" i="1"/>
  <c r="AE207" i="1"/>
  <c r="AE199" i="1"/>
  <c r="AF191" i="1"/>
  <c r="AE183" i="1"/>
  <c r="AE175" i="1"/>
  <c r="AF167" i="1"/>
  <c r="AE159" i="1"/>
  <c r="AF151" i="1"/>
  <c r="AE143" i="1"/>
  <c r="AE135" i="1"/>
  <c r="AE126" i="1"/>
  <c r="AE109" i="1"/>
  <c r="AE101" i="1"/>
  <c r="AE93" i="1"/>
  <c r="AE85" i="1"/>
  <c r="AE77" i="1"/>
  <c r="AE69" i="1"/>
  <c r="L279" i="1"/>
  <c r="L214" i="1"/>
  <c r="L150" i="1"/>
  <c r="U2" i="1"/>
  <c r="V273" i="1"/>
  <c r="V240" i="1"/>
  <c r="V208" i="1"/>
  <c r="V176" i="1"/>
  <c r="V144" i="1"/>
  <c r="V110" i="1"/>
  <c r="V78" i="1"/>
  <c r="V46" i="1"/>
  <c r="L286" i="1"/>
  <c r="L261" i="1"/>
  <c r="L237" i="1"/>
  <c r="L213" i="1"/>
  <c r="L197" i="1"/>
  <c r="L181" i="1"/>
  <c r="L165" i="1"/>
  <c r="L149" i="1"/>
  <c r="L141" i="1"/>
  <c r="L124" i="1"/>
  <c r="L107" i="1"/>
  <c r="L91" i="1"/>
  <c r="L75" i="1"/>
  <c r="K59" i="1"/>
  <c r="K43" i="1"/>
  <c r="K301" i="1"/>
  <c r="K293" i="1"/>
  <c r="K285" i="1"/>
  <c r="L277" i="1"/>
  <c r="L269" i="1"/>
  <c r="L260" i="1"/>
  <c r="L252" i="1"/>
  <c r="L244" i="1"/>
  <c r="K236" i="1"/>
  <c r="K228" i="1"/>
  <c r="K220" i="1"/>
  <c r="L212" i="1"/>
  <c r="L204" i="1"/>
  <c r="O204" i="1"/>
  <c r="S204" i="1" s="1"/>
  <c r="L196" i="1"/>
  <c r="L188" i="1"/>
  <c r="L180" i="1"/>
  <c r="K172" i="1"/>
  <c r="K164" i="1"/>
  <c r="L156" i="1"/>
  <c r="L148" i="1"/>
  <c r="L140" i="1"/>
  <c r="L131" i="1"/>
  <c r="L122" i="1"/>
  <c r="L114" i="1"/>
  <c r="L106" i="1"/>
  <c r="L98" i="1"/>
  <c r="L90" i="1"/>
  <c r="L82" i="1"/>
  <c r="L74" i="1"/>
  <c r="L66" i="1"/>
  <c r="L58" i="1"/>
  <c r="L50" i="1"/>
  <c r="L42" i="1"/>
  <c r="L34" i="1"/>
  <c r="L26" i="1"/>
  <c r="L17" i="1"/>
  <c r="L9" i="1"/>
  <c r="V303" i="1"/>
  <c r="V295" i="1"/>
  <c r="V287" i="1"/>
  <c r="V279" i="1"/>
  <c r="V271" i="1"/>
  <c r="V262" i="1"/>
  <c r="V254" i="1"/>
  <c r="V246" i="1"/>
  <c r="V238" i="1"/>
  <c r="V230" i="1"/>
  <c r="V222" i="1"/>
  <c r="V214" i="1"/>
  <c r="V198" i="1"/>
  <c r="V190" i="1"/>
  <c r="V182" i="1"/>
  <c r="V174" i="1"/>
  <c r="V166" i="1"/>
  <c r="V158" i="1"/>
  <c r="V150" i="1"/>
  <c r="V142" i="1"/>
  <c r="V133" i="1"/>
  <c r="U125" i="1"/>
  <c r="V116" i="1"/>
  <c r="V108" i="1"/>
  <c r="V100" i="1"/>
  <c r="V92" i="1"/>
  <c r="V84" i="1"/>
  <c r="V76" i="1"/>
  <c r="U68" i="1"/>
  <c r="U60" i="1"/>
  <c r="V52" i="1"/>
  <c r="V44" i="1"/>
  <c r="V36" i="1"/>
  <c r="V28" i="1"/>
  <c r="V20" i="1"/>
  <c r="V11" i="1"/>
  <c r="U3" i="1"/>
  <c r="AF303" i="1"/>
  <c r="AE295" i="1"/>
  <c r="AE287" i="1"/>
  <c r="AF279" i="1"/>
  <c r="AE271" i="1"/>
  <c r="AE262" i="1"/>
  <c r="AE254" i="1"/>
  <c r="L287" i="1"/>
  <c r="L222" i="1"/>
  <c r="L158" i="1"/>
  <c r="L92" i="1"/>
  <c r="L52" i="1"/>
  <c r="L20" i="1"/>
  <c r="V289" i="1"/>
  <c r="V256" i="1"/>
  <c r="V224" i="1"/>
  <c r="V192" i="1"/>
  <c r="V160" i="1"/>
  <c r="V127" i="1"/>
  <c r="V94" i="1"/>
  <c r="V54" i="1"/>
  <c r="L302" i="1"/>
  <c r="L278" i="1"/>
  <c r="L253" i="1"/>
  <c r="L229" i="1"/>
  <c r="K300" i="1"/>
  <c r="L292" i="1"/>
  <c r="K284" i="1"/>
  <c r="K276" i="1"/>
  <c r="L268" i="1"/>
  <c r="L259" i="1"/>
  <c r="L251" i="1"/>
  <c r="L243" i="1"/>
  <c r="K235" i="1"/>
  <c r="K227" i="1"/>
  <c r="K219" i="1"/>
  <c r="K211" i="1"/>
  <c r="L203" i="1"/>
  <c r="L195" i="1"/>
  <c r="L187" i="1"/>
  <c r="L179" i="1"/>
  <c r="K171" i="1"/>
  <c r="K163" i="1"/>
  <c r="K155" i="1"/>
  <c r="K147" i="1"/>
  <c r="L139" i="1"/>
  <c r="L130" i="1"/>
  <c r="L121" i="1"/>
  <c r="K113" i="1"/>
  <c r="K105" i="1"/>
  <c r="K97" i="1"/>
  <c r="K89" i="1"/>
  <c r="L81" i="1"/>
  <c r="L73" i="1"/>
  <c r="L65" i="1"/>
  <c r="L57" i="1"/>
  <c r="K49" i="1"/>
  <c r="K41" i="1"/>
  <c r="K33" i="1"/>
  <c r="K25" i="1"/>
  <c r="O25" i="1"/>
  <c r="L16" i="1"/>
  <c r="L8" i="1"/>
  <c r="V302" i="1"/>
  <c r="V294" i="1"/>
  <c r="V286" i="1"/>
  <c r="V278" i="1"/>
  <c r="V270" i="1"/>
  <c r="Y270" i="1"/>
  <c r="V261" i="1"/>
  <c r="V253" i="1"/>
  <c r="V245" i="1"/>
  <c r="V237" i="1"/>
  <c r="V229" i="1"/>
  <c r="V221" i="1"/>
  <c r="V213" i="1"/>
  <c r="V205" i="1"/>
  <c r="V197" i="1"/>
  <c r="V189" i="1"/>
  <c r="V181" i="1"/>
  <c r="V173" i="1"/>
  <c r="V165" i="1"/>
  <c r="V157" i="1"/>
  <c r="V149" i="1"/>
  <c r="V141" i="1"/>
  <c r="V132" i="1"/>
  <c r="Y132" i="1"/>
  <c r="V124" i="1"/>
  <c r="V115" i="1"/>
  <c r="V107" i="1"/>
  <c r="U99" i="1"/>
  <c r="V91" i="1"/>
  <c r="V83" i="1"/>
  <c r="V75" i="1"/>
  <c r="U67" i="1"/>
  <c r="U59" i="1"/>
  <c r="V51" i="1"/>
  <c r="U43" i="1"/>
  <c r="V35" i="1"/>
  <c r="V27" i="1"/>
  <c r="V19" i="1"/>
  <c r="V10" i="1"/>
  <c r="K303" i="1"/>
  <c r="L238" i="1"/>
  <c r="L174" i="1"/>
  <c r="K108" i="1"/>
  <c r="K283" i="1"/>
  <c r="L250" i="1"/>
  <c r="K218" i="1"/>
  <c r="L186" i="1"/>
  <c r="L154" i="1"/>
  <c r="L120" i="1"/>
  <c r="K88" i="1"/>
  <c r="K64" i="1"/>
  <c r="K40" i="1"/>
  <c r="K24" i="1"/>
  <c r="K15" i="1"/>
  <c r="K7" i="1"/>
  <c r="V293" i="1"/>
  <c r="V277" i="1"/>
  <c r="V269" i="1"/>
  <c r="V260" i="1"/>
  <c r="V244" i="1"/>
  <c r="V236" i="1"/>
  <c r="V228" i="1"/>
  <c r="V220" i="1"/>
  <c r="V204" i="1"/>
  <c r="Y204" i="1"/>
  <c r="V188" i="1"/>
  <c r="V180" i="1"/>
  <c r="V172" i="1"/>
  <c r="V164" i="1"/>
  <c r="V156" i="1"/>
  <c r="V148" i="1"/>
  <c r="V140" i="1"/>
  <c r="V131" i="1"/>
  <c r="V122" i="1"/>
  <c r="V114" i="1"/>
  <c r="V106" i="1"/>
  <c r="V98" i="1"/>
  <c r="V90" i="1"/>
  <c r="V82" i="1"/>
  <c r="V74" i="1"/>
  <c r="V58" i="1"/>
  <c r="V50" i="1"/>
  <c r="V42" i="1"/>
  <c r="V34" i="1"/>
  <c r="V26" i="1"/>
  <c r="V17" i="1"/>
  <c r="V9" i="1"/>
  <c r="AE301" i="1"/>
  <c r="AE293" i="1"/>
  <c r="AE285" i="1"/>
  <c r="AE277" i="1"/>
  <c r="AF269" i="1"/>
  <c r="AF260" i="1"/>
  <c r="AE252" i="1"/>
  <c r="AE244" i="1"/>
  <c r="AE236" i="1"/>
  <c r="AE228" i="1"/>
  <c r="AE220" i="1"/>
  <c r="AF212" i="1"/>
  <c r="AF196" i="1"/>
  <c r="AF188" i="1"/>
  <c r="AE180" i="1"/>
  <c r="AE172" i="1"/>
  <c r="AE164" i="1"/>
  <c r="AF156" i="1"/>
  <c r="AE148" i="1"/>
  <c r="AE140" i="1"/>
  <c r="AF131" i="1"/>
  <c r="AE122" i="1"/>
  <c r="AE114" i="1"/>
  <c r="AF106" i="1"/>
  <c r="AE98" i="1"/>
  <c r="AF90" i="1"/>
  <c r="AE82" i="1"/>
  <c r="AE74" i="1"/>
  <c r="AF66" i="1"/>
  <c r="AO2" i="1"/>
  <c r="AP281" i="1"/>
  <c r="AP256" i="1"/>
  <c r="AP248" i="1"/>
  <c r="AP216" i="1"/>
  <c r="AO200" i="1"/>
  <c r="AO192" i="1"/>
  <c r="AP184" i="1"/>
  <c r="AP176" i="1"/>
  <c r="AP152" i="1"/>
  <c r="AP136" i="1"/>
  <c r="AO127" i="1"/>
  <c r="AP118" i="1"/>
  <c r="AP102" i="1"/>
  <c r="AP94" i="1"/>
  <c r="AO86" i="1"/>
  <c r="AP78" i="1"/>
  <c r="AP54" i="1"/>
  <c r="AO46" i="1"/>
  <c r="AP38" i="1"/>
  <c r="AO22" i="1"/>
  <c r="L262" i="1"/>
  <c r="L198" i="1"/>
  <c r="L133" i="1"/>
  <c r="L76" i="1"/>
  <c r="L44" i="1"/>
  <c r="L28" i="1"/>
  <c r="L11" i="1"/>
  <c r="K3" i="1"/>
  <c r="K291" i="1"/>
  <c r="L258" i="1"/>
  <c r="K226" i="1"/>
  <c r="L194" i="1"/>
  <c r="K162" i="1"/>
  <c r="L129" i="1"/>
  <c r="L96" i="1"/>
  <c r="V301" i="1"/>
  <c r="V285" i="1"/>
  <c r="V252" i="1"/>
  <c r="K298" i="1"/>
  <c r="K290" i="1"/>
  <c r="K282" i="1"/>
  <c r="K274" i="1"/>
  <c r="K266" i="1"/>
  <c r="K257" i="1"/>
  <c r="L249" i="1"/>
  <c r="L241" i="1"/>
  <c r="K233" i="1"/>
  <c r="K225" i="1"/>
  <c r="K217" i="1"/>
  <c r="K209" i="1"/>
  <c r="K201" i="1"/>
  <c r="K193" i="1"/>
  <c r="L185" i="1"/>
  <c r="L177" i="1"/>
  <c r="K169" i="1"/>
  <c r="K161" i="1"/>
  <c r="K153" i="1"/>
  <c r="K145" i="1"/>
  <c r="K137" i="1"/>
  <c r="O137" i="1"/>
  <c r="K128" i="1"/>
  <c r="L119" i="1"/>
  <c r="K111" i="1"/>
  <c r="K103" i="1"/>
  <c r="K95" i="1"/>
  <c r="K87" i="1"/>
  <c r="K79" i="1"/>
  <c r="K71" i="1"/>
  <c r="L63" i="1"/>
  <c r="L55" i="1"/>
  <c r="L47" i="1"/>
  <c r="K39" i="1"/>
  <c r="K31" i="1"/>
  <c r="K23" i="1"/>
  <c r="K14" i="1"/>
  <c r="K6" i="1"/>
  <c r="U300" i="1"/>
  <c r="U292" i="1"/>
  <c r="U284" i="1"/>
  <c r="U276" i="1"/>
  <c r="U268" i="1"/>
  <c r="U259" i="1"/>
  <c r="U251" i="1"/>
  <c r="U243" i="1"/>
  <c r="U235" i="1"/>
  <c r="U227" i="1"/>
  <c r="U219" i="1"/>
  <c r="U211" i="1"/>
  <c r="U203" i="1"/>
  <c r="U195" i="1"/>
  <c r="U187" i="1"/>
  <c r="U179" i="1"/>
  <c r="U171" i="1"/>
  <c r="V163" i="1"/>
  <c r="U155" i="1"/>
  <c r="U147" i="1"/>
  <c r="U139" i="1"/>
  <c r="U130" i="1"/>
  <c r="U121" i="1"/>
  <c r="U113" i="1"/>
  <c r="U105" i="1"/>
  <c r="V97" i="1"/>
  <c r="V89" i="1"/>
  <c r="V81" i="1"/>
  <c r="U73" i="1"/>
  <c r="U65" i="1"/>
  <c r="U57" i="1"/>
  <c r="U49" i="1"/>
  <c r="U41" i="1"/>
  <c r="U33" i="1"/>
  <c r="V25" i="1"/>
  <c r="Y25" i="1"/>
  <c r="U16" i="1"/>
  <c r="V8" i="1"/>
  <c r="L271" i="1"/>
  <c r="L206" i="1"/>
  <c r="L142" i="1"/>
  <c r="L84" i="1"/>
  <c r="K299" i="1"/>
  <c r="K267" i="1"/>
  <c r="K234" i="1"/>
  <c r="K202" i="1"/>
  <c r="K170" i="1"/>
  <c r="K138" i="1"/>
  <c r="K104" i="1"/>
  <c r="K72" i="1"/>
  <c r="K48" i="1"/>
  <c r="K2" i="1"/>
  <c r="K297" i="1"/>
  <c r="O297" i="1"/>
  <c r="K289" i="1"/>
  <c r="K281" i="1"/>
  <c r="K273" i="1"/>
  <c r="K265" i="1"/>
  <c r="K256" i="1"/>
  <c r="K248" i="1"/>
  <c r="L240" i="1"/>
  <c r="K232" i="1"/>
  <c r="K224" i="1"/>
  <c r="K216" i="1"/>
  <c r="K208" i="1"/>
  <c r="K200" i="1"/>
  <c r="K192" i="1"/>
  <c r="K184" i="1"/>
  <c r="L176" i="1"/>
  <c r="K168" i="1"/>
  <c r="K160" i="1"/>
  <c r="K152" i="1"/>
  <c r="K144" i="1"/>
  <c r="K136" i="1"/>
  <c r="K127" i="1"/>
  <c r="L118" i="1"/>
  <c r="K110" i="1"/>
  <c r="K102" i="1"/>
  <c r="K94" i="1"/>
  <c r="K86" i="1"/>
  <c r="K78" i="1"/>
  <c r="K70" i="1"/>
  <c r="K62" i="1"/>
  <c r="L54" i="1"/>
  <c r="L46" i="1"/>
  <c r="L38" i="1"/>
  <c r="L30" i="1"/>
  <c r="K22" i="1"/>
  <c r="K13" i="1"/>
  <c r="K5" i="1"/>
  <c r="U299" i="1"/>
  <c r="U291" i="1"/>
  <c r="U283" i="1"/>
  <c r="U275" i="1"/>
  <c r="U267" i="1"/>
  <c r="U258" i="1"/>
  <c r="U250" i="1"/>
  <c r="U242" i="1"/>
  <c r="U234" i="1"/>
  <c r="U226" i="1"/>
  <c r="U218" i="1"/>
  <c r="U210" i="1"/>
  <c r="U202" i="1"/>
  <c r="U194" i="1"/>
  <c r="U186" i="1"/>
  <c r="U178" i="1"/>
  <c r="U170" i="1"/>
  <c r="U162" i="1"/>
  <c r="U154" i="1"/>
  <c r="U146" i="1"/>
  <c r="U138" i="1"/>
  <c r="U129" i="1"/>
  <c r="U120" i="1"/>
  <c r="U112" i="1"/>
  <c r="U104" i="1"/>
  <c r="U96" i="1"/>
  <c r="U88" i="1"/>
  <c r="V80" i="1"/>
  <c r="U72" i="1"/>
  <c r="U64" i="1"/>
  <c r="U56" i="1"/>
  <c r="U48" i="1"/>
  <c r="U40" i="1"/>
  <c r="V32" i="1"/>
  <c r="V24" i="1"/>
  <c r="V15" i="1"/>
  <c r="V7" i="1"/>
  <c r="L295" i="1"/>
  <c r="K230" i="1"/>
  <c r="K166" i="1"/>
  <c r="L100" i="1"/>
  <c r="K60" i="1"/>
  <c r="K275" i="1"/>
  <c r="L242" i="1"/>
  <c r="K210" i="1"/>
  <c r="L178" i="1"/>
  <c r="K146" i="1"/>
  <c r="K112" i="1"/>
  <c r="K80" i="1"/>
  <c r="K56" i="1"/>
  <c r="K32" i="1"/>
  <c r="K304" i="1"/>
  <c r="L296" i="1"/>
  <c r="L288" i="1"/>
  <c r="L280" i="1"/>
  <c r="L272" i="1"/>
  <c r="L264" i="1"/>
  <c r="L255" i="1"/>
  <c r="L247" i="1"/>
  <c r="L239" i="1"/>
  <c r="L231" i="1"/>
  <c r="L223" i="1"/>
  <c r="L215" i="1"/>
  <c r="L207" i="1"/>
  <c r="L199" i="1"/>
  <c r="L191" i="1"/>
  <c r="L183" i="1"/>
  <c r="L175" i="1"/>
  <c r="L167" i="1"/>
  <c r="L159" i="1"/>
  <c r="L151" i="1"/>
  <c r="L143" i="1"/>
  <c r="L135" i="1"/>
  <c r="L126" i="1"/>
  <c r="L117" i="1"/>
  <c r="L109" i="1"/>
  <c r="L101" i="1"/>
  <c r="L93" i="1"/>
  <c r="K85" i="1"/>
  <c r="K77" i="1"/>
  <c r="K69" i="1"/>
  <c r="K61" i="1"/>
  <c r="L53" i="1"/>
  <c r="K45" i="1"/>
  <c r="L37" i="1"/>
  <c r="L29" i="1"/>
  <c r="L21" i="1"/>
  <c r="L12" i="1"/>
  <c r="K4" i="1"/>
  <c r="V298" i="1"/>
  <c r="V290" i="1"/>
  <c r="V282" i="1"/>
  <c r="V274" i="1"/>
  <c r="V266" i="1"/>
  <c r="V257" i="1"/>
  <c r="V249" i="1"/>
  <c r="V241" i="1"/>
  <c r="V233" i="1"/>
  <c r="V225" i="1"/>
  <c r="V217" i="1"/>
  <c r="V209" i="1"/>
  <c r="V201" i="1"/>
  <c r="V193" i="1"/>
  <c r="V185" i="1"/>
  <c r="V177" i="1"/>
  <c r="V169" i="1"/>
  <c r="V161" i="1"/>
  <c r="V153" i="1"/>
  <c r="V145" i="1"/>
  <c r="V137" i="1"/>
  <c r="Y137" i="1"/>
  <c r="V128" i="1"/>
  <c r="V119" i="1"/>
  <c r="V111" i="1"/>
  <c r="V103" i="1"/>
  <c r="V95" i="1"/>
  <c r="U87" i="1"/>
  <c r="U79" i="1"/>
  <c r="V71" i="1"/>
  <c r="V63" i="1"/>
  <c r="V55" i="1"/>
  <c r="V47" i="1"/>
  <c r="V39" i="1"/>
  <c r="V31" i="1"/>
  <c r="V23" i="1"/>
  <c r="U14" i="1"/>
  <c r="V6" i="1"/>
  <c r="K134" i="1"/>
  <c r="O134" i="1"/>
  <c r="V263" i="1"/>
  <c r="K18" i="1"/>
  <c r="AF246" i="1"/>
  <c r="AE238" i="1"/>
  <c r="AE230" i="1"/>
  <c r="AF222" i="1"/>
  <c r="AE214" i="1"/>
  <c r="AE206" i="1"/>
  <c r="AE198" i="1"/>
  <c r="AE190" i="1"/>
  <c r="AE182" i="1"/>
  <c r="AE174" i="1"/>
  <c r="AE166" i="1"/>
  <c r="AF158" i="1"/>
  <c r="AF150" i="1"/>
  <c r="AE142" i="1"/>
  <c r="AE116" i="1"/>
  <c r="AE108" i="1"/>
  <c r="AE100" i="1"/>
  <c r="AF92" i="1"/>
  <c r="AF84" i="1"/>
  <c r="AE76" i="1"/>
  <c r="AE68" i="1"/>
  <c r="AO15" i="1"/>
  <c r="AE123" i="1"/>
  <c r="AE302" i="1"/>
  <c r="AE294" i="1"/>
  <c r="AE286" i="1"/>
  <c r="AE278" i="1"/>
  <c r="AF270" i="1"/>
  <c r="AF132" i="1"/>
  <c r="AF124" i="1"/>
  <c r="AF115" i="1"/>
  <c r="AF107" i="1"/>
  <c r="AE99" i="1"/>
  <c r="AE83" i="1"/>
  <c r="AE75" i="1"/>
  <c r="AE67" i="1"/>
  <c r="AO23" i="1"/>
  <c r="K263" i="1"/>
  <c r="V18" i="1"/>
  <c r="K123" i="1"/>
  <c r="AS134" i="1"/>
  <c r="AV134" i="1" s="1"/>
  <c r="AW134" i="1" s="1"/>
  <c r="AE300" i="1"/>
  <c r="AE284" i="1"/>
  <c r="AE276" i="1"/>
  <c r="AE268" i="1"/>
  <c r="AF147" i="1"/>
  <c r="AE139" i="1"/>
  <c r="AE16" i="1"/>
  <c r="AE8" i="1"/>
  <c r="AE104" i="1"/>
  <c r="AE96" i="1"/>
  <c r="AE88" i="1"/>
  <c r="AE80" i="1"/>
  <c r="AE72" i="1"/>
  <c r="AF119" i="1"/>
  <c r="AE111" i="1"/>
  <c r="AE103" i="1"/>
  <c r="AF95" i="1"/>
  <c r="AE87" i="1"/>
  <c r="AF71" i="1"/>
  <c r="U123" i="1"/>
  <c r="CE123" i="1"/>
  <c r="CH123" i="1" s="1"/>
  <c r="DH123" i="1"/>
  <c r="DL123" i="1" s="1"/>
  <c r="BT123" i="1"/>
  <c r="BX123" i="1" s="1"/>
  <c r="AF123" i="1"/>
  <c r="AP123" i="1"/>
  <c r="AO123" i="1"/>
  <c r="DS123" i="1"/>
  <c r="DV123" i="1" s="1"/>
  <c r="ET123" i="1"/>
  <c r="CY123" i="1"/>
  <c r="DB123" i="1" s="1"/>
  <c r="DE123" i="1" s="1"/>
  <c r="DF123" i="1" s="1"/>
  <c r="ES123" i="1"/>
  <c r="BK123" i="1"/>
  <c r="BN123" i="1" s="1"/>
  <c r="BQ123" i="1" s="1"/>
  <c r="BR123" i="1" s="1"/>
  <c r="V123" i="1"/>
  <c r="CO123" i="1"/>
  <c r="CR123" i="1" s="1"/>
  <c r="BA123" i="1"/>
  <c r="BD123" i="1" s="1"/>
  <c r="L123" i="1"/>
  <c r="CE18" i="1"/>
  <c r="CH18" i="1" s="1"/>
  <c r="CK18" i="1" s="1"/>
  <c r="CL18" i="1" s="1"/>
  <c r="ES18" i="1"/>
  <c r="BK18" i="1"/>
  <c r="BN18" i="1" s="1"/>
  <c r="BQ18" i="1" s="1"/>
  <c r="BR18" i="1" s="1"/>
  <c r="ET18" i="1"/>
  <c r="CY18" i="1"/>
  <c r="DB18" i="1" s="1"/>
  <c r="DE18" i="1" s="1"/>
  <c r="DF18" i="1" s="1"/>
  <c r="U18" i="1"/>
  <c r="AO18" i="1"/>
  <c r="AS18" i="1" s="1"/>
  <c r="DS18" i="1"/>
  <c r="DR18" i="1"/>
  <c r="DI18" i="1"/>
  <c r="BU18" i="1"/>
  <c r="DH18" i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DR263" i="1"/>
  <c r="DV263" i="1" s="1"/>
  <c r="DY263" i="1" s="1"/>
  <c r="DH263" i="1"/>
  <c r="DL263" i="1" s="1"/>
  <c r="DO263" i="1" s="1"/>
  <c r="DP263" i="1" s="1"/>
  <c r="ES263" i="1"/>
  <c r="ET263" i="1"/>
  <c r="AF305" i="1"/>
  <c r="AI305" i="1" s="1"/>
  <c r="DI305" i="1"/>
  <c r="DL305" i="1" s="1"/>
  <c r="ES305" i="1"/>
  <c r="ET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BA263" i="1"/>
  <c r="BD263" i="1" s="1"/>
  <c r="CO263" i="1"/>
  <c r="CR263" i="1" s="1"/>
  <c r="K305" i="1"/>
  <c r="AY305" i="1"/>
  <c r="CN305" i="1"/>
  <c r="U263" i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H134" i="1"/>
  <c r="CR171" i="1"/>
  <c r="AP134" i="1"/>
  <c r="BD134" i="1"/>
  <c r="BD171" i="1"/>
  <c r="DL171" i="1"/>
  <c r="BN171" i="1"/>
  <c r="BN134" i="1"/>
  <c r="V134" i="1"/>
  <c r="ES134" i="1"/>
  <c r="DR134" i="1"/>
  <c r="DV134" i="1" s="1"/>
  <c r="U134" i="1"/>
  <c r="ET134" i="1"/>
  <c r="CD134" i="1"/>
  <c r="DI134" i="1"/>
  <c r="BU134" i="1"/>
  <c r="AF134" i="1"/>
  <c r="DH134" i="1"/>
  <c r="BT134" i="1"/>
  <c r="AE134" i="1"/>
  <c r="CY134" i="1"/>
  <c r="DB134" i="1" s="1"/>
  <c r="BK134" i="1"/>
  <c r="CO134" i="1"/>
  <c r="CR134" i="1" s="1"/>
  <c r="BA134" i="1"/>
  <c r="L134" i="1"/>
  <c r="AF145" i="1"/>
  <c r="AI145" i="1" s="1"/>
  <c r="AE151" i="1"/>
  <c r="AI151" i="1" s="1"/>
  <c r="AF126" i="1"/>
  <c r="AF183" i="1"/>
  <c r="AI183" i="1" s="1"/>
  <c r="DH32" i="1"/>
  <c r="DL32" i="1" s="1"/>
  <c r="DO32" i="1" s="1"/>
  <c r="DP32" i="1" s="1"/>
  <c r="CN63" i="1"/>
  <c r="CR63" i="1" s="1"/>
  <c r="AF223" i="1"/>
  <c r="AF109" i="1"/>
  <c r="AE231" i="1"/>
  <c r="AI231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P71" i="1"/>
  <c r="AS71" i="1" s="1"/>
  <c r="AP6" i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P103" i="1"/>
  <c r="AP46" i="1"/>
  <c r="AS46" i="1" s="1"/>
  <c r="AP31" i="1"/>
  <c r="AS31" i="1" s="1"/>
  <c r="AO118" i="1"/>
  <c r="AP111" i="1"/>
  <c r="AS111" i="1" s="1"/>
  <c r="AP14" i="1"/>
  <c r="AS14" i="1" s="1"/>
  <c r="AO54" i="1"/>
  <c r="AS54" i="1" s="1"/>
  <c r="AP87" i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U177" i="1"/>
  <c r="Y177" i="1" s="1"/>
  <c r="U128" i="1"/>
  <c r="Y128" i="1" s="1"/>
  <c r="U61" i="1"/>
  <c r="Y61" i="1" s="1"/>
  <c r="U25" i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S184" i="1" s="1"/>
  <c r="AO76" i="1"/>
  <c r="AS76" i="1" s="1"/>
  <c r="AO28" i="1"/>
  <c r="AS28" i="1" s="1"/>
  <c r="AP137" i="1"/>
  <c r="AS137" i="1" s="1"/>
  <c r="AP79" i="1"/>
  <c r="AS79" i="1" s="1"/>
  <c r="AP55" i="1"/>
  <c r="AS55" i="1" s="1"/>
  <c r="AP3" i="1"/>
  <c r="AS3" i="1" s="1"/>
  <c r="AO256" i="1"/>
  <c r="AS256" i="1" s="1"/>
  <c r="AO64" i="1"/>
  <c r="AS64" i="1" s="1"/>
  <c r="AO24" i="1"/>
  <c r="AS24" i="1" s="1"/>
  <c r="AP96" i="1"/>
  <c r="AO32" i="1"/>
  <c r="AS32" i="1" s="1"/>
  <c r="AO152" i="1"/>
  <c r="AS152" i="1" s="1"/>
  <c r="AO104" i="1"/>
  <c r="AS104" i="1" s="1"/>
  <c r="AP128" i="1"/>
  <c r="AS128" i="1" s="1"/>
  <c r="AP23" i="1"/>
  <c r="AO20" i="1"/>
  <c r="AS20" i="1" s="1"/>
  <c r="AP92" i="1"/>
  <c r="AS92" i="1" s="1"/>
  <c r="AP40" i="1"/>
  <c r="AS40" i="1" s="1"/>
  <c r="AO11" i="1"/>
  <c r="AS11" i="1" s="1"/>
  <c r="AP218" i="1"/>
  <c r="AP153" i="1"/>
  <c r="AS153" i="1" s="1"/>
  <c r="AP119" i="1"/>
  <c r="AS119" i="1" s="1"/>
  <c r="AP88" i="1"/>
  <c r="AS88" i="1" s="1"/>
  <c r="AP39" i="1"/>
  <c r="AS39" i="1" s="1"/>
  <c r="AP15" i="1"/>
  <c r="AO299" i="1"/>
  <c r="AS299" i="1" s="1"/>
  <c r="AP145" i="1"/>
  <c r="AS145" i="1" s="1"/>
  <c r="AP63" i="1"/>
  <c r="AS63" i="1" s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S94" i="1" s="1"/>
  <c r="AO78" i="1"/>
  <c r="AS78" i="1" s="1"/>
  <c r="AP62" i="1"/>
  <c r="AO30" i="1"/>
  <c r="AO13" i="1"/>
  <c r="AO178" i="1"/>
  <c r="AS178" i="1" s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S86" i="1" s="1"/>
  <c r="AP70" i="1"/>
  <c r="AO38" i="1"/>
  <c r="AS38" i="1" s="1"/>
  <c r="AP22" i="1"/>
  <c r="AP5" i="1"/>
  <c r="AO283" i="1"/>
  <c r="AO248" i="1"/>
  <c r="AS248" i="1" s="1"/>
  <c r="AO216" i="1"/>
  <c r="AS216" i="1" s="1"/>
  <c r="AO110" i="1"/>
  <c r="AO5" i="1"/>
  <c r="AP240" i="1"/>
  <c r="AO281" i="1"/>
  <c r="AS281" i="1" s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S52" i="1" s="1"/>
  <c r="AP44" i="1"/>
  <c r="AS44" i="1" s="1"/>
  <c r="AO36" i="1"/>
  <c r="AP36" i="1"/>
  <c r="AO240" i="1"/>
  <c r="AO136" i="1"/>
  <c r="AS136" i="1" s="1"/>
  <c r="AO68" i="1"/>
  <c r="AP265" i="1"/>
  <c r="AP234" i="1"/>
  <c r="AS234" i="1" s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S170" i="1" s="1"/>
  <c r="AP226" i="1"/>
  <c r="AS226" i="1" s="1"/>
  <c r="AP194" i="1"/>
  <c r="AS194" i="1" s="1"/>
  <c r="AO265" i="1"/>
  <c r="AO162" i="1"/>
  <c r="AO62" i="1"/>
  <c r="AP291" i="1"/>
  <c r="AS291" i="1" s="1"/>
  <c r="AP258" i="1"/>
  <c r="AS258" i="1" s="1"/>
  <c r="AP192" i="1"/>
  <c r="AS192" i="1" s="1"/>
  <c r="AP154" i="1"/>
  <c r="AY229" i="1"/>
  <c r="BA229" i="1"/>
  <c r="BA181" i="1"/>
  <c r="AY181" i="1"/>
  <c r="AY278" i="1"/>
  <c r="BD278" i="1" s="1"/>
  <c r="AP267" i="1"/>
  <c r="AO267" i="1"/>
  <c r="AO120" i="1"/>
  <c r="AS120" i="1" s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S48" i="1" s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S95" i="1" s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V73" i="1"/>
  <c r="U71" i="1"/>
  <c r="Y71" i="1" s="1"/>
  <c r="V33" i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Y45" i="1" s="1"/>
  <c r="U298" i="1"/>
  <c r="Y298" i="1" s="1"/>
  <c r="U266" i="1"/>
  <c r="Y266" i="1" s="1"/>
  <c r="U21" i="1"/>
  <c r="Y21" i="1" s="1"/>
  <c r="V4" i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Y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Y39" i="1" s="1"/>
  <c r="DZ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Y13" i="1" s="1"/>
  <c r="AE150" i="1"/>
  <c r="AI150" i="1" s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S61" i="1" s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S204" i="1" s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V43" i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O4" i="1"/>
  <c r="DS298" i="1"/>
  <c r="DV298" i="1" s="1"/>
  <c r="DS233" i="1"/>
  <c r="DV233" i="1" s="1"/>
  <c r="DS274" i="1"/>
  <c r="DV274" i="1" s="1"/>
  <c r="DS209" i="1"/>
  <c r="DV209" i="1" s="1"/>
  <c r="ES302" i="1"/>
  <c r="ES294" i="1"/>
  <c r="ES286" i="1"/>
  <c r="ES278" i="1"/>
  <c r="ES270" i="1"/>
  <c r="ES261" i="1"/>
  <c r="ES253" i="1"/>
  <c r="ES245" i="1"/>
  <c r="ES237" i="1"/>
  <c r="ES229" i="1"/>
  <c r="ES221" i="1"/>
  <c r="ES213" i="1"/>
  <c r="ES205" i="1"/>
  <c r="ES197" i="1"/>
  <c r="ES189" i="1"/>
  <c r="ES181" i="1"/>
  <c r="ES173" i="1"/>
  <c r="ES165" i="1"/>
  <c r="ES157" i="1"/>
  <c r="ES149" i="1"/>
  <c r="ES141" i="1"/>
  <c r="ES132" i="1"/>
  <c r="ES124" i="1"/>
  <c r="ES115" i="1"/>
  <c r="ES107" i="1"/>
  <c r="ES99" i="1"/>
  <c r="ES91" i="1"/>
  <c r="ES83" i="1"/>
  <c r="ES75" i="1"/>
  <c r="ES67" i="1"/>
  <c r="ES59" i="1"/>
  <c r="ES51" i="1"/>
  <c r="ES43" i="1"/>
  <c r="ES35" i="1"/>
  <c r="ES27" i="1"/>
  <c r="ES19" i="1"/>
  <c r="ES10" i="1"/>
  <c r="ET297" i="1"/>
  <c r="ET289" i="1"/>
  <c r="ET281" i="1"/>
  <c r="ET273" i="1"/>
  <c r="ET265" i="1"/>
  <c r="ET256" i="1"/>
  <c r="ET248" i="1"/>
  <c r="ET240" i="1"/>
  <c r="ET232" i="1"/>
  <c r="ET224" i="1"/>
  <c r="ET216" i="1"/>
  <c r="ET208" i="1"/>
  <c r="ET200" i="1"/>
  <c r="ET192" i="1"/>
  <c r="ET184" i="1"/>
  <c r="ET176" i="1"/>
  <c r="ET168" i="1"/>
  <c r="ET160" i="1"/>
  <c r="ET152" i="1"/>
  <c r="ET144" i="1"/>
  <c r="ET136" i="1"/>
  <c r="ET127" i="1"/>
  <c r="ET118" i="1"/>
  <c r="ET110" i="1"/>
  <c r="ET102" i="1"/>
  <c r="ET94" i="1"/>
  <c r="ET86" i="1"/>
  <c r="ET78" i="1"/>
  <c r="ET70" i="1"/>
  <c r="ET62" i="1"/>
  <c r="ET54" i="1"/>
  <c r="ET46" i="1"/>
  <c r="ET38" i="1"/>
  <c r="ET30" i="1"/>
  <c r="ET22" i="1"/>
  <c r="ET13" i="1"/>
  <c r="ET5" i="1"/>
  <c r="ES301" i="1"/>
  <c r="ES293" i="1"/>
  <c r="ES285" i="1"/>
  <c r="ES277" i="1"/>
  <c r="ES269" i="1"/>
  <c r="ES260" i="1"/>
  <c r="ES252" i="1"/>
  <c r="ES244" i="1"/>
  <c r="ES236" i="1"/>
  <c r="ES228" i="1"/>
  <c r="ES220" i="1"/>
  <c r="ES212" i="1"/>
  <c r="ES204" i="1"/>
  <c r="ES196" i="1"/>
  <c r="ES188" i="1"/>
  <c r="ES180" i="1"/>
  <c r="ES172" i="1"/>
  <c r="ES164" i="1"/>
  <c r="ES156" i="1"/>
  <c r="ES148" i="1"/>
  <c r="ES140" i="1"/>
  <c r="ES131" i="1"/>
  <c r="ES122" i="1"/>
  <c r="ES114" i="1"/>
  <c r="ES106" i="1"/>
  <c r="ES98" i="1"/>
  <c r="ES90" i="1"/>
  <c r="ES82" i="1"/>
  <c r="ES74" i="1"/>
  <c r="ES66" i="1"/>
  <c r="ES58" i="1"/>
  <c r="ES50" i="1"/>
  <c r="ES42" i="1"/>
  <c r="ES34" i="1"/>
  <c r="ES26" i="1"/>
  <c r="ES17" i="1"/>
  <c r="ES9" i="1"/>
  <c r="ET304" i="1"/>
  <c r="ET296" i="1"/>
  <c r="ET288" i="1"/>
  <c r="ET280" i="1"/>
  <c r="ET272" i="1"/>
  <c r="ET264" i="1"/>
  <c r="ET255" i="1"/>
  <c r="ET247" i="1"/>
  <c r="ET239" i="1"/>
  <c r="ET231" i="1"/>
  <c r="ET223" i="1"/>
  <c r="ET215" i="1"/>
  <c r="ET207" i="1"/>
  <c r="ET199" i="1"/>
  <c r="ET191" i="1"/>
  <c r="ET183" i="1"/>
  <c r="ET175" i="1"/>
  <c r="ET167" i="1"/>
  <c r="ET159" i="1"/>
  <c r="ET151" i="1"/>
  <c r="ET143" i="1"/>
  <c r="ET135" i="1"/>
  <c r="ET126" i="1"/>
  <c r="ET117" i="1"/>
  <c r="ET109" i="1"/>
  <c r="ET101" i="1"/>
  <c r="ET93" i="1"/>
  <c r="ET85" i="1"/>
  <c r="ET77" i="1"/>
  <c r="ET69" i="1"/>
  <c r="ET61" i="1"/>
  <c r="ET53" i="1"/>
  <c r="ET45" i="1"/>
  <c r="ET37" i="1"/>
  <c r="ET29" i="1"/>
  <c r="ET21" i="1"/>
  <c r="ET12" i="1"/>
  <c r="ET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O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S300" i="1"/>
  <c r="ES292" i="1"/>
  <c r="ES284" i="1"/>
  <c r="ES276" i="1"/>
  <c r="ES268" i="1"/>
  <c r="ES259" i="1"/>
  <c r="ES251" i="1"/>
  <c r="ES243" i="1"/>
  <c r="ES235" i="1"/>
  <c r="ES227" i="1"/>
  <c r="ES219" i="1"/>
  <c r="ES211" i="1"/>
  <c r="ES203" i="1"/>
  <c r="ES195" i="1"/>
  <c r="ES187" i="1"/>
  <c r="ES179" i="1"/>
  <c r="ES171" i="1"/>
  <c r="ES163" i="1"/>
  <c r="ES155" i="1"/>
  <c r="ES147" i="1"/>
  <c r="ES139" i="1"/>
  <c r="ES130" i="1"/>
  <c r="ES121" i="1"/>
  <c r="ES113" i="1"/>
  <c r="ES105" i="1"/>
  <c r="ES97" i="1"/>
  <c r="ES89" i="1"/>
  <c r="ES81" i="1"/>
  <c r="ES73" i="1"/>
  <c r="ES65" i="1"/>
  <c r="ES57" i="1"/>
  <c r="ES49" i="1"/>
  <c r="ES41" i="1"/>
  <c r="ES33" i="1"/>
  <c r="ES25" i="1"/>
  <c r="ES16" i="1"/>
  <c r="ES8" i="1"/>
  <c r="ET303" i="1"/>
  <c r="ET295" i="1"/>
  <c r="ET287" i="1"/>
  <c r="ET279" i="1"/>
  <c r="ET271" i="1"/>
  <c r="ET262" i="1"/>
  <c r="ET254" i="1"/>
  <c r="ET246" i="1"/>
  <c r="ET238" i="1"/>
  <c r="ET230" i="1"/>
  <c r="ET222" i="1"/>
  <c r="ET214" i="1"/>
  <c r="ET206" i="1"/>
  <c r="ET198" i="1"/>
  <c r="ET190" i="1"/>
  <c r="ET182" i="1"/>
  <c r="ET174" i="1"/>
  <c r="ET166" i="1"/>
  <c r="ET158" i="1"/>
  <c r="ET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S299" i="1"/>
  <c r="ES291" i="1"/>
  <c r="ES283" i="1"/>
  <c r="ES275" i="1"/>
  <c r="ES267" i="1"/>
  <c r="ES258" i="1"/>
  <c r="ES250" i="1"/>
  <c r="ES242" i="1"/>
  <c r="ES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S298" i="1"/>
  <c r="ES290" i="1"/>
  <c r="ES282" i="1"/>
  <c r="ES274" i="1"/>
  <c r="ES266" i="1"/>
  <c r="ES257" i="1"/>
  <c r="ES249" i="1"/>
  <c r="ES297" i="1"/>
  <c r="ES289" i="1"/>
  <c r="ES281" i="1"/>
  <c r="ES273" i="1"/>
  <c r="ES265" i="1"/>
  <c r="ES256" i="1"/>
  <c r="ES248" i="1"/>
  <c r="ES240" i="1"/>
  <c r="ES232" i="1"/>
  <c r="ES224" i="1"/>
  <c r="ES216" i="1"/>
  <c r="ES208" i="1"/>
  <c r="ES200" i="1"/>
  <c r="ES192" i="1"/>
  <c r="ES184" i="1"/>
  <c r="ES176" i="1"/>
  <c r="ES168" i="1"/>
  <c r="ES304" i="1"/>
  <c r="ES296" i="1"/>
  <c r="ES288" i="1"/>
  <c r="ES280" i="1"/>
  <c r="ES272" i="1"/>
  <c r="ES264" i="1"/>
  <c r="ES255" i="1"/>
  <c r="ES303" i="1"/>
  <c r="FE303" i="1" s="1"/>
  <c r="FF303" i="1" s="1"/>
  <c r="ES295" i="1"/>
  <c r="ES287" i="1"/>
  <c r="ES279" i="1"/>
  <c r="ES271" i="1"/>
  <c r="ES262" i="1"/>
  <c r="ES254" i="1"/>
  <c r="ES246" i="1"/>
  <c r="ES174" i="1"/>
  <c r="EO138" i="1"/>
  <c r="ET142" i="1"/>
  <c r="ET133" i="1"/>
  <c r="ET125" i="1"/>
  <c r="ET116" i="1"/>
  <c r="ET108" i="1"/>
  <c r="ET100" i="1"/>
  <c r="ET92" i="1"/>
  <c r="ET84" i="1"/>
  <c r="ET76" i="1"/>
  <c r="ET68" i="1"/>
  <c r="ET60" i="1"/>
  <c r="ET52" i="1"/>
  <c r="ET44" i="1"/>
  <c r="ET36" i="1"/>
  <c r="ET28" i="1"/>
  <c r="ET20" i="1"/>
  <c r="ET11" i="1"/>
  <c r="ET3" i="1"/>
  <c r="ES226" i="1"/>
  <c r="ES218" i="1"/>
  <c r="ES210" i="1"/>
  <c r="ES202" i="1"/>
  <c r="ES194" i="1"/>
  <c r="ES186" i="1"/>
  <c r="ES178" i="1"/>
  <c r="ES170" i="1"/>
  <c r="ES162" i="1"/>
  <c r="ES154" i="1"/>
  <c r="ES146" i="1"/>
  <c r="ES138" i="1"/>
  <c r="ES129" i="1"/>
  <c r="ES120" i="1"/>
  <c r="ES112" i="1"/>
  <c r="ES104" i="1"/>
  <c r="ES96" i="1"/>
  <c r="ES88" i="1"/>
  <c r="ES80" i="1"/>
  <c r="ES72" i="1"/>
  <c r="ES64" i="1"/>
  <c r="ES56" i="1"/>
  <c r="ES48" i="1"/>
  <c r="ES40" i="1"/>
  <c r="ES32" i="1"/>
  <c r="ES24" i="1"/>
  <c r="ES15" i="1"/>
  <c r="ES7" i="1"/>
  <c r="ET302" i="1"/>
  <c r="ET294" i="1"/>
  <c r="ET286" i="1"/>
  <c r="ET278" i="1"/>
  <c r="ET270" i="1"/>
  <c r="ET261" i="1"/>
  <c r="ET253" i="1"/>
  <c r="ET245" i="1"/>
  <c r="ET237" i="1"/>
  <c r="ET229" i="1"/>
  <c r="ET221" i="1"/>
  <c r="ET213" i="1"/>
  <c r="ET205" i="1"/>
  <c r="ET197" i="1"/>
  <c r="ET189" i="1"/>
  <c r="ET181" i="1"/>
  <c r="ET173" i="1"/>
  <c r="ET165" i="1"/>
  <c r="ET157" i="1"/>
  <c r="ET149" i="1"/>
  <c r="ET141" i="1"/>
  <c r="ET132" i="1"/>
  <c r="ET124" i="1"/>
  <c r="ET115" i="1"/>
  <c r="ET107" i="1"/>
  <c r="ET99" i="1"/>
  <c r="ET91" i="1"/>
  <c r="ET83" i="1"/>
  <c r="ET75" i="1"/>
  <c r="ET67" i="1"/>
  <c r="ET59" i="1"/>
  <c r="ET51" i="1"/>
  <c r="ET43" i="1"/>
  <c r="ET35" i="1"/>
  <c r="ET27" i="1"/>
  <c r="ET19" i="1"/>
  <c r="ET10" i="1"/>
  <c r="EO200" i="1"/>
  <c r="EO147" i="1"/>
  <c r="ES241" i="1"/>
  <c r="ES233" i="1"/>
  <c r="ES225" i="1"/>
  <c r="ES217" i="1"/>
  <c r="ES209" i="1"/>
  <c r="ES201" i="1"/>
  <c r="ES193" i="1"/>
  <c r="ES185" i="1"/>
  <c r="ES177" i="1"/>
  <c r="ES169" i="1"/>
  <c r="ES161" i="1"/>
  <c r="ES153" i="1"/>
  <c r="ES145" i="1"/>
  <c r="ES137" i="1"/>
  <c r="ES128" i="1"/>
  <c r="ES119" i="1"/>
  <c r="ES111" i="1"/>
  <c r="ES103" i="1"/>
  <c r="ES95" i="1"/>
  <c r="ES87" i="1"/>
  <c r="ES79" i="1"/>
  <c r="ES71" i="1"/>
  <c r="ES63" i="1"/>
  <c r="ES55" i="1"/>
  <c r="ES47" i="1"/>
  <c r="ES39" i="1"/>
  <c r="ES31" i="1"/>
  <c r="ES23" i="1"/>
  <c r="ES14" i="1"/>
  <c r="ES6" i="1"/>
  <c r="ET301" i="1"/>
  <c r="ET293" i="1"/>
  <c r="ET285" i="1"/>
  <c r="ET277" i="1"/>
  <c r="ET269" i="1"/>
  <c r="ET260" i="1"/>
  <c r="ET252" i="1"/>
  <c r="ET244" i="1"/>
  <c r="ET236" i="1"/>
  <c r="ET228" i="1"/>
  <c r="ET220" i="1"/>
  <c r="ET212" i="1"/>
  <c r="ET204" i="1"/>
  <c r="ET196" i="1"/>
  <c r="ET188" i="1"/>
  <c r="ET180" i="1"/>
  <c r="ET172" i="1"/>
  <c r="ET164" i="1"/>
  <c r="ET156" i="1"/>
  <c r="ET148" i="1"/>
  <c r="ET140" i="1"/>
  <c r="ET131" i="1"/>
  <c r="ET122" i="1"/>
  <c r="ET114" i="1"/>
  <c r="ET106" i="1"/>
  <c r="ET98" i="1"/>
  <c r="ET90" i="1"/>
  <c r="ET82" i="1"/>
  <c r="ET74" i="1"/>
  <c r="ET66" i="1"/>
  <c r="ET58" i="1"/>
  <c r="ET50" i="1"/>
  <c r="ET42" i="1"/>
  <c r="ET34" i="1"/>
  <c r="ET26" i="1"/>
  <c r="ET17" i="1"/>
  <c r="ET9" i="1"/>
  <c r="ES160" i="1"/>
  <c r="ES152" i="1"/>
  <c r="ES144" i="1"/>
  <c r="ES136" i="1"/>
  <c r="ES127" i="1"/>
  <c r="ES118" i="1"/>
  <c r="ES110" i="1"/>
  <c r="ES102" i="1"/>
  <c r="ES94" i="1"/>
  <c r="ES86" i="1"/>
  <c r="ES78" i="1"/>
  <c r="ES70" i="1"/>
  <c r="ES62" i="1"/>
  <c r="ES54" i="1"/>
  <c r="ES46" i="1"/>
  <c r="ES38" i="1"/>
  <c r="ES30" i="1"/>
  <c r="ES22" i="1"/>
  <c r="ES13" i="1"/>
  <c r="ES5" i="1"/>
  <c r="ET300" i="1"/>
  <c r="ET292" i="1"/>
  <c r="ET284" i="1"/>
  <c r="ET276" i="1"/>
  <c r="ET268" i="1"/>
  <c r="ET259" i="1"/>
  <c r="ET251" i="1"/>
  <c r="ET243" i="1"/>
  <c r="ET235" i="1"/>
  <c r="ET227" i="1"/>
  <c r="ET219" i="1"/>
  <c r="ET211" i="1"/>
  <c r="ET203" i="1"/>
  <c r="ET195" i="1"/>
  <c r="ET187" i="1"/>
  <c r="ET179" i="1"/>
  <c r="ET171" i="1"/>
  <c r="ET163" i="1"/>
  <c r="ET155" i="1"/>
  <c r="ET147" i="1"/>
  <c r="ET139" i="1"/>
  <c r="ET130" i="1"/>
  <c r="ET121" i="1"/>
  <c r="ET113" i="1"/>
  <c r="ET105" i="1"/>
  <c r="ET97" i="1"/>
  <c r="ET89" i="1"/>
  <c r="ET81" i="1"/>
  <c r="ET73" i="1"/>
  <c r="ET65" i="1"/>
  <c r="ET57" i="1"/>
  <c r="ET49" i="1"/>
  <c r="ET41" i="1"/>
  <c r="ET33" i="1"/>
  <c r="ET25" i="1"/>
  <c r="ET16" i="1"/>
  <c r="ET8" i="1"/>
  <c r="ES247" i="1"/>
  <c r="ES239" i="1"/>
  <c r="ES231" i="1"/>
  <c r="ES223" i="1"/>
  <c r="ES215" i="1"/>
  <c r="ES207" i="1"/>
  <c r="ES199" i="1"/>
  <c r="ES191" i="1"/>
  <c r="ES183" i="1"/>
  <c r="ES175" i="1"/>
  <c r="ES167" i="1"/>
  <c r="ES159" i="1"/>
  <c r="ES151" i="1"/>
  <c r="ES143" i="1"/>
  <c r="ES135" i="1"/>
  <c r="ES126" i="1"/>
  <c r="ES117" i="1"/>
  <c r="ES109" i="1"/>
  <c r="ES101" i="1"/>
  <c r="ES93" i="1"/>
  <c r="ES85" i="1"/>
  <c r="ES77" i="1"/>
  <c r="ES69" i="1"/>
  <c r="ES61" i="1"/>
  <c r="ES53" i="1"/>
  <c r="ES45" i="1"/>
  <c r="ES37" i="1"/>
  <c r="ES29" i="1"/>
  <c r="ES21" i="1"/>
  <c r="ES12" i="1"/>
  <c r="ES4" i="1"/>
  <c r="ET299" i="1"/>
  <c r="ET291" i="1"/>
  <c r="ET283" i="1"/>
  <c r="ET275" i="1"/>
  <c r="ET267" i="1"/>
  <c r="ET258" i="1"/>
  <c r="ET250" i="1"/>
  <c r="ET242" i="1"/>
  <c r="ET234" i="1"/>
  <c r="ET226" i="1"/>
  <c r="ET218" i="1"/>
  <c r="ET210" i="1"/>
  <c r="ET202" i="1"/>
  <c r="ET194" i="1"/>
  <c r="ET186" i="1"/>
  <c r="ET178" i="1"/>
  <c r="ET170" i="1"/>
  <c r="ET162" i="1"/>
  <c r="ET154" i="1"/>
  <c r="ET146" i="1"/>
  <c r="ET138" i="1"/>
  <c r="ET129" i="1"/>
  <c r="ET120" i="1"/>
  <c r="ET112" i="1"/>
  <c r="ET104" i="1"/>
  <c r="ET96" i="1"/>
  <c r="ET88" i="1"/>
  <c r="ET80" i="1"/>
  <c r="ET72" i="1"/>
  <c r="ET64" i="1"/>
  <c r="ET56" i="1"/>
  <c r="ET48" i="1"/>
  <c r="ET40" i="1"/>
  <c r="ET32" i="1"/>
  <c r="ET24" i="1"/>
  <c r="ET15" i="1"/>
  <c r="ET7" i="1"/>
  <c r="EO270" i="1"/>
  <c r="ES238" i="1"/>
  <c r="FE238" i="1" s="1"/>
  <c r="FF238" i="1" s="1"/>
  <c r="ES230" i="1"/>
  <c r="FE230" i="1" s="1"/>
  <c r="FF230" i="1" s="1"/>
  <c r="ES222" i="1"/>
  <c r="ES214" i="1"/>
  <c r="FE214" i="1" s="1"/>
  <c r="FF214" i="1" s="1"/>
  <c r="ES206" i="1"/>
  <c r="FE206" i="1" s="1"/>
  <c r="FF206" i="1" s="1"/>
  <c r="ES198" i="1"/>
  <c r="FE198" i="1" s="1"/>
  <c r="FF198" i="1" s="1"/>
  <c r="ES190" i="1"/>
  <c r="FE190" i="1" s="1"/>
  <c r="FF190" i="1" s="1"/>
  <c r="ES182" i="1"/>
  <c r="FE182" i="1" s="1"/>
  <c r="FF182" i="1" s="1"/>
  <c r="ES166" i="1"/>
  <c r="ES158" i="1"/>
  <c r="ES150" i="1"/>
  <c r="ES142" i="1"/>
  <c r="ES133" i="1"/>
  <c r="ES125" i="1"/>
  <c r="ES116" i="1"/>
  <c r="ES108" i="1"/>
  <c r="ES100" i="1"/>
  <c r="ES92" i="1"/>
  <c r="ES84" i="1"/>
  <c r="ES76" i="1"/>
  <c r="ES68" i="1"/>
  <c r="ES60" i="1"/>
  <c r="ES52" i="1"/>
  <c r="ES44" i="1"/>
  <c r="ES36" i="1"/>
  <c r="ES28" i="1"/>
  <c r="ES20" i="1"/>
  <c r="ES11" i="1"/>
  <c r="ES3" i="1"/>
  <c r="ET298" i="1"/>
  <c r="ET290" i="1"/>
  <c r="ET282" i="1"/>
  <c r="ET274" i="1"/>
  <c r="ET266" i="1"/>
  <c r="ET257" i="1"/>
  <c r="ET249" i="1"/>
  <c r="ET241" i="1"/>
  <c r="ET233" i="1"/>
  <c r="ET225" i="1"/>
  <c r="ET217" i="1"/>
  <c r="ET209" i="1"/>
  <c r="ET201" i="1"/>
  <c r="ET193" i="1"/>
  <c r="ET185" i="1"/>
  <c r="ET177" i="1"/>
  <c r="ET169" i="1"/>
  <c r="ET161" i="1"/>
  <c r="ET153" i="1"/>
  <c r="ET145" i="1"/>
  <c r="ET137" i="1"/>
  <c r="ET128" i="1"/>
  <c r="ET119" i="1"/>
  <c r="ET111" i="1"/>
  <c r="ET103" i="1"/>
  <c r="ET95" i="1"/>
  <c r="ET87" i="1"/>
  <c r="ET79" i="1"/>
  <c r="ET71" i="1"/>
  <c r="ET63" i="1"/>
  <c r="ET55" i="1"/>
  <c r="ET47" i="1"/>
  <c r="ET39" i="1"/>
  <c r="ET31" i="1"/>
  <c r="ET23" i="1"/>
  <c r="ET14" i="1"/>
  <c r="ET6" i="1"/>
  <c r="EO61" i="1"/>
  <c r="EO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F216" i="1"/>
  <c r="AI216" i="1" s="1"/>
  <c r="AE133" i="1"/>
  <c r="AI133" i="1" s="1"/>
  <c r="AF108" i="1"/>
  <c r="AE246" i="1"/>
  <c r="AI246" i="1" s="1"/>
  <c r="AF190" i="1"/>
  <c r="AF198" i="1"/>
  <c r="AI198" i="1" s="1"/>
  <c r="AE303" i="1"/>
  <c r="AI303" i="1" s="1"/>
  <c r="AF76" i="1"/>
  <c r="AE289" i="1"/>
  <c r="AI289" i="1" s="1"/>
  <c r="AF125" i="1"/>
  <c r="AI125" i="1" s="1"/>
  <c r="AF254" i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V259" i="1"/>
  <c r="V227" i="1"/>
  <c r="V195" i="1"/>
  <c r="V130" i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Y101" i="1" s="1"/>
  <c r="U78" i="1"/>
  <c r="Y78" i="1" s="1"/>
  <c r="U55" i="1"/>
  <c r="Y55" i="1" s="1"/>
  <c r="U37" i="1"/>
  <c r="Y37" i="1" s="1"/>
  <c r="U23" i="1"/>
  <c r="Y23" i="1" s="1"/>
  <c r="U8" i="1"/>
  <c r="Y8" i="1" s="1"/>
  <c r="V291" i="1"/>
  <c r="V258" i="1"/>
  <c r="V226" i="1"/>
  <c r="V194" i="1"/>
  <c r="V162" i="1"/>
  <c r="V129" i="1"/>
  <c r="V96" i="1"/>
  <c r="V40" i="1"/>
  <c r="V14" i="1"/>
  <c r="Y14" i="1" s="1"/>
  <c r="V299" i="1"/>
  <c r="V267" i="1"/>
  <c r="V234" i="1"/>
  <c r="V202" i="1"/>
  <c r="V170" i="1"/>
  <c r="V138" i="1"/>
  <c r="V104" i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V219" i="1"/>
  <c r="V187" i="1"/>
  <c r="V155" i="1"/>
  <c r="Y155" i="1" s="1"/>
  <c r="V121" i="1"/>
  <c r="V88" i="1"/>
  <c r="U32" i="1"/>
  <c r="Y32" i="1" s="1"/>
  <c r="V283" i="1"/>
  <c r="Y283" i="1" s="1"/>
  <c r="V250" i="1"/>
  <c r="Y250" i="1" s="1"/>
  <c r="V218" i="1"/>
  <c r="Y218" i="1" s="1"/>
  <c r="V186" i="1"/>
  <c r="V154" i="1"/>
  <c r="V120" i="1"/>
  <c r="V64" i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Y147" i="1" s="1"/>
  <c r="V113" i="1"/>
  <c r="Y113" i="1" s="1"/>
  <c r="V86" i="1"/>
  <c r="U15" i="1"/>
  <c r="Y15" i="1" s="1"/>
  <c r="V275" i="1"/>
  <c r="Y275" i="1" s="1"/>
  <c r="V242" i="1"/>
  <c r="Y242" i="1" s="1"/>
  <c r="V210" i="1"/>
  <c r="Y210" i="1" s="1"/>
  <c r="V178" i="1"/>
  <c r="Y178" i="1" s="1"/>
  <c r="V146" i="1"/>
  <c r="Y146" i="1" s="1"/>
  <c r="V112" i="1"/>
  <c r="Y112" i="1" s="1"/>
  <c r="U297" i="1"/>
  <c r="U265" i="1"/>
  <c r="Y265" i="1" s="1"/>
  <c r="U232" i="1"/>
  <c r="Y232" i="1" s="1"/>
  <c r="U200" i="1"/>
  <c r="Y200" i="1" s="1"/>
  <c r="U168" i="1"/>
  <c r="Y168" i="1" s="1"/>
  <c r="U136" i="1"/>
  <c r="Y136" i="1" s="1"/>
  <c r="U109" i="1"/>
  <c r="Y109" i="1" s="1"/>
  <c r="U63" i="1"/>
  <c r="Y63" i="1" s="1"/>
  <c r="V300" i="1"/>
  <c r="V268" i="1"/>
  <c r="V235" i="1"/>
  <c r="V203" i="1"/>
  <c r="V171" i="1"/>
  <c r="V139" i="1"/>
  <c r="V105" i="1"/>
  <c r="V66" i="1"/>
  <c r="U304" i="1"/>
  <c r="Y304" i="1" s="1"/>
  <c r="U296" i="1"/>
  <c r="Y296" i="1" s="1"/>
  <c r="U288" i="1"/>
  <c r="Y288" i="1" s="1"/>
  <c r="U280" i="1"/>
  <c r="Y280" i="1" s="1"/>
  <c r="U272" i="1"/>
  <c r="Y272" i="1" s="1"/>
  <c r="U264" i="1"/>
  <c r="Y264" i="1" s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Y207" i="1" s="1"/>
  <c r="U199" i="1"/>
  <c r="Y199" i="1" s="1"/>
  <c r="U191" i="1"/>
  <c r="Y191" i="1" s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Y143" i="1" s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Y11" i="1" s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Y35" i="1" s="1"/>
  <c r="U27" i="1"/>
  <c r="Y27" i="1" s="1"/>
  <c r="U19" i="1"/>
  <c r="Y19" i="1" s="1"/>
  <c r="U10" i="1"/>
  <c r="Y10" i="1" s="1"/>
  <c r="V93" i="1"/>
  <c r="V65" i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Y236" i="1" s="1"/>
  <c r="U228" i="1"/>
  <c r="Y228" i="1" s="1"/>
  <c r="U220" i="1"/>
  <c r="Y220" i="1" s="1"/>
  <c r="U212" i="1"/>
  <c r="U204" i="1"/>
  <c r="U196" i="1"/>
  <c r="U188" i="1"/>
  <c r="Y188" i="1" s="1"/>
  <c r="U180" i="1"/>
  <c r="Y180" i="1" s="1"/>
  <c r="U172" i="1"/>
  <c r="Y172" i="1" s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Y82" i="1" s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U163" i="1"/>
  <c r="Y163" i="1" s="1"/>
  <c r="U97" i="1"/>
  <c r="Y97" i="1" s="1"/>
  <c r="U89" i="1"/>
  <c r="Y89" i="1" s="1"/>
  <c r="U81" i="1"/>
  <c r="Y81" i="1" s="1"/>
  <c r="V99" i="1"/>
  <c r="Y99" i="1" s="1"/>
  <c r="V72" i="1"/>
  <c r="V60" i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I121" i="1" s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F248" i="1"/>
  <c r="AI248" i="1" s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F277" i="1"/>
  <c r="AI277" i="1" s="1"/>
  <c r="AF235" i="1"/>
  <c r="AI235" i="1" s="1"/>
  <c r="AF225" i="1"/>
  <c r="AI225" i="1" s="1"/>
  <c r="AF211" i="1"/>
  <c r="AI211" i="1" s="1"/>
  <c r="AE184" i="1"/>
  <c r="AI184" i="1" s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I192" i="1" s="1"/>
  <c r="AE147" i="1"/>
  <c r="AI147" i="1" s="1"/>
  <c r="AE131" i="1"/>
  <c r="AI131" i="1" s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F278" i="1"/>
  <c r="AI278" i="1" s="1"/>
  <c r="AE270" i="1"/>
  <c r="AI270" i="1" s="1"/>
  <c r="AF264" i="1"/>
  <c r="AF257" i="1"/>
  <c r="AI257" i="1" s="1"/>
  <c r="AF249" i="1"/>
  <c r="AI249" i="1" s="1"/>
  <c r="AE241" i="1"/>
  <c r="AI241" i="1" s="1"/>
  <c r="AF233" i="1"/>
  <c r="AI233" i="1" s="1"/>
  <c r="AF226" i="1"/>
  <c r="AF220" i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E162" i="1"/>
  <c r="AI162" i="1" s="1"/>
  <c r="AE156" i="1"/>
  <c r="AI156" i="1" s="1"/>
  <c r="AE154" i="1"/>
  <c r="AI154" i="1" s="1"/>
  <c r="AE153" i="1"/>
  <c r="AI153" i="1" s="1"/>
  <c r="AF140" i="1"/>
  <c r="AF135" i="1"/>
  <c r="AI135" i="1" s="1"/>
  <c r="AF118" i="1"/>
  <c r="AI118" i="1" s="1"/>
  <c r="AF117" i="1"/>
  <c r="AF111" i="1"/>
  <c r="AF103" i="1"/>
  <c r="AI103" i="1" s="1"/>
  <c r="AF94" i="1"/>
  <c r="AI94" i="1" s="1"/>
  <c r="AE84" i="1"/>
  <c r="AI84" i="1" s="1"/>
  <c r="AF77" i="1"/>
  <c r="AE43" i="1"/>
  <c r="AF43" i="1"/>
  <c r="AE107" i="1"/>
  <c r="AI107" i="1" s="1"/>
  <c r="AF91" i="1"/>
  <c r="AF75" i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F272" i="1"/>
  <c r="AF271" i="1"/>
  <c r="AF265" i="1"/>
  <c r="AI265" i="1" s="1"/>
  <c r="AF242" i="1"/>
  <c r="AI242" i="1" s="1"/>
  <c r="AF234" i="1"/>
  <c r="AI234" i="1" s="1"/>
  <c r="AF228" i="1"/>
  <c r="AE226" i="1"/>
  <c r="AE212" i="1"/>
  <c r="AI212" i="1" s="1"/>
  <c r="AF206" i="1"/>
  <c r="AF205" i="1"/>
  <c r="AE204" i="1"/>
  <c r="AF200" i="1"/>
  <c r="AI200" i="1" s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I127" i="1" s="1"/>
  <c r="AE117" i="1"/>
  <c r="AF112" i="1"/>
  <c r="AI112" i="1" s="1"/>
  <c r="AF85" i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9" i="1"/>
  <c r="AI269" i="1" s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E205" i="1"/>
  <c r="AF180" i="1"/>
  <c r="AI180" i="1" s="1"/>
  <c r="AF174" i="1"/>
  <c r="AI174" i="1" s="1"/>
  <c r="AF173" i="1"/>
  <c r="AI173" i="1" s="1"/>
  <c r="AF172" i="1"/>
  <c r="AF142" i="1"/>
  <c r="AI142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F295" i="1"/>
  <c r="AI295" i="1" s="1"/>
  <c r="AF287" i="1"/>
  <c r="AF280" i="1"/>
  <c r="AI280" i="1" s="1"/>
  <c r="AF274" i="1"/>
  <c r="AI274" i="1" s="1"/>
  <c r="AF267" i="1"/>
  <c r="AI267" i="1" s="1"/>
  <c r="AF252" i="1"/>
  <c r="AF244" i="1"/>
  <c r="AF238" i="1"/>
  <c r="AF237" i="1"/>
  <c r="AI237" i="1" s="1"/>
  <c r="AF236" i="1"/>
  <c r="AF214" i="1"/>
  <c r="AF208" i="1"/>
  <c r="AI208" i="1" s="1"/>
  <c r="AF201" i="1"/>
  <c r="AI201" i="1" s="1"/>
  <c r="AE188" i="1"/>
  <c r="AI188" i="1" s="1"/>
  <c r="AF181" i="1"/>
  <c r="AI181" i="1" s="1"/>
  <c r="AF175" i="1"/>
  <c r="AF166" i="1"/>
  <c r="AI166" i="1" s="1"/>
  <c r="AE158" i="1"/>
  <c r="AI158" i="1" s="1"/>
  <c r="AF148" i="1"/>
  <c r="AI148" i="1" s="1"/>
  <c r="AF143" i="1"/>
  <c r="AF137" i="1"/>
  <c r="AI137" i="1" s="1"/>
  <c r="AE128" i="1"/>
  <c r="AI128" i="1" s="1"/>
  <c r="AE120" i="1"/>
  <c r="AF98" i="1"/>
  <c r="AF96" i="1"/>
  <c r="AI96" i="1" s="1"/>
  <c r="AF87" i="1"/>
  <c r="AF72" i="1"/>
  <c r="AI72" i="1" s="1"/>
  <c r="AF68" i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F230" i="1"/>
  <c r="AI230" i="1" s="1"/>
  <c r="AE222" i="1"/>
  <c r="AI222" i="1" s="1"/>
  <c r="AF215" i="1"/>
  <c r="AF209" i="1"/>
  <c r="AI209" i="1" s="1"/>
  <c r="AF189" i="1"/>
  <c r="AI189" i="1" s="1"/>
  <c r="AF182" i="1"/>
  <c r="AF159" i="1"/>
  <c r="AF149" i="1"/>
  <c r="AI149" i="1" s="1"/>
  <c r="AF144" i="1"/>
  <c r="AI144" i="1" s="1"/>
  <c r="AF129" i="1"/>
  <c r="AI129" i="1" s="1"/>
  <c r="AF122" i="1"/>
  <c r="AF114" i="1"/>
  <c r="AI114" i="1" s="1"/>
  <c r="AF99" i="1"/>
  <c r="AI99" i="1" s="1"/>
  <c r="AF88" i="1"/>
  <c r="AI88" i="1" s="1"/>
  <c r="AF82" i="1"/>
  <c r="AI82" i="1" s="1"/>
  <c r="AF80" i="1"/>
  <c r="AE19" i="1"/>
  <c r="AF19" i="1"/>
  <c r="AE124" i="1"/>
  <c r="AI124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E288" i="1"/>
  <c r="AI288" i="1" s="1"/>
  <c r="AF282" i="1"/>
  <c r="AI282" i="1" s="1"/>
  <c r="AE260" i="1"/>
  <c r="AI260" i="1" s="1"/>
  <c r="AE215" i="1"/>
  <c r="AF202" i="1"/>
  <c r="AI202" i="1" s="1"/>
  <c r="AE196" i="1"/>
  <c r="AI196" i="1" s="1"/>
  <c r="AF176" i="1"/>
  <c r="AI176" i="1" s="1"/>
  <c r="AE167" i="1"/>
  <c r="AI167" i="1" s="1"/>
  <c r="AE138" i="1"/>
  <c r="AI138" i="1" s="1"/>
  <c r="AF74" i="1"/>
  <c r="AF69" i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F65" i="1"/>
  <c r="AI65" i="1" s="1"/>
  <c r="AF2" i="1"/>
  <c r="AI2" i="1" s="1"/>
  <c r="K52" i="1"/>
  <c r="O52" i="1" s="1"/>
  <c r="L60" i="1"/>
  <c r="O60" i="1" s="1"/>
  <c r="L15" i="1"/>
  <c r="O15" i="1" s="1"/>
  <c r="L6" i="1"/>
  <c r="O6" i="1" s="1"/>
  <c r="K116" i="1"/>
  <c r="O116" i="1" s="1"/>
  <c r="K75" i="1"/>
  <c r="O75" i="1" s="1"/>
  <c r="K19" i="1"/>
  <c r="O19" i="1" s="1"/>
  <c r="L89" i="1"/>
  <c r="O89" i="1" s="1"/>
  <c r="K73" i="1"/>
  <c r="O73" i="1" s="1"/>
  <c r="K8" i="1"/>
  <c r="O8" i="1" s="1"/>
  <c r="L87" i="1"/>
  <c r="L14" i="1"/>
  <c r="O14" i="1" s="1"/>
  <c r="K63" i="1"/>
  <c r="O63" i="1" s="1"/>
  <c r="L201" i="1"/>
  <c r="O201" i="1" s="1"/>
  <c r="L71" i="1"/>
  <c r="O71" i="1" s="1"/>
  <c r="L13" i="1"/>
  <c r="O13" i="1" s="1"/>
  <c r="K55" i="1"/>
  <c r="O55" i="1" s="1"/>
  <c r="L163" i="1"/>
  <c r="O163" i="1" s="1"/>
  <c r="L145" i="1"/>
  <c r="O145" i="1" s="1"/>
  <c r="L59" i="1"/>
  <c r="O59" i="1" s="1"/>
  <c r="K47" i="1"/>
  <c r="O47" i="1" s="1"/>
  <c r="L138" i="1"/>
  <c r="L43" i="1"/>
  <c r="K141" i="1"/>
  <c r="O141" i="1" s="1"/>
  <c r="K35" i="1"/>
  <c r="O35" i="1" s="1"/>
  <c r="L137" i="1"/>
  <c r="L41" i="1"/>
  <c r="O41" i="1" s="1"/>
  <c r="K30" i="1"/>
  <c r="O30" i="1" s="1"/>
  <c r="L99" i="1"/>
  <c r="L25" i="1"/>
  <c r="K302" i="1"/>
  <c r="O302" i="1" s="1"/>
  <c r="K279" i="1"/>
  <c r="O279" i="1" s="1"/>
  <c r="K255" i="1"/>
  <c r="O255" i="1" s="1"/>
  <c r="K237" i="1"/>
  <c r="O237" i="1" s="1"/>
  <c r="K214" i="1"/>
  <c r="O214" i="1" s="1"/>
  <c r="K191" i="1"/>
  <c r="O191" i="1" s="1"/>
  <c r="K173" i="1"/>
  <c r="O173" i="1" s="1"/>
  <c r="K150" i="1"/>
  <c r="O150" i="1" s="1"/>
  <c r="K126" i="1"/>
  <c r="O126" i="1" s="1"/>
  <c r="K107" i="1"/>
  <c r="O107" i="1" s="1"/>
  <c r="K84" i="1"/>
  <c r="O84" i="1" s="1"/>
  <c r="K57" i="1"/>
  <c r="O57" i="1" s="1"/>
  <c r="K44" i="1"/>
  <c r="O44" i="1" s="1"/>
  <c r="K27" i="1"/>
  <c r="O27" i="1" s="1"/>
  <c r="L304" i="1"/>
  <c r="L257" i="1"/>
  <c r="L230" i="1"/>
  <c r="O230" i="1" s="1"/>
  <c r="L193" i="1"/>
  <c r="L166" i="1"/>
  <c r="L128" i="1"/>
  <c r="L108" i="1"/>
  <c r="O108" i="1" s="1"/>
  <c r="L85" i="1"/>
  <c r="O85" i="1" s="1"/>
  <c r="L69" i="1"/>
  <c r="O69" i="1" s="1"/>
  <c r="L51" i="1"/>
  <c r="O51" i="1" s="1"/>
  <c r="L23" i="1"/>
  <c r="K296" i="1"/>
  <c r="O296" i="1" s="1"/>
  <c r="K278" i="1"/>
  <c r="O278" i="1" s="1"/>
  <c r="K254" i="1"/>
  <c r="O254" i="1" s="1"/>
  <c r="K231" i="1"/>
  <c r="O231" i="1" s="1"/>
  <c r="K213" i="1"/>
  <c r="O213" i="1" s="1"/>
  <c r="K190" i="1"/>
  <c r="O190" i="1" s="1"/>
  <c r="K167" i="1"/>
  <c r="O167" i="1" s="1"/>
  <c r="K149" i="1"/>
  <c r="O149" i="1" s="1"/>
  <c r="K125" i="1"/>
  <c r="O125" i="1" s="1"/>
  <c r="K101" i="1"/>
  <c r="O101" i="1" s="1"/>
  <c r="K83" i="1"/>
  <c r="O83" i="1" s="1"/>
  <c r="K38" i="1"/>
  <c r="O38" i="1" s="1"/>
  <c r="K21" i="1"/>
  <c r="O21" i="1" s="1"/>
  <c r="L303" i="1"/>
  <c r="L256" i="1"/>
  <c r="L227" i="1"/>
  <c r="L192" i="1"/>
  <c r="L127" i="1"/>
  <c r="L80" i="1"/>
  <c r="O80" i="1" s="1"/>
  <c r="L68" i="1"/>
  <c r="O68" i="1" s="1"/>
  <c r="L45" i="1"/>
  <c r="L22" i="1"/>
  <c r="L5" i="1"/>
  <c r="O5" i="1" s="1"/>
  <c r="K295" i="1"/>
  <c r="O295" i="1" s="1"/>
  <c r="K272" i="1"/>
  <c r="O272" i="1" s="1"/>
  <c r="K253" i="1"/>
  <c r="O253" i="1" s="1"/>
  <c r="K207" i="1"/>
  <c r="O207" i="1" s="1"/>
  <c r="K189" i="1"/>
  <c r="O189" i="1" s="1"/>
  <c r="K143" i="1"/>
  <c r="O143" i="1" s="1"/>
  <c r="K124" i="1"/>
  <c r="O124" i="1" s="1"/>
  <c r="K100" i="1"/>
  <c r="O100" i="1" s="1"/>
  <c r="K76" i="1"/>
  <c r="O76" i="1" s="1"/>
  <c r="K54" i="1"/>
  <c r="O54" i="1" s="1"/>
  <c r="K37" i="1"/>
  <c r="O37" i="1" s="1"/>
  <c r="K20" i="1"/>
  <c r="O20" i="1" s="1"/>
  <c r="L211" i="1"/>
  <c r="L147" i="1"/>
  <c r="L105" i="1"/>
  <c r="O105" i="1" s="1"/>
  <c r="L79" i="1"/>
  <c r="O79" i="1" s="1"/>
  <c r="L62" i="1"/>
  <c r="L4" i="1"/>
  <c r="O4" i="1" s="1"/>
  <c r="S4" i="1" s="1"/>
  <c r="K294" i="1"/>
  <c r="O294" i="1" s="1"/>
  <c r="K271" i="1"/>
  <c r="O271" i="1" s="1"/>
  <c r="K247" i="1"/>
  <c r="O247" i="1" s="1"/>
  <c r="K229" i="1"/>
  <c r="O229" i="1" s="1"/>
  <c r="K206" i="1"/>
  <c r="O206" i="1" s="1"/>
  <c r="K183" i="1"/>
  <c r="O183" i="1" s="1"/>
  <c r="K165" i="1"/>
  <c r="O165" i="1" s="1"/>
  <c r="K142" i="1"/>
  <c r="O142" i="1" s="1"/>
  <c r="K117" i="1"/>
  <c r="O117" i="1" s="1"/>
  <c r="K53" i="1"/>
  <c r="O53" i="1" s="1"/>
  <c r="K36" i="1"/>
  <c r="O36" i="1" s="1"/>
  <c r="L276" i="1"/>
  <c r="L248" i="1"/>
  <c r="L209" i="1"/>
  <c r="L184" i="1"/>
  <c r="L78" i="1"/>
  <c r="L61" i="1"/>
  <c r="O61" i="1" s="1"/>
  <c r="S61" i="1" s="1"/>
  <c r="L3" i="1"/>
  <c r="K288" i="1"/>
  <c r="O288" i="1" s="1"/>
  <c r="K270" i="1"/>
  <c r="K246" i="1"/>
  <c r="O246" i="1" s="1"/>
  <c r="K223" i="1"/>
  <c r="O223" i="1" s="1"/>
  <c r="K205" i="1"/>
  <c r="O205" i="1" s="1"/>
  <c r="K182" i="1"/>
  <c r="O182" i="1" s="1"/>
  <c r="K159" i="1"/>
  <c r="O159" i="1" s="1"/>
  <c r="K93" i="1"/>
  <c r="O93" i="1" s="1"/>
  <c r="K12" i="1"/>
  <c r="O12" i="1" s="1"/>
  <c r="L274" i="1"/>
  <c r="O274" i="1" s="1"/>
  <c r="L202" i="1"/>
  <c r="L77" i="1"/>
  <c r="K287" i="1"/>
  <c r="O287" i="1" s="1"/>
  <c r="K264" i="1"/>
  <c r="O264" i="1" s="1"/>
  <c r="K245" i="1"/>
  <c r="O245" i="1" s="1"/>
  <c r="K222" i="1"/>
  <c r="O222" i="1" s="1"/>
  <c r="K199" i="1"/>
  <c r="O199" i="1" s="1"/>
  <c r="K181" i="1"/>
  <c r="O181" i="1" s="1"/>
  <c r="K158" i="1"/>
  <c r="O158" i="1" s="1"/>
  <c r="K135" i="1"/>
  <c r="O135" i="1" s="1"/>
  <c r="K115" i="1"/>
  <c r="O115" i="1" s="1"/>
  <c r="K92" i="1"/>
  <c r="O92" i="1" s="1"/>
  <c r="K11" i="1"/>
  <c r="O11" i="1" s="1"/>
  <c r="L267" i="1"/>
  <c r="K286" i="1"/>
  <c r="O286" i="1" s="1"/>
  <c r="K262" i="1"/>
  <c r="O262" i="1" s="1"/>
  <c r="K239" i="1"/>
  <c r="O239" i="1" s="1"/>
  <c r="K221" i="1"/>
  <c r="O221" i="1" s="1"/>
  <c r="K198" i="1"/>
  <c r="O198" i="1" s="1"/>
  <c r="K175" i="1"/>
  <c r="O175" i="1" s="1"/>
  <c r="K157" i="1"/>
  <c r="O157" i="1" s="1"/>
  <c r="K133" i="1"/>
  <c r="O133" i="1" s="1"/>
  <c r="K109" i="1"/>
  <c r="O109" i="1" s="1"/>
  <c r="K91" i="1"/>
  <c r="O91" i="1" s="1"/>
  <c r="K46" i="1"/>
  <c r="O46" i="1" s="1"/>
  <c r="K29" i="1"/>
  <c r="O29" i="1" s="1"/>
  <c r="K10" i="1"/>
  <c r="O10" i="1" s="1"/>
  <c r="L266" i="1"/>
  <c r="L200" i="1"/>
  <c r="O200" i="1" s="1"/>
  <c r="S200" i="1" s="1"/>
  <c r="L136" i="1"/>
  <c r="O136" i="1" s="1"/>
  <c r="K280" i="1"/>
  <c r="O280" i="1" s="1"/>
  <c r="K261" i="1"/>
  <c r="O261" i="1" s="1"/>
  <c r="K238" i="1"/>
  <c r="O238" i="1" s="1"/>
  <c r="K215" i="1"/>
  <c r="O215" i="1" s="1"/>
  <c r="K197" i="1"/>
  <c r="O197" i="1" s="1"/>
  <c r="K174" i="1"/>
  <c r="O174" i="1" s="1"/>
  <c r="K151" i="1"/>
  <c r="O151" i="1" s="1"/>
  <c r="K132" i="1"/>
  <c r="K28" i="1"/>
  <c r="O28" i="1" s="1"/>
  <c r="L265" i="1"/>
  <c r="O265" i="1" s="1"/>
  <c r="L86" i="1"/>
  <c r="L70" i="1"/>
  <c r="O70" i="1" s="1"/>
  <c r="K74" i="1"/>
  <c r="O74" i="1" s="1"/>
  <c r="K65" i="1"/>
  <c r="O65" i="1" s="1"/>
  <c r="K9" i="1"/>
  <c r="O9" i="1" s="1"/>
  <c r="L293" i="1"/>
  <c r="L284" i="1"/>
  <c r="L275" i="1"/>
  <c r="O275" i="1" s="1"/>
  <c r="L228" i="1"/>
  <c r="L219" i="1"/>
  <c r="L210" i="1"/>
  <c r="O210" i="1" s="1"/>
  <c r="L164" i="1"/>
  <c r="L155" i="1"/>
  <c r="L146" i="1"/>
  <c r="O146" i="1" s="1"/>
  <c r="L97" i="1"/>
  <c r="L88" i="1"/>
  <c r="L33" i="1"/>
  <c r="O33" i="1" s="1"/>
  <c r="L24" i="1"/>
  <c r="O24" i="1" s="1"/>
  <c r="K66" i="1"/>
  <c r="O66" i="1" s="1"/>
  <c r="L285" i="1"/>
  <c r="O285" i="1" s="1"/>
  <c r="L220" i="1"/>
  <c r="O220" i="1" s="1"/>
  <c r="K17" i="1"/>
  <c r="O17" i="1" s="1"/>
  <c r="L301" i="1"/>
  <c r="L283" i="1"/>
  <c r="L236" i="1"/>
  <c r="O236" i="1" s="1"/>
  <c r="L218" i="1"/>
  <c r="O218" i="1" s="1"/>
  <c r="L172" i="1"/>
  <c r="O172" i="1" s="1"/>
  <c r="K277" i="1"/>
  <c r="O277" i="1" s="1"/>
  <c r="K269" i="1"/>
  <c r="O269" i="1" s="1"/>
  <c r="K260" i="1"/>
  <c r="O260" i="1" s="1"/>
  <c r="K252" i="1"/>
  <c r="O252" i="1" s="1"/>
  <c r="K244" i="1"/>
  <c r="O244" i="1" s="1"/>
  <c r="K212" i="1"/>
  <c r="O212" i="1" s="1"/>
  <c r="K204" i="1"/>
  <c r="K196" i="1"/>
  <c r="O196" i="1" s="1"/>
  <c r="K188" i="1"/>
  <c r="O188" i="1" s="1"/>
  <c r="K180" i="1"/>
  <c r="O180" i="1" s="1"/>
  <c r="K156" i="1"/>
  <c r="O156" i="1" s="1"/>
  <c r="K148" i="1"/>
  <c r="O148" i="1" s="1"/>
  <c r="K140" i="1"/>
  <c r="O140" i="1" s="1"/>
  <c r="K131" i="1"/>
  <c r="O131" i="1" s="1"/>
  <c r="K122" i="1"/>
  <c r="O122" i="1" s="1"/>
  <c r="K114" i="1"/>
  <c r="O114" i="1" s="1"/>
  <c r="K106" i="1"/>
  <c r="O106" i="1" s="1"/>
  <c r="K98" i="1"/>
  <c r="O98" i="1" s="1"/>
  <c r="K90" i="1"/>
  <c r="O90" i="1" s="1"/>
  <c r="K81" i="1"/>
  <c r="O81" i="1" s="1"/>
  <c r="K26" i="1"/>
  <c r="O26" i="1" s="1"/>
  <c r="K16" i="1"/>
  <c r="O16" i="1" s="1"/>
  <c r="L300" i="1"/>
  <c r="L291" i="1"/>
  <c r="L282" i="1"/>
  <c r="L273" i="1"/>
  <c r="O273" i="1" s="1"/>
  <c r="L235" i="1"/>
  <c r="O235" i="1" s="1"/>
  <c r="L226" i="1"/>
  <c r="L217" i="1"/>
  <c r="L208" i="1"/>
  <c r="O208" i="1" s="1"/>
  <c r="L171" i="1"/>
  <c r="O171" i="1" s="1"/>
  <c r="L162" i="1"/>
  <c r="L153" i="1"/>
  <c r="L144" i="1"/>
  <c r="L113" i="1"/>
  <c r="L104" i="1"/>
  <c r="O104" i="1" s="1"/>
  <c r="L95" i="1"/>
  <c r="L49" i="1"/>
  <c r="L40" i="1"/>
  <c r="O40" i="1" s="1"/>
  <c r="L31" i="1"/>
  <c r="K292" i="1"/>
  <c r="O292" i="1" s="1"/>
  <c r="K268" i="1"/>
  <c r="O268" i="1" s="1"/>
  <c r="K259" i="1"/>
  <c r="O259" i="1" s="1"/>
  <c r="K251" i="1"/>
  <c r="O251" i="1" s="1"/>
  <c r="K243" i="1"/>
  <c r="O243" i="1" s="1"/>
  <c r="K203" i="1"/>
  <c r="O203" i="1" s="1"/>
  <c r="K195" i="1"/>
  <c r="O195" i="1" s="1"/>
  <c r="K187" i="1"/>
  <c r="O187" i="1" s="1"/>
  <c r="K179" i="1"/>
  <c r="O179" i="1" s="1"/>
  <c r="K139" i="1"/>
  <c r="O139" i="1" s="1"/>
  <c r="K130" i="1"/>
  <c r="O130" i="1" s="1"/>
  <c r="K121" i="1"/>
  <c r="O121" i="1" s="1"/>
  <c r="K34" i="1"/>
  <c r="O34" i="1" s="1"/>
  <c r="L299" i="1"/>
  <c r="L290" i="1"/>
  <c r="L281" i="1"/>
  <c r="L234" i="1"/>
  <c r="O234" i="1" s="1"/>
  <c r="L225" i="1"/>
  <c r="L216" i="1"/>
  <c r="L170" i="1"/>
  <c r="L161" i="1"/>
  <c r="L152" i="1"/>
  <c r="L112" i="1"/>
  <c r="L103" i="1"/>
  <c r="O103" i="1" s="1"/>
  <c r="L94" i="1"/>
  <c r="L67" i="1"/>
  <c r="L48" i="1"/>
  <c r="L39" i="1"/>
  <c r="O39" i="1" s="1"/>
  <c r="K82" i="1"/>
  <c r="O82" i="1" s="1"/>
  <c r="K258" i="1"/>
  <c r="O258" i="1" s="1"/>
  <c r="K250" i="1"/>
  <c r="O250" i="1" s="1"/>
  <c r="K242" i="1"/>
  <c r="O242" i="1" s="1"/>
  <c r="K194" i="1"/>
  <c r="O194" i="1" s="1"/>
  <c r="S194" i="1" s="1"/>
  <c r="K186" i="1"/>
  <c r="O186" i="1" s="1"/>
  <c r="K178" i="1"/>
  <c r="O178" i="1" s="1"/>
  <c r="K154" i="1"/>
  <c r="O154" i="1" s="1"/>
  <c r="K129" i="1"/>
  <c r="O129" i="1" s="1"/>
  <c r="K120" i="1"/>
  <c r="O120" i="1" s="1"/>
  <c r="K96" i="1"/>
  <c r="O96" i="1" s="1"/>
  <c r="K42" i="1"/>
  <c r="O42" i="1" s="1"/>
  <c r="L298" i="1"/>
  <c r="L289" i="1"/>
  <c r="L233" i="1"/>
  <c r="L224" i="1"/>
  <c r="L169" i="1"/>
  <c r="O169" i="1" s="1"/>
  <c r="L160" i="1"/>
  <c r="L111" i="1"/>
  <c r="O111" i="1" s="1"/>
  <c r="L102" i="1"/>
  <c r="O102" i="1" s="1"/>
  <c r="L56" i="1"/>
  <c r="O56" i="1" s="1"/>
  <c r="L32" i="1"/>
  <c r="O32" i="1" s="1"/>
  <c r="K249" i="1"/>
  <c r="O249" i="1" s="1"/>
  <c r="K241" i="1"/>
  <c r="O241" i="1" s="1"/>
  <c r="K185" i="1"/>
  <c r="O185" i="1" s="1"/>
  <c r="K177" i="1"/>
  <c r="O177" i="1" s="1"/>
  <c r="K119" i="1"/>
  <c r="O119" i="1" s="1"/>
  <c r="K50" i="1"/>
  <c r="O50" i="1" s="1"/>
  <c r="L297" i="1"/>
  <c r="L232" i="1"/>
  <c r="O232" i="1" s="1"/>
  <c r="L168" i="1"/>
  <c r="O168" i="1" s="1"/>
  <c r="L110" i="1"/>
  <c r="L64" i="1"/>
  <c r="O64" i="1" s="1"/>
  <c r="K240" i="1"/>
  <c r="O240" i="1" s="1"/>
  <c r="K176" i="1"/>
  <c r="O176" i="1" s="1"/>
  <c r="K118" i="1"/>
  <c r="O118" i="1" s="1"/>
  <c r="K58" i="1"/>
  <c r="O58" i="1" s="1"/>
  <c r="L72" i="1"/>
  <c r="L7" i="1"/>
  <c r="O7" i="1" s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V2" i="1"/>
  <c r="L2" i="1"/>
  <c r="O2" i="1" s="1"/>
  <c r="AI191" i="1" l="1"/>
  <c r="AS208" i="1"/>
  <c r="AS232" i="1"/>
  <c r="AS146" i="1"/>
  <c r="AS250" i="1"/>
  <c r="AS70" i="1"/>
  <c r="AI59" i="1"/>
  <c r="AI24" i="1"/>
  <c r="AI56" i="1"/>
  <c r="AI3" i="1"/>
  <c r="AI32" i="1"/>
  <c r="AI64" i="1"/>
  <c r="AI23" i="1"/>
  <c r="AI30" i="1"/>
  <c r="AI62" i="1"/>
  <c r="AI6" i="1"/>
  <c r="AI39" i="1"/>
  <c r="AI17" i="1"/>
  <c r="AI20" i="1"/>
  <c r="AI52" i="1"/>
  <c r="AI205" i="1"/>
  <c r="AI55" i="1"/>
  <c r="AI117" i="1"/>
  <c r="AI204" i="1"/>
  <c r="AI35" i="1"/>
  <c r="AI22" i="1"/>
  <c r="AI54" i="1"/>
  <c r="AI10" i="1"/>
  <c r="AI31" i="1"/>
  <c r="AI58" i="1"/>
  <c r="AI51" i="1"/>
  <c r="AI226" i="1"/>
  <c r="AI292" i="1"/>
  <c r="Y66" i="1"/>
  <c r="Y196" i="1"/>
  <c r="AS25" i="1"/>
  <c r="AS89" i="1"/>
  <c r="AS155" i="1"/>
  <c r="AS219" i="1"/>
  <c r="AS284" i="1"/>
  <c r="Y263" i="1"/>
  <c r="AS123" i="1"/>
  <c r="AI11" i="1"/>
  <c r="AI44" i="1"/>
  <c r="AI5" i="1"/>
  <c r="AI38" i="1"/>
  <c r="AI70" i="1"/>
  <c r="AI14" i="1"/>
  <c r="AI47" i="1"/>
  <c r="AI26" i="1"/>
  <c r="AI50" i="1"/>
  <c r="AS43" i="1"/>
  <c r="AS107" i="1"/>
  <c r="AS173" i="1"/>
  <c r="AS237" i="1"/>
  <c r="AI123" i="1"/>
  <c r="AS144" i="1"/>
  <c r="AS297" i="1"/>
  <c r="AS275" i="1"/>
  <c r="AS265" i="1"/>
  <c r="O267" i="1"/>
  <c r="AI36" i="1"/>
  <c r="AS27" i="1"/>
  <c r="AS91" i="1"/>
  <c r="AS157" i="1"/>
  <c r="AS221" i="1"/>
  <c r="AS286" i="1"/>
  <c r="AS7" i="1"/>
  <c r="Y123" i="1"/>
  <c r="AI80" i="1"/>
  <c r="AI268" i="1"/>
  <c r="O263" i="1"/>
  <c r="AS15" i="1"/>
  <c r="AI206" i="1"/>
  <c r="AS35" i="1"/>
  <c r="AS99" i="1"/>
  <c r="AS165" i="1"/>
  <c r="AS229" i="1"/>
  <c r="AS294" i="1"/>
  <c r="AS23" i="1"/>
  <c r="AI68" i="1"/>
  <c r="AI214" i="1"/>
  <c r="AI87" i="1"/>
  <c r="AI284" i="1"/>
  <c r="AI67" i="1"/>
  <c r="AI76" i="1"/>
  <c r="Y120" i="1"/>
  <c r="Y186" i="1"/>
  <c r="O78" i="1"/>
  <c r="O144" i="1"/>
  <c r="AI215" i="1"/>
  <c r="AI19" i="1"/>
  <c r="AI37" i="1"/>
  <c r="AI42" i="1"/>
  <c r="AI7" i="1"/>
  <c r="AI40" i="1"/>
  <c r="AI43" i="1"/>
  <c r="AS51" i="1"/>
  <c r="AS115" i="1"/>
  <c r="AS181" i="1"/>
  <c r="AS245" i="1"/>
  <c r="AS68" i="1"/>
  <c r="Y18" i="1"/>
  <c r="AI75" i="1"/>
  <c r="O138" i="1"/>
  <c r="S138" i="1" s="1"/>
  <c r="AS57" i="1"/>
  <c r="AS121" i="1"/>
  <c r="AS187" i="1"/>
  <c r="AS251" i="1"/>
  <c r="AS59" i="1"/>
  <c r="AS124" i="1"/>
  <c r="AS189" i="1"/>
  <c r="AS253" i="1"/>
  <c r="AI8" i="1"/>
  <c r="AI286" i="1"/>
  <c r="AI238" i="1"/>
  <c r="AI27" i="1"/>
  <c r="AI15" i="1"/>
  <c r="AI48" i="1"/>
  <c r="AI91" i="1"/>
  <c r="AS67" i="1"/>
  <c r="AS132" i="1"/>
  <c r="AS197" i="1"/>
  <c r="AS261" i="1"/>
  <c r="AS62" i="1"/>
  <c r="AS100" i="1"/>
  <c r="O305" i="1"/>
  <c r="AI111" i="1"/>
  <c r="O123" i="1"/>
  <c r="EN123" i="1" s="1"/>
  <c r="AI100" i="1"/>
  <c r="AI182" i="1"/>
  <c r="AI28" i="1"/>
  <c r="AI60" i="1"/>
  <c r="AI63" i="1"/>
  <c r="AS10" i="1"/>
  <c r="AS75" i="1"/>
  <c r="AS141" i="1"/>
  <c r="AS205" i="1"/>
  <c r="AS270" i="1"/>
  <c r="AS162" i="1"/>
  <c r="AS289" i="1"/>
  <c r="AS242" i="1"/>
  <c r="AS160" i="1"/>
  <c r="AS168" i="1"/>
  <c r="AS210" i="1"/>
  <c r="AI139" i="1"/>
  <c r="AI108" i="1"/>
  <c r="AI190" i="1"/>
  <c r="Y88" i="1"/>
  <c r="Y154" i="1"/>
  <c r="O110" i="1"/>
  <c r="AI21" i="1"/>
  <c r="AI53" i="1"/>
  <c r="AS16" i="1"/>
  <c r="AS81" i="1"/>
  <c r="AS147" i="1"/>
  <c r="AS211" i="1"/>
  <c r="AS276" i="1"/>
  <c r="AS19" i="1"/>
  <c r="AS83" i="1"/>
  <c r="AS149" i="1"/>
  <c r="AS213" i="1"/>
  <c r="AS278" i="1"/>
  <c r="AS56" i="1"/>
  <c r="AS36" i="1"/>
  <c r="AS13" i="1"/>
  <c r="AS154" i="1"/>
  <c r="AV263" i="1"/>
  <c r="AW263" i="1" s="1"/>
  <c r="Y129" i="1"/>
  <c r="Y234" i="1"/>
  <c r="O86" i="1"/>
  <c r="O192" i="1"/>
  <c r="Y33" i="1"/>
  <c r="O161" i="1"/>
  <c r="O225" i="1"/>
  <c r="O290" i="1"/>
  <c r="AS2" i="1"/>
  <c r="AI122" i="1"/>
  <c r="AS30" i="1"/>
  <c r="AS6" i="1"/>
  <c r="AV6" i="1" s="1"/>
  <c r="AW6" i="1" s="1"/>
  <c r="AS103" i="1"/>
  <c r="AV103" i="1" s="1"/>
  <c r="AW103" i="1" s="1"/>
  <c r="Y138" i="1"/>
  <c r="Y291" i="1"/>
  <c r="O94" i="1"/>
  <c r="O248" i="1"/>
  <c r="O170" i="1"/>
  <c r="Y41" i="1"/>
  <c r="Y219" i="1"/>
  <c r="O233" i="1"/>
  <c r="O298" i="1"/>
  <c r="O226" i="1"/>
  <c r="O283" i="1"/>
  <c r="O97" i="1"/>
  <c r="O227" i="1"/>
  <c r="AI29" i="1"/>
  <c r="AI61" i="1"/>
  <c r="AI120" i="1"/>
  <c r="AS33" i="1"/>
  <c r="AS97" i="1"/>
  <c r="AS163" i="1"/>
  <c r="AS227" i="1"/>
  <c r="AS292" i="1"/>
  <c r="AS72" i="1"/>
  <c r="AS5" i="1"/>
  <c r="Y40" i="1"/>
  <c r="Y194" i="1"/>
  <c r="Y299" i="1"/>
  <c r="O152" i="1"/>
  <c r="O256" i="1"/>
  <c r="O202" i="1"/>
  <c r="Y227" i="1"/>
  <c r="Y292" i="1"/>
  <c r="AI74" i="1"/>
  <c r="AI140" i="1"/>
  <c r="Y43" i="1"/>
  <c r="AI4" i="1"/>
  <c r="Y212" i="1"/>
  <c r="Y206" i="1"/>
  <c r="AS41" i="1"/>
  <c r="AS105" i="1"/>
  <c r="AS171" i="1"/>
  <c r="AS235" i="1"/>
  <c r="AS300" i="1"/>
  <c r="AS302" i="1"/>
  <c r="AS267" i="1"/>
  <c r="AS202" i="1"/>
  <c r="AS60" i="1"/>
  <c r="AS110" i="1"/>
  <c r="AS224" i="1"/>
  <c r="AS273" i="1"/>
  <c r="AS186" i="1"/>
  <c r="AS218" i="1"/>
  <c r="AV218" i="1" s="1"/>
  <c r="AW218" i="1" s="1"/>
  <c r="Y96" i="1"/>
  <c r="Y202" i="1"/>
  <c r="O160" i="1"/>
  <c r="Y105" i="1"/>
  <c r="Y171" i="1"/>
  <c r="Y235" i="1"/>
  <c r="Y300" i="1"/>
  <c r="O128" i="1"/>
  <c r="O291" i="1"/>
  <c r="O88" i="1"/>
  <c r="O49" i="1"/>
  <c r="O113" i="1"/>
  <c r="AS49" i="1"/>
  <c r="AS113" i="1"/>
  <c r="AS179" i="1"/>
  <c r="AS243" i="1"/>
  <c r="O166" i="1"/>
  <c r="Y104" i="1"/>
  <c r="Y258" i="1"/>
  <c r="O62" i="1"/>
  <c r="O216" i="1"/>
  <c r="O48" i="1"/>
  <c r="O193" i="1"/>
  <c r="O257" i="1"/>
  <c r="O3" i="1"/>
  <c r="AS22" i="1"/>
  <c r="AI228" i="1"/>
  <c r="AV299" i="1"/>
  <c r="AW299" i="1" s="1"/>
  <c r="AV40" i="1"/>
  <c r="AW40" i="1" s="1"/>
  <c r="AS118" i="1"/>
  <c r="AV118" i="1" s="1"/>
  <c r="AW118" i="1" s="1"/>
  <c r="AS84" i="1"/>
  <c r="AV84" i="1" s="1"/>
  <c r="AW84" i="1" s="1"/>
  <c r="Y162" i="1"/>
  <c r="Y267" i="1"/>
  <c r="O224" i="1"/>
  <c r="O72" i="1"/>
  <c r="Y65" i="1"/>
  <c r="Y121" i="1"/>
  <c r="Y187" i="1"/>
  <c r="Y251" i="1"/>
  <c r="O266" i="1"/>
  <c r="AS127" i="1"/>
  <c r="AI98" i="1"/>
  <c r="AI164" i="1"/>
  <c r="AI236" i="1"/>
  <c r="AI301" i="1"/>
  <c r="O303" i="1"/>
  <c r="AI13" i="1"/>
  <c r="AI46" i="1"/>
  <c r="AI34" i="1"/>
  <c r="AI9" i="1"/>
  <c r="AI12" i="1"/>
  <c r="AI45" i="1"/>
  <c r="AS65" i="1"/>
  <c r="AS130" i="1"/>
  <c r="AS195" i="1"/>
  <c r="AS259" i="1"/>
  <c r="AS240" i="1"/>
  <c r="AV240" i="1" s="1"/>
  <c r="AW240" i="1" s="1"/>
  <c r="AS283" i="1"/>
  <c r="AS138" i="1"/>
  <c r="AS96" i="1"/>
  <c r="AV96" i="1" s="1"/>
  <c r="AW96" i="1" s="1"/>
  <c r="O77" i="1"/>
  <c r="O112" i="1"/>
  <c r="Y64" i="1"/>
  <c r="Y170" i="1"/>
  <c r="O22" i="1"/>
  <c r="O127" i="1"/>
  <c r="O281" i="1"/>
  <c r="O299" i="1"/>
  <c r="Y73" i="1"/>
  <c r="Y130" i="1"/>
  <c r="Y195" i="1"/>
  <c r="Y259" i="1"/>
  <c r="O23" i="1"/>
  <c r="O87" i="1"/>
  <c r="O209" i="1"/>
  <c r="AI172" i="1"/>
  <c r="AI244" i="1"/>
  <c r="AS8" i="1"/>
  <c r="AS73" i="1"/>
  <c r="AS139" i="1"/>
  <c r="AS203" i="1"/>
  <c r="AS268" i="1"/>
  <c r="AS87" i="1"/>
  <c r="AV87" i="1" s="1"/>
  <c r="AW87" i="1" s="1"/>
  <c r="Y87" i="1"/>
  <c r="O45" i="1"/>
  <c r="O304" i="1"/>
  <c r="Y72" i="1"/>
  <c r="Y226" i="1"/>
  <c r="AB226" i="1" s="1"/>
  <c r="AC226" i="1" s="1"/>
  <c r="O184" i="1"/>
  <c r="O289" i="1"/>
  <c r="Y139" i="1"/>
  <c r="Y203" i="1"/>
  <c r="Y268" i="1"/>
  <c r="O31" i="1"/>
  <c r="O95" i="1"/>
  <c r="O153" i="1"/>
  <c r="O217" i="1"/>
  <c r="O282" i="1"/>
  <c r="O162" i="1"/>
  <c r="O147" i="1"/>
  <c r="S147" i="1" s="1"/>
  <c r="O211" i="1"/>
  <c r="O276" i="1"/>
  <c r="AI271" i="1"/>
  <c r="AI126" i="1"/>
  <c r="AI264" i="1"/>
  <c r="O300" i="1"/>
  <c r="AI272" i="1"/>
  <c r="Y93" i="1"/>
  <c r="O67" i="1"/>
  <c r="O219" i="1"/>
  <c r="Y60" i="1"/>
  <c r="AI69" i="1"/>
  <c r="AI143" i="1"/>
  <c r="AI207" i="1"/>
  <c r="Y22" i="1"/>
  <c r="AI285" i="1"/>
  <c r="AI287" i="1"/>
  <c r="O164" i="1"/>
  <c r="AI77" i="1"/>
  <c r="AI223" i="1"/>
  <c r="O99" i="1"/>
  <c r="AI252" i="1"/>
  <c r="AI85" i="1"/>
  <c r="AI159" i="1"/>
  <c r="AI296" i="1"/>
  <c r="AI220" i="1"/>
  <c r="AI254" i="1"/>
  <c r="O228" i="1"/>
  <c r="O293" i="1"/>
  <c r="AI93" i="1"/>
  <c r="AI239" i="1"/>
  <c r="Y86" i="1"/>
  <c r="O155" i="1"/>
  <c r="O284" i="1"/>
  <c r="Y125" i="1"/>
  <c r="O301" i="1"/>
  <c r="Y2" i="1"/>
  <c r="AI101" i="1"/>
  <c r="AI175" i="1"/>
  <c r="AI247" i="1"/>
  <c r="Y4" i="1"/>
  <c r="O43" i="1"/>
  <c r="AI109" i="1"/>
  <c r="Y77" i="1"/>
  <c r="AL123" i="1"/>
  <c r="AM123" i="1" s="1"/>
  <c r="AB296" i="1"/>
  <c r="AC61" i="1"/>
  <c r="AB53" i="1"/>
  <c r="AC4" i="1"/>
  <c r="AB29" i="1"/>
  <c r="AC29" i="1" s="1"/>
  <c r="DL18" i="1"/>
  <c r="DO18" i="1" s="1"/>
  <c r="DP18" i="1" s="1"/>
  <c r="BN48" i="1"/>
  <c r="BX18" i="1"/>
  <c r="CA18" i="1" s="1"/>
  <c r="CB18" i="1" s="1"/>
  <c r="FE123" i="1"/>
  <c r="FF123" i="1" s="1"/>
  <c r="AV123" i="1"/>
  <c r="AW123" i="1" s="1"/>
  <c r="DV18" i="1"/>
  <c r="DY18" i="1" s="1"/>
  <c r="AB123" i="1"/>
  <c r="AC123" i="1" s="1"/>
  <c r="FE18" i="1"/>
  <c r="FF18" i="1" s="1"/>
  <c r="CU123" i="1"/>
  <c r="CV123" i="1" s="1"/>
  <c r="CK123" i="1"/>
  <c r="CL123" i="1" s="1"/>
  <c r="DY123" i="1"/>
  <c r="DZ123" i="1" s="1"/>
  <c r="BG123" i="1"/>
  <c r="BH123" i="1" s="1"/>
  <c r="CA123" i="1"/>
  <c r="CB123" i="1" s="1"/>
  <c r="DO123" i="1"/>
  <c r="DP123" i="1" s="1"/>
  <c r="BN35" i="1"/>
  <c r="BQ35" i="1" s="1"/>
  <c r="BR35" i="1" s="1"/>
  <c r="BN149" i="1"/>
  <c r="BN58" i="1"/>
  <c r="BQ58" i="1" s="1"/>
  <c r="BR58" i="1" s="1"/>
  <c r="BD202" i="1"/>
  <c r="BG202" i="1" s="1"/>
  <c r="BH202" i="1" s="1"/>
  <c r="BD267" i="1"/>
  <c r="BG267" i="1" s="1"/>
  <c r="BH267" i="1" s="1"/>
  <c r="BX110" i="1"/>
  <c r="BN286" i="1"/>
  <c r="BQ286" i="1" s="1"/>
  <c r="BR286" i="1" s="1"/>
  <c r="AB18" i="1"/>
  <c r="AC18" i="1" s="1"/>
  <c r="CH22" i="1"/>
  <c r="CK22" i="1" s="1"/>
  <c r="CL22" i="1" s="1"/>
  <c r="CH54" i="1"/>
  <c r="CH86" i="1"/>
  <c r="CH118" i="1"/>
  <c r="CH152" i="1"/>
  <c r="CK152" i="1" s="1"/>
  <c r="CL152" i="1" s="1"/>
  <c r="CH184" i="1"/>
  <c r="CK184" i="1" s="1"/>
  <c r="CL184" i="1" s="1"/>
  <c r="CH216" i="1"/>
  <c r="CK216" i="1" s="1"/>
  <c r="CL216" i="1" s="1"/>
  <c r="CH248" i="1"/>
  <c r="CH281" i="1"/>
  <c r="CH90" i="1"/>
  <c r="CK90" i="1" s="1"/>
  <c r="CL90" i="1" s="1"/>
  <c r="CH164" i="1"/>
  <c r="CK164" i="1" s="1"/>
  <c r="CL164" i="1" s="1"/>
  <c r="AV62" i="1"/>
  <c r="AW62" i="1" s="1"/>
  <c r="AV208" i="1"/>
  <c r="AW208" i="1" s="1"/>
  <c r="AV232" i="1"/>
  <c r="AW232" i="1" s="1"/>
  <c r="AV146" i="1"/>
  <c r="AW146" i="1" s="1"/>
  <c r="CU18" i="1"/>
  <c r="CV18" i="1" s="1"/>
  <c r="R18" i="1"/>
  <c r="S18" i="1" s="1"/>
  <c r="AV18" i="1"/>
  <c r="AW18" i="1" s="1"/>
  <c r="AL18" i="1"/>
  <c r="AM18" i="1" s="1"/>
  <c r="BG18" i="1"/>
  <c r="BH18" i="1" s="1"/>
  <c r="DV305" i="1"/>
  <c r="DY305" i="1" s="1"/>
  <c r="CH260" i="1"/>
  <c r="CK260" i="1" s="1"/>
  <c r="CL260" i="1" s="1"/>
  <c r="FE246" i="1"/>
  <c r="FF246" i="1" s="1"/>
  <c r="DL134" i="1"/>
  <c r="CH195" i="1"/>
  <c r="CH300" i="1"/>
  <c r="R25" i="1"/>
  <c r="S25" i="1" s="1"/>
  <c r="R305" i="1"/>
  <c r="S305" i="1" s="1"/>
  <c r="AV283" i="1"/>
  <c r="AW283" i="1" s="1"/>
  <c r="BD137" i="1"/>
  <c r="DL267" i="1"/>
  <c r="DL119" i="1"/>
  <c r="DL298" i="1"/>
  <c r="DO298" i="1" s="1"/>
  <c r="DP298" i="1" s="1"/>
  <c r="DL157" i="1"/>
  <c r="DO157" i="1" s="1"/>
  <c r="DP157" i="1" s="1"/>
  <c r="DL189" i="1"/>
  <c r="DO189" i="1" s="1"/>
  <c r="DP189" i="1" s="1"/>
  <c r="DL221" i="1"/>
  <c r="DO221" i="1" s="1"/>
  <c r="DP221" i="1" s="1"/>
  <c r="DL253" i="1"/>
  <c r="DO253" i="1" s="1"/>
  <c r="DP253" i="1" s="1"/>
  <c r="DL286" i="1"/>
  <c r="DL3" i="1"/>
  <c r="DO3" i="1" s="1"/>
  <c r="DP3" i="1" s="1"/>
  <c r="DL36" i="1"/>
  <c r="DL68" i="1"/>
  <c r="DO68" i="1" s="1"/>
  <c r="DP68" i="1" s="1"/>
  <c r="DL100" i="1"/>
  <c r="DO100" i="1" s="1"/>
  <c r="DP100" i="1" s="1"/>
  <c r="DL133" i="1"/>
  <c r="DO133" i="1" s="1"/>
  <c r="DP133" i="1" s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O262" i="1" s="1"/>
  <c r="DP262" i="1" s="1"/>
  <c r="DV16" i="1"/>
  <c r="DV49" i="1"/>
  <c r="DY49" i="1" s="1"/>
  <c r="DL165" i="1"/>
  <c r="DO165" i="1" s="1"/>
  <c r="DP165" i="1" s="1"/>
  <c r="DL197" i="1"/>
  <c r="DO197" i="1" s="1"/>
  <c r="DP197" i="1" s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O108" i="1" s="1"/>
  <c r="DP108" i="1" s="1"/>
  <c r="DL142" i="1"/>
  <c r="DO142" i="1" s="1"/>
  <c r="DP142" i="1" s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E169" i="1" s="1"/>
  <c r="DF169" i="1" s="1"/>
  <c r="DV81" i="1"/>
  <c r="DY81" i="1" s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DO291" i="1" s="1"/>
  <c r="DP291" i="1" s="1"/>
  <c r="CH234" i="1"/>
  <c r="CH267" i="1"/>
  <c r="CH299" i="1"/>
  <c r="CK299" i="1" s="1"/>
  <c r="CL299" i="1" s="1"/>
  <c r="DL62" i="1"/>
  <c r="DO62" i="1" s="1"/>
  <c r="DP62" i="1" s="1"/>
  <c r="DV17" i="1"/>
  <c r="DY17" i="1" s="1"/>
  <c r="DZ17" i="1" s="1"/>
  <c r="DV50" i="1"/>
  <c r="DY50" i="1" s="1"/>
  <c r="DZ50" i="1" s="1"/>
  <c r="DV82" i="1"/>
  <c r="DY82" i="1" s="1"/>
  <c r="DZ82" i="1" s="1"/>
  <c r="DV114" i="1"/>
  <c r="DV148" i="1"/>
  <c r="DY148" i="1" s="1"/>
  <c r="DZ148" i="1" s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Y67" i="1" s="1"/>
  <c r="DZ67" i="1" s="1"/>
  <c r="DV99" i="1"/>
  <c r="DV132" i="1"/>
  <c r="DY132" i="1" s="1"/>
  <c r="DZ132" i="1" s="1"/>
  <c r="DV165" i="1"/>
  <c r="DY165" i="1" s="1"/>
  <c r="DZ165" i="1" s="1"/>
  <c r="DV197" i="1"/>
  <c r="DV229" i="1"/>
  <c r="DV261" i="1"/>
  <c r="DY261" i="1" s="1"/>
  <c r="DV294" i="1"/>
  <c r="DY294" i="1" s="1"/>
  <c r="DZ294" i="1" s="1"/>
  <c r="DL4" i="1"/>
  <c r="DP4" i="1" s="1"/>
  <c r="DL37" i="1"/>
  <c r="DO37" i="1" s="1"/>
  <c r="DP37" i="1" s="1"/>
  <c r="CR305" i="1"/>
  <c r="CU305" i="1" s="1"/>
  <c r="CV305" i="1" s="1"/>
  <c r="DL274" i="1"/>
  <c r="DL111" i="1"/>
  <c r="DO111" i="1" s="1"/>
  <c r="DP111" i="1" s="1"/>
  <c r="BD262" i="1"/>
  <c r="BG262" i="1" s="1"/>
  <c r="BH262" i="1" s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K30" i="1" s="1"/>
  <c r="CL30" i="1" s="1"/>
  <c r="CH62" i="1"/>
  <c r="CK62" i="1" s="1"/>
  <c r="CL62" i="1" s="1"/>
  <c r="CH94" i="1"/>
  <c r="CK94" i="1" s="1"/>
  <c r="CL94" i="1" s="1"/>
  <c r="CH127" i="1"/>
  <c r="CK127" i="1" s="1"/>
  <c r="CL127" i="1" s="1"/>
  <c r="CH160" i="1"/>
  <c r="CK160" i="1" s="1"/>
  <c r="CL160" i="1" s="1"/>
  <c r="CH192" i="1"/>
  <c r="CK192" i="1" s="1"/>
  <c r="CL192" i="1" s="1"/>
  <c r="CH224" i="1"/>
  <c r="CK224" i="1" s="1"/>
  <c r="CL224" i="1" s="1"/>
  <c r="CH256" i="1"/>
  <c r="CH289" i="1"/>
  <c r="CK289" i="1" s="1"/>
  <c r="CL289" i="1" s="1"/>
  <c r="CH9" i="1"/>
  <c r="CK9" i="1" s="1"/>
  <c r="CL9" i="1" s="1"/>
  <c r="CH106" i="1"/>
  <c r="CK106" i="1" s="1"/>
  <c r="CL106" i="1" s="1"/>
  <c r="CH196" i="1"/>
  <c r="CK196" i="1" s="1"/>
  <c r="CL196" i="1" s="1"/>
  <c r="CH269" i="1"/>
  <c r="CK269" i="1" s="1"/>
  <c r="CL269" i="1" s="1"/>
  <c r="BX46" i="1"/>
  <c r="CA46" i="1" s="1"/>
  <c r="CB46" i="1" s="1"/>
  <c r="BX224" i="1"/>
  <c r="CA224" i="1" s="1"/>
  <c r="CB224" i="1" s="1"/>
  <c r="CR296" i="1"/>
  <c r="CU296" i="1" s="1"/>
  <c r="CV296" i="1" s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G3" i="1" s="1"/>
  <c r="BH3" i="1" s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BG53" i="1" s="1"/>
  <c r="BH53" i="1" s="1"/>
  <c r="DL258" i="1"/>
  <c r="DL177" i="1"/>
  <c r="DO177" i="1" s="1"/>
  <c r="DP177" i="1" s="1"/>
  <c r="DL241" i="1"/>
  <c r="DO241" i="1" s="1"/>
  <c r="DP241" i="1" s="1"/>
  <c r="BN39" i="1"/>
  <c r="BQ39" i="1" s="1"/>
  <c r="BR39" i="1" s="1"/>
  <c r="BN92" i="1"/>
  <c r="BQ92" i="1" s="1"/>
  <c r="BR92" i="1" s="1"/>
  <c r="BN243" i="1"/>
  <c r="BN67" i="1"/>
  <c r="BQ67" i="1" s="1"/>
  <c r="BR67" i="1" s="1"/>
  <c r="BN180" i="1"/>
  <c r="BQ180" i="1" s="1"/>
  <c r="BR180" i="1" s="1"/>
  <c r="BN49" i="1"/>
  <c r="BN141" i="1"/>
  <c r="BN173" i="1"/>
  <c r="BQ173" i="1" s="1"/>
  <c r="BR173" i="1" s="1"/>
  <c r="BN187" i="1"/>
  <c r="BQ187" i="1" s="1"/>
  <c r="BR187" i="1" s="1"/>
  <c r="BN252" i="1"/>
  <c r="BQ252" i="1" s="1"/>
  <c r="BR252" i="1" s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CA156" i="1" s="1"/>
  <c r="CB156" i="1" s="1"/>
  <c r="BX188" i="1"/>
  <c r="CA188" i="1" s="1"/>
  <c r="CB188" i="1" s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CA187" i="1" s="1"/>
  <c r="CB187" i="1" s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K217" i="1" s="1"/>
  <c r="CL217" i="1" s="1"/>
  <c r="CH249" i="1"/>
  <c r="CH282" i="1"/>
  <c r="CK282" i="1" s="1"/>
  <c r="CL282" i="1" s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K136" i="1" s="1"/>
  <c r="CL136" i="1" s="1"/>
  <c r="CH168" i="1"/>
  <c r="CK168" i="1" s="1"/>
  <c r="CL168" i="1" s="1"/>
  <c r="CH200" i="1"/>
  <c r="CL200" i="1" s="1"/>
  <c r="CH232" i="1"/>
  <c r="CK232" i="1" s="1"/>
  <c r="CL232" i="1" s="1"/>
  <c r="CH265" i="1"/>
  <c r="CK265" i="1" s="1"/>
  <c r="CL265" i="1" s="1"/>
  <c r="CH297" i="1"/>
  <c r="CK297" i="1" s="1"/>
  <c r="CL297" i="1" s="1"/>
  <c r="BX9" i="1"/>
  <c r="CA9" i="1" s="1"/>
  <c r="CB9" i="1" s="1"/>
  <c r="BX42" i="1"/>
  <c r="CA42" i="1" s="1"/>
  <c r="CB42" i="1" s="1"/>
  <c r="BX74" i="1"/>
  <c r="CA74" i="1" s="1"/>
  <c r="CB74" i="1" s="1"/>
  <c r="BX106" i="1"/>
  <c r="CA106" i="1" s="1"/>
  <c r="CB106" i="1" s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CA268" i="1" s="1"/>
  <c r="CB268" i="1" s="1"/>
  <c r="BX300" i="1"/>
  <c r="CA300" i="1" s="1"/>
  <c r="CB300" i="1" s="1"/>
  <c r="CH210" i="1"/>
  <c r="CH242" i="1"/>
  <c r="CK242" i="1" s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L13" i="1"/>
  <c r="AM13" i="1" s="1"/>
  <c r="AL46" i="1"/>
  <c r="AM46" i="1" s="1"/>
  <c r="AV250" i="1"/>
  <c r="AW250" i="1" s="1"/>
  <c r="AV265" i="1"/>
  <c r="AW265" i="1" s="1"/>
  <c r="BD162" i="1"/>
  <c r="BD226" i="1"/>
  <c r="BD291" i="1"/>
  <c r="BG291" i="1" s="1"/>
  <c r="BH291" i="1" s="1"/>
  <c r="BD208" i="1"/>
  <c r="BG208" i="1" s="1"/>
  <c r="BH208" i="1" s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O69" i="1" s="1"/>
  <c r="DP69" i="1" s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O199" i="1" s="1"/>
  <c r="DP199" i="1" s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G196" i="1" s="1"/>
  <c r="BH196" i="1" s="1"/>
  <c r="BD74" i="1"/>
  <c r="BG74" i="1" s="1"/>
  <c r="BH74" i="1" s="1"/>
  <c r="DL46" i="1"/>
  <c r="DO46" i="1" s="1"/>
  <c r="DP46" i="1" s="1"/>
  <c r="FE263" i="1"/>
  <c r="FF263" i="1" s="1"/>
  <c r="DL270" i="1"/>
  <c r="DP270" i="1" s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DO214" i="1" s="1"/>
  <c r="DP214" i="1" s="1"/>
  <c r="FE305" i="1"/>
  <c r="FF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N263" i="1"/>
  <c r="BX219" i="1"/>
  <c r="CA219" i="1" s="1"/>
  <c r="CB219" i="1" s="1"/>
  <c r="BX34" i="1"/>
  <c r="BX66" i="1"/>
  <c r="BX98" i="1"/>
  <c r="CA98" i="1" s="1"/>
  <c r="CB98" i="1" s="1"/>
  <c r="BX131" i="1"/>
  <c r="CA131" i="1" s="1"/>
  <c r="CB131" i="1" s="1"/>
  <c r="BX164" i="1"/>
  <c r="CA164" i="1" s="1"/>
  <c r="CB164" i="1" s="1"/>
  <c r="BX196" i="1"/>
  <c r="CA196" i="1" s="1"/>
  <c r="CB196" i="1" s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BX292" i="1"/>
  <c r="CA292" i="1" s="1"/>
  <c r="CB292" i="1" s="1"/>
  <c r="BX5" i="1"/>
  <c r="CA5" i="1" s="1"/>
  <c r="CB5" i="1" s="1"/>
  <c r="BX200" i="1"/>
  <c r="CB200" i="1" s="1"/>
  <c r="BX30" i="1"/>
  <c r="CA30" i="1" s="1"/>
  <c r="CB30" i="1" s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K219" i="1" s="1"/>
  <c r="CL219" i="1" s="1"/>
  <c r="CH31" i="1"/>
  <c r="CH63" i="1"/>
  <c r="CK63" i="1" s="1"/>
  <c r="CL63" i="1" s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CK225" i="1" s="1"/>
  <c r="CL225" i="1" s="1"/>
  <c r="BX211" i="1"/>
  <c r="CA211" i="1" s="1"/>
  <c r="CB211" i="1" s="1"/>
  <c r="CH13" i="1"/>
  <c r="CH46" i="1"/>
  <c r="CK46" i="1" s="1"/>
  <c r="CL46" i="1" s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K240" i="1" s="1"/>
  <c r="CL240" i="1" s="1"/>
  <c r="CH273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8" i="1"/>
  <c r="CA148" i="1" s="1"/>
  <c r="CB148" i="1" s="1"/>
  <c r="BX180" i="1"/>
  <c r="CA180" i="1" s="1"/>
  <c r="CB180" i="1" s="1"/>
  <c r="BX212" i="1"/>
  <c r="CA212" i="1" s="1"/>
  <c r="CB212" i="1" s="1"/>
  <c r="BX244" i="1"/>
  <c r="CA244" i="1" s="1"/>
  <c r="CB244" i="1" s="1"/>
  <c r="BX277" i="1"/>
  <c r="BX276" i="1"/>
  <c r="CA276" i="1" s="1"/>
  <c r="CB276" i="1" s="1"/>
  <c r="CH53" i="1"/>
  <c r="CH272" i="1"/>
  <c r="CK272" i="1" s="1"/>
  <c r="CL272" i="1" s="1"/>
  <c r="BX175" i="1"/>
  <c r="CA175" i="1" s="1"/>
  <c r="CB175" i="1" s="1"/>
  <c r="CH74" i="1"/>
  <c r="CK74" i="1" s="1"/>
  <c r="CL74" i="1" s="1"/>
  <c r="CH131" i="1"/>
  <c r="CK131" i="1" s="1"/>
  <c r="CL131" i="1" s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K218" i="1" s="1"/>
  <c r="CL218" i="1" s="1"/>
  <c r="CH250" i="1"/>
  <c r="CH283" i="1"/>
  <c r="CK283" i="1" s="1"/>
  <c r="CL283" i="1" s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U54" i="1" s="1"/>
  <c r="CV54" i="1" s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U59" i="1" s="1"/>
  <c r="CV59" i="1" s="1"/>
  <c r="CR253" i="1"/>
  <c r="CU253" i="1" s="1"/>
  <c r="CV253" i="1" s="1"/>
  <c r="CR36" i="1"/>
  <c r="CU36" i="1" s="1"/>
  <c r="CV36" i="1" s="1"/>
  <c r="CR247" i="1"/>
  <c r="CR208" i="1"/>
  <c r="CU208" i="1" s="1"/>
  <c r="CV208" i="1" s="1"/>
  <c r="AL120" i="1"/>
  <c r="AM120" i="1" s="1"/>
  <c r="CR174" i="1"/>
  <c r="CU174" i="1" s="1"/>
  <c r="CV174" i="1" s="1"/>
  <c r="CR238" i="1"/>
  <c r="CU238" i="1" s="1"/>
  <c r="CV238" i="1" s="1"/>
  <c r="CR303" i="1"/>
  <c r="CU303" i="1" s="1"/>
  <c r="CV303" i="1" s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FE295" i="1"/>
  <c r="FF295" i="1" s="1"/>
  <c r="FE254" i="1"/>
  <c r="FF254" i="1" s="1"/>
  <c r="AV162" i="1"/>
  <c r="AW162" i="1" s="1"/>
  <c r="AV56" i="1"/>
  <c r="AW56" i="1" s="1"/>
  <c r="BD215" i="1"/>
  <c r="BG215" i="1" s="1"/>
  <c r="BH215" i="1" s="1"/>
  <c r="BD56" i="1"/>
  <c r="BG56" i="1" s="1"/>
  <c r="BH56" i="1" s="1"/>
  <c r="BD228" i="1"/>
  <c r="BD214" i="1"/>
  <c r="BD39" i="1"/>
  <c r="BG39" i="1" s="1"/>
  <c r="BH39" i="1" s="1"/>
  <c r="BD272" i="1"/>
  <c r="BG272" i="1" s="1"/>
  <c r="BH272" i="1" s="1"/>
  <c r="BD178" i="1"/>
  <c r="BD242" i="1"/>
  <c r="BG242" i="1" s="1"/>
  <c r="BH242" i="1" s="1"/>
  <c r="AV110" i="1"/>
  <c r="AW110" i="1" s="1"/>
  <c r="AV49" i="1"/>
  <c r="AV179" i="1"/>
  <c r="AV243" i="1"/>
  <c r="AW243" i="1" s="1"/>
  <c r="AV51" i="1"/>
  <c r="AW51" i="1" s="1"/>
  <c r="AV115" i="1"/>
  <c r="AW115" i="1" s="1"/>
  <c r="AV181" i="1"/>
  <c r="AW181" i="1" s="1"/>
  <c r="AV245" i="1"/>
  <c r="AW245" i="1" s="1"/>
  <c r="AV68" i="1"/>
  <c r="AW68" i="1" s="1"/>
  <c r="BD129" i="1"/>
  <c r="BG129" i="1" s="1"/>
  <c r="BH129" i="1" s="1"/>
  <c r="BD194" i="1"/>
  <c r="BH194" i="1" s="1"/>
  <c r="BD258" i="1"/>
  <c r="BG258" i="1" s="1"/>
  <c r="BH258" i="1" s="1"/>
  <c r="AV57" i="1"/>
  <c r="AW57" i="1" s="1"/>
  <c r="AV121" i="1"/>
  <c r="AW121" i="1" s="1"/>
  <c r="AV251" i="1"/>
  <c r="AW251" i="1" s="1"/>
  <c r="AV144" i="1"/>
  <c r="AW144" i="1" s="1"/>
  <c r="AV297" i="1"/>
  <c r="AW297" i="1" s="1"/>
  <c r="AV275" i="1"/>
  <c r="AW275" i="1" s="1"/>
  <c r="DL12" i="1"/>
  <c r="DO12" i="1" s="1"/>
  <c r="DP12" i="1" s="1"/>
  <c r="DL45" i="1"/>
  <c r="DO45" i="1" s="1"/>
  <c r="DP45" i="1" s="1"/>
  <c r="DL77" i="1"/>
  <c r="DO77" i="1" s="1"/>
  <c r="DP77" i="1" s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O272" i="1" s="1"/>
  <c r="DP272" i="1" s="1"/>
  <c r="DL304" i="1"/>
  <c r="DO304" i="1" s="1"/>
  <c r="DP304" i="1" s="1"/>
  <c r="DL283" i="1"/>
  <c r="DO283" i="1" s="1"/>
  <c r="DP283" i="1" s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O75" i="1" s="1"/>
  <c r="DP75" i="1" s="1"/>
  <c r="DL141" i="1"/>
  <c r="DO141" i="1" s="1"/>
  <c r="DP141" i="1" s="1"/>
  <c r="BD146" i="1"/>
  <c r="BG146" i="1" s="1"/>
  <c r="BH146" i="1" s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O21" i="1" s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G90" i="1" s="1"/>
  <c r="BH90" i="1" s="1"/>
  <c r="BD117" i="1"/>
  <c r="BG117" i="1" s="1"/>
  <c r="BH117" i="1" s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BG150" i="1" s="1"/>
  <c r="BH150" i="1" s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Y9" i="1" s="1"/>
  <c r="DV42" i="1"/>
  <c r="DY42" i="1" s="1"/>
  <c r="DZ42" i="1" s="1"/>
  <c r="DV74" i="1"/>
  <c r="DY74" i="1" s="1"/>
  <c r="DZ74" i="1" s="1"/>
  <c r="DV106" i="1"/>
  <c r="DY106" i="1" s="1"/>
  <c r="DZ106" i="1" s="1"/>
  <c r="DV140" i="1"/>
  <c r="DY140" i="1" s="1"/>
  <c r="DZ140" i="1" s="1"/>
  <c r="DV172" i="1"/>
  <c r="DV204" i="1"/>
  <c r="DZ204" i="1" s="1"/>
  <c r="DV236" i="1"/>
  <c r="DY236" i="1" s="1"/>
  <c r="DV269" i="1"/>
  <c r="DY269" i="1" s="1"/>
  <c r="DV301" i="1"/>
  <c r="DV27" i="1"/>
  <c r="DY27" i="1" s="1"/>
  <c r="DV59" i="1"/>
  <c r="DY59" i="1" s="1"/>
  <c r="DZ59" i="1" s="1"/>
  <c r="DV91" i="1"/>
  <c r="DY91" i="1" s="1"/>
  <c r="DZ91" i="1" s="1"/>
  <c r="DV124" i="1"/>
  <c r="DV157" i="1"/>
  <c r="DV189" i="1"/>
  <c r="DY189" i="1" s="1"/>
  <c r="DV221" i="1"/>
  <c r="DY221" i="1" s="1"/>
  <c r="DZ221" i="1" s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Y227" i="1" s="1"/>
  <c r="DZ227" i="1" s="1"/>
  <c r="DV259" i="1"/>
  <c r="DY259" i="1" s="1"/>
  <c r="DV292" i="1"/>
  <c r="DV297" i="1"/>
  <c r="DY297" i="1" s="1"/>
  <c r="DB21" i="1"/>
  <c r="DE21" i="1" s="1"/>
  <c r="DF21" i="1" s="1"/>
  <c r="DV52" i="1"/>
  <c r="DY52" i="1" s="1"/>
  <c r="DZ52" i="1" s="1"/>
  <c r="DB166" i="1"/>
  <c r="DE166" i="1" s="1"/>
  <c r="DF166" i="1" s="1"/>
  <c r="DV287" i="1"/>
  <c r="DY287" i="1" s="1"/>
  <c r="DZ287" i="1" s="1"/>
  <c r="DV8" i="1"/>
  <c r="DY8" i="1" s="1"/>
  <c r="DZ8" i="1" s="1"/>
  <c r="DV41" i="1"/>
  <c r="DY41" i="1" s="1"/>
  <c r="DZ41" i="1" s="1"/>
  <c r="DV73" i="1"/>
  <c r="DV105" i="1"/>
  <c r="DY105" i="1" s="1"/>
  <c r="DV139" i="1"/>
  <c r="DY139" i="1" s="1"/>
  <c r="DZ139" i="1" s="1"/>
  <c r="DV203" i="1"/>
  <c r="DY203" i="1" s="1"/>
  <c r="DV235" i="1"/>
  <c r="DY235" i="1" s="1"/>
  <c r="DZ235" i="1" s="1"/>
  <c r="DV268" i="1"/>
  <c r="DY268" i="1" s="1"/>
  <c r="DV300" i="1"/>
  <c r="DY300" i="1" s="1"/>
  <c r="DB28" i="1"/>
  <c r="DE28" i="1" s="1"/>
  <c r="DF28" i="1" s="1"/>
  <c r="DB151" i="1"/>
  <c r="DB292" i="1"/>
  <c r="DE292" i="1" s="1"/>
  <c r="DF292" i="1" s="1"/>
  <c r="DB225" i="1"/>
  <c r="DE225" i="1" s="1"/>
  <c r="DF225" i="1" s="1"/>
  <c r="DB239" i="1"/>
  <c r="DE239" i="1" s="1"/>
  <c r="DF239" i="1" s="1"/>
  <c r="DB167" i="1"/>
  <c r="DE167" i="1" s="1"/>
  <c r="DF167" i="1" s="1"/>
  <c r="DB23" i="1"/>
  <c r="DB92" i="1"/>
  <c r="DE92" i="1" s="1"/>
  <c r="DF92" i="1" s="1"/>
  <c r="DB251" i="1"/>
  <c r="DB304" i="1"/>
  <c r="DB300" i="1"/>
  <c r="DE300" i="1" s="1"/>
  <c r="DF300" i="1" s="1"/>
  <c r="DB19" i="1"/>
  <c r="DE19" i="1" s="1"/>
  <c r="DF19" i="1" s="1"/>
  <c r="DB51" i="1"/>
  <c r="DE51" i="1" s="1"/>
  <c r="DF51" i="1" s="1"/>
  <c r="DB83" i="1"/>
  <c r="DE83" i="1" s="1"/>
  <c r="DF83" i="1" s="1"/>
  <c r="DB115" i="1"/>
  <c r="DB149" i="1"/>
  <c r="DE149" i="1" s="1"/>
  <c r="DF149" i="1" s="1"/>
  <c r="DB181" i="1"/>
  <c r="DE181" i="1" s="1"/>
  <c r="DF181" i="1" s="1"/>
  <c r="DB213" i="1"/>
  <c r="DB245" i="1"/>
  <c r="DE245" i="1" s="1"/>
  <c r="DF245" i="1" s="1"/>
  <c r="DB278" i="1"/>
  <c r="DE278" i="1" s="1"/>
  <c r="DF278" i="1" s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N194" i="1"/>
  <c r="BR194" i="1" s="1"/>
  <c r="BN258" i="1"/>
  <c r="BQ258" i="1" s="1"/>
  <c r="BR258" i="1" s="1"/>
  <c r="BN11" i="1"/>
  <c r="BQ11" i="1" s="1"/>
  <c r="BR11" i="1" s="1"/>
  <c r="BN87" i="1"/>
  <c r="BQ87" i="1" s="1"/>
  <c r="BR87" i="1" s="1"/>
  <c r="BN278" i="1"/>
  <c r="BN31" i="1"/>
  <c r="BQ31" i="1" s="1"/>
  <c r="BR31" i="1" s="1"/>
  <c r="BN121" i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Q253" i="1" s="1"/>
  <c r="BR253" i="1" s="1"/>
  <c r="BN130" i="1"/>
  <c r="BN195" i="1"/>
  <c r="BQ195" i="1" s="1"/>
  <c r="BR195" i="1" s="1"/>
  <c r="BN259" i="1"/>
  <c r="BQ259" i="1" s="1"/>
  <c r="BR259" i="1" s="1"/>
  <c r="BN23" i="1"/>
  <c r="BN294" i="1"/>
  <c r="BX41" i="1"/>
  <c r="BX105" i="1"/>
  <c r="CA105" i="1" s="1"/>
  <c r="CB105" i="1" s="1"/>
  <c r="BX235" i="1"/>
  <c r="CA235" i="1" s="1"/>
  <c r="CB235" i="1" s="1"/>
  <c r="BX154" i="1"/>
  <c r="CA154" i="1" s="1"/>
  <c r="CB154" i="1" s="1"/>
  <c r="BX176" i="1"/>
  <c r="CA176" i="1" s="1"/>
  <c r="CB176" i="1" s="1"/>
  <c r="BX49" i="1"/>
  <c r="CA49" i="1" s="1"/>
  <c r="CB49" i="1" s="1"/>
  <c r="BX113" i="1"/>
  <c r="BX179" i="1"/>
  <c r="CA179" i="1" s="1"/>
  <c r="CB179" i="1" s="1"/>
  <c r="BX243" i="1"/>
  <c r="CA243" i="1" s="1"/>
  <c r="CB243" i="1" s="1"/>
  <c r="BX304" i="1"/>
  <c r="CA304" i="1" s="1"/>
  <c r="CB304" i="1" s="1"/>
  <c r="BX16" i="1"/>
  <c r="CA16" i="1" s="1"/>
  <c r="CB16" i="1" s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CA73" i="1" s="1"/>
  <c r="CB73" i="1" s="1"/>
  <c r="BX139" i="1"/>
  <c r="CA139" i="1" s="1"/>
  <c r="CB139" i="1" s="1"/>
  <c r="BX203" i="1"/>
  <c r="BX273" i="1"/>
  <c r="CA273" i="1" s="1"/>
  <c r="CB273" i="1" s="1"/>
  <c r="BX86" i="1"/>
  <c r="CA86" i="1" s="1"/>
  <c r="CB86" i="1" s="1"/>
  <c r="BX109" i="1"/>
  <c r="BX23" i="1"/>
  <c r="CA23" i="1" s="1"/>
  <c r="CB23" i="1" s="1"/>
  <c r="BX216" i="1"/>
  <c r="CA216" i="1" s="1"/>
  <c r="CB216" i="1" s="1"/>
  <c r="BX265" i="1"/>
  <c r="BX136" i="1"/>
  <c r="CA136" i="1" s="1"/>
  <c r="CB136" i="1" s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CA227" i="1" s="1"/>
  <c r="CB227" i="1" s="1"/>
  <c r="BX14" i="1"/>
  <c r="CA14" i="1" s="1"/>
  <c r="CH259" i="1"/>
  <c r="CH190" i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K257" i="1" s="1"/>
  <c r="CL257" i="1" s="1"/>
  <c r="CH290" i="1"/>
  <c r="CA127" i="1"/>
  <c r="CB127" i="1" s="1"/>
  <c r="CA13" i="1"/>
  <c r="CB13" i="1" s="1"/>
  <c r="CH59" i="1"/>
  <c r="CH229" i="1"/>
  <c r="CK229" i="1" s="1"/>
  <c r="CL229" i="1" s="1"/>
  <c r="CA120" i="1"/>
  <c r="CB120" i="1" s="1"/>
  <c r="BX234" i="1"/>
  <c r="CA234" i="1" s="1"/>
  <c r="CB234" i="1" s="1"/>
  <c r="FE174" i="1"/>
  <c r="FF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K137" i="1" s="1"/>
  <c r="CL137" i="1" s="1"/>
  <c r="CH169" i="1"/>
  <c r="CK169" i="1" s="1"/>
  <c r="CL169" i="1" s="1"/>
  <c r="CH201" i="1"/>
  <c r="CH233" i="1"/>
  <c r="CK233" i="1" s="1"/>
  <c r="CL233" i="1" s="1"/>
  <c r="CH266" i="1"/>
  <c r="CK266" i="1" s="1"/>
  <c r="CL266" i="1" s="1"/>
  <c r="CH298" i="1"/>
  <c r="CK298" i="1" s="1"/>
  <c r="CL298" i="1" s="1"/>
  <c r="CH117" i="1"/>
  <c r="CK117" i="1" s="1"/>
  <c r="CL117" i="1" s="1"/>
  <c r="CA129" i="1"/>
  <c r="CB129" i="1" s="1"/>
  <c r="CH99" i="1"/>
  <c r="CK99" i="1" s="1"/>
  <c r="CL99" i="1" s="1"/>
  <c r="CH245" i="1"/>
  <c r="CK245" i="1" s="1"/>
  <c r="CL245" i="1" s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K167" i="1" s="1"/>
  <c r="CL167" i="1" s="1"/>
  <c r="CA144" i="1"/>
  <c r="CB144" i="1" s="1"/>
  <c r="CH43" i="1"/>
  <c r="CK43" i="1" s="1"/>
  <c r="CL43" i="1" s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K202" i="1" s="1"/>
  <c r="CL202" i="1" s="1"/>
  <c r="CH130" i="1"/>
  <c r="CH226" i="1"/>
  <c r="CK226" i="1" s="1"/>
  <c r="CL226" i="1" s="1"/>
  <c r="CH258" i="1"/>
  <c r="CH291" i="1"/>
  <c r="CK291" i="1" s="1"/>
  <c r="CL291" i="1" s="1"/>
  <c r="CH26" i="1"/>
  <c r="CK26" i="1" s="1"/>
  <c r="CL26" i="1" s="1"/>
  <c r="CH114" i="1"/>
  <c r="CK114" i="1" s="1"/>
  <c r="CL114" i="1" s="1"/>
  <c r="CH244" i="1"/>
  <c r="CK244" i="1" s="1"/>
  <c r="CL244" i="1" s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U245" i="1" s="1"/>
  <c r="CV245" i="1" s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U100" i="1" s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U127" i="1" s="1"/>
  <c r="CV127" i="1" s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L70" i="1"/>
  <c r="AM70" i="1" s="1"/>
  <c r="CR226" i="1"/>
  <c r="CU226" i="1" s="1"/>
  <c r="CV226" i="1" s="1"/>
  <c r="CR291" i="1"/>
  <c r="CU291" i="1" s="1"/>
  <c r="CV291" i="1" s="1"/>
  <c r="CR37" i="1"/>
  <c r="CU37" i="1" s="1"/>
  <c r="CV37" i="1" s="1"/>
  <c r="CR101" i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L34" i="1"/>
  <c r="AM34" i="1" s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L121" i="1"/>
  <c r="AM121" i="1" s="1"/>
  <c r="AM147" i="1"/>
  <c r="AV59" i="1"/>
  <c r="AW59" i="1" s="1"/>
  <c r="AV124" i="1"/>
  <c r="AW124" i="1" s="1"/>
  <c r="AV189" i="1"/>
  <c r="AW189" i="1" s="1"/>
  <c r="AV253" i="1"/>
  <c r="AW253" i="1" s="1"/>
  <c r="AV130" i="1"/>
  <c r="AW130" i="1" s="1"/>
  <c r="AV195" i="1"/>
  <c r="AW195" i="1" s="1"/>
  <c r="AV67" i="1"/>
  <c r="AW67" i="1" s="1"/>
  <c r="AV132" i="1"/>
  <c r="AW132" i="1" s="1"/>
  <c r="AV197" i="1"/>
  <c r="AW197" i="1" s="1"/>
  <c r="AV261" i="1"/>
  <c r="AW261" i="1" s="1"/>
  <c r="AV100" i="1"/>
  <c r="AW100" i="1" s="1"/>
  <c r="AW138" i="1"/>
  <c r="AV8" i="1"/>
  <c r="AW8" i="1" s="1"/>
  <c r="AV73" i="1"/>
  <c r="AW73" i="1" s="1"/>
  <c r="AV139" i="1"/>
  <c r="AW139" i="1" s="1"/>
  <c r="AV203" i="1"/>
  <c r="AV268" i="1"/>
  <c r="AW268" i="1" s="1"/>
  <c r="AV10" i="1"/>
  <c r="AW10" i="1" s="1"/>
  <c r="AV75" i="1"/>
  <c r="AW75" i="1" s="1"/>
  <c r="AV141" i="1"/>
  <c r="AW141" i="1" s="1"/>
  <c r="AV205" i="1"/>
  <c r="AW205" i="1" s="1"/>
  <c r="AW270" i="1"/>
  <c r="AV289" i="1"/>
  <c r="AW289" i="1" s="1"/>
  <c r="AV242" i="1"/>
  <c r="AW242" i="1" s="1"/>
  <c r="AV160" i="1"/>
  <c r="AW160" i="1" s="1"/>
  <c r="AV168" i="1"/>
  <c r="AW168" i="1" s="1"/>
  <c r="AV210" i="1"/>
  <c r="AW210" i="1" s="1"/>
  <c r="AV81" i="1"/>
  <c r="AW81" i="1" s="1"/>
  <c r="AW147" i="1"/>
  <c r="AV211" i="1"/>
  <c r="AW211" i="1" s="1"/>
  <c r="AV276" i="1"/>
  <c r="AW276" i="1" s="1"/>
  <c r="AV19" i="1"/>
  <c r="AW19" i="1" s="1"/>
  <c r="AV83" i="1"/>
  <c r="AW83" i="1" s="1"/>
  <c r="AV213" i="1"/>
  <c r="AW213" i="1" s="1"/>
  <c r="AV13" i="1"/>
  <c r="AW13" i="1" s="1"/>
  <c r="AV25" i="1"/>
  <c r="AW25" i="1" s="1"/>
  <c r="AV89" i="1"/>
  <c r="AW89" i="1" s="1"/>
  <c r="AV155" i="1"/>
  <c r="AW155" i="1" s="1"/>
  <c r="AV27" i="1"/>
  <c r="AW27" i="1" s="1"/>
  <c r="AV91" i="1"/>
  <c r="AW91" i="1" s="1"/>
  <c r="AV157" i="1"/>
  <c r="AW157" i="1" s="1"/>
  <c r="AV221" i="1"/>
  <c r="AW221" i="1" s="1"/>
  <c r="AV286" i="1"/>
  <c r="AW286" i="1" s="1"/>
  <c r="AV7" i="1"/>
  <c r="AW7" i="1" s="1"/>
  <c r="AV30" i="1"/>
  <c r="AW30" i="1" s="1"/>
  <c r="AV33" i="1"/>
  <c r="AW33" i="1" s="1"/>
  <c r="AV97" i="1"/>
  <c r="AW97" i="1" s="1"/>
  <c r="AV163" i="1"/>
  <c r="AW163" i="1" s="1"/>
  <c r="AV227" i="1"/>
  <c r="AW227" i="1" s="1"/>
  <c r="AV292" i="1"/>
  <c r="AW292" i="1" s="1"/>
  <c r="AV35" i="1"/>
  <c r="AW35" i="1" s="1"/>
  <c r="AV165" i="1"/>
  <c r="AW165" i="1" s="1"/>
  <c r="AV229" i="1"/>
  <c r="AW229" i="1" s="1"/>
  <c r="AV294" i="1"/>
  <c r="AW294" i="1" s="1"/>
  <c r="AV72" i="1"/>
  <c r="AW72" i="1" s="1"/>
  <c r="AV5" i="1"/>
  <c r="AW5" i="1" s="1"/>
  <c r="R137" i="1"/>
  <c r="S137" i="1" s="1"/>
  <c r="AV41" i="1"/>
  <c r="AW41" i="1" s="1"/>
  <c r="AV171" i="1"/>
  <c r="AW171" i="1" s="1"/>
  <c r="AV235" i="1"/>
  <c r="AW235" i="1" s="1"/>
  <c r="AV300" i="1"/>
  <c r="AW300" i="1" s="1"/>
  <c r="AV43" i="1"/>
  <c r="AW43" i="1" s="1"/>
  <c r="AV107" i="1"/>
  <c r="AW107" i="1" s="1"/>
  <c r="AV173" i="1"/>
  <c r="AW173" i="1" s="1"/>
  <c r="AV237" i="1"/>
  <c r="AW237" i="1" s="1"/>
  <c r="AV302" i="1"/>
  <c r="AW302" i="1" s="1"/>
  <c r="AV267" i="1"/>
  <c r="AW267" i="1" s="1"/>
  <c r="AV202" i="1"/>
  <c r="AW202" i="1" s="1"/>
  <c r="AV60" i="1"/>
  <c r="AW60" i="1" s="1"/>
  <c r="AV224" i="1"/>
  <c r="AW224" i="1" s="1"/>
  <c r="AV273" i="1"/>
  <c r="AW273" i="1" s="1"/>
  <c r="AV186" i="1"/>
  <c r="AW186" i="1" s="1"/>
  <c r="BD154" i="1"/>
  <c r="BG154" i="1" s="1"/>
  <c r="BH154" i="1" s="1"/>
  <c r="BD218" i="1"/>
  <c r="BG218" i="1" s="1"/>
  <c r="BH218" i="1" s="1"/>
  <c r="BD283" i="1"/>
  <c r="BG283" i="1" s="1"/>
  <c r="BH283" i="1" s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G280" i="1" s="1"/>
  <c r="BH280" i="1" s="1"/>
  <c r="BD168" i="1"/>
  <c r="BG168" i="1" s="1"/>
  <c r="BH168" i="1" s="1"/>
  <c r="BD232" i="1"/>
  <c r="BG232" i="1" s="1"/>
  <c r="BH232" i="1" s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V64" i="1"/>
  <c r="AW64" i="1" s="1"/>
  <c r="BD198" i="1"/>
  <c r="BG198" i="1" s="1"/>
  <c r="BH198" i="1" s="1"/>
  <c r="BD295" i="1"/>
  <c r="BG295" i="1" s="1"/>
  <c r="BH295" i="1" s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BG111" i="1" s="1"/>
  <c r="BH111" i="1" s="1"/>
  <c r="AV23" i="1"/>
  <c r="AW23" i="1" s="1"/>
  <c r="AV234" i="1"/>
  <c r="AW234" i="1" s="1"/>
  <c r="AV95" i="1"/>
  <c r="AW95" i="1" s="1"/>
  <c r="AV184" i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V88" i="1"/>
  <c r="AW88" i="1" s="1"/>
  <c r="AV3" i="1"/>
  <c r="AW3" i="1" s="1"/>
  <c r="AV39" i="1"/>
  <c r="AW39" i="1" s="1"/>
  <c r="AV192" i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V111" i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V104" i="1"/>
  <c r="AW104" i="1" s="1"/>
  <c r="AV20" i="1"/>
  <c r="AW20" i="1" s="1"/>
  <c r="AV55" i="1"/>
  <c r="AW55" i="1" s="1"/>
  <c r="AV119" i="1"/>
  <c r="AW119" i="1" s="1"/>
  <c r="BD122" i="1"/>
  <c r="BG122" i="1" s="1"/>
  <c r="BH122" i="1" s="1"/>
  <c r="BD252" i="1"/>
  <c r="BG252" i="1" s="1"/>
  <c r="BH252" i="1" s="1"/>
  <c r="BD144" i="1"/>
  <c r="BG144" i="1" s="1"/>
  <c r="BH144" i="1" s="1"/>
  <c r="BD273" i="1"/>
  <c r="BD249" i="1"/>
  <c r="BG249" i="1" s="1"/>
  <c r="BH249" i="1" s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V32" i="1"/>
  <c r="AW32" i="1" s="1"/>
  <c r="AV178" i="1"/>
  <c r="AW178" i="1" s="1"/>
  <c r="AW204" i="1"/>
  <c r="AV63" i="1"/>
  <c r="AW63" i="1" s="1"/>
  <c r="AV128" i="1"/>
  <c r="AW128" i="1" s="1"/>
  <c r="BD216" i="1"/>
  <c r="BD281" i="1"/>
  <c r="BG281" i="1" s="1"/>
  <c r="BH281" i="1" s="1"/>
  <c r="AV248" i="1"/>
  <c r="AW248" i="1" s="1"/>
  <c r="AV28" i="1"/>
  <c r="AW28" i="1" s="1"/>
  <c r="AV120" i="1"/>
  <c r="AW120" i="1" s="1"/>
  <c r="AW194" i="1"/>
  <c r="AV44" i="1"/>
  <c r="AW44" i="1" s="1"/>
  <c r="AV256" i="1"/>
  <c r="AW256" i="1" s="1"/>
  <c r="BD166" i="1"/>
  <c r="BG166" i="1" s="1"/>
  <c r="BH166" i="1" s="1"/>
  <c r="BD279" i="1"/>
  <c r="BG279" i="1" s="1"/>
  <c r="BH279" i="1" s="1"/>
  <c r="BD160" i="1"/>
  <c r="BG160" i="1" s="1"/>
  <c r="BH160" i="1" s="1"/>
  <c r="BD289" i="1"/>
  <c r="BG289" i="1" s="1"/>
  <c r="BH289" i="1" s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V48" i="1"/>
  <c r="AW48" i="1" s="1"/>
  <c r="AV52" i="1"/>
  <c r="AW52" i="1" s="1"/>
  <c r="AW61" i="1"/>
  <c r="AV38" i="1"/>
  <c r="AW38" i="1" s="1"/>
  <c r="AV127" i="1"/>
  <c r="AW127" i="1" s="1"/>
  <c r="AV14" i="1"/>
  <c r="AW14" i="1" s="1"/>
  <c r="AV79" i="1"/>
  <c r="AW79" i="1" s="1"/>
  <c r="AV281" i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O153" i="1" s="1"/>
  <c r="DP153" i="1" s="1"/>
  <c r="DL78" i="1"/>
  <c r="DO78" i="1" s="1"/>
  <c r="DP78" i="1" s="1"/>
  <c r="BD95" i="1"/>
  <c r="BG95" i="1" s="1"/>
  <c r="BH95" i="1" s="1"/>
  <c r="DL27" i="1"/>
  <c r="DL91" i="1"/>
  <c r="DO91" i="1" s="1"/>
  <c r="DP91" i="1" s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O271" i="1" s="1"/>
  <c r="DP271" i="1" s="1"/>
  <c r="DL303" i="1"/>
  <c r="DO303" i="1" s="1"/>
  <c r="DP303" i="1" s="1"/>
  <c r="DL161" i="1"/>
  <c r="DO161" i="1" s="1"/>
  <c r="DP161" i="1" s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O126" i="1" s="1"/>
  <c r="DP126" i="1" s="1"/>
  <c r="DL159" i="1"/>
  <c r="DO159" i="1" s="1"/>
  <c r="DP159" i="1" s="1"/>
  <c r="DL191" i="1"/>
  <c r="DO191" i="1" s="1"/>
  <c r="DP191" i="1" s="1"/>
  <c r="DL223" i="1"/>
  <c r="EN223" i="1" s="1"/>
  <c r="DL255" i="1"/>
  <c r="DO255" i="1" s="1"/>
  <c r="DP255" i="1" s="1"/>
  <c r="DL288" i="1"/>
  <c r="DO288" i="1" s="1"/>
  <c r="DP288" i="1" s="1"/>
  <c r="DL282" i="1"/>
  <c r="DO282" i="1" s="1"/>
  <c r="DP282" i="1" s="1"/>
  <c r="DL138" i="1"/>
  <c r="DP138" i="1" s="1"/>
  <c r="DL168" i="1"/>
  <c r="DO168" i="1" s="1"/>
  <c r="DP168" i="1" s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O51" i="1" s="1"/>
  <c r="DP51" i="1" s="1"/>
  <c r="DL115" i="1"/>
  <c r="DO115" i="1" s="1"/>
  <c r="DP115" i="1" s="1"/>
  <c r="DL152" i="1"/>
  <c r="DO152" i="1" s="1"/>
  <c r="DP152" i="1" s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O181" i="1" s="1"/>
  <c r="DP181" i="1" s="1"/>
  <c r="DL213" i="1"/>
  <c r="DO213" i="1" s="1"/>
  <c r="DP213" i="1" s="1"/>
  <c r="DL245" i="1"/>
  <c r="DO245" i="1" s="1"/>
  <c r="DP245" i="1" s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O92" i="1" s="1"/>
  <c r="DP92" i="1" s="1"/>
  <c r="DL125" i="1"/>
  <c r="DO125" i="1" s="1"/>
  <c r="DP125" i="1" s="1"/>
  <c r="DL158" i="1"/>
  <c r="DO158" i="1" s="1"/>
  <c r="DP158" i="1" s="1"/>
  <c r="DL190" i="1"/>
  <c r="DO190" i="1" s="1"/>
  <c r="DP190" i="1" s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DO30" i="1" s="1"/>
  <c r="DP30" i="1" s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O281" i="1" s="1"/>
  <c r="DP281" i="1" s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FE262" i="1"/>
  <c r="FF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Y58" i="1" s="1"/>
  <c r="DV90" i="1"/>
  <c r="DY90" i="1" s="1"/>
  <c r="DZ90" i="1" s="1"/>
  <c r="DV122" i="1"/>
  <c r="DY122" i="1" s="1"/>
  <c r="DZ122" i="1" s="1"/>
  <c r="DV156" i="1"/>
  <c r="DY156" i="1" s="1"/>
  <c r="DV188" i="1"/>
  <c r="DV220" i="1"/>
  <c r="DY220" i="1" s="1"/>
  <c r="DZ220" i="1" s="1"/>
  <c r="DV252" i="1"/>
  <c r="DY252" i="1" s="1"/>
  <c r="DZ252" i="1" s="1"/>
  <c r="DV285" i="1"/>
  <c r="DV10" i="1"/>
  <c r="DY10" i="1" s="1"/>
  <c r="DZ10" i="1" s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Z270" i="1" s="1"/>
  <c r="DV302" i="1"/>
  <c r="DY302" i="1" s="1"/>
  <c r="DZ302" i="1" s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Y66" i="1" s="1"/>
  <c r="DZ66" i="1" s="1"/>
  <c r="DV98" i="1"/>
  <c r="DY98" i="1" s="1"/>
  <c r="DV131" i="1"/>
  <c r="DV164" i="1"/>
  <c r="DY164" i="1" s="1"/>
  <c r="DZ164" i="1" s="1"/>
  <c r="DV196" i="1"/>
  <c r="DY196" i="1" s="1"/>
  <c r="DZ196" i="1" s="1"/>
  <c r="DV228" i="1"/>
  <c r="DY228" i="1" s="1"/>
  <c r="DZ228" i="1" s="1"/>
  <c r="DV260" i="1"/>
  <c r="DY260" i="1" s="1"/>
  <c r="DZ260" i="1" s="1"/>
  <c r="DV293" i="1"/>
  <c r="DY293" i="1" s="1"/>
  <c r="DZ293" i="1" s="1"/>
  <c r="DV19" i="1"/>
  <c r="DY19" i="1" s="1"/>
  <c r="DZ19" i="1" s="1"/>
  <c r="DV51" i="1"/>
  <c r="DY51" i="1" s="1"/>
  <c r="DZ51" i="1" s="1"/>
  <c r="DV83" i="1"/>
  <c r="DV115" i="1"/>
  <c r="DV149" i="1"/>
  <c r="DY149" i="1" s="1"/>
  <c r="DZ149" i="1" s="1"/>
  <c r="DV181" i="1"/>
  <c r="DY181" i="1" s="1"/>
  <c r="DV213" i="1"/>
  <c r="DY213" i="1" s="1"/>
  <c r="DZ213" i="1" s="1"/>
  <c r="DV245" i="1"/>
  <c r="DY245" i="1" s="1"/>
  <c r="DZ245" i="1" s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Y57" i="1" s="1"/>
  <c r="DZ57" i="1" s="1"/>
  <c r="DV89" i="1"/>
  <c r="DY89" i="1" s="1"/>
  <c r="DZ89" i="1" s="1"/>
  <c r="DV121" i="1"/>
  <c r="DY121" i="1" s="1"/>
  <c r="DZ121" i="1" s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E59" i="1" s="1"/>
  <c r="DF59" i="1" s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Z53" i="1" s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Z186" i="1" s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E165" i="1" s="1"/>
  <c r="DF165" i="1" s="1"/>
  <c r="DB197" i="1"/>
  <c r="DE197" i="1" s="1"/>
  <c r="DF197" i="1" s="1"/>
  <c r="DB229" i="1"/>
  <c r="DE229" i="1" s="1"/>
  <c r="DF229" i="1" s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Q139" i="1" s="1"/>
  <c r="BR139" i="1" s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Q124" i="1" s="1"/>
  <c r="BR124" i="1" s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R270" i="1" s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Q95" i="1" s="1"/>
  <c r="BR95" i="1" s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R138" i="1" s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Q19" i="1" s="1"/>
  <c r="BR19" i="1" s="1"/>
  <c r="BN107" i="1"/>
  <c r="BN213" i="1"/>
  <c r="BQ213" i="1" s="1"/>
  <c r="BR213" i="1" s="1"/>
  <c r="BN245" i="1"/>
  <c r="BQ245" i="1" s="1"/>
  <c r="BR245" i="1" s="1"/>
  <c r="BN244" i="1"/>
  <c r="BN196" i="1"/>
  <c r="BQ196" i="1" s="1"/>
  <c r="BR196" i="1" s="1"/>
  <c r="BN260" i="1"/>
  <c r="BN140" i="1"/>
  <c r="BN204" i="1"/>
  <c r="BR204" i="1" s="1"/>
  <c r="BN269" i="1"/>
  <c r="BQ269" i="1" s="1"/>
  <c r="BR269" i="1" s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Q220" i="1" s="1"/>
  <c r="BR220" i="1" s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C215" i="1" s="1"/>
  <c r="AB283" i="1"/>
  <c r="AC283" i="1" s="1"/>
  <c r="FE134" i="1"/>
  <c r="FF134" i="1" s="1"/>
  <c r="AB77" i="1"/>
  <c r="AC77" i="1" s="1"/>
  <c r="AB162" i="1"/>
  <c r="AC162" i="1" s="1"/>
  <c r="AB236" i="1"/>
  <c r="AC236" i="1" s="1"/>
  <c r="AB69" i="1"/>
  <c r="AC69" i="1" s="1"/>
  <c r="AB11" i="1"/>
  <c r="AC11" i="1" s="1"/>
  <c r="AB35" i="1"/>
  <c r="AC35" i="1" s="1"/>
  <c r="AB275" i="1"/>
  <c r="AC275" i="1" s="1"/>
  <c r="AB122" i="1"/>
  <c r="AC122" i="1" s="1"/>
  <c r="AB191" i="1"/>
  <c r="AC191" i="1" s="1"/>
  <c r="AC200" i="1"/>
  <c r="AB242" i="1"/>
  <c r="AC242" i="1" s="1"/>
  <c r="AB82" i="1"/>
  <c r="AC82" i="1" s="1"/>
  <c r="AC147" i="1"/>
  <c r="AB172" i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AB101" i="1"/>
  <c r="AC101" i="1" s="1"/>
  <c r="AB264" i="1"/>
  <c r="AC264" i="1" s="1"/>
  <c r="AB250" i="1"/>
  <c r="AC250" i="1" s="1"/>
  <c r="AB255" i="1"/>
  <c r="AC255" i="1" s="1"/>
  <c r="AB234" i="1"/>
  <c r="AC234" i="1" s="1"/>
  <c r="AB50" i="1"/>
  <c r="AC50" i="1" s="1"/>
  <c r="AB223" i="1"/>
  <c r="AC223" i="1" s="1"/>
  <c r="AB74" i="1"/>
  <c r="AC204" i="1"/>
  <c r="AB133" i="1"/>
  <c r="AC133" i="1" s="1"/>
  <c r="AB183" i="1"/>
  <c r="AC183" i="1" s="1"/>
  <c r="AB247" i="1"/>
  <c r="AC247" i="1" s="1"/>
  <c r="AB37" i="1"/>
  <c r="AC37" i="1" s="1"/>
  <c r="AB12" i="1"/>
  <c r="AC12" i="1" s="1"/>
  <c r="AB22" i="1"/>
  <c r="AC22" i="1" s="1"/>
  <c r="AB21" i="1"/>
  <c r="AC21" i="1" s="1"/>
  <c r="AB85" i="1"/>
  <c r="AC85" i="1" s="1"/>
  <c r="AB45" i="1"/>
  <c r="AC45" i="1" s="1"/>
  <c r="AB109" i="1"/>
  <c r="AC109" i="1" s="1"/>
  <c r="AB13" i="1"/>
  <c r="AC13" i="1" s="1"/>
  <c r="AB207" i="1"/>
  <c r="AC207" i="1" s="1"/>
  <c r="AC194" i="1"/>
  <c r="AB258" i="1"/>
  <c r="AC258" i="1" s="1"/>
  <c r="AB188" i="1"/>
  <c r="AC188" i="1" s="1"/>
  <c r="R32" i="1"/>
  <c r="S32" i="1" s="1"/>
  <c r="R139" i="1"/>
  <c r="S139" i="1" s="1"/>
  <c r="R144" i="1"/>
  <c r="S144" i="1" s="1"/>
  <c r="R98" i="1"/>
  <c r="S98" i="1" s="1"/>
  <c r="R269" i="1"/>
  <c r="S269" i="1" s="1"/>
  <c r="R155" i="1"/>
  <c r="R151" i="1"/>
  <c r="S151" i="1" s="1"/>
  <c r="R157" i="1"/>
  <c r="S157" i="1" s="1"/>
  <c r="R245" i="1"/>
  <c r="S245" i="1" s="1"/>
  <c r="R294" i="1"/>
  <c r="S294" i="1" s="1"/>
  <c r="R253" i="1"/>
  <c r="S253" i="1" s="1"/>
  <c r="R101" i="1"/>
  <c r="S101" i="1" s="1"/>
  <c r="R166" i="1"/>
  <c r="R255" i="1"/>
  <c r="S255" i="1" s="1"/>
  <c r="R55" i="1"/>
  <c r="S55" i="1" s="1"/>
  <c r="R177" i="1"/>
  <c r="S177" i="1" s="1"/>
  <c r="R120" i="1"/>
  <c r="S120" i="1" s="1"/>
  <c r="R152" i="1"/>
  <c r="R203" i="1"/>
  <c r="S203" i="1" s="1"/>
  <c r="R208" i="1"/>
  <c r="S208" i="1" s="1"/>
  <c r="R131" i="1"/>
  <c r="S131" i="1" s="1"/>
  <c r="R212" i="1"/>
  <c r="S212" i="1" s="1"/>
  <c r="R33" i="1"/>
  <c r="S33" i="1" s="1"/>
  <c r="R228" i="1"/>
  <c r="R86" i="1"/>
  <c r="R46" i="1"/>
  <c r="S46" i="1" s="1"/>
  <c r="R158" i="1"/>
  <c r="S158" i="1" s="1"/>
  <c r="R246" i="1"/>
  <c r="S246" i="1" s="1"/>
  <c r="R206" i="1"/>
  <c r="S206" i="1" s="1"/>
  <c r="R124" i="1"/>
  <c r="S124" i="1" s="1"/>
  <c r="R303" i="1"/>
  <c r="R69" i="1"/>
  <c r="S69" i="1" s="1"/>
  <c r="R173" i="1"/>
  <c r="S173" i="1" s="1"/>
  <c r="R47" i="1"/>
  <c r="S47" i="1" s="1"/>
  <c r="R169" i="1"/>
  <c r="S169" i="1" s="1"/>
  <c r="R82" i="1"/>
  <c r="S82" i="1" s="1"/>
  <c r="R243" i="1"/>
  <c r="S243" i="1" s="1"/>
  <c r="R217" i="1"/>
  <c r="R140" i="1"/>
  <c r="S140" i="1" s="1"/>
  <c r="R283" i="1"/>
  <c r="R275" i="1"/>
  <c r="S275" i="1" s="1"/>
  <c r="R91" i="1"/>
  <c r="S91" i="1" s="1"/>
  <c r="R181" i="1"/>
  <c r="S181" i="1" s="1"/>
  <c r="R276" i="1"/>
  <c r="R229" i="1"/>
  <c r="S229" i="1" s="1"/>
  <c r="R45" i="1"/>
  <c r="R21" i="1"/>
  <c r="S21" i="1" s="1"/>
  <c r="R213" i="1"/>
  <c r="S213" i="1" s="1"/>
  <c r="R85" i="1"/>
  <c r="S85" i="1" s="1"/>
  <c r="R27" i="1"/>
  <c r="S27" i="1" s="1"/>
  <c r="R191" i="1"/>
  <c r="S191" i="1" s="1"/>
  <c r="R30" i="1"/>
  <c r="S30" i="1" s="1"/>
  <c r="R59" i="1"/>
  <c r="S59" i="1" s="1"/>
  <c r="R14" i="1"/>
  <c r="S14" i="1" s="1"/>
  <c r="R6" i="1"/>
  <c r="S6" i="1" s="1"/>
  <c r="R240" i="1"/>
  <c r="S240" i="1" s="1"/>
  <c r="R160" i="1"/>
  <c r="R258" i="1"/>
  <c r="S258" i="1" s="1"/>
  <c r="R299" i="1"/>
  <c r="R49" i="1"/>
  <c r="R16" i="1"/>
  <c r="S16" i="1" s="1"/>
  <c r="R236" i="1"/>
  <c r="S236" i="1" s="1"/>
  <c r="R239" i="1"/>
  <c r="S239" i="1" s="1"/>
  <c r="R202" i="1"/>
  <c r="R248" i="1"/>
  <c r="R105" i="1"/>
  <c r="S105" i="1" s="1"/>
  <c r="R22" i="1"/>
  <c r="R190" i="1"/>
  <c r="S190" i="1" s="1"/>
  <c r="R304" i="1"/>
  <c r="R63" i="1"/>
  <c r="S63" i="1" s="1"/>
  <c r="R116" i="1"/>
  <c r="S116" i="1" s="1"/>
  <c r="R185" i="1"/>
  <c r="S185" i="1" s="1"/>
  <c r="R129" i="1"/>
  <c r="S129" i="1" s="1"/>
  <c r="R161" i="1"/>
  <c r="R34" i="1"/>
  <c r="S34" i="1" s="1"/>
  <c r="R95" i="1"/>
  <c r="R26" i="1"/>
  <c r="S26" i="1" s="1"/>
  <c r="R244" i="1"/>
  <c r="S244" i="1" s="1"/>
  <c r="R88" i="1"/>
  <c r="R265" i="1"/>
  <c r="S265" i="1" s="1"/>
  <c r="R261" i="1"/>
  <c r="S261" i="1" s="1"/>
  <c r="R262" i="1"/>
  <c r="S262" i="1" s="1"/>
  <c r="R274" i="1"/>
  <c r="S274" i="1" s="1"/>
  <c r="R143" i="1"/>
  <c r="S143" i="1" s="1"/>
  <c r="AB134" i="1"/>
  <c r="AC134" i="1" s="1"/>
  <c r="R72" i="1"/>
  <c r="R232" i="1"/>
  <c r="S232" i="1" s="1"/>
  <c r="R289" i="1"/>
  <c r="R186" i="1"/>
  <c r="S186" i="1" s="1"/>
  <c r="R225" i="1"/>
  <c r="R268" i="1"/>
  <c r="S268" i="1" s="1"/>
  <c r="R273" i="1"/>
  <c r="S273" i="1" s="1"/>
  <c r="R180" i="1"/>
  <c r="S180" i="1" s="1"/>
  <c r="R220" i="1"/>
  <c r="S220" i="1" s="1"/>
  <c r="R9" i="1"/>
  <c r="S9" i="1" s="1"/>
  <c r="R11" i="1"/>
  <c r="S11" i="1" s="1"/>
  <c r="R159" i="1"/>
  <c r="S159" i="1" s="1"/>
  <c r="R117" i="1"/>
  <c r="S117" i="1" s="1"/>
  <c r="R37" i="1"/>
  <c r="S37" i="1" s="1"/>
  <c r="R127" i="1"/>
  <c r="R278" i="1"/>
  <c r="S278" i="1" s="1"/>
  <c r="R35" i="1"/>
  <c r="S35" i="1" s="1"/>
  <c r="R73" i="1"/>
  <c r="S73" i="1" s="1"/>
  <c r="R52" i="1"/>
  <c r="S52" i="1" s="1"/>
  <c r="R58" i="1"/>
  <c r="S58" i="1" s="1"/>
  <c r="R56" i="1"/>
  <c r="S56" i="1" s="1"/>
  <c r="R298" i="1"/>
  <c r="R94" i="1"/>
  <c r="R234" i="1"/>
  <c r="S234" i="1" s="1"/>
  <c r="R179" i="1"/>
  <c r="S179" i="1" s="1"/>
  <c r="R292" i="1"/>
  <c r="S292" i="1" s="1"/>
  <c r="R188" i="1"/>
  <c r="S188" i="1" s="1"/>
  <c r="R277" i="1"/>
  <c r="S277" i="1" s="1"/>
  <c r="R285" i="1"/>
  <c r="S285" i="1" s="1"/>
  <c r="R164" i="1"/>
  <c r="R65" i="1"/>
  <c r="S65" i="1" s="1"/>
  <c r="R174" i="1"/>
  <c r="S174" i="1" s="1"/>
  <c r="R266" i="1"/>
  <c r="R207" i="1"/>
  <c r="S207" i="1" s="1"/>
  <c r="R48" i="1"/>
  <c r="R178" i="1"/>
  <c r="S178" i="1" s="1"/>
  <c r="R8" i="1"/>
  <c r="S8" i="1" s="1"/>
  <c r="R113" i="1"/>
  <c r="R235" i="1"/>
  <c r="S235" i="1" s="1"/>
  <c r="R264" i="1"/>
  <c r="S264" i="1" s="1"/>
  <c r="R192" i="1"/>
  <c r="R78" i="1"/>
  <c r="S78" i="1" s="1"/>
  <c r="R216" i="1"/>
  <c r="R128" i="1"/>
  <c r="R130" i="1"/>
  <c r="S130" i="1" s="1"/>
  <c r="R17" i="1"/>
  <c r="S17" i="1" s="1"/>
  <c r="R83" i="1"/>
  <c r="S83" i="1" s="1"/>
  <c r="R60" i="1"/>
  <c r="S60" i="1" s="1"/>
  <c r="R254" i="1"/>
  <c r="S254" i="1" s="1"/>
  <c r="R182" i="1"/>
  <c r="S182" i="1" s="1"/>
  <c r="R54" i="1"/>
  <c r="S54" i="1" s="1"/>
  <c r="R272" i="1"/>
  <c r="S272" i="1" s="1"/>
  <c r="R125" i="1"/>
  <c r="S125" i="1" s="1"/>
  <c r="R193" i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R227" i="1"/>
  <c r="R149" i="1"/>
  <c r="S149" i="1" s="1"/>
  <c r="R93" i="1"/>
  <c r="S93" i="1" s="1"/>
  <c r="R102" i="1"/>
  <c r="S102" i="1" s="1"/>
  <c r="R71" i="1"/>
  <c r="S71" i="1" s="1"/>
  <c r="R57" i="1"/>
  <c r="S57" i="1" s="1"/>
  <c r="R187" i="1"/>
  <c r="S187" i="1" s="1"/>
  <c r="R259" i="1"/>
  <c r="S259" i="1" s="1"/>
  <c r="R90" i="1"/>
  <c r="S90" i="1" s="1"/>
  <c r="R156" i="1"/>
  <c r="S156" i="1" s="1"/>
  <c r="R293" i="1"/>
  <c r="R197" i="1"/>
  <c r="S197" i="1" s="1"/>
  <c r="R3" i="1"/>
  <c r="R133" i="1"/>
  <c r="S133" i="1" s="1"/>
  <c r="R198" i="1"/>
  <c r="S198" i="1" s="1"/>
  <c r="R176" i="1"/>
  <c r="S176" i="1" s="1"/>
  <c r="R250" i="1"/>
  <c r="S250" i="1" s="1"/>
  <c r="R112" i="1"/>
  <c r="R290" i="1"/>
  <c r="R40" i="1"/>
  <c r="S40" i="1" s="1"/>
  <c r="R171" i="1"/>
  <c r="S171" i="1" s="1"/>
  <c r="R300" i="1"/>
  <c r="R70" i="1"/>
  <c r="S70" i="1" s="1"/>
  <c r="R29" i="1"/>
  <c r="S29" i="1" s="1"/>
  <c r="R221" i="1"/>
  <c r="S221" i="1" s="1"/>
  <c r="R135" i="1"/>
  <c r="S135" i="1" s="1"/>
  <c r="R77" i="1"/>
  <c r="R223" i="1"/>
  <c r="S223" i="1" s="1"/>
  <c r="R257" i="1"/>
  <c r="R201" i="1"/>
  <c r="S201" i="1" s="1"/>
  <c r="R167" i="1"/>
  <c r="S167" i="1" s="1"/>
  <c r="R296" i="1"/>
  <c r="S296" i="1" s="1"/>
  <c r="R79" i="1"/>
  <c r="S79" i="1" s="1"/>
  <c r="R7" i="1"/>
  <c r="S7" i="1" s="1"/>
  <c r="R267" i="1"/>
  <c r="S267" i="1" s="1"/>
  <c r="R163" i="1"/>
  <c r="S163" i="1" s="1"/>
  <c r="R115" i="1"/>
  <c r="S115" i="1" s="1"/>
  <c r="R76" i="1"/>
  <c r="S76" i="1" s="1"/>
  <c r="R142" i="1"/>
  <c r="S142" i="1" s="1"/>
  <c r="R271" i="1"/>
  <c r="S271" i="1" s="1"/>
  <c r="R175" i="1"/>
  <c r="S175" i="1" s="1"/>
  <c r="R5" i="1"/>
  <c r="S5" i="1" s="1"/>
  <c r="R136" i="1"/>
  <c r="S136" i="1" s="1"/>
  <c r="R23" i="1"/>
  <c r="R80" i="1"/>
  <c r="S80" i="1" s="1"/>
  <c r="R146" i="1"/>
  <c r="S146" i="1" s="1"/>
  <c r="R210" i="1"/>
  <c r="S210" i="1" s="1"/>
  <c r="R89" i="1"/>
  <c r="S89" i="1" s="1"/>
  <c r="R219" i="1"/>
  <c r="R172" i="1"/>
  <c r="S172" i="1" s="1"/>
  <c r="R10" i="1"/>
  <c r="S10" i="1" s="1"/>
  <c r="R302" i="1"/>
  <c r="S302" i="1" s="1"/>
  <c r="R107" i="1"/>
  <c r="S107" i="1" s="1"/>
  <c r="R20" i="1"/>
  <c r="S20" i="1" s="1"/>
  <c r="R150" i="1"/>
  <c r="S150" i="1" s="1"/>
  <c r="R279" i="1"/>
  <c r="S279" i="1" s="1"/>
  <c r="R53" i="1"/>
  <c r="S53" i="1" s="1"/>
  <c r="R13" i="1"/>
  <c r="S13" i="1" s="1"/>
  <c r="R31" i="1"/>
  <c r="R233" i="1"/>
  <c r="R24" i="1"/>
  <c r="S24" i="1" s="1"/>
  <c r="R218" i="1"/>
  <c r="S218" i="1" s="1"/>
  <c r="R195" i="1"/>
  <c r="S195" i="1" s="1"/>
  <c r="R50" i="1"/>
  <c r="S50" i="1" s="1"/>
  <c r="R114" i="1"/>
  <c r="S114" i="1" s="1"/>
  <c r="R19" i="1"/>
  <c r="S19" i="1" s="1"/>
  <c r="R295" i="1"/>
  <c r="S295" i="1" s="1"/>
  <c r="R92" i="1"/>
  <c r="S92" i="1" s="1"/>
  <c r="R222" i="1"/>
  <c r="S222" i="1" s="1"/>
  <c r="R110" i="1"/>
  <c r="S110" i="1" s="1"/>
  <c r="R224" i="1"/>
  <c r="R154" i="1"/>
  <c r="S154" i="1" s="1"/>
  <c r="R170" i="1"/>
  <c r="R251" i="1"/>
  <c r="S251" i="1" s="1"/>
  <c r="R104" i="1"/>
  <c r="S104" i="1" s="1"/>
  <c r="R148" i="1"/>
  <c r="S148" i="1" s="1"/>
  <c r="R252" i="1"/>
  <c r="S252" i="1" s="1"/>
  <c r="R97" i="1"/>
  <c r="R284" i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R15" i="1"/>
  <c r="S15" i="1" s="1"/>
  <c r="R126" i="1"/>
  <c r="S126" i="1" s="1"/>
  <c r="R281" i="1"/>
  <c r="R38" i="1"/>
  <c r="S38" i="1" s="1"/>
  <c r="R168" i="1"/>
  <c r="S168" i="1" s="1"/>
  <c r="R39" i="1"/>
  <c r="S39" i="1" s="1"/>
  <c r="R103" i="1"/>
  <c r="S103" i="1" s="1"/>
  <c r="R241" i="1"/>
  <c r="S241" i="1" s="1"/>
  <c r="R96" i="1"/>
  <c r="S96" i="1" s="1"/>
  <c r="R162" i="1"/>
  <c r="R226" i="1"/>
  <c r="R291" i="1"/>
  <c r="R121" i="1"/>
  <c r="S121" i="1" s="1"/>
  <c r="R81" i="1"/>
  <c r="S81" i="1" s="1"/>
  <c r="R211" i="1"/>
  <c r="R122" i="1"/>
  <c r="S122" i="1" s="1"/>
  <c r="R260" i="1"/>
  <c r="S260" i="1" s="1"/>
  <c r="R189" i="1"/>
  <c r="S189" i="1" s="1"/>
  <c r="R141" i="1"/>
  <c r="S141" i="1" s="1"/>
  <c r="R100" i="1"/>
  <c r="S100" i="1" s="1"/>
  <c r="R230" i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N134" i="1"/>
  <c r="DY134" i="1"/>
  <c r="FE287" i="1"/>
  <c r="FF287" i="1" s="1"/>
  <c r="CA110" i="1"/>
  <c r="CB110" i="1" s="1"/>
  <c r="DO36" i="1"/>
  <c r="DP36" i="1" s="1"/>
  <c r="CA252" i="1"/>
  <c r="CB252" i="1" s="1"/>
  <c r="CK190" i="1"/>
  <c r="CL190" i="1" s="1"/>
  <c r="CK128" i="1"/>
  <c r="CL128" i="1" s="1"/>
  <c r="CK118" i="1"/>
  <c r="CL118" i="1" s="1"/>
  <c r="AV36" i="1"/>
  <c r="AW36" i="1" s="1"/>
  <c r="DY171" i="1"/>
  <c r="DZ171" i="1" s="1"/>
  <c r="BQ112" i="1"/>
  <c r="BR112" i="1" s="1"/>
  <c r="CA259" i="1"/>
  <c r="CB259" i="1" s="1"/>
  <c r="CA34" i="1"/>
  <c r="CB34" i="1" s="1"/>
  <c r="CK284" i="1"/>
  <c r="CL284" i="1" s="1"/>
  <c r="EN290" i="1"/>
  <c r="CU280" i="1"/>
  <c r="CV280" i="1" s="1"/>
  <c r="FE279" i="1"/>
  <c r="FF279" i="1" s="1"/>
  <c r="AV70" i="1"/>
  <c r="AW70" i="1" s="1"/>
  <c r="DO267" i="1"/>
  <c r="DP267" i="1" s="1"/>
  <c r="DO229" i="1"/>
  <c r="DP229" i="1" s="1"/>
  <c r="DO85" i="1"/>
  <c r="DP85" i="1" s="1"/>
  <c r="BG67" i="1"/>
  <c r="BH67" i="1" s="1"/>
  <c r="DO246" i="1"/>
  <c r="DP246" i="1" s="1"/>
  <c r="DO275" i="1"/>
  <c r="DP275" i="1" s="1"/>
  <c r="BG137" i="1"/>
  <c r="BH137" i="1" s="1"/>
  <c r="DE55" i="1"/>
  <c r="DF55" i="1" s="1"/>
  <c r="BQ113" i="1"/>
  <c r="BR113" i="1" s="1"/>
  <c r="DE23" i="1"/>
  <c r="DF23" i="1" s="1"/>
  <c r="AB267" i="1"/>
  <c r="AC267" i="1" s="1"/>
  <c r="AC53" i="1"/>
  <c r="CA118" i="1"/>
  <c r="CB118" i="1" s="1"/>
  <c r="CA208" i="1"/>
  <c r="CB208" i="1" s="1"/>
  <c r="CA250" i="1"/>
  <c r="CB250" i="1" s="1"/>
  <c r="CA109" i="1"/>
  <c r="CB109" i="1" s="1"/>
  <c r="CA62" i="1"/>
  <c r="CB62" i="1" s="1"/>
  <c r="CA265" i="1"/>
  <c r="CB265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84" i="1"/>
  <c r="CB184" i="1" s="1"/>
  <c r="CA102" i="1"/>
  <c r="CB102" i="1" s="1"/>
  <c r="CA178" i="1"/>
  <c r="CB178" i="1" s="1"/>
  <c r="CK31" i="1"/>
  <c r="CL31" i="1" s="1"/>
  <c r="CK214" i="1"/>
  <c r="CL214" i="1" s="1"/>
  <c r="CA112" i="1"/>
  <c r="CB112" i="1" s="1"/>
  <c r="CK39" i="1"/>
  <c r="CL39" i="1" s="1"/>
  <c r="CA203" i="1"/>
  <c r="CB203" i="1" s="1"/>
  <c r="CA277" i="1"/>
  <c r="CB277" i="1" s="1"/>
  <c r="CA15" i="1"/>
  <c r="CB15" i="1" s="1"/>
  <c r="FE192" i="1"/>
  <c r="FF192" i="1" s="1"/>
  <c r="FE256" i="1"/>
  <c r="FF256" i="1" s="1"/>
  <c r="CK250" i="1"/>
  <c r="CL250" i="1" s="1"/>
  <c r="FE45" i="1"/>
  <c r="FF45" i="1" s="1"/>
  <c r="FE109" i="1"/>
  <c r="FF109" i="1" s="1"/>
  <c r="FE175" i="1"/>
  <c r="FF175" i="1" s="1"/>
  <c r="FE239" i="1"/>
  <c r="FF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CK267" i="1"/>
  <c r="CL267" i="1" s="1"/>
  <c r="CU240" i="1"/>
  <c r="CV240" i="1" s="1"/>
  <c r="CK23" i="1"/>
  <c r="CK256" i="1"/>
  <c r="CL256" i="1" s="1"/>
  <c r="CU192" i="1"/>
  <c r="CV192" i="1" s="1"/>
  <c r="CU102" i="1"/>
  <c r="CV102" i="1" s="1"/>
  <c r="CU162" i="1"/>
  <c r="CV162" i="1" s="1"/>
  <c r="CU267" i="1"/>
  <c r="CV267" i="1" s="1"/>
  <c r="FE11" i="1"/>
  <c r="FF11" i="1" s="1"/>
  <c r="FE76" i="1"/>
  <c r="FF76" i="1" s="1"/>
  <c r="FE142" i="1"/>
  <c r="FF142" i="1" s="1"/>
  <c r="FE53" i="1"/>
  <c r="FF53" i="1" s="1"/>
  <c r="FE117" i="1"/>
  <c r="FF117" i="1" s="1"/>
  <c r="FE183" i="1"/>
  <c r="FF183" i="1" s="1"/>
  <c r="FE247" i="1"/>
  <c r="FF247" i="1" s="1"/>
  <c r="CU202" i="1"/>
  <c r="CV202" i="1" s="1"/>
  <c r="FE272" i="1"/>
  <c r="FF272" i="1" s="1"/>
  <c r="FE255" i="1"/>
  <c r="FF255" i="1" s="1"/>
  <c r="FE13" i="1"/>
  <c r="FF13" i="1" s="1"/>
  <c r="FE78" i="1"/>
  <c r="FF78" i="1" s="1"/>
  <c r="FE144" i="1"/>
  <c r="FF144" i="1" s="1"/>
  <c r="FE22" i="1"/>
  <c r="FF22" i="1" s="1"/>
  <c r="FE86" i="1"/>
  <c r="FF86" i="1" s="1"/>
  <c r="FE152" i="1"/>
  <c r="FF152" i="1" s="1"/>
  <c r="FE208" i="1"/>
  <c r="FF208" i="1" s="1"/>
  <c r="FE273" i="1"/>
  <c r="FF273" i="1" s="1"/>
  <c r="FE166" i="1"/>
  <c r="FF166" i="1" s="1"/>
  <c r="FE20" i="1"/>
  <c r="FF20" i="1" s="1"/>
  <c r="FE84" i="1"/>
  <c r="FF84" i="1" s="1"/>
  <c r="FE61" i="1"/>
  <c r="FF61" i="1" s="1"/>
  <c r="FE126" i="1"/>
  <c r="FF126" i="1" s="1"/>
  <c r="FE191" i="1"/>
  <c r="FF191" i="1" s="1"/>
  <c r="FE222" i="1"/>
  <c r="FF222" i="1" s="1"/>
  <c r="FE158" i="1"/>
  <c r="FF158" i="1" s="1"/>
  <c r="FE304" i="1"/>
  <c r="FF304" i="1" s="1"/>
  <c r="AV76" i="1"/>
  <c r="AW76" i="1" s="1"/>
  <c r="AV152" i="1"/>
  <c r="AW152" i="1" s="1"/>
  <c r="FE12" i="1"/>
  <c r="FF12" i="1" s="1"/>
  <c r="FE77" i="1"/>
  <c r="FF77" i="1" s="1"/>
  <c r="FE143" i="1"/>
  <c r="FF143" i="1" s="1"/>
  <c r="FE207" i="1"/>
  <c r="FF207" i="1" s="1"/>
  <c r="FE54" i="1"/>
  <c r="FF54" i="1" s="1"/>
  <c r="FE118" i="1"/>
  <c r="FF118" i="1" s="1"/>
  <c r="FE52" i="1"/>
  <c r="FF52" i="1" s="1"/>
  <c r="FE116" i="1"/>
  <c r="FF116" i="1" s="1"/>
  <c r="FE29" i="1"/>
  <c r="FF29" i="1" s="1"/>
  <c r="FE93" i="1"/>
  <c r="FF93" i="1" s="1"/>
  <c r="FE159" i="1"/>
  <c r="FF159" i="1" s="1"/>
  <c r="FE223" i="1"/>
  <c r="FF223" i="1" s="1"/>
  <c r="FE62" i="1"/>
  <c r="FF62" i="1" s="1"/>
  <c r="FE127" i="1"/>
  <c r="FF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112" i="1"/>
  <c r="AW112" i="1" s="1"/>
  <c r="AV65" i="1"/>
  <c r="AW65" i="1" s="1"/>
  <c r="AV278" i="1"/>
  <c r="AW278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BG188" i="1"/>
  <c r="BH188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70" i="1"/>
  <c r="DP70" i="1" s="1"/>
  <c r="FE28" i="1"/>
  <c r="FF28" i="1" s="1"/>
  <c r="FE92" i="1"/>
  <c r="FF92" i="1" s="1"/>
  <c r="DO119" i="1"/>
  <c r="DP119" i="1" s="1"/>
  <c r="DY232" i="1"/>
  <c r="DZ232" i="1" s="1"/>
  <c r="DO137" i="1"/>
  <c r="DP137" i="1" s="1"/>
  <c r="FE184" i="1"/>
  <c r="FF184" i="1" s="1"/>
  <c r="FE248" i="1"/>
  <c r="FF248" i="1" s="1"/>
  <c r="DO67" i="1"/>
  <c r="DP67" i="1" s="1"/>
  <c r="FE60" i="1"/>
  <c r="FF60" i="1" s="1"/>
  <c r="FE125" i="1"/>
  <c r="FF125" i="1" s="1"/>
  <c r="FE150" i="1"/>
  <c r="FF150" i="1" s="1"/>
  <c r="FE216" i="1"/>
  <c r="FF216" i="1" s="1"/>
  <c r="FE281" i="1"/>
  <c r="FF281" i="1" s="1"/>
  <c r="DY212" i="1"/>
  <c r="DZ212" i="1" s="1"/>
  <c r="DO273" i="1"/>
  <c r="DP273" i="1" s="1"/>
  <c r="DY210" i="1"/>
  <c r="DZ210" i="1" s="1"/>
  <c r="DY23" i="1"/>
  <c r="DZ23" i="1" s="1"/>
  <c r="DY292" i="1"/>
  <c r="DY197" i="1"/>
  <c r="DZ197" i="1" s="1"/>
  <c r="DY229" i="1"/>
  <c r="DZ229" i="1" s="1"/>
  <c r="DY78" i="1"/>
  <c r="DZ147" i="1"/>
  <c r="DY28" i="1"/>
  <c r="BQ207" i="1"/>
  <c r="BR207" i="1" s="1"/>
  <c r="DE161" i="1"/>
  <c r="DF161" i="1" s="1"/>
  <c r="DE219" i="1"/>
  <c r="DF219" i="1" s="1"/>
  <c r="DE213" i="1"/>
  <c r="DF213" i="1" s="1"/>
  <c r="DE171" i="1"/>
  <c r="DF171" i="1" s="1"/>
  <c r="BQ133" i="1"/>
  <c r="BR133" i="1" s="1"/>
  <c r="BQ143" i="1"/>
  <c r="BR143" i="1" s="1"/>
  <c r="BQ49" i="1"/>
  <c r="BR49" i="1" s="1"/>
  <c r="BQ278" i="1"/>
  <c r="BR278" i="1" s="1"/>
  <c r="BQ57" i="1"/>
  <c r="BR57" i="1" s="1"/>
  <c r="AB126" i="1"/>
  <c r="AC126" i="1" s="1"/>
  <c r="AB117" i="1"/>
  <c r="AC117" i="1" s="1"/>
  <c r="FE67" i="1"/>
  <c r="FF67" i="1" s="1"/>
  <c r="FE197" i="1"/>
  <c r="FF197" i="1" s="1"/>
  <c r="FE271" i="1"/>
  <c r="FF271" i="1" s="1"/>
  <c r="FE14" i="1"/>
  <c r="FF14" i="1" s="1"/>
  <c r="FE79" i="1"/>
  <c r="FF79" i="1" s="1"/>
  <c r="FE145" i="1"/>
  <c r="FF145" i="1" s="1"/>
  <c r="FE209" i="1"/>
  <c r="FF209" i="1" s="1"/>
  <c r="FE40" i="1"/>
  <c r="FF40" i="1" s="1"/>
  <c r="FE104" i="1"/>
  <c r="FF104" i="1" s="1"/>
  <c r="FE170" i="1"/>
  <c r="FF170" i="1" s="1"/>
  <c r="FE288" i="1"/>
  <c r="FF288" i="1" s="1"/>
  <c r="FE242" i="1"/>
  <c r="FF242" i="1" s="1"/>
  <c r="FE41" i="1"/>
  <c r="FF41" i="1" s="1"/>
  <c r="FE105" i="1"/>
  <c r="FF105" i="1" s="1"/>
  <c r="FE171" i="1"/>
  <c r="FF171" i="1" s="1"/>
  <c r="FE235" i="1"/>
  <c r="FF235" i="1" s="1"/>
  <c r="FE300" i="1"/>
  <c r="FF300" i="1" s="1"/>
  <c r="FE30" i="1"/>
  <c r="FF30" i="1" s="1"/>
  <c r="FE94" i="1"/>
  <c r="FF94" i="1" s="1"/>
  <c r="FE160" i="1"/>
  <c r="FF160" i="1" s="1"/>
  <c r="FE132" i="1"/>
  <c r="FF132" i="1" s="1"/>
  <c r="FE224" i="1"/>
  <c r="FF224" i="1" s="1"/>
  <c r="FE289" i="1"/>
  <c r="FF289" i="1" s="1"/>
  <c r="FE35" i="1"/>
  <c r="FF35" i="1" s="1"/>
  <c r="FE99" i="1"/>
  <c r="FF99" i="1" s="1"/>
  <c r="FE165" i="1"/>
  <c r="FF165" i="1" s="1"/>
  <c r="FE229" i="1"/>
  <c r="FF229" i="1" s="1"/>
  <c r="FE294" i="1"/>
  <c r="FF294" i="1" s="1"/>
  <c r="FE261" i="1"/>
  <c r="FF261" i="1" s="1"/>
  <c r="FE280" i="1"/>
  <c r="FF280" i="1" s="1"/>
  <c r="FE46" i="1"/>
  <c r="FF46" i="1" s="1"/>
  <c r="FE110" i="1"/>
  <c r="FF110" i="1" s="1"/>
  <c r="FE44" i="1"/>
  <c r="FF44" i="1" s="1"/>
  <c r="FE108" i="1"/>
  <c r="FF108" i="1" s="1"/>
  <c r="FE21" i="1"/>
  <c r="FF21" i="1" s="1"/>
  <c r="FE85" i="1"/>
  <c r="FF85" i="1" s="1"/>
  <c r="FE151" i="1"/>
  <c r="FF151" i="1" s="1"/>
  <c r="FE215" i="1"/>
  <c r="FF215" i="1" s="1"/>
  <c r="FE47" i="1"/>
  <c r="FF47" i="1" s="1"/>
  <c r="FE111" i="1"/>
  <c r="FF111" i="1" s="1"/>
  <c r="FE177" i="1"/>
  <c r="FF177" i="1" s="1"/>
  <c r="FE241" i="1"/>
  <c r="FF241" i="1" s="1"/>
  <c r="FE7" i="1"/>
  <c r="FF7" i="1" s="1"/>
  <c r="FE72" i="1"/>
  <c r="FF72" i="1" s="1"/>
  <c r="FE138" i="1"/>
  <c r="FF138" i="1" s="1"/>
  <c r="FE202" i="1"/>
  <c r="FF202" i="1" s="1"/>
  <c r="FE176" i="1"/>
  <c r="FF176" i="1" s="1"/>
  <c r="FE240" i="1"/>
  <c r="FF240" i="1" s="1"/>
  <c r="FE275" i="1"/>
  <c r="FF275" i="1" s="1"/>
  <c r="FE8" i="1"/>
  <c r="FF8" i="1" s="1"/>
  <c r="FE73" i="1"/>
  <c r="FF73" i="1" s="1"/>
  <c r="FE139" i="1"/>
  <c r="FF139" i="1" s="1"/>
  <c r="FE203" i="1"/>
  <c r="FF203" i="1" s="1"/>
  <c r="FE268" i="1"/>
  <c r="FF268" i="1" s="1"/>
  <c r="FE249" i="1"/>
  <c r="FF249" i="1" s="1"/>
  <c r="FE282" i="1"/>
  <c r="FF282" i="1" s="1"/>
  <c r="DY5" i="1"/>
  <c r="DZ5" i="1" s="1"/>
  <c r="DY155" i="1"/>
  <c r="DZ155" i="1" s="1"/>
  <c r="FE26" i="1"/>
  <c r="FF26" i="1" s="1"/>
  <c r="FE58" i="1"/>
  <c r="FF58" i="1" s="1"/>
  <c r="FE90" i="1"/>
  <c r="FF90" i="1" s="1"/>
  <c r="FE122" i="1"/>
  <c r="FF122" i="1" s="1"/>
  <c r="FE156" i="1"/>
  <c r="FF156" i="1" s="1"/>
  <c r="FE188" i="1"/>
  <c r="FF188" i="1" s="1"/>
  <c r="FE220" i="1"/>
  <c r="FF220" i="1" s="1"/>
  <c r="FE252" i="1"/>
  <c r="FF252" i="1" s="1"/>
  <c r="FE285" i="1"/>
  <c r="FF285" i="1" s="1"/>
  <c r="FE23" i="1"/>
  <c r="FF23" i="1" s="1"/>
  <c r="FE55" i="1"/>
  <c r="FF55" i="1" s="1"/>
  <c r="FE87" i="1"/>
  <c r="FF87" i="1" s="1"/>
  <c r="FE119" i="1"/>
  <c r="FF119" i="1" s="1"/>
  <c r="FE153" i="1"/>
  <c r="FF153" i="1" s="1"/>
  <c r="FE185" i="1"/>
  <c r="FF185" i="1" s="1"/>
  <c r="FE217" i="1"/>
  <c r="FF217" i="1" s="1"/>
  <c r="FE15" i="1"/>
  <c r="FF15" i="1" s="1"/>
  <c r="FE48" i="1"/>
  <c r="FF48" i="1" s="1"/>
  <c r="FE80" i="1"/>
  <c r="FF80" i="1" s="1"/>
  <c r="FE112" i="1"/>
  <c r="FF112" i="1" s="1"/>
  <c r="FE146" i="1"/>
  <c r="FF146" i="1" s="1"/>
  <c r="FE178" i="1"/>
  <c r="FF178" i="1" s="1"/>
  <c r="FE210" i="1"/>
  <c r="FF210" i="1" s="1"/>
  <c r="FE264" i="1"/>
  <c r="FF264" i="1" s="1"/>
  <c r="FE296" i="1"/>
  <c r="FF296" i="1" s="1"/>
  <c r="FE257" i="1"/>
  <c r="FF257" i="1" s="1"/>
  <c r="FE290" i="1"/>
  <c r="FF290" i="1" s="1"/>
  <c r="FE250" i="1"/>
  <c r="FF250" i="1" s="1"/>
  <c r="FE283" i="1"/>
  <c r="FF283" i="1" s="1"/>
  <c r="FE16" i="1"/>
  <c r="FF16" i="1" s="1"/>
  <c r="FE49" i="1"/>
  <c r="FF49" i="1" s="1"/>
  <c r="FE81" i="1"/>
  <c r="FF81" i="1" s="1"/>
  <c r="FE113" i="1"/>
  <c r="FF113" i="1" s="1"/>
  <c r="FE147" i="1"/>
  <c r="FF147" i="1" s="1"/>
  <c r="FE179" i="1"/>
  <c r="FF179" i="1" s="1"/>
  <c r="FE211" i="1"/>
  <c r="FF211" i="1" s="1"/>
  <c r="FE243" i="1"/>
  <c r="FF243" i="1" s="1"/>
  <c r="FE276" i="1"/>
  <c r="FF276" i="1" s="1"/>
  <c r="DY131" i="1"/>
  <c r="DY244" i="1"/>
  <c r="FE34" i="1"/>
  <c r="FF34" i="1" s="1"/>
  <c r="FE66" i="1"/>
  <c r="FF66" i="1" s="1"/>
  <c r="FE98" i="1"/>
  <c r="FF98" i="1" s="1"/>
  <c r="FE131" i="1"/>
  <c r="FF131" i="1" s="1"/>
  <c r="FE164" i="1"/>
  <c r="FF164" i="1" s="1"/>
  <c r="FE196" i="1"/>
  <c r="FF196" i="1" s="1"/>
  <c r="FE228" i="1"/>
  <c r="FF228" i="1" s="1"/>
  <c r="FE260" i="1"/>
  <c r="FF260" i="1" s="1"/>
  <c r="FE293" i="1"/>
  <c r="FF293" i="1" s="1"/>
  <c r="FE10" i="1"/>
  <c r="FF10" i="1" s="1"/>
  <c r="FE43" i="1"/>
  <c r="FF43" i="1" s="1"/>
  <c r="FE75" i="1"/>
  <c r="FF75" i="1" s="1"/>
  <c r="FE107" i="1"/>
  <c r="FF107" i="1" s="1"/>
  <c r="FE141" i="1"/>
  <c r="FF141" i="1" s="1"/>
  <c r="FE173" i="1"/>
  <c r="FF173" i="1" s="1"/>
  <c r="FE205" i="1"/>
  <c r="FF205" i="1" s="1"/>
  <c r="FE237" i="1"/>
  <c r="FF237" i="1" s="1"/>
  <c r="FE270" i="1"/>
  <c r="FF270" i="1" s="1"/>
  <c r="FE302" i="1"/>
  <c r="FF302" i="1" s="1"/>
  <c r="FE4" i="1"/>
  <c r="FF4" i="1" s="1"/>
  <c r="FE37" i="1"/>
  <c r="FF37" i="1" s="1"/>
  <c r="FE69" i="1"/>
  <c r="FF69" i="1" s="1"/>
  <c r="FE101" i="1"/>
  <c r="FF101" i="1" s="1"/>
  <c r="FE135" i="1"/>
  <c r="FF135" i="1" s="1"/>
  <c r="FE167" i="1"/>
  <c r="FF167" i="1" s="1"/>
  <c r="FE199" i="1"/>
  <c r="FF199" i="1" s="1"/>
  <c r="FE231" i="1"/>
  <c r="FF231" i="1" s="1"/>
  <c r="FE5" i="1"/>
  <c r="FF5" i="1" s="1"/>
  <c r="FE38" i="1"/>
  <c r="FF38" i="1" s="1"/>
  <c r="FE70" i="1"/>
  <c r="FF70" i="1" s="1"/>
  <c r="FE102" i="1"/>
  <c r="FF102" i="1" s="1"/>
  <c r="FE136" i="1"/>
  <c r="FF136" i="1" s="1"/>
  <c r="FE31" i="1"/>
  <c r="FF31" i="1" s="1"/>
  <c r="FE63" i="1"/>
  <c r="FF63" i="1" s="1"/>
  <c r="FE95" i="1"/>
  <c r="FF95" i="1" s="1"/>
  <c r="FE128" i="1"/>
  <c r="FF128" i="1" s="1"/>
  <c r="FE161" i="1"/>
  <c r="FF161" i="1" s="1"/>
  <c r="FE193" i="1"/>
  <c r="FF193" i="1" s="1"/>
  <c r="FE225" i="1"/>
  <c r="FF225" i="1" s="1"/>
  <c r="FE24" i="1"/>
  <c r="FF24" i="1" s="1"/>
  <c r="FE56" i="1"/>
  <c r="FF56" i="1" s="1"/>
  <c r="FE88" i="1"/>
  <c r="FF88" i="1" s="1"/>
  <c r="FE120" i="1"/>
  <c r="FF120" i="1" s="1"/>
  <c r="FE154" i="1"/>
  <c r="FF154" i="1" s="1"/>
  <c r="FE186" i="1"/>
  <c r="FF186" i="1" s="1"/>
  <c r="FE218" i="1"/>
  <c r="FF218" i="1" s="1"/>
  <c r="FE266" i="1"/>
  <c r="FF266" i="1" s="1"/>
  <c r="FE298" i="1"/>
  <c r="FF298" i="1" s="1"/>
  <c r="FE258" i="1"/>
  <c r="FF258" i="1" s="1"/>
  <c r="FE291" i="1"/>
  <c r="FF291" i="1" s="1"/>
  <c r="FE25" i="1"/>
  <c r="FF25" i="1" s="1"/>
  <c r="FE57" i="1"/>
  <c r="FF57" i="1" s="1"/>
  <c r="FE89" i="1"/>
  <c r="FF89" i="1" s="1"/>
  <c r="FE121" i="1"/>
  <c r="FF121" i="1" s="1"/>
  <c r="FE155" i="1"/>
  <c r="FF155" i="1" s="1"/>
  <c r="FE187" i="1"/>
  <c r="FF187" i="1" s="1"/>
  <c r="FE219" i="1"/>
  <c r="FF219" i="1" s="1"/>
  <c r="FE251" i="1"/>
  <c r="FF251" i="1" s="1"/>
  <c r="FE284" i="1"/>
  <c r="FF284" i="1" s="1"/>
  <c r="DY83" i="1"/>
  <c r="DZ83" i="1" s="1"/>
  <c r="FE9" i="1"/>
  <c r="FF9" i="1" s="1"/>
  <c r="FE42" i="1"/>
  <c r="FF42" i="1" s="1"/>
  <c r="FE74" i="1"/>
  <c r="FF74" i="1" s="1"/>
  <c r="FE106" i="1"/>
  <c r="FF106" i="1" s="1"/>
  <c r="FE140" i="1"/>
  <c r="FF140" i="1" s="1"/>
  <c r="FE172" i="1"/>
  <c r="FF172" i="1" s="1"/>
  <c r="FE204" i="1"/>
  <c r="FF204" i="1" s="1"/>
  <c r="FE236" i="1"/>
  <c r="FF236" i="1" s="1"/>
  <c r="FE269" i="1"/>
  <c r="FF269" i="1" s="1"/>
  <c r="FE301" i="1"/>
  <c r="FF301" i="1" s="1"/>
  <c r="FE19" i="1"/>
  <c r="FF19" i="1" s="1"/>
  <c r="FE51" i="1"/>
  <c r="FF51" i="1" s="1"/>
  <c r="FE83" i="1"/>
  <c r="FF83" i="1" s="1"/>
  <c r="FE115" i="1"/>
  <c r="FF115" i="1" s="1"/>
  <c r="FE149" i="1"/>
  <c r="FF149" i="1" s="1"/>
  <c r="FE181" i="1"/>
  <c r="FF181" i="1" s="1"/>
  <c r="FE213" i="1"/>
  <c r="FF213" i="1" s="1"/>
  <c r="FE245" i="1"/>
  <c r="FF245" i="1" s="1"/>
  <c r="FE278" i="1"/>
  <c r="FF278" i="1" s="1"/>
  <c r="FE3" i="1"/>
  <c r="FF3" i="1" s="1"/>
  <c r="FE36" i="1"/>
  <c r="FF36" i="1" s="1"/>
  <c r="FE68" i="1"/>
  <c r="FF68" i="1" s="1"/>
  <c r="FE100" i="1"/>
  <c r="FF100" i="1" s="1"/>
  <c r="FE133" i="1"/>
  <c r="FF133" i="1" s="1"/>
  <c r="FE6" i="1"/>
  <c r="FF6" i="1" s="1"/>
  <c r="FE39" i="1"/>
  <c r="FF39" i="1" s="1"/>
  <c r="FE71" i="1"/>
  <c r="FF71" i="1" s="1"/>
  <c r="FE103" i="1"/>
  <c r="FF103" i="1" s="1"/>
  <c r="FE137" i="1"/>
  <c r="FF137" i="1" s="1"/>
  <c r="FE169" i="1"/>
  <c r="FF169" i="1" s="1"/>
  <c r="FE201" i="1"/>
  <c r="FF201" i="1" s="1"/>
  <c r="FE233" i="1"/>
  <c r="FF233" i="1" s="1"/>
  <c r="FE32" i="1"/>
  <c r="FF32" i="1" s="1"/>
  <c r="FE64" i="1"/>
  <c r="FF64" i="1" s="1"/>
  <c r="FE96" i="1"/>
  <c r="FF96" i="1" s="1"/>
  <c r="FE129" i="1"/>
  <c r="FF129" i="1" s="1"/>
  <c r="FE162" i="1"/>
  <c r="FF162" i="1" s="1"/>
  <c r="FE194" i="1"/>
  <c r="FF194" i="1" s="1"/>
  <c r="FE226" i="1"/>
  <c r="FF226" i="1" s="1"/>
  <c r="FE168" i="1"/>
  <c r="FF168" i="1" s="1"/>
  <c r="FE200" i="1"/>
  <c r="FF200" i="1" s="1"/>
  <c r="FE232" i="1"/>
  <c r="FF232" i="1" s="1"/>
  <c r="FE265" i="1"/>
  <c r="FF265" i="1" s="1"/>
  <c r="FE297" i="1"/>
  <c r="FF297" i="1" s="1"/>
  <c r="FE274" i="1"/>
  <c r="FF274" i="1" s="1"/>
  <c r="FE234" i="1"/>
  <c r="FF234" i="1" s="1"/>
  <c r="FE267" i="1"/>
  <c r="FF267" i="1" s="1"/>
  <c r="FE299" i="1"/>
  <c r="FF299" i="1" s="1"/>
  <c r="FE33" i="1"/>
  <c r="FF33" i="1" s="1"/>
  <c r="FE65" i="1"/>
  <c r="FF65" i="1" s="1"/>
  <c r="FE97" i="1"/>
  <c r="FF97" i="1" s="1"/>
  <c r="FE130" i="1"/>
  <c r="FF130" i="1" s="1"/>
  <c r="FE163" i="1"/>
  <c r="FF163" i="1" s="1"/>
  <c r="FE195" i="1"/>
  <c r="FF195" i="1" s="1"/>
  <c r="FE227" i="1"/>
  <c r="FF227" i="1" s="1"/>
  <c r="FE259" i="1"/>
  <c r="FF259" i="1" s="1"/>
  <c r="FE292" i="1"/>
  <c r="FF292" i="1" s="1"/>
  <c r="FE17" i="1"/>
  <c r="FF17" i="1" s="1"/>
  <c r="FE50" i="1"/>
  <c r="FF50" i="1" s="1"/>
  <c r="FE82" i="1"/>
  <c r="FF82" i="1" s="1"/>
  <c r="FE114" i="1"/>
  <c r="FF114" i="1" s="1"/>
  <c r="FE148" i="1"/>
  <c r="FF148" i="1" s="1"/>
  <c r="FE180" i="1"/>
  <c r="FF180" i="1" s="1"/>
  <c r="FE212" i="1"/>
  <c r="FF212" i="1" s="1"/>
  <c r="FE244" i="1"/>
  <c r="FF244" i="1" s="1"/>
  <c r="FE277" i="1"/>
  <c r="FF277" i="1" s="1"/>
  <c r="FE27" i="1"/>
  <c r="FF27" i="1" s="1"/>
  <c r="FE59" i="1"/>
  <c r="FF59" i="1" s="1"/>
  <c r="FE91" i="1"/>
  <c r="FF91" i="1" s="1"/>
  <c r="FE124" i="1"/>
  <c r="FF124" i="1" s="1"/>
  <c r="FE157" i="1"/>
  <c r="FF157" i="1" s="1"/>
  <c r="FE189" i="1"/>
  <c r="FF189" i="1" s="1"/>
  <c r="FE221" i="1"/>
  <c r="FF221" i="1" s="1"/>
  <c r="FE253" i="1"/>
  <c r="FF253" i="1" s="1"/>
  <c r="FE286" i="1"/>
  <c r="FF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300" i="1"/>
  <c r="DP300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172" i="1"/>
  <c r="DY266" i="1"/>
  <c r="DZ266" i="1" s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300" i="1"/>
  <c r="CL300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Q107" i="1"/>
  <c r="BR107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60" i="1"/>
  <c r="CB60" i="1" s="1"/>
  <c r="CA125" i="1"/>
  <c r="CB125" i="1" s="1"/>
  <c r="CA190" i="1"/>
  <c r="CB190" i="1" s="1"/>
  <c r="CA254" i="1"/>
  <c r="CB254" i="1" s="1"/>
  <c r="CA82" i="1"/>
  <c r="CB82" i="1" s="1"/>
  <c r="BQ103" i="1"/>
  <c r="BR103" i="1" s="1"/>
  <c r="BQ86" i="1"/>
  <c r="BR86" i="1" s="1"/>
  <c r="BQ56" i="1"/>
  <c r="BR56" i="1" s="1"/>
  <c r="BQ23" i="1"/>
  <c r="BR23" i="1" s="1"/>
  <c r="BQ233" i="1"/>
  <c r="BR233" i="1" s="1"/>
  <c r="BQ125" i="1"/>
  <c r="BR125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Q141" i="1"/>
  <c r="BR141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O130" i="1"/>
  <c r="DP130" i="1" s="1"/>
  <c r="DO268" i="1"/>
  <c r="DP268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276" i="1"/>
  <c r="DP276" i="1" s="1"/>
  <c r="DE48" i="1"/>
  <c r="DF48" i="1" s="1"/>
  <c r="DE272" i="1"/>
  <c r="DF272" i="1" s="1"/>
  <c r="DE46" i="1"/>
  <c r="DF46" i="1" s="1"/>
  <c r="DE11" i="1"/>
  <c r="DF11" i="1" s="1"/>
  <c r="DE201" i="1"/>
  <c r="DF201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01" i="1"/>
  <c r="CV101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249" i="1"/>
  <c r="CL249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71" i="1"/>
  <c r="CB171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O257" i="1"/>
  <c r="DP257" i="1" s="1"/>
  <c r="DY296" i="1"/>
  <c r="DY34" i="1"/>
  <c r="DZ34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E112" i="1"/>
  <c r="DF112" i="1" s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113" i="1"/>
  <c r="CB113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BG73" i="1"/>
  <c r="BH73" i="1" s="1"/>
  <c r="AV266" i="1"/>
  <c r="AW266" i="1" s="1"/>
  <c r="BG57" i="1"/>
  <c r="BH57" i="1" s="1"/>
  <c r="BG246" i="1"/>
  <c r="BH246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115" i="1"/>
  <c r="DF115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129" i="1"/>
  <c r="BR129" i="1" s="1"/>
  <c r="BQ73" i="1"/>
  <c r="BR73" i="1" s="1"/>
  <c r="BQ179" i="1"/>
  <c r="BR179" i="1" s="1"/>
  <c r="BQ243" i="1"/>
  <c r="BR243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CK201" i="1"/>
  <c r="CL201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K86" i="1"/>
  <c r="CL86" i="1" s="1"/>
  <c r="CA28" i="1"/>
  <c r="CB28" i="1" s="1"/>
  <c r="CA92" i="1"/>
  <c r="CB92" i="1" s="1"/>
  <c r="CA158" i="1"/>
  <c r="CB158" i="1" s="1"/>
  <c r="CA222" i="1"/>
  <c r="CB222" i="1" s="1"/>
  <c r="CA287" i="1"/>
  <c r="CB287" i="1" s="1"/>
  <c r="CA66" i="1"/>
  <c r="CB66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169" i="1"/>
  <c r="DP169" i="1" s="1"/>
  <c r="DE196" i="1"/>
  <c r="DF196" i="1" s="1"/>
  <c r="DE273" i="1"/>
  <c r="DF273" i="1" s="1"/>
  <c r="DE185" i="1"/>
  <c r="DF185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O23" i="1"/>
  <c r="DP23" i="1" s="1"/>
  <c r="DO87" i="1"/>
  <c r="DP87" i="1" s="1"/>
  <c r="DO277" i="1"/>
  <c r="DP277" i="1" s="1"/>
  <c r="DO243" i="1"/>
  <c r="DP243" i="1" s="1"/>
  <c r="DO252" i="1"/>
  <c r="DP252" i="1" s="1"/>
  <c r="DE36" i="1"/>
  <c r="DF36" i="1" s="1"/>
  <c r="DE71" i="1"/>
  <c r="DF71" i="1" s="1"/>
  <c r="DE177" i="1"/>
  <c r="DF177" i="1" s="1"/>
  <c r="DE101" i="1"/>
  <c r="DF101" i="1" s="1"/>
  <c r="DE203" i="1"/>
  <c r="DF203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BQ118" i="1"/>
  <c r="BR118" i="1" s="1"/>
  <c r="BQ248" i="1"/>
  <c r="BR248" i="1" s="1"/>
  <c r="BQ130" i="1"/>
  <c r="BR130" i="1" s="1"/>
  <c r="BQ96" i="1"/>
  <c r="BR96" i="1" s="1"/>
  <c r="BQ217" i="1"/>
  <c r="BR217" i="1" s="1"/>
  <c r="BQ121" i="1"/>
  <c r="BR121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241" i="1"/>
  <c r="BH241" i="1" s="1"/>
  <c r="DY29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239" i="1"/>
  <c r="CB239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231" i="1"/>
  <c r="CL231" i="1" s="1"/>
  <c r="CK296" i="1"/>
  <c r="CL296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110" i="1"/>
  <c r="CL110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4" i="1"/>
  <c r="BH274" i="1" s="1"/>
  <c r="BG193" i="1"/>
  <c r="BH193" i="1" s="1"/>
  <c r="DY11" i="1"/>
  <c r="DY290" i="1"/>
  <c r="DZ6" i="1"/>
  <c r="DY47" i="1"/>
  <c r="DZ47" i="1" s="1"/>
  <c r="DZ64" i="1"/>
  <c r="DZ258" i="1"/>
  <c r="DO285" i="1"/>
  <c r="DP285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35" i="1"/>
  <c r="CL35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277" i="1"/>
  <c r="AM277" i="1" s="1"/>
  <c r="AL110" i="1"/>
  <c r="AM110" i="1" s="1"/>
  <c r="AL198" i="1"/>
  <c r="AM198" i="1" s="1"/>
  <c r="AL284" i="1"/>
  <c r="AM284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236" i="1"/>
  <c r="AM236" i="1" s="1"/>
  <c r="AL172" i="1"/>
  <c r="AM172" i="1" s="1"/>
  <c r="AL115" i="1"/>
  <c r="AM115" i="1" s="1"/>
  <c r="AL206" i="1"/>
  <c r="AM206" i="1" s="1"/>
  <c r="AL285" i="1"/>
  <c r="AM285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75" i="1"/>
  <c r="AM175" i="1" s="1"/>
  <c r="AL104" i="1"/>
  <c r="AM104" i="1" s="1"/>
  <c r="AL2" i="1"/>
  <c r="AM2" i="1" s="1"/>
  <c r="AL167" i="1"/>
  <c r="AM167" i="1" s="1"/>
  <c r="AL159" i="1"/>
  <c r="AM159" i="1" s="1"/>
  <c r="AL244" i="1"/>
  <c r="AM244" i="1" s="1"/>
  <c r="AL258" i="1"/>
  <c r="AM258" i="1" s="1"/>
  <c r="AL112" i="1"/>
  <c r="AM112" i="1" s="1"/>
  <c r="AL228" i="1"/>
  <c r="AM228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182" i="1"/>
  <c r="AM182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51" i="1"/>
  <c r="AM151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135" i="1"/>
  <c r="AM135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272" i="1"/>
  <c r="AM272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108" i="1"/>
  <c r="AM108" i="1" s="1"/>
  <c r="AL301" i="1"/>
  <c r="AM301" i="1" s="1"/>
  <c r="AL174" i="1"/>
  <c r="AM174" i="1" s="1"/>
  <c r="AL101" i="1"/>
  <c r="AM101" i="1" s="1"/>
  <c r="AL85" i="1"/>
  <c r="AM85" i="1" s="1"/>
  <c r="AL286" i="1"/>
  <c r="AM286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127" i="1"/>
  <c r="AM127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247" i="1"/>
  <c r="AM247" i="1" s="1"/>
  <c r="AL171" i="1"/>
  <c r="AM171" i="1" s="1"/>
  <c r="AL243" i="1"/>
  <c r="AM243" i="1" s="1"/>
  <c r="AL87" i="1"/>
  <c r="AM87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190" i="1"/>
  <c r="AM190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248" i="1"/>
  <c r="AM248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265" i="1"/>
  <c r="AM265" i="1" s="1"/>
  <c r="AL197" i="1"/>
  <c r="AM197" i="1" s="1"/>
  <c r="AL118" i="1"/>
  <c r="AM118" i="1" s="1"/>
  <c r="AL164" i="1"/>
  <c r="AM164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74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B298" i="1"/>
  <c r="AC298" i="1" s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R43" i="1"/>
  <c r="R42" i="1"/>
  <c r="S42" i="1" s="1"/>
  <c r="R99" i="1"/>
  <c r="R297" i="1"/>
  <c r="S297" i="1" s="1"/>
  <c r="R153" i="1"/>
  <c r="R106" i="1"/>
  <c r="S106" i="1" s="1"/>
  <c r="R256" i="1"/>
  <c r="R282" i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R119" i="1"/>
  <c r="S119" i="1" s="1"/>
  <c r="R209" i="1"/>
  <c r="R118" i="1"/>
  <c r="S118" i="1" s="1"/>
  <c r="R237" i="1"/>
  <c r="S237" i="1" s="1"/>
  <c r="R238" i="1"/>
  <c r="S238" i="1" s="1"/>
  <c r="R184" i="1"/>
  <c r="FE2" i="1"/>
  <c r="FF2" i="1" s="1"/>
  <c r="AB2" i="1"/>
  <c r="BG2" i="1"/>
  <c r="DY2" i="1"/>
  <c r="CB2" i="1"/>
  <c r="R2" i="1"/>
  <c r="S2" i="1" s="1"/>
  <c r="R123" i="1" l="1"/>
  <c r="S123" i="1" s="1"/>
  <c r="S95" i="1"/>
  <c r="S87" i="1"/>
  <c r="S127" i="1"/>
  <c r="S49" i="1"/>
  <c r="S160" i="1"/>
  <c r="S152" i="1"/>
  <c r="S298" i="1"/>
  <c r="S67" i="1"/>
  <c r="S276" i="1"/>
  <c r="S31" i="1"/>
  <c r="S304" i="1"/>
  <c r="S23" i="1"/>
  <c r="S22" i="1"/>
  <c r="S3" i="1"/>
  <c r="S166" i="1"/>
  <c r="S88" i="1"/>
  <c r="S233" i="1"/>
  <c r="S290" i="1"/>
  <c r="S211" i="1"/>
  <c r="S45" i="1"/>
  <c r="S72" i="1"/>
  <c r="S257" i="1"/>
  <c r="S291" i="1"/>
  <c r="S225" i="1"/>
  <c r="S293" i="1"/>
  <c r="S99" i="1"/>
  <c r="S224" i="1"/>
  <c r="S193" i="1"/>
  <c r="S128" i="1"/>
  <c r="S161" i="1"/>
  <c r="S301" i="1"/>
  <c r="S228" i="1"/>
  <c r="S300" i="1"/>
  <c r="S162" i="1"/>
  <c r="S112" i="1"/>
  <c r="S48" i="1"/>
  <c r="S227" i="1"/>
  <c r="S170" i="1"/>
  <c r="S282" i="1"/>
  <c r="S289" i="1"/>
  <c r="S77" i="1"/>
  <c r="S266" i="1"/>
  <c r="S216" i="1"/>
  <c r="S97" i="1"/>
  <c r="S248" i="1"/>
  <c r="S192" i="1"/>
  <c r="S43" i="1"/>
  <c r="S284" i="1"/>
  <c r="S164" i="1"/>
  <c r="S219" i="1"/>
  <c r="S217" i="1"/>
  <c r="S184" i="1"/>
  <c r="S299" i="1"/>
  <c r="S62" i="1"/>
  <c r="S202" i="1"/>
  <c r="S283" i="1"/>
  <c r="S94" i="1"/>
  <c r="S86" i="1"/>
  <c r="S155" i="1"/>
  <c r="S153" i="1"/>
  <c r="S209" i="1"/>
  <c r="S281" i="1"/>
  <c r="S303" i="1"/>
  <c r="S113" i="1"/>
  <c r="S256" i="1"/>
  <c r="S226" i="1"/>
  <c r="EN112" i="1"/>
  <c r="EN96" i="1"/>
  <c r="EN257" i="1"/>
  <c r="BG96" i="1"/>
  <c r="BH96" i="1" s="1"/>
  <c r="DZ18" i="1"/>
  <c r="EN227" i="1"/>
  <c r="FY227" i="1" s="1"/>
  <c r="FZ227" i="1" s="1"/>
  <c r="GA227" i="1" s="1"/>
  <c r="EN18" i="1"/>
  <c r="EP18" i="1" s="1"/>
  <c r="EN170" i="1"/>
  <c r="GB170" i="1" s="1"/>
  <c r="EN125" i="1"/>
  <c r="GB125" i="1" s="1"/>
  <c r="EN108" i="1"/>
  <c r="GB108" i="1" s="1"/>
  <c r="EO123" i="1"/>
  <c r="EP123" i="1"/>
  <c r="FY123" i="1"/>
  <c r="FZ123" i="1" s="1"/>
  <c r="GA123" i="1" s="1"/>
  <c r="GB123" i="1"/>
  <c r="EN234" i="1"/>
  <c r="EP234" i="1" s="1"/>
  <c r="CK234" i="1"/>
  <c r="CL234" i="1" s="1"/>
  <c r="EN53" i="1"/>
  <c r="EP53" i="1" s="1"/>
  <c r="EN184" i="1"/>
  <c r="FY184" i="1" s="1"/>
  <c r="FZ184" i="1" s="1"/>
  <c r="GA184" i="1" s="1"/>
  <c r="EN301" i="1"/>
  <c r="FY301" i="1" s="1"/>
  <c r="FZ301" i="1" s="1"/>
  <c r="GA301" i="1" s="1"/>
  <c r="EO18" i="1"/>
  <c r="CU184" i="1"/>
  <c r="CV184" i="1" s="1"/>
  <c r="EN305" i="1"/>
  <c r="EP305" i="1" s="1"/>
  <c r="EN231" i="1"/>
  <c r="EP231" i="1" s="1"/>
  <c r="EN185" i="1"/>
  <c r="GB185" i="1" s="1"/>
  <c r="EN209" i="1"/>
  <c r="EP209" i="1" s="1"/>
  <c r="EN183" i="1"/>
  <c r="GB183" i="1" s="1"/>
  <c r="EN15" i="1"/>
  <c r="GB15" i="1" s="1"/>
  <c r="DZ110" i="1"/>
  <c r="EN271" i="1"/>
  <c r="FY271" i="1" s="1"/>
  <c r="FZ271" i="1" s="1"/>
  <c r="GA271" i="1" s="1"/>
  <c r="EN93" i="1"/>
  <c r="GB93" i="1" s="1"/>
  <c r="DZ46" i="1"/>
  <c r="EN214" i="1"/>
  <c r="GB214" i="1" s="1"/>
  <c r="EN84" i="1"/>
  <c r="GB84" i="1" s="1"/>
  <c r="EN178" i="1"/>
  <c r="EP178" i="1" s="1"/>
  <c r="EN102" i="1"/>
  <c r="GB102" i="1" s="1"/>
  <c r="EN304" i="1"/>
  <c r="GB304" i="1" s="1"/>
  <c r="EN88" i="1"/>
  <c r="FY88" i="1" s="1"/>
  <c r="FZ88" i="1" s="1"/>
  <c r="GA88" i="1" s="1"/>
  <c r="EN6" i="1"/>
  <c r="FY6" i="1" s="1"/>
  <c r="FZ6" i="1" s="1"/>
  <c r="GA6" i="1" s="1"/>
  <c r="EN48" i="1"/>
  <c r="EP48" i="1" s="1"/>
  <c r="EN44" i="1"/>
  <c r="FY44" i="1" s="1"/>
  <c r="FZ44" i="1" s="1"/>
  <c r="GA44" i="1" s="1"/>
  <c r="EN3" i="1"/>
  <c r="FY3" i="1" s="1"/>
  <c r="FZ3" i="1" s="1"/>
  <c r="GA3" i="1" s="1"/>
  <c r="BG214" i="1"/>
  <c r="BH214" i="1" s="1"/>
  <c r="EN251" i="1"/>
  <c r="GB251" i="1" s="1"/>
  <c r="CA251" i="1"/>
  <c r="CB251" i="1" s="1"/>
  <c r="EN272" i="1"/>
  <c r="GB272" i="1" s="1"/>
  <c r="EN50" i="1"/>
  <c r="GB50" i="1" s="1"/>
  <c r="EN299" i="1"/>
  <c r="FY299" i="1" s="1"/>
  <c r="FZ299" i="1" s="1"/>
  <c r="GA299" i="1" s="1"/>
  <c r="EN279" i="1"/>
  <c r="GB279" i="1" s="1"/>
  <c r="EN193" i="1"/>
  <c r="GB193" i="1" s="1"/>
  <c r="EN156" i="1"/>
  <c r="FY156" i="1" s="1"/>
  <c r="FZ156" i="1" s="1"/>
  <c r="GA156" i="1" s="1"/>
  <c r="EN116" i="1"/>
  <c r="GB116" i="1" s="1"/>
  <c r="EN14" i="1"/>
  <c r="EP14" i="1" s="1"/>
  <c r="EO263" i="1"/>
  <c r="AB272" i="1"/>
  <c r="AC272" i="1" s="1"/>
  <c r="EO305" i="1"/>
  <c r="GB263" i="1"/>
  <c r="FY263" i="1"/>
  <c r="FZ263" i="1" s="1"/>
  <c r="GA263" i="1" s="1"/>
  <c r="EP263" i="1"/>
  <c r="DZ305" i="1"/>
  <c r="DF263" i="1"/>
  <c r="EN8" i="1"/>
  <c r="FY8" i="1" s="1"/>
  <c r="FZ8" i="1" s="1"/>
  <c r="GA8" i="1" s="1"/>
  <c r="CU183" i="1"/>
  <c r="CV183" i="1" s="1"/>
  <c r="EN166" i="1"/>
  <c r="FY166" i="1" s="1"/>
  <c r="FZ166" i="1" s="1"/>
  <c r="GA166" i="1" s="1"/>
  <c r="EN246" i="1"/>
  <c r="FY246" i="1" s="1"/>
  <c r="FZ246" i="1" s="1"/>
  <c r="GA246" i="1" s="1"/>
  <c r="EN82" i="1"/>
  <c r="GB82" i="1" s="1"/>
  <c r="EN248" i="1"/>
  <c r="GB248" i="1" s="1"/>
  <c r="EN129" i="1"/>
  <c r="FY129" i="1" s="1"/>
  <c r="FZ129" i="1" s="1"/>
  <c r="GA129" i="1" s="1"/>
  <c r="EN169" i="1"/>
  <c r="FY169" i="1" s="1"/>
  <c r="FZ169" i="1" s="1"/>
  <c r="GA169" i="1" s="1"/>
  <c r="EN24" i="1"/>
  <c r="GB24" i="1" s="1"/>
  <c r="EN117" i="1"/>
  <c r="EP117" i="1" s="1"/>
  <c r="EN225" i="1"/>
  <c r="FY225" i="1" s="1"/>
  <c r="FZ225" i="1" s="1"/>
  <c r="GA225" i="1" s="1"/>
  <c r="EN80" i="1"/>
  <c r="EP80" i="1" s="1"/>
  <c r="EN175" i="1"/>
  <c r="EP175" i="1" s="1"/>
  <c r="EN64" i="1"/>
  <c r="GB64" i="1" s="1"/>
  <c r="EN216" i="1"/>
  <c r="FY216" i="1" s="1"/>
  <c r="FZ216" i="1" s="1"/>
  <c r="GA216" i="1" s="1"/>
  <c r="EN38" i="1"/>
  <c r="FY38" i="1" s="1"/>
  <c r="FZ38" i="1" s="1"/>
  <c r="GA38" i="1" s="1"/>
  <c r="EN226" i="1"/>
  <c r="FY226" i="1" s="1"/>
  <c r="FZ226" i="1" s="1"/>
  <c r="GA226" i="1" s="1"/>
  <c r="EN77" i="1"/>
  <c r="GB77" i="1" s="1"/>
  <c r="EN191" i="1"/>
  <c r="GB191" i="1" s="1"/>
  <c r="EN71" i="1"/>
  <c r="GB71" i="1" s="1"/>
  <c r="EN222" i="1"/>
  <c r="FY222" i="1" s="1"/>
  <c r="FZ222" i="1" s="1"/>
  <c r="GA222" i="1" s="1"/>
  <c r="EN259" i="1"/>
  <c r="EP259" i="1" s="1"/>
  <c r="EN32" i="1"/>
  <c r="FY32" i="1" s="1"/>
  <c r="FZ32" i="1" s="1"/>
  <c r="GA32" i="1" s="1"/>
  <c r="EN63" i="1"/>
  <c r="FY63" i="1" s="1"/>
  <c r="FZ63" i="1" s="1"/>
  <c r="GA63" i="1" s="1"/>
  <c r="EN243" i="1"/>
  <c r="FY243" i="1" s="1"/>
  <c r="FZ243" i="1" s="1"/>
  <c r="GA243" i="1" s="1"/>
  <c r="R84" i="1"/>
  <c r="S84" i="1" s="1"/>
  <c r="R64" i="1"/>
  <c r="S64" i="1" s="1"/>
  <c r="AV259" i="1"/>
  <c r="AW259" i="1" s="1"/>
  <c r="EN177" i="1"/>
  <c r="GB177" i="1" s="1"/>
  <c r="EN162" i="1"/>
  <c r="EP162" i="1" s="1"/>
  <c r="EN254" i="1"/>
  <c r="FY254" i="1" s="1"/>
  <c r="FZ254" i="1" s="1"/>
  <c r="GA254" i="1" s="1"/>
  <c r="EN159" i="1"/>
  <c r="GB159" i="1" s="1"/>
  <c r="DZ24" i="1"/>
  <c r="DY127" i="1"/>
  <c r="DZ127" i="1" s="1"/>
  <c r="AB143" i="1"/>
  <c r="AC143" i="1" s="1"/>
  <c r="EN172" i="1"/>
  <c r="FY172" i="1" s="1"/>
  <c r="FZ172" i="1" s="1"/>
  <c r="GA172" i="1" s="1"/>
  <c r="EN146" i="1"/>
  <c r="GB146" i="1" s="1"/>
  <c r="AC172" i="1"/>
  <c r="EN143" i="1"/>
  <c r="EP143" i="1" s="1"/>
  <c r="AB146" i="1"/>
  <c r="AC146" i="1" s="1"/>
  <c r="DO84" i="1"/>
  <c r="DP84" i="1" s="1"/>
  <c r="DO223" i="1"/>
  <c r="DP223" i="1" s="1"/>
  <c r="EO134" i="1"/>
  <c r="DZ134" i="1"/>
  <c r="EP134" i="1"/>
  <c r="FY134" i="1"/>
  <c r="FZ134" i="1" s="1"/>
  <c r="GA134" i="1" s="1"/>
  <c r="GB134" i="1"/>
  <c r="EN106" i="1"/>
  <c r="EP106" i="1" s="1"/>
  <c r="EN145" i="1"/>
  <c r="GB145" i="1" s="1"/>
  <c r="EN98" i="1"/>
  <c r="GB98" i="1" s="1"/>
  <c r="EN119" i="1"/>
  <c r="EP119" i="1" s="1"/>
  <c r="EN103" i="1"/>
  <c r="GB103" i="1" s="1"/>
  <c r="EN16" i="1"/>
  <c r="GB16" i="1" s="1"/>
  <c r="EN200" i="1"/>
  <c r="FY200" i="1" s="1"/>
  <c r="FZ200" i="1" s="1"/>
  <c r="GA200" i="1" s="1"/>
  <c r="CK177" i="1"/>
  <c r="CL177" i="1" s="1"/>
  <c r="EN114" i="1"/>
  <c r="GB114" i="1" s="1"/>
  <c r="EN241" i="1"/>
  <c r="GB241" i="1" s="1"/>
  <c r="EN70" i="1"/>
  <c r="FY70" i="1" s="1"/>
  <c r="FZ70" i="1" s="1"/>
  <c r="GA70" i="1" s="1"/>
  <c r="BG216" i="1"/>
  <c r="BH216" i="1" s="1"/>
  <c r="EN201" i="1"/>
  <c r="FY201" i="1" s="1"/>
  <c r="FZ201" i="1" s="1"/>
  <c r="GA201" i="1" s="1"/>
  <c r="EN47" i="1"/>
  <c r="GB47" i="1" s="1"/>
  <c r="DO299" i="1"/>
  <c r="DP299" i="1" s="1"/>
  <c r="BG162" i="1"/>
  <c r="BH162" i="1" s="1"/>
  <c r="EN264" i="1"/>
  <c r="EP264" i="1" s="1"/>
  <c r="EN198" i="1"/>
  <c r="FY198" i="1" s="1"/>
  <c r="FZ198" i="1" s="1"/>
  <c r="GA198" i="1" s="1"/>
  <c r="EN111" i="1"/>
  <c r="FY111" i="1" s="1"/>
  <c r="FZ111" i="1" s="1"/>
  <c r="GA111" i="1" s="1"/>
  <c r="EN283" i="1"/>
  <c r="FY283" i="1" s="1"/>
  <c r="FZ283" i="1" s="1"/>
  <c r="GA283" i="1" s="1"/>
  <c r="EN153" i="1"/>
  <c r="GB153" i="1" s="1"/>
  <c r="EN247" i="1"/>
  <c r="GB247" i="1" s="1"/>
  <c r="EN199" i="1"/>
  <c r="EP199" i="1" s="1"/>
  <c r="EN288" i="1"/>
  <c r="GB288" i="1" s="1"/>
  <c r="EN238" i="1"/>
  <c r="EP238" i="1" s="1"/>
  <c r="EN152" i="1"/>
  <c r="FY152" i="1" s="1"/>
  <c r="FZ152" i="1" s="1"/>
  <c r="GA152" i="1" s="1"/>
  <c r="EN9" i="1"/>
  <c r="FY9" i="1" s="1"/>
  <c r="FZ9" i="1" s="1"/>
  <c r="GA9" i="1" s="1"/>
  <c r="EN282" i="1"/>
  <c r="FY282" i="1" s="1"/>
  <c r="FZ282" i="1" s="1"/>
  <c r="GA282" i="1" s="1"/>
  <c r="EN188" i="1"/>
  <c r="FY188" i="1" s="1"/>
  <c r="FZ188" i="1" s="1"/>
  <c r="GA188" i="1" s="1"/>
  <c r="EN187" i="1"/>
  <c r="GB187" i="1" s="1"/>
  <c r="EN228" i="1"/>
  <c r="FY228" i="1" s="1"/>
  <c r="FZ228" i="1" s="1"/>
  <c r="GA228" i="1" s="1"/>
  <c r="EN29" i="1"/>
  <c r="FY29" i="1" s="1"/>
  <c r="FZ29" i="1" s="1"/>
  <c r="GA29" i="1" s="1"/>
  <c r="EN118" i="1"/>
  <c r="FY118" i="1" s="1"/>
  <c r="FZ118" i="1" s="1"/>
  <c r="GA118" i="1" s="1"/>
  <c r="CK111" i="1"/>
  <c r="CL111" i="1" s="1"/>
  <c r="EN62" i="1"/>
  <c r="GB62" i="1" s="1"/>
  <c r="CK290" i="1"/>
  <c r="CL290" i="1" s="1"/>
  <c r="CK288" i="1"/>
  <c r="CL288" i="1" s="1"/>
  <c r="CU199" i="1"/>
  <c r="CV199" i="1" s="1"/>
  <c r="CU247" i="1"/>
  <c r="CV247" i="1" s="1"/>
  <c r="EN167" i="1"/>
  <c r="GB167" i="1" s="1"/>
  <c r="EN95" i="1"/>
  <c r="EP95" i="1" s="1"/>
  <c r="EN37" i="1"/>
  <c r="EP37" i="1" s="1"/>
  <c r="EN291" i="1"/>
  <c r="GB291" i="1" s="1"/>
  <c r="EN127" i="1"/>
  <c r="EP127" i="1" s="1"/>
  <c r="EN274" i="1"/>
  <c r="GB274" i="1" s="1"/>
  <c r="CU125" i="1"/>
  <c r="CV125" i="1" s="1"/>
  <c r="EN174" i="1"/>
  <c r="GB174" i="1" s="1"/>
  <c r="EN303" i="1"/>
  <c r="GB303" i="1" s="1"/>
  <c r="CU198" i="1"/>
  <c r="CV198" i="1" s="1"/>
  <c r="EN126" i="1"/>
  <c r="EP126" i="1" s="1"/>
  <c r="EN176" i="1"/>
  <c r="FY176" i="1" s="1"/>
  <c r="FZ176" i="1" s="1"/>
  <c r="GA176" i="1" s="1"/>
  <c r="CU264" i="1"/>
  <c r="CV264" i="1" s="1"/>
  <c r="EN296" i="1"/>
  <c r="FY296" i="1" s="1"/>
  <c r="FZ296" i="1" s="1"/>
  <c r="GA296" i="1" s="1"/>
  <c r="AV187" i="1"/>
  <c r="AW187" i="1" s="1"/>
  <c r="EN97" i="1"/>
  <c r="GB97" i="1" s="1"/>
  <c r="EN7" i="1"/>
  <c r="EP7" i="1" s="1"/>
  <c r="EN250" i="1"/>
  <c r="GB250" i="1" s="1"/>
  <c r="EN224" i="1"/>
  <c r="FY224" i="1" s="1"/>
  <c r="FZ224" i="1" s="1"/>
  <c r="GA224" i="1" s="1"/>
  <c r="BG228" i="1"/>
  <c r="BH228" i="1" s="1"/>
  <c r="EN163" i="1"/>
  <c r="FY163" i="1" s="1"/>
  <c r="FZ163" i="1" s="1"/>
  <c r="GA163" i="1" s="1"/>
  <c r="EN218" i="1"/>
  <c r="GB218" i="1" s="1"/>
  <c r="EN302" i="1"/>
  <c r="GB302" i="1" s="1"/>
  <c r="EN36" i="1"/>
  <c r="FY36" i="1" s="1"/>
  <c r="FZ36" i="1" s="1"/>
  <c r="GA36" i="1" s="1"/>
  <c r="EN30" i="1"/>
  <c r="FY30" i="1" s="1"/>
  <c r="FZ30" i="1" s="1"/>
  <c r="GA30" i="1" s="1"/>
  <c r="EN104" i="1"/>
  <c r="FY104" i="1" s="1"/>
  <c r="FZ104" i="1" s="1"/>
  <c r="GA104" i="1" s="1"/>
  <c r="EN138" i="1"/>
  <c r="FY138" i="1" s="1"/>
  <c r="FZ138" i="1" s="1"/>
  <c r="GA138" i="1" s="1"/>
  <c r="EN286" i="1"/>
  <c r="GB286" i="1" s="1"/>
  <c r="EN151" i="1"/>
  <c r="GB151" i="1" s="1"/>
  <c r="EN195" i="1"/>
  <c r="GB195" i="1" s="1"/>
  <c r="EN12" i="1"/>
  <c r="GB12" i="1" s="1"/>
  <c r="DO286" i="1"/>
  <c r="DP286" i="1" s="1"/>
  <c r="EN295" i="1"/>
  <c r="FY295" i="1" s="1"/>
  <c r="FZ295" i="1" s="1"/>
  <c r="GA295" i="1" s="1"/>
  <c r="EN76" i="1"/>
  <c r="FY76" i="1" s="1"/>
  <c r="FZ76" i="1" s="1"/>
  <c r="GA76" i="1" s="1"/>
  <c r="EN160" i="1"/>
  <c r="FY160" i="1" s="1"/>
  <c r="FZ160" i="1" s="1"/>
  <c r="GA160" i="1" s="1"/>
  <c r="BG176" i="1"/>
  <c r="BH176" i="1" s="1"/>
  <c r="EN255" i="1"/>
  <c r="GB255" i="1" s="1"/>
  <c r="EN107" i="1"/>
  <c r="EP107" i="1" s="1"/>
  <c r="EN217" i="1"/>
  <c r="FY217" i="1" s="1"/>
  <c r="FZ217" i="1" s="1"/>
  <c r="GA217" i="1" s="1"/>
  <c r="BG302" i="1"/>
  <c r="BH302" i="1" s="1"/>
  <c r="EN128" i="1"/>
  <c r="GB128" i="1" s="1"/>
  <c r="EN256" i="1"/>
  <c r="GB256" i="1" s="1"/>
  <c r="EN154" i="1"/>
  <c r="GB154" i="1" s="1"/>
  <c r="EN133" i="1"/>
  <c r="GB133" i="1" s="1"/>
  <c r="EN275" i="1"/>
  <c r="EP275" i="1" s="1"/>
  <c r="EN157" i="1"/>
  <c r="FY157" i="1" s="1"/>
  <c r="FZ157" i="1" s="1"/>
  <c r="GA157" i="1" s="1"/>
  <c r="EN40" i="1"/>
  <c r="GB40" i="1" s="1"/>
  <c r="EN21" i="1"/>
  <c r="GB21" i="1" s="1"/>
  <c r="EN135" i="1"/>
  <c r="FY135" i="1" s="1"/>
  <c r="FZ135" i="1" s="1"/>
  <c r="GA135" i="1" s="1"/>
  <c r="DY243" i="1"/>
  <c r="DZ243" i="1" s="1"/>
  <c r="EN85" i="1"/>
  <c r="GB85" i="1" s="1"/>
  <c r="EN42" i="1"/>
  <c r="FY42" i="1" s="1"/>
  <c r="FZ42" i="1" s="1"/>
  <c r="GA42" i="1" s="1"/>
  <c r="EN212" i="1"/>
  <c r="GB212" i="1" s="1"/>
  <c r="EN25" i="1"/>
  <c r="EP25" i="1" s="1"/>
  <c r="EN150" i="1"/>
  <c r="FY150" i="1" s="1"/>
  <c r="FZ150" i="1" s="1"/>
  <c r="GA150" i="1" s="1"/>
  <c r="DO201" i="1"/>
  <c r="DP201" i="1" s="1"/>
  <c r="DY157" i="1"/>
  <c r="DZ157" i="1" s="1"/>
  <c r="EN142" i="1"/>
  <c r="GB142" i="1" s="1"/>
  <c r="DO217" i="1"/>
  <c r="DP217" i="1" s="1"/>
  <c r="EN281" i="1"/>
  <c r="GB281" i="1" s="1"/>
  <c r="EN52" i="1"/>
  <c r="EP52" i="1" s="1"/>
  <c r="EN11" i="1"/>
  <c r="GB11" i="1" s="1"/>
  <c r="DO107" i="1"/>
  <c r="DP107" i="1" s="1"/>
  <c r="DZ78" i="1"/>
  <c r="EN68" i="1"/>
  <c r="GB68" i="1" s="1"/>
  <c r="EN94" i="1"/>
  <c r="EP94" i="1" s="1"/>
  <c r="EN293" i="1"/>
  <c r="GB293" i="1" s="1"/>
  <c r="EN273" i="1"/>
  <c r="FY273" i="1" s="1"/>
  <c r="FZ273" i="1" s="1"/>
  <c r="GA273" i="1" s="1"/>
  <c r="EN294" i="1"/>
  <c r="FY294" i="1" s="1"/>
  <c r="FZ294" i="1" s="1"/>
  <c r="GA294" i="1" s="1"/>
  <c r="EN220" i="1"/>
  <c r="EP220" i="1" s="1"/>
  <c r="BQ294" i="1"/>
  <c r="BR294" i="1" s="1"/>
  <c r="EN148" i="1"/>
  <c r="GB148" i="1" s="1"/>
  <c r="DE251" i="1"/>
  <c r="DF251" i="1" s="1"/>
  <c r="BQ293" i="1"/>
  <c r="BR293" i="1" s="1"/>
  <c r="DE296" i="1"/>
  <c r="DF296" i="1" s="1"/>
  <c r="EN285" i="1"/>
  <c r="FY285" i="1" s="1"/>
  <c r="FZ285" i="1" s="1"/>
  <c r="GA285" i="1" s="1"/>
  <c r="EN10" i="1"/>
  <c r="EP10" i="1" s="1"/>
  <c r="EN115" i="1"/>
  <c r="GB115" i="1" s="1"/>
  <c r="EN51" i="1"/>
  <c r="FY51" i="1" s="1"/>
  <c r="FZ51" i="1" s="1"/>
  <c r="GA51" i="1" s="1"/>
  <c r="EN58" i="1"/>
  <c r="GB58" i="1" s="1"/>
  <c r="EN278" i="1"/>
  <c r="FY278" i="1" s="1"/>
  <c r="FZ278" i="1" s="1"/>
  <c r="GA278" i="1" s="1"/>
  <c r="EN194" i="1"/>
  <c r="GB194" i="1" s="1"/>
  <c r="EN211" i="1"/>
  <c r="FY211" i="1" s="1"/>
  <c r="FZ211" i="1" s="1"/>
  <c r="GA211" i="1" s="1"/>
  <c r="EN186" i="1"/>
  <c r="FY186" i="1" s="1"/>
  <c r="FZ186" i="1" s="1"/>
  <c r="GA186" i="1" s="1"/>
  <c r="AL12" i="1"/>
  <c r="AM12" i="1" s="1"/>
  <c r="EN208" i="1"/>
  <c r="FY208" i="1" s="1"/>
  <c r="FZ208" i="1" s="1"/>
  <c r="GA208" i="1" s="1"/>
  <c r="EN56" i="1"/>
  <c r="FY56" i="1" s="1"/>
  <c r="FZ56" i="1" s="1"/>
  <c r="GA56" i="1" s="1"/>
  <c r="EN89" i="1"/>
  <c r="FY89" i="1" s="1"/>
  <c r="FZ89" i="1" s="1"/>
  <c r="GA89" i="1" s="1"/>
  <c r="EN73" i="1"/>
  <c r="FY73" i="1" s="1"/>
  <c r="FZ73" i="1" s="1"/>
  <c r="GA73" i="1" s="1"/>
  <c r="EN168" i="1"/>
  <c r="EP168" i="1" s="1"/>
  <c r="EN137" i="1"/>
  <c r="EP137" i="1" s="1"/>
  <c r="EN289" i="1"/>
  <c r="EP289" i="1" s="1"/>
  <c r="EN215" i="1"/>
  <c r="GB215" i="1" s="1"/>
  <c r="BG273" i="1"/>
  <c r="BH273" i="1" s="1"/>
  <c r="EN240" i="1"/>
  <c r="GB240" i="1" s="1"/>
  <c r="EN60" i="1"/>
  <c r="GB60" i="1" s="1"/>
  <c r="BG186" i="1"/>
  <c r="BH186" i="1" s="1"/>
  <c r="AV154" i="1"/>
  <c r="AW154" i="1" s="1"/>
  <c r="EN249" i="1"/>
  <c r="EP249" i="1" s="1"/>
  <c r="DO274" i="1"/>
  <c r="DP274" i="1" s="1"/>
  <c r="EN67" i="1"/>
  <c r="GB67" i="1" s="1"/>
  <c r="EN190" i="1"/>
  <c r="FY190" i="1" s="1"/>
  <c r="FZ190" i="1" s="1"/>
  <c r="GA190" i="1" s="1"/>
  <c r="EN101" i="1"/>
  <c r="GB101" i="1" s="1"/>
  <c r="DY281" i="1"/>
  <c r="DZ281" i="1" s="1"/>
  <c r="EN41" i="1"/>
  <c r="EP41" i="1" s="1"/>
  <c r="EN230" i="1"/>
  <c r="GB230" i="1" s="1"/>
  <c r="EN75" i="1"/>
  <c r="EP75" i="1" s="1"/>
  <c r="EN265" i="1"/>
  <c r="GB265" i="1" s="1"/>
  <c r="EN131" i="1"/>
  <c r="EP131" i="1" s="1"/>
  <c r="EN287" i="1"/>
  <c r="FY287" i="1" s="1"/>
  <c r="FZ287" i="1" s="1"/>
  <c r="GA287" i="1" s="1"/>
  <c r="EN100" i="1"/>
  <c r="EP100" i="1" s="1"/>
  <c r="EN292" i="1"/>
  <c r="FY292" i="1" s="1"/>
  <c r="FZ292" i="1" s="1"/>
  <c r="GA292" i="1" s="1"/>
  <c r="EN205" i="1"/>
  <c r="GB205" i="1" s="1"/>
  <c r="EN90" i="1"/>
  <c r="FY90" i="1" s="1"/>
  <c r="FZ90" i="1" s="1"/>
  <c r="GA90" i="1" s="1"/>
  <c r="EN280" i="1"/>
  <c r="GB280" i="1" s="1"/>
  <c r="DZ269" i="1"/>
  <c r="DY265" i="1"/>
  <c r="DZ265" i="1" s="1"/>
  <c r="DY115" i="1"/>
  <c r="EO115" i="1" s="1"/>
  <c r="DE75" i="1"/>
  <c r="DF75" i="1" s="1"/>
  <c r="EN252" i="1"/>
  <c r="GB252" i="1" s="1"/>
  <c r="EN78" i="1"/>
  <c r="GB78" i="1" s="1"/>
  <c r="DZ28" i="1"/>
  <c r="EN27" i="1"/>
  <c r="FY27" i="1" s="1"/>
  <c r="FZ27" i="1" s="1"/>
  <c r="GA27" i="1" s="1"/>
  <c r="DE249" i="1"/>
  <c r="DF249" i="1" s="1"/>
  <c r="DY73" i="1"/>
  <c r="EO73" i="1" s="1"/>
  <c r="EN17" i="1"/>
  <c r="EP17" i="1" s="1"/>
  <c r="DY285" i="1"/>
  <c r="EO285" i="1" s="1"/>
  <c r="DE230" i="1"/>
  <c r="DF230" i="1" s="1"/>
  <c r="DY256" i="1"/>
  <c r="DZ256" i="1" s="1"/>
  <c r="DY195" i="1"/>
  <c r="DZ195" i="1" s="1"/>
  <c r="EN260" i="1"/>
  <c r="FY260" i="1" s="1"/>
  <c r="FZ260" i="1" s="1"/>
  <c r="GA260" i="1" s="1"/>
  <c r="EN74" i="1"/>
  <c r="FY74" i="1" s="1"/>
  <c r="FZ74" i="1" s="1"/>
  <c r="GA74" i="1" s="1"/>
  <c r="BQ260" i="1"/>
  <c r="BR260" i="1" s="1"/>
  <c r="EN300" i="1"/>
  <c r="GB300" i="1" s="1"/>
  <c r="EN20" i="1"/>
  <c r="FY20" i="1" s="1"/>
  <c r="FZ20" i="1" s="1"/>
  <c r="GA20" i="1" s="1"/>
  <c r="EN141" i="1"/>
  <c r="EP141" i="1" s="1"/>
  <c r="EN39" i="1"/>
  <c r="FY39" i="1" s="1"/>
  <c r="FZ39" i="1" s="1"/>
  <c r="GA39" i="1" s="1"/>
  <c r="EN239" i="1"/>
  <c r="GB239" i="1" s="1"/>
  <c r="EN221" i="1"/>
  <c r="FY221" i="1" s="1"/>
  <c r="FZ221" i="1" s="1"/>
  <c r="GA221" i="1" s="1"/>
  <c r="EN269" i="1"/>
  <c r="EP269" i="1" s="1"/>
  <c r="EN164" i="1"/>
  <c r="FY164" i="1" s="1"/>
  <c r="FZ164" i="1" s="1"/>
  <c r="GA164" i="1" s="1"/>
  <c r="EN19" i="1"/>
  <c r="FY19" i="1" s="1"/>
  <c r="FZ19" i="1" s="1"/>
  <c r="GA19" i="1" s="1"/>
  <c r="EN113" i="1"/>
  <c r="FY113" i="1" s="1"/>
  <c r="FZ113" i="1" s="1"/>
  <c r="GA113" i="1" s="1"/>
  <c r="CA41" i="1"/>
  <c r="CB41" i="1" s="1"/>
  <c r="EN109" i="1"/>
  <c r="FY109" i="1" s="1"/>
  <c r="FZ109" i="1" s="1"/>
  <c r="GA109" i="1" s="1"/>
  <c r="EN34" i="1"/>
  <c r="GB34" i="1" s="1"/>
  <c r="CB14" i="1"/>
  <c r="CB47" i="1"/>
  <c r="EN28" i="1"/>
  <c r="GB28" i="1" s="1"/>
  <c r="EN173" i="1"/>
  <c r="GB173" i="1" s="1"/>
  <c r="EN233" i="1"/>
  <c r="EP233" i="1" s="1"/>
  <c r="CU239" i="1"/>
  <c r="CV239" i="1" s="1"/>
  <c r="EN207" i="1"/>
  <c r="GB207" i="1" s="1"/>
  <c r="EN192" i="1"/>
  <c r="GB192" i="1" s="1"/>
  <c r="EN284" i="1"/>
  <c r="EP284" i="1" s="1"/>
  <c r="CU133" i="1"/>
  <c r="CV133" i="1" s="1"/>
  <c r="EN136" i="1"/>
  <c r="EP136" i="1" s="1"/>
  <c r="CV100" i="1"/>
  <c r="EN120" i="1"/>
  <c r="GB120" i="1" s="1"/>
  <c r="EN46" i="1"/>
  <c r="FY46" i="1" s="1"/>
  <c r="FZ46" i="1" s="1"/>
  <c r="GA46" i="1" s="1"/>
  <c r="AL3" i="1"/>
  <c r="AM3" i="1" s="1"/>
  <c r="EN268" i="1"/>
  <c r="EP268" i="1" s="1"/>
  <c r="EN229" i="1"/>
  <c r="GB229" i="1" s="1"/>
  <c r="EN33" i="1"/>
  <c r="FY33" i="1" s="1"/>
  <c r="FZ33" i="1" s="1"/>
  <c r="GA33" i="1" s="1"/>
  <c r="EN121" i="1"/>
  <c r="EP121" i="1" s="1"/>
  <c r="AW179" i="1"/>
  <c r="EN179" i="1"/>
  <c r="FY179" i="1" s="1"/>
  <c r="FZ179" i="1" s="1"/>
  <c r="GA179" i="1" s="1"/>
  <c r="EN57" i="1"/>
  <c r="FY57" i="1" s="1"/>
  <c r="FZ57" i="1" s="1"/>
  <c r="GA57" i="1" s="1"/>
  <c r="AV113" i="1"/>
  <c r="AW113" i="1" s="1"/>
  <c r="EN91" i="1"/>
  <c r="EP91" i="1" s="1"/>
  <c r="EN144" i="1"/>
  <c r="EP144" i="1" s="1"/>
  <c r="EN110" i="1"/>
  <c r="EP110" i="1" s="1"/>
  <c r="AW49" i="1"/>
  <c r="EN132" i="1"/>
  <c r="GB132" i="1" s="1"/>
  <c r="EN81" i="1"/>
  <c r="EP81" i="1" s="1"/>
  <c r="DP94" i="1"/>
  <c r="EN130" i="1"/>
  <c r="FY130" i="1" s="1"/>
  <c r="FZ130" i="1" s="1"/>
  <c r="GA130" i="1" s="1"/>
  <c r="EN5" i="1"/>
  <c r="FY5" i="1" s="1"/>
  <c r="FZ5" i="1" s="1"/>
  <c r="GA5" i="1" s="1"/>
  <c r="EN182" i="1"/>
  <c r="EP182" i="1" s="1"/>
  <c r="EN69" i="1"/>
  <c r="EP69" i="1" s="1"/>
  <c r="DZ244" i="1"/>
  <c r="EN262" i="1"/>
  <c r="FY262" i="1" s="1"/>
  <c r="FZ262" i="1" s="1"/>
  <c r="GA262" i="1" s="1"/>
  <c r="EN232" i="1"/>
  <c r="GB232" i="1" s="1"/>
  <c r="EN210" i="1"/>
  <c r="GB210" i="1" s="1"/>
  <c r="DE89" i="1"/>
  <c r="DF89" i="1" s="1"/>
  <c r="DY130" i="1"/>
  <c r="DZ130" i="1" s="1"/>
  <c r="DY211" i="1"/>
  <c r="DZ211" i="1" s="1"/>
  <c r="EN261" i="1"/>
  <c r="FY261" i="1" s="1"/>
  <c r="FZ261" i="1" s="1"/>
  <c r="GA261" i="1" s="1"/>
  <c r="EN236" i="1"/>
  <c r="FY236" i="1" s="1"/>
  <c r="FZ236" i="1" s="1"/>
  <c r="GA236" i="1" s="1"/>
  <c r="EN165" i="1"/>
  <c r="GB165" i="1" s="1"/>
  <c r="DE233" i="1"/>
  <c r="DF233" i="1" s="1"/>
  <c r="DY301" i="1"/>
  <c r="DZ301" i="1" s="1"/>
  <c r="EN180" i="1"/>
  <c r="EP180" i="1" s="1"/>
  <c r="EN140" i="1"/>
  <c r="FY140" i="1" s="1"/>
  <c r="FZ140" i="1" s="1"/>
  <c r="GA140" i="1" s="1"/>
  <c r="EN237" i="1"/>
  <c r="FY237" i="1" s="1"/>
  <c r="FZ237" i="1" s="1"/>
  <c r="GA237" i="1" s="1"/>
  <c r="EN149" i="1"/>
  <c r="FY149" i="1" s="1"/>
  <c r="FZ149" i="1" s="1"/>
  <c r="GA149" i="1" s="1"/>
  <c r="EN139" i="1"/>
  <c r="FY139" i="1" s="1"/>
  <c r="FZ139" i="1" s="1"/>
  <c r="GA139" i="1" s="1"/>
  <c r="EN65" i="1"/>
  <c r="EP65" i="1" s="1"/>
  <c r="EN122" i="1"/>
  <c r="GB122" i="1" s="1"/>
  <c r="EN244" i="1"/>
  <c r="EP244" i="1" s="1"/>
  <c r="EN59" i="1"/>
  <c r="FY59" i="1" s="1"/>
  <c r="FZ59" i="1" s="1"/>
  <c r="GA59" i="1" s="1"/>
  <c r="EN277" i="1"/>
  <c r="FY277" i="1" s="1"/>
  <c r="FZ277" i="1" s="1"/>
  <c r="GA277" i="1" s="1"/>
  <c r="BQ140" i="1"/>
  <c r="BR140" i="1" s="1"/>
  <c r="EN161" i="1"/>
  <c r="EP161" i="1" s="1"/>
  <c r="EN158" i="1"/>
  <c r="GB158" i="1" s="1"/>
  <c r="EN86" i="1"/>
  <c r="FY86" i="1" s="1"/>
  <c r="FZ86" i="1" s="1"/>
  <c r="GA86" i="1" s="1"/>
  <c r="EN276" i="1"/>
  <c r="GB276" i="1" s="1"/>
  <c r="EN181" i="1"/>
  <c r="EP181" i="1" s="1"/>
  <c r="BQ244" i="1"/>
  <c r="BR244" i="1" s="1"/>
  <c r="EN43" i="1"/>
  <c r="GB43" i="1" s="1"/>
  <c r="DE158" i="1"/>
  <c r="DF158" i="1" s="1"/>
  <c r="EN83" i="1"/>
  <c r="FY83" i="1" s="1"/>
  <c r="FZ83" i="1" s="1"/>
  <c r="GA83" i="1" s="1"/>
  <c r="EN92" i="1"/>
  <c r="GB92" i="1" s="1"/>
  <c r="EN202" i="1"/>
  <c r="FY202" i="1" s="1"/>
  <c r="FZ202" i="1" s="1"/>
  <c r="GA202" i="1" s="1"/>
  <c r="BQ287" i="1"/>
  <c r="BR287" i="1" s="1"/>
  <c r="EN99" i="1"/>
  <c r="GB99" i="1" s="1"/>
  <c r="EN197" i="1"/>
  <c r="GB197" i="1" s="1"/>
  <c r="EN87" i="1"/>
  <c r="FY87" i="1" s="1"/>
  <c r="FZ87" i="1" s="1"/>
  <c r="GA87" i="1" s="1"/>
  <c r="EN242" i="1"/>
  <c r="FY242" i="1" s="1"/>
  <c r="FZ242" i="1" s="1"/>
  <c r="GA242" i="1" s="1"/>
  <c r="EN298" i="1"/>
  <c r="FY298" i="1" s="1"/>
  <c r="FZ298" i="1" s="1"/>
  <c r="GA298" i="1" s="1"/>
  <c r="EN79" i="1"/>
  <c r="FY79" i="1" s="1"/>
  <c r="FZ79" i="1" s="1"/>
  <c r="GA79" i="1" s="1"/>
  <c r="CL79" i="1"/>
  <c r="CK65" i="1"/>
  <c r="CL65" i="1" s="1"/>
  <c r="CK210" i="1"/>
  <c r="CL210" i="1" s="1"/>
  <c r="EN105" i="1"/>
  <c r="EP105" i="1" s="1"/>
  <c r="EN258" i="1"/>
  <c r="EP258" i="1" s="1"/>
  <c r="CA81" i="1"/>
  <c r="CB81" i="1" s="1"/>
  <c r="EN266" i="1"/>
  <c r="FY266" i="1" s="1"/>
  <c r="FZ266" i="1" s="1"/>
  <c r="GA266" i="1" s="1"/>
  <c r="CL55" i="1"/>
  <c r="EN22" i="1"/>
  <c r="FY22" i="1" s="1"/>
  <c r="FZ22" i="1" s="1"/>
  <c r="GA22" i="1" s="1"/>
  <c r="EN155" i="1"/>
  <c r="GB155" i="1" s="1"/>
  <c r="CK87" i="1"/>
  <c r="CL87" i="1" s="1"/>
  <c r="CL23" i="1"/>
  <c r="EN297" i="1"/>
  <c r="EP297" i="1" s="1"/>
  <c r="EN26" i="1"/>
  <c r="FY26" i="1" s="1"/>
  <c r="FZ26" i="1" s="1"/>
  <c r="GA26" i="1" s="1"/>
  <c r="EN267" i="1"/>
  <c r="EP267" i="1" s="1"/>
  <c r="EN219" i="1"/>
  <c r="GB219" i="1" s="1"/>
  <c r="EN54" i="1"/>
  <c r="FY54" i="1" s="1"/>
  <c r="FZ54" i="1" s="1"/>
  <c r="GA54" i="1" s="1"/>
  <c r="EN31" i="1"/>
  <c r="GB31" i="1" s="1"/>
  <c r="CK258" i="1"/>
  <c r="CL258" i="1" s="1"/>
  <c r="EN55" i="1"/>
  <c r="EP55" i="1" s="1"/>
  <c r="EN147" i="1"/>
  <c r="FY147" i="1" s="1"/>
  <c r="FZ147" i="1" s="1"/>
  <c r="GA147" i="1" s="1"/>
  <c r="EN23" i="1"/>
  <c r="GB23" i="1" s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N124" i="1"/>
  <c r="FY124" i="1" s="1"/>
  <c r="FZ124" i="1" s="1"/>
  <c r="GA124" i="1" s="1"/>
  <c r="AL5" i="1"/>
  <c r="AM5" i="1" s="1"/>
  <c r="EO250" i="1"/>
  <c r="EO267" i="1"/>
  <c r="EN253" i="1"/>
  <c r="FY253" i="1" s="1"/>
  <c r="FZ253" i="1" s="1"/>
  <c r="GA253" i="1" s="1"/>
  <c r="EN245" i="1"/>
  <c r="FY245" i="1" s="1"/>
  <c r="FZ245" i="1" s="1"/>
  <c r="GA245" i="1" s="1"/>
  <c r="AV149" i="1"/>
  <c r="AW149" i="1" s="1"/>
  <c r="AV16" i="1"/>
  <c r="AW16" i="1" s="1"/>
  <c r="EN235" i="1"/>
  <c r="GB235" i="1" s="1"/>
  <c r="AV99" i="1"/>
  <c r="AW99" i="1" s="1"/>
  <c r="AV284" i="1"/>
  <c r="AW284" i="1" s="1"/>
  <c r="AV170" i="1"/>
  <c r="AW170" i="1" s="1"/>
  <c r="EN72" i="1"/>
  <c r="GB72" i="1" s="1"/>
  <c r="EN171" i="1"/>
  <c r="FY171" i="1" s="1"/>
  <c r="FZ171" i="1" s="1"/>
  <c r="GA171" i="1" s="1"/>
  <c r="EN213" i="1"/>
  <c r="FY213" i="1" s="1"/>
  <c r="FZ213" i="1" s="1"/>
  <c r="GA213" i="1" s="1"/>
  <c r="EN189" i="1"/>
  <c r="EP189" i="1" s="1"/>
  <c r="EN35" i="1"/>
  <c r="GB35" i="1" s="1"/>
  <c r="EN270" i="1"/>
  <c r="GB270" i="1" s="1"/>
  <c r="AV105" i="1"/>
  <c r="AW105" i="1" s="1"/>
  <c r="AV219" i="1"/>
  <c r="AW219" i="1" s="1"/>
  <c r="EN203" i="1"/>
  <c r="FY203" i="1" s="1"/>
  <c r="FZ203" i="1" s="1"/>
  <c r="GA203" i="1" s="1"/>
  <c r="AW203" i="1"/>
  <c r="EN49" i="1"/>
  <c r="EP49" i="1" s="1"/>
  <c r="DP210" i="1"/>
  <c r="DY13" i="1"/>
  <c r="DZ13" i="1" s="1"/>
  <c r="EN13" i="1"/>
  <c r="DF250" i="1"/>
  <c r="EO71" i="1"/>
  <c r="EO129" i="1"/>
  <c r="AB212" i="1"/>
  <c r="AC212" i="1" s="1"/>
  <c r="GB112" i="1"/>
  <c r="FY112" i="1"/>
  <c r="FZ112" i="1" s="1"/>
  <c r="GA112" i="1" s="1"/>
  <c r="FY257" i="1"/>
  <c r="FZ257" i="1" s="1"/>
  <c r="GA257" i="1" s="1"/>
  <c r="GB257" i="1"/>
  <c r="DY101" i="1"/>
  <c r="DZ101" i="1" s="1"/>
  <c r="FY223" i="1"/>
  <c r="FZ223" i="1" s="1"/>
  <c r="GA223" i="1" s="1"/>
  <c r="GB223" i="1"/>
  <c r="GB290" i="1"/>
  <c r="FY290" i="1"/>
  <c r="FZ290" i="1" s="1"/>
  <c r="GA290" i="1" s="1"/>
  <c r="FY96" i="1"/>
  <c r="FZ96" i="1" s="1"/>
  <c r="GA96" i="1" s="1"/>
  <c r="GB96" i="1"/>
  <c r="BQ2" i="1"/>
  <c r="BR2" i="1" s="1"/>
  <c r="AM69" i="1"/>
  <c r="AC87" i="1"/>
  <c r="AM136" i="1"/>
  <c r="EO136" i="1"/>
  <c r="EO208" i="1"/>
  <c r="DZ208" i="1"/>
  <c r="EO109" i="1"/>
  <c r="CV15" i="1"/>
  <c r="EO46" i="1"/>
  <c r="DF5" i="1"/>
  <c r="EO192" i="1"/>
  <c r="DP192" i="1"/>
  <c r="DP21" i="1"/>
  <c r="EO150" i="1"/>
  <c r="EO156" i="1"/>
  <c r="DZ156" i="1"/>
  <c r="CV64" i="1"/>
  <c r="EO224" i="1"/>
  <c r="EO202" i="1"/>
  <c r="EO257" i="1"/>
  <c r="DF14" i="1"/>
  <c r="DF283" i="1"/>
  <c r="EO283" i="1"/>
  <c r="EO248" i="1"/>
  <c r="EO155" i="1"/>
  <c r="DZ257" i="1"/>
  <c r="EO144" i="1"/>
  <c r="DZ144" i="1"/>
  <c r="EO112" i="1"/>
  <c r="EO218" i="1"/>
  <c r="EO120" i="1"/>
  <c r="DE2" i="1"/>
  <c r="DF2" i="1" s="1"/>
  <c r="AB206" i="1"/>
  <c r="AC206" i="1" s="1"/>
  <c r="EN206" i="1"/>
  <c r="AB196" i="1"/>
  <c r="AC196" i="1" s="1"/>
  <c r="EN196" i="1"/>
  <c r="AM204" i="1"/>
  <c r="EN204" i="1"/>
  <c r="EO78" i="1"/>
  <c r="EO85" i="1"/>
  <c r="AV2" i="1"/>
  <c r="AW2" i="1" s="1"/>
  <c r="AM61" i="1"/>
  <c r="EN61" i="1"/>
  <c r="AB66" i="1"/>
  <c r="AC66" i="1" s="1"/>
  <c r="EN66" i="1"/>
  <c r="AL45" i="1"/>
  <c r="AM45" i="1" s="1"/>
  <c r="EN45" i="1"/>
  <c r="DF78" i="1"/>
  <c r="EO104" i="1"/>
  <c r="BR53" i="1"/>
  <c r="CL242" i="1"/>
  <c r="EO242" i="1"/>
  <c r="DF70" i="1"/>
  <c r="EO70" i="1"/>
  <c r="EO232" i="1"/>
  <c r="DF234" i="1"/>
  <c r="EO234" i="1"/>
  <c r="EP257" i="1"/>
  <c r="EO90" i="1"/>
  <c r="DF218" i="1"/>
  <c r="EO153" i="1"/>
  <c r="EO185" i="1"/>
  <c r="CK2" i="1"/>
  <c r="CL2" i="1" s="1"/>
  <c r="AM160" i="1"/>
  <c r="EO160" i="1"/>
  <c r="EO93" i="1"/>
  <c r="CV95" i="1"/>
  <c r="EO95" i="1"/>
  <c r="EO178" i="1"/>
  <c r="DF178" i="1"/>
  <c r="EO103" i="1"/>
  <c r="EO152" i="1"/>
  <c r="EO173" i="1"/>
  <c r="DZ173" i="1"/>
  <c r="EO168" i="1"/>
  <c r="EO275" i="1"/>
  <c r="CV31" i="1"/>
  <c r="EO118" i="1"/>
  <c r="DZ118" i="1"/>
  <c r="DZ299" i="1"/>
  <c r="EO88" i="1"/>
  <c r="EO161" i="1"/>
  <c r="EO68" i="1"/>
  <c r="DF56" i="1"/>
  <c r="EO145" i="1"/>
  <c r="EO290" i="1"/>
  <c r="DZ11" i="1"/>
  <c r="DZ219" i="1"/>
  <c r="DZ214" i="1"/>
  <c r="DZ107" i="1"/>
  <c r="EO220" i="1"/>
  <c r="EO96" i="1"/>
  <c r="EO225" i="1"/>
  <c r="DF111" i="1"/>
  <c r="EO80" i="1"/>
  <c r="EO110" i="1"/>
  <c r="AM4" i="1"/>
  <c r="EN4" i="1"/>
  <c r="AC193" i="1"/>
  <c r="EO193" i="1"/>
  <c r="DO2" i="1"/>
  <c r="DP2" i="1" s="1"/>
  <c r="CU2" i="1"/>
  <c r="CV2" i="1" s="1"/>
  <c r="EO94" i="1"/>
  <c r="EO119" i="1"/>
  <c r="EO128" i="1"/>
  <c r="DF145" i="1"/>
  <c r="DZ290" i="1"/>
  <c r="DF79" i="1"/>
  <c r="EO79" i="1"/>
  <c r="DF226" i="1"/>
  <c r="DZ225" i="1"/>
  <c r="DF24" i="1"/>
  <c r="EO137" i="1"/>
  <c r="EO279" i="1"/>
  <c r="EO116" i="1"/>
  <c r="EO92" i="1"/>
  <c r="EO131" i="1"/>
  <c r="EO240" i="1"/>
  <c r="EO163" i="1"/>
  <c r="EO271" i="1"/>
  <c r="EO174" i="1"/>
  <c r="EO300" i="1"/>
  <c r="EO172" i="1"/>
  <c r="EO166" i="1"/>
  <c r="EO169" i="1"/>
  <c r="DZ187" i="1"/>
  <c r="DZ279" i="1"/>
  <c r="EO298" i="1"/>
  <c r="DF45" i="1"/>
  <c r="EO72" i="1"/>
  <c r="EO216" i="1"/>
  <c r="EP96" i="1"/>
  <c r="EO179" i="1"/>
  <c r="DZ92" i="1"/>
  <c r="EO253" i="1"/>
  <c r="EO98" i="1"/>
  <c r="DZ240" i="1"/>
  <c r="EO236" i="1"/>
  <c r="DZ288" i="1"/>
  <c r="EO49" i="1"/>
  <c r="EO189" i="1"/>
  <c r="DZ174" i="1"/>
  <c r="DZ300" i="1"/>
  <c r="EO261" i="1"/>
  <c r="DZ215" i="1"/>
  <c r="DZ166" i="1"/>
  <c r="DZ292" i="1"/>
  <c r="AW201" i="1"/>
  <c r="DF52" i="1"/>
  <c r="DZ116" i="1"/>
  <c r="EO188" i="1"/>
  <c r="DZ298" i="1"/>
  <c r="CB249" i="1"/>
  <c r="EO303" i="1"/>
  <c r="EO33" i="1"/>
  <c r="EO203" i="1"/>
  <c r="EO221" i="1"/>
  <c r="DZ183" i="1"/>
  <c r="EO159" i="1"/>
  <c r="DZ49" i="1"/>
  <c r="EO180" i="1"/>
  <c r="EO67" i="1"/>
  <c r="EO231" i="1"/>
  <c r="DZ271" i="1"/>
  <c r="EO82" i="1"/>
  <c r="EO151" i="1"/>
  <c r="EO126" i="1"/>
  <c r="DF186" i="1"/>
  <c r="EO77" i="1"/>
  <c r="EO237" i="1"/>
  <c r="EO282" i="1"/>
  <c r="DF267" i="1"/>
  <c r="DZ184" i="1"/>
  <c r="EO121" i="1"/>
  <c r="EO246" i="1"/>
  <c r="DZ303" i="1"/>
  <c r="DZ272" i="1"/>
  <c r="EO222" i="1"/>
  <c r="DZ203" i="1"/>
  <c r="EO74" i="1"/>
  <c r="EP112" i="1"/>
  <c r="DZ133" i="1"/>
  <c r="EO213" i="1"/>
  <c r="DZ159" i="1"/>
  <c r="DZ239" i="1"/>
  <c r="DZ125" i="1"/>
  <c r="DZ105" i="1"/>
  <c r="DZ231" i="1"/>
  <c r="EP223" i="1"/>
  <c r="DZ151" i="1"/>
  <c r="EO164" i="1"/>
  <c r="DZ126" i="1"/>
  <c r="EO209" i="1"/>
  <c r="EO86" i="1"/>
  <c r="EO291" i="1"/>
  <c r="DZ22" i="1"/>
  <c r="EO106" i="1"/>
  <c r="EO227" i="1"/>
  <c r="DZ81" i="1"/>
  <c r="EO276" i="1"/>
  <c r="EO34" i="1"/>
  <c r="EO195" i="1"/>
  <c r="EO175" i="1"/>
  <c r="EO148" i="1"/>
  <c r="EO167" i="1"/>
  <c r="EO266" i="1"/>
  <c r="EO100" i="1"/>
  <c r="DF38" i="1"/>
  <c r="EO76" i="1"/>
  <c r="BR161" i="1"/>
  <c r="DF202" i="1"/>
  <c r="EO122" i="1"/>
  <c r="EO268" i="1"/>
  <c r="EO241" i="1"/>
  <c r="EO207" i="1"/>
  <c r="EO83" i="1"/>
  <c r="EO165" i="1"/>
  <c r="EO191" i="1"/>
  <c r="EO132" i="1"/>
  <c r="EO296" i="1"/>
  <c r="EO297" i="1"/>
  <c r="EO114" i="1"/>
  <c r="EO108" i="1"/>
  <c r="EO124" i="1"/>
  <c r="EO280" i="1"/>
  <c r="EO254" i="1"/>
  <c r="EO197" i="1"/>
  <c r="EO142" i="1"/>
  <c r="DF80" i="1"/>
  <c r="EO102" i="1"/>
  <c r="EO57" i="1"/>
  <c r="EO141" i="1"/>
  <c r="DZ12" i="1"/>
  <c r="DZ268" i="1"/>
  <c r="EO229" i="1"/>
  <c r="DZ241" i="1"/>
  <c r="DZ207" i="1"/>
  <c r="DZ131" i="1"/>
  <c r="DZ191" i="1"/>
  <c r="EO278" i="1"/>
  <c r="DZ297" i="1"/>
  <c r="EO245" i="1"/>
  <c r="EO269" i="1"/>
  <c r="DZ9" i="1"/>
  <c r="EO238" i="1"/>
  <c r="EO97" i="1"/>
  <c r="DZ172" i="1"/>
  <c r="DZ280" i="1"/>
  <c r="EO289" i="1"/>
  <c r="DZ27" i="1"/>
  <c r="EP290" i="1"/>
  <c r="EO25" i="1"/>
  <c r="EO295" i="1"/>
  <c r="DZ76" i="1"/>
  <c r="DZ182" i="1"/>
  <c r="DZ75" i="1"/>
  <c r="EO252" i="1"/>
  <c r="DZ58" i="1"/>
  <c r="EO8" i="1"/>
  <c r="DZ158" i="1"/>
  <c r="EO235" i="1"/>
  <c r="EO277" i="1"/>
  <c r="DZ264" i="1"/>
  <c r="EO171" i="1"/>
  <c r="DZ278" i="1"/>
  <c r="DZ98" i="1"/>
  <c r="DZ247" i="1"/>
  <c r="DZ16" i="1"/>
  <c r="DZ236" i="1"/>
  <c r="DZ296" i="1"/>
  <c r="DZ181" i="1"/>
  <c r="DZ108" i="1"/>
  <c r="EO139" i="1"/>
  <c r="DZ189" i="1"/>
  <c r="EO304" i="1"/>
  <c r="EO190" i="1"/>
  <c r="DZ163" i="1"/>
  <c r="DZ97" i="1"/>
  <c r="DZ261" i="1"/>
  <c r="DZ230" i="1"/>
  <c r="DZ254" i="1"/>
  <c r="DZ259" i="1"/>
  <c r="EO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O31" i="1" s="1"/>
  <c r="AL30" i="1"/>
  <c r="AM30" i="1" s="1"/>
  <c r="AL42" i="1"/>
  <c r="AM42" i="1" s="1"/>
  <c r="AL48" i="1"/>
  <c r="AM48" i="1" s="1"/>
  <c r="AL52" i="1"/>
  <c r="EO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O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N2" i="1"/>
  <c r="AC2" i="1"/>
  <c r="DZ2" i="1"/>
  <c r="GB227" i="1" l="1"/>
  <c r="EP227" i="1"/>
  <c r="FY170" i="1"/>
  <c r="FZ170" i="1" s="1"/>
  <c r="GA170" i="1" s="1"/>
  <c r="EO181" i="1"/>
  <c r="FG181" i="1" s="1"/>
  <c r="FP181" i="1" s="1"/>
  <c r="FR181" i="1" s="1"/>
  <c r="EO199" i="1"/>
  <c r="GB18" i="1"/>
  <c r="FY18" i="1"/>
  <c r="FZ18" i="1" s="1"/>
  <c r="GA18" i="1" s="1"/>
  <c r="EO184" i="1"/>
  <c r="EO125" i="1"/>
  <c r="EP170" i="1"/>
  <c r="EO214" i="1"/>
  <c r="EP125" i="1"/>
  <c r="FY125" i="1"/>
  <c r="FZ125" i="1" s="1"/>
  <c r="GA125" i="1" s="1"/>
  <c r="GC125" i="1" s="1"/>
  <c r="FY108" i="1"/>
  <c r="FZ108" i="1" s="1"/>
  <c r="GA108" i="1" s="1"/>
  <c r="GC108" i="1" s="1"/>
  <c r="GT108" i="1" s="1"/>
  <c r="GU108" i="1" s="1"/>
  <c r="GV108" i="1" s="1"/>
  <c r="FG123" i="1"/>
  <c r="FP123" i="1" s="1"/>
  <c r="FQ123" i="1" s="1"/>
  <c r="EP184" i="1"/>
  <c r="GB184" i="1"/>
  <c r="GC184" i="1" s="1"/>
  <c r="EP185" i="1"/>
  <c r="FG185" i="1" s="1"/>
  <c r="FP185" i="1" s="1"/>
  <c r="FQ185" i="1" s="1"/>
  <c r="EP108" i="1"/>
  <c r="FG108" i="1" s="1"/>
  <c r="FP108" i="1" s="1"/>
  <c r="FQ108" i="1" s="1"/>
  <c r="GB234" i="1"/>
  <c r="FY234" i="1"/>
  <c r="FZ234" i="1" s="1"/>
  <c r="GA234" i="1" s="1"/>
  <c r="EP301" i="1"/>
  <c r="FY185" i="1"/>
  <c r="FZ185" i="1" s="1"/>
  <c r="GA185" i="1" s="1"/>
  <c r="GC185" i="1" s="1"/>
  <c r="GF185" i="1" s="1"/>
  <c r="GG185" i="1" s="1"/>
  <c r="GB301" i="1"/>
  <c r="GC301" i="1" s="1"/>
  <c r="GR301" i="1" s="1"/>
  <c r="GB209" i="1"/>
  <c r="DZ285" i="1"/>
  <c r="GB53" i="1"/>
  <c r="FY209" i="1"/>
  <c r="FZ209" i="1" s="1"/>
  <c r="GA209" i="1" s="1"/>
  <c r="FY53" i="1"/>
  <c r="FZ53" i="1" s="1"/>
  <c r="GA53" i="1" s="1"/>
  <c r="GC123" i="1"/>
  <c r="GL123" i="1" s="1"/>
  <c r="GM123" i="1" s="1"/>
  <c r="EP183" i="1"/>
  <c r="GB178" i="1"/>
  <c r="FY178" i="1"/>
  <c r="FZ178" i="1" s="1"/>
  <c r="GA178" i="1" s="1"/>
  <c r="FG18" i="1"/>
  <c r="FP18" i="1" s="1"/>
  <c r="FQ18" i="1" s="1"/>
  <c r="FY231" i="1"/>
  <c r="FZ231" i="1" s="1"/>
  <c r="GA231" i="1" s="1"/>
  <c r="GB231" i="1"/>
  <c r="GB305" i="1"/>
  <c r="EO251" i="1"/>
  <c r="FY305" i="1"/>
  <c r="FZ305" i="1" s="1"/>
  <c r="GA305" i="1" s="1"/>
  <c r="DZ115" i="1"/>
  <c r="EO259" i="1"/>
  <c r="FG259" i="1" s="1"/>
  <c r="FP259" i="1" s="1"/>
  <c r="FR259" i="1" s="1"/>
  <c r="FY15" i="1"/>
  <c r="FZ15" i="1" s="1"/>
  <c r="GA15" i="1" s="1"/>
  <c r="GC15" i="1" s="1"/>
  <c r="EO273" i="1"/>
  <c r="EP15" i="1"/>
  <c r="FY183" i="1"/>
  <c r="FZ183" i="1" s="1"/>
  <c r="GA183" i="1" s="1"/>
  <c r="GC183" i="1" s="1"/>
  <c r="GD183" i="1" s="1"/>
  <c r="GE183" i="1" s="1"/>
  <c r="EO302" i="1"/>
  <c r="EP271" i="1"/>
  <c r="FG271" i="1" s="1"/>
  <c r="FP271" i="1" s="1"/>
  <c r="EP216" i="1"/>
  <c r="FG216" i="1" s="1"/>
  <c r="FP216" i="1" s="1"/>
  <c r="FQ216" i="1" s="1"/>
  <c r="EP93" i="1"/>
  <c r="FG93" i="1" s="1"/>
  <c r="FP93" i="1" s="1"/>
  <c r="FR93" i="1" s="1"/>
  <c r="GB271" i="1"/>
  <c r="GC271" i="1" s="1"/>
  <c r="FY93" i="1"/>
  <c r="FZ93" i="1" s="1"/>
  <c r="GA93" i="1" s="1"/>
  <c r="GC93" i="1" s="1"/>
  <c r="GT93" i="1" s="1"/>
  <c r="GU93" i="1" s="1"/>
  <c r="GV93" i="1" s="1"/>
  <c r="EO107" i="1"/>
  <c r="FG107" i="1" s="1"/>
  <c r="FP107" i="1" s="1"/>
  <c r="FR107" i="1" s="1"/>
  <c r="EO262" i="1"/>
  <c r="EO258" i="1"/>
  <c r="FG258" i="1" s="1"/>
  <c r="FP258" i="1" s="1"/>
  <c r="FR258" i="1" s="1"/>
  <c r="EO111" i="1"/>
  <c r="EO81" i="1"/>
  <c r="FG81" i="1" s="1"/>
  <c r="FP81" i="1" s="1"/>
  <c r="FQ81" i="1" s="1"/>
  <c r="EP6" i="1"/>
  <c r="GB6" i="1"/>
  <c r="GC6" i="1" s="1"/>
  <c r="EO177" i="1"/>
  <c r="GB254" i="1"/>
  <c r="GC254" i="1" s="1"/>
  <c r="EP214" i="1"/>
  <c r="FY84" i="1"/>
  <c r="FZ84" i="1" s="1"/>
  <c r="GA84" i="1" s="1"/>
  <c r="GC84" i="1" s="1"/>
  <c r="GQ84" i="1" s="1"/>
  <c r="FY214" i="1"/>
  <c r="FZ214" i="1" s="1"/>
  <c r="GA214" i="1" s="1"/>
  <c r="GC214" i="1" s="1"/>
  <c r="EP84" i="1"/>
  <c r="FY251" i="1"/>
  <c r="FZ251" i="1" s="1"/>
  <c r="GA251" i="1" s="1"/>
  <c r="GC251" i="1" s="1"/>
  <c r="GL251" i="1" s="1"/>
  <c r="GM251" i="1" s="1"/>
  <c r="EP251" i="1"/>
  <c r="EP102" i="1"/>
  <c r="FG102" i="1" s="1"/>
  <c r="FP102" i="1" s="1"/>
  <c r="EP304" i="1"/>
  <c r="FG304" i="1" s="1"/>
  <c r="FP304" i="1" s="1"/>
  <c r="FR304" i="1" s="1"/>
  <c r="FY304" i="1"/>
  <c r="FZ304" i="1" s="1"/>
  <c r="GA304" i="1" s="1"/>
  <c r="GC304" i="1" s="1"/>
  <c r="FY102" i="1"/>
  <c r="FZ102" i="1" s="1"/>
  <c r="GA102" i="1" s="1"/>
  <c r="GC102" i="1" s="1"/>
  <c r="EO230" i="1"/>
  <c r="EP88" i="1"/>
  <c r="FG88" i="1" s="1"/>
  <c r="FP88" i="1" s="1"/>
  <c r="FR88" i="1" s="1"/>
  <c r="EP200" i="1"/>
  <c r="FG200" i="1" s="1"/>
  <c r="FP200" i="1" s="1"/>
  <c r="FR200" i="1" s="1"/>
  <c r="EO286" i="1"/>
  <c r="EO281" i="1"/>
  <c r="EP272" i="1"/>
  <c r="GB88" i="1"/>
  <c r="GC88" i="1" s="1"/>
  <c r="FY272" i="1"/>
  <c r="FZ272" i="1" s="1"/>
  <c r="GA272" i="1" s="1"/>
  <c r="GC272" i="1" s="1"/>
  <c r="EO201" i="1"/>
  <c r="EO299" i="1"/>
  <c r="FG305" i="1"/>
  <c r="FP305" i="1" s="1"/>
  <c r="FR305" i="1" s="1"/>
  <c r="EP299" i="1"/>
  <c r="FY143" i="1"/>
  <c r="FZ143" i="1" s="1"/>
  <c r="GA143" i="1" s="1"/>
  <c r="FY48" i="1"/>
  <c r="FZ48" i="1" s="1"/>
  <c r="GA48" i="1" s="1"/>
  <c r="FY279" i="1"/>
  <c r="FZ279" i="1" s="1"/>
  <c r="GA279" i="1" s="1"/>
  <c r="GC279" i="1" s="1"/>
  <c r="GF279" i="1" s="1"/>
  <c r="GG279" i="1" s="1"/>
  <c r="GB48" i="1"/>
  <c r="GB299" i="1"/>
  <c r="GC299" i="1" s="1"/>
  <c r="GR299" i="1" s="1"/>
  <c r="GB44" i="1"/>
  <c r="GC44" i="1" s="1"/>
  <c r="EP44" i="1"/>
  <c r="EO183" i="1"/>
  <c r="EP3" i="1"/>
  <c r="GB3" i="1"/>
  <c r="GC3" i="1" s="1"/>
  <c r="GD3" i="1" s="1"/>
  <c r="GE3" i="1" s="1"/>
  <c r="FY193" i="1"/>
  <c r="FZ193" i="1" s="1"/>
  <c r="GA193" i="1" s="1"/>
  <c r="GC193" i="1" s="1"/>
  <c r="GH193" i="1" s="1"/>
  <c r="GI193" i="1" s="1"/>
  <c r="EP279" i="1"/>
  <c r="FG279" i="1" s="1"/>
  <c r="FP279" i="1" s="1"/>
  <c r="FR279" i="1" s="1"/>
  <c r="EO187" i="1"/>
  <c r="GB32" i="1"/>
  <c r="GC32" i="1" s="1"/>
  <c r="EP32" i="1"/>
  <c r="EP50" i="1"/>
  <c r="GB216" i="1"/>
  <c r="GC216" i="1" s="1"/>
  <c r="GL216" i="1" s="1"/>
  <c r="GM216" i="1" s="1"/>
  <c r="FY50" i="1"/>
  <c r="FZ50" i="1" s="1"/>
  <c r="GA50" i="1" s="1"/>
  <c r="GC50" i="1" s="1"/>
  <c r="EO162" i="1"/>
  <c r="FG162" i="1" s="1"/>
  <c r="FP162" i="1" s="1"/>
  <c r="FQ162" i="1" s="1"/>
  <c r="GB129" i="1"/>
  <c r="GC129" i="1" s="1"/>
  <c r="EP129" i="1"/>
  <c r="FG129" i="1" s="1"/>
  <c r="FP129" i="1" s="1"/>
  <c r="FQ129" i="1" s="1"/>
  <c r="GB143" i="1"/>
  <c r="EP193" i="1"/>
  <c r="FG193" i="1" s="1"/>
  <c r="FP193" i="1" s="1"/>
  <c r="FR193" i="1" s="1"/>
  <c r="EO176" i="1"/>
  <c r="EO13" i="1"/>
  <c r="EP191" i="1"/>
  <c r="FG191" i="1" s="1"/>
  <c r="FP191" i="1" s="1"/>
  <c r="FR191" i="1" s="1"/>
  <c r="GB166" i="1"/>
  <c r="GC166" i="1" s="1"/>
  <c r="GB156" i="1"/>
  <c r="GC156" i="1" s="1"/>
  <c r="EP166" i="1"/>
  <c r="FG166" i="1" s="1"/>
  <c r="FP166" i="1" s="1"/>
  <c r="FQ166" i="1" s="1"/>
  <c r="FY255" i="1"/>
  <c r="FZ255" i="1" s="1"/>
  <c r="GA255" i="1" s="1"/>
  <c r="GC255" i="1" s="1"/>
  <c r="GR255" i="1" s="1"/>
  <c r="FY191" i="1"/>
  <c r="FZ191" i="1" s="1"/>
  <c r="GA191" i="1" s="1"/>
  <c r="GC191" i="1" s="1"/>
  <c r="FY71" i="1"/>
  <c r="FZ71" i="1" s="1"/>
  <c r="GA71" i="1" s="1"/>
  <c r="GC71" i="1" s="1"/>
  <c r="GL71" i="1" s="1"/>
  <c r="GM71" i="1" s="1"/>
  <c r="EO260" i="1"/>
  <c r="FY116" i="1"/>
  <c r="FZ116" i="1" s="1"/>
  <c r="GA116" i="1" s="1"/>
  <c r="GC116" i="1" s="1"/>
  <c r="GB172" i="1"/>
  <c r="GC172" i="1" s="1"/>
  <c r="GB225" i="1"/>
  <c r="GC225" i="1" s="1"/>
  <c r="EP246" i="1"/>
  <c r="FG246" i="1" s="1"/>
  <c r="FP246" i="1" s="1"/>
  <c r="FR246" i="1" s="1"/>
  <c r="EP71" i="1"/>
  <c r="FG71" i="1" s="1"/>
  <c r="FP71" i="1" s="1"/>
  <c r="GB246" i="1"/>
  <c r="GC246" i="1" s="1"/>
  <c r="GR246" i="1" s="1"/>
  <c r="GB201" i="1"/>
  <c r="GC201" i="1" s="1"/>
  <c r="EP172" i="1"/>
  <c r="FG172" i="1" s="1"/>
  <c r="FP172" i="1" s="1"/>
  <c r="FR172" i="1" s="1"/>
  <c r="EP254" i="1"/>
  <c r="FG254" i="1" s="1"/>
  <c r="FP254" i="1" s="1"/>
  <c r="EP156" i="1"/>
  <c r="FG156" i="1" s="1"/>
  <c r="FP156" i="1" s="1"/>
  <c r="FR156" i="1" s="1"/>
  <c r="EP116" i="1"/>
  <c r="FG116" i="1" s="1"/>
  <c r="FP116" i="1" s="1"/>
  <c r="FR116" i="1" s="1"/>
  <c r="GB80" i="1"/>
  <c r="EO272" i="1"/>
  <c r="FY80" i="1"/>
  <c r="FZ80" i="1" s="1"/>
  <c r="GA80" i="1" s="1"/>
  <c r="EP225" i="1"/>
  <c r="FG225" i="1" s="1"/>
  <c r="FP225" i="1" s="1"/>
  <c r="FQ225" i="1" s="1"/>
  <c r="FY14" i="1"/>
  <c r="FZ14" i="1" s="1"/>
  <c r="GA14" i="1" s="1"/>
  <c r="FY64" i="1"/>
  <c r="FZ64" i="1" s="1"/>
  <c r="GA64" i="1" s="1"/>
  <c r="GC64" i="1" s="1"/>
  <c r="GR64" i="1" s="1"/>
  <c r="GB14" i="1"/>
  <c r="FY162" i="1"/>
  <c r="FZ162" i="1" s="1"/>
  <c r="GA162" i="1" s="1"/>
  <c r="EP8" i="1"/>
  <c r="FG8" i="1" s="1"/>
  <c r="FP8" i="1" s="1"/>
  <c r="FQ8" i="1" s="1"/>
  <c r="GB8" i="1"/>
  <c r="GC8" i="1" s="1"/>
  <c r="GL8" i="1" s="1"/>
  <c r="GM8" i="1" s="1"/>
  <c r="EO217" i="1"/>
  <c r="GC263" i="1"/>
  <c r="GF263" i="1" s="1"/>
  <c r="GG263" i="1" s="1"/>
  <c r="EO274" i="1"/>
  <c r="EO223" i="1"/>
  <c r="FG223" i="1" s="1"/>
  <c r="FP223" i="1" s="1"/>
  <c r="FR223" i="1" s="1"/>
  <c r="EO127" i="1"/>
  <c r="FG127" i="1" s="1"/>
  <c r="FP127" i="1" s="1"/>
  <c r="FR127" i="1" s="1"/>
  <c r="FG263" i="1"/>
  <c r="FP263" i="1" s="1"/>
  <c r="FR263" i="1" s="1"/>
  <c r="EO75" i="1"/>
  <c r="FG75" i="1" s="1"/>
  <c r="FP75" i="1" s="1"/>
  <c r="FQ75" i="1" s="1"/>
  <c r="FY16" i="1"/>
  <c r="FZ16" i="1" s="1"/>
  <c r="GA16" i="1" s="1"/>
  <c r="GC16" i="1" s="1"/>
  <c r="EO233" i="1"/>
  <c r="FG233" i="1" s="1"/>
  <c r="FP233" i="1" s="1"/>
  <c r="FQ233" i="1" s="1"/>
  <c r="FY82" i="1"/>
  <c r="FZ82" i="1" s="1"/>
  <c r="GA82" i="1" s="1"/>
  <c r="GC82" i="1" s="1"/>
  <c r="GQ82" i="1" s="1"/>
  <c r="FY146" i="1"/>
  <c r="FZ146" i="1" s="1"/>
  <c r="GA146" i="1" s="1"/>
  <c r="GC146" i="1" s="1"/>
  <c r="GL146" i="1" s="1"/>
  <c r="GM146" i="1" s="1"/>
  <c r="GB222" i="1"/>
  <c r="GC222" i="1" s="1"/>
  <c r="EO294" i="1"/>
  <c r="EP222" i="1"/>
  <c r="FG222" i="1" s="1"/>
  <c r="FP222" i="1" s="1"/>
  <c r="FR222" i="1" s="1"/>
  <c r="EO287" i="1"/>
  <c r="EP82" i="1"/>
  <c r="FG82" i="1" s="1"/>
  <c r="FP82" i="1" s="1"/>
  <c r="GB162" i="1"/>
  <c r="EP248" i="1"/>
  <c r="FG248" i="1" s="1"/>
  <c r="FP248" i="1" s="1"/>
  <c r="FR248" i="1" s="1"/>
  <c r="GB259" i="1"/>
  <c r="EP64" i="1"/>
  <c r="FY58" i="1"/>
  <c r="FZ58" i="1" s="1"/>
  <c r="GA58" i="1" s="1"/>
  <c r="GC58" i="1" s="1"/>
  <c r="GT58" i="1" s="1"/>
  <c r="GU58" i="1" s="1"/>
  <c r="GV58" i="1" s="1"/>
  <c r="FY175" i="1"/>
  <c r="FZ175" i="1" s="1"/>
  <c r="GA175" i="1" s="1"/>
  <c r="FY259" i="1"/>
  <c r="FZ259" i="1" s="1"/>
  <c r="GA259" i="1" s="1"/>
  <c r="EP177" i="1"/>
  <c r="GB175" i="1"/>
  <c r="FY248" i="1"/>
  <c r="FZ248" i="1" s="1"/>
  <c r="GA248" i="1" s="1"/>
  <c r="GC248" i="1" s="1"/>
  <c r="EP228" i="1"/>
  <c r="EP38" i="1"/>
  <c r="GB169" i="1"/>
  <c r="GC169" i="1" s="1"/>
  <c r="EP169" i="1"/>
  <c r="FG169" i="1" s="1"/>
  <c r="FP169" i="1" s="1"/>
  <c r="FQ169" i="1" s="1"/>
  <c r="GB63" i="1"/>
  <c r="GC63" i="1" s="1"/>
  <c r="GR63" i="1" s="1"/>
  <c r="EP63" i="1"/>
  <c r="FY117" i="1"/>
  <c r="FZ117" i="1" s="1"/>
  <c r="GA117" i="1" s="1"/>
  <c r="EP77" i="1"/>
  <c r="FG77" i="1" s="1"/>
  <c r="FP77" i="1" s="1"/>
  <c r="FQ77" i="1" s="1"/>
  <c r="FY98" i="1"/>
  <c r="FZ98" i="1" s="1"/>
  <c r="GA98" i="1" s="1"/>
  <c r="GC98" i="1" s="1"/>
  <c r="GQ98" i="1" s="1"/>
  <c r="FY77" i="1"/>
  <c r="FZ77" i="1" s="1"/>
  <c r="GA77" i="1" s="1"/>
  <c r="GC77" i="1" s="1"/>
  <c r="EP24" i="1"/>
  <c r="GB117" i="1"/>
  <c r="EP226" i="1"/>
  <c r="GB9" i="1"/>
  <c r="GC9" i="1" s="1"/>
  <c r="GH9" i="1" s="1"/>
  <c r="GI9" i="1" s="1"/>
  <c r="EP111" i="1"/>
  <c r="EP98" i="1"/>
  <c r="FG98" i="1" s="1"/>
  <c r="FP98" i="1" s="1"/>
  <c r="FQ98" i="1" s="1"/>
  <c r="EO84" i="1"/>
  <c r="GB243" i="1"/>
  <c r="GC243" i="1" s="1"/>
  <c r="GB226" i="1"/>
  <c r="GC226" i="1" s="1"/>
  <c r="FY24" i="1"/>
  <c r="FZ24" i="1" s="1"/>
  <c r="GA24" i="1" s="1"/>
  <c r="GC24" i="1" s="1"/>
  <c r="GB70" i="1"/>
  <c r="GC70" i="1" s="1"/>
  <c r="GT70" i="1" s="1"/>
  <c r="GU70" i="1" s="1"/>
  <c r="GV70" i="1" s="1"/>
  <c r="EP70" i="1"/>
  <c r="FG70" i="1" s="1"/>
  <c r="FP70" i="1" s="1"/>
  <c r="FQ70" i="1" s="1"/>
  <c r="EP159" i="1"/>
  <c r="FG159" i="1" s="1"/>
  <c r="FP159" i="1" s="1"/>
  <c r="FR159" i="1" s="1"/>
  <c r="GB38" i="1"/>
  <c r="GC38" i="1" s="1"/>
  <c r="FY159" i="1"/>
  <c r="FZ159" i="1" s="1"/>
  <c r="GA159" i="1" s="1"/>
  <c r="GC159" i="1" s="1"/>
  <c r="EP243" i="1"/>
  <c r="GB127" i="1"/>
  <c r="FY119" i="1"/>
  <c r="FZ119" i="1" s="1"/>
  <c r="GA119" i="1" s="1"/>
  <c r="GB119" i="1"/>
  <c r="EP283" i="1"/>
  <c r="FG283" i="1" s="1"/>
  <c r="FP283" i="1" s="1"/>
  <c r="FR283" i="1" s="1"/>
  <c r="GB283" i="1"/>
  <c r="GC283" i="1" s="1"/>
  <c r="FY275" i="1"/>
  <c r="FZ275" i="1" s="1"/>
  <c r="GA275" i="1" s="1"/>
  <c r="GB282" i="1"/>
  <c r="GC282" i="1" s="1"/>
  <c r="EP146" i="1"/>
  <c r="EP16" i="1"/>
  <c r="FY177" i="1"/>
  <c r="FZ177" i="1" s="1"/>
  <c r="GA177" i="1" s="1"/>
  <c r="GC177" i="1" s="1"/>
  <c r="GD177" i="1" s="1"/>
  <c r="GE177" i="1" s="1"/>
  <c r="FY247" i="1"/>
  <c r="FZ247" i="1" s="1"/>
  <c r="GA247" i="1" s="1"/>
  <c r="GC247" i="1" s="1"/>
  <c r="GD247" i="1" s="1"/>
  <c r="GE247" i="1" s="1"/>
  <c r="EP47" i="1"/>
  <c r="EO146" i="1"/>
  <c r="GB199" i="1"/>
  <c r="FY199" i="1"/>
  <c r="FZ199" i="1" s="1"/>
  <c r="GA199" i="1" s="1"/>
  <c r="GB200" i="1"/>
  <c r="GC200" i="1" s="1"/>
  <c r="GJ200" i="1" s="1"/>
  <c r="GK200" i="1" s="1"/>
  <c r="EO41" i="1"/>
  <c r="FG41" i="1" s="1"/>
  <c r="FP41" i="1" s="1"/>
  <c r="FQ41" i="1" s="1"/>
  <c r="GB228" i="1"/>
  <c r="GC228" i="1" s="1"/>
  <c r="GJ228" i="1" s="1"/>
  <c r="GK228" i="1" s="1"/>
  <c r="EO89" i="1"/>
  <c r="FY167" i="1"/>
  <c r="FZ167" i="1" s="1"/>
  <c r="GA167" i="1" s="1"/>
  <c r="GC167" i="1" s="1"/>
  <c r="FY100" i="1"/>
  <c r="FZ100" i="1" s="1"/>
  <c r="GA100" i="1" s="1"/>
  <c r="EO243" i="1"/>
  <c r="EO130" i="1"/>
  <c r="EO293" i="1"/>
  <c r="EP167" i="1"/>
  <c r="EP153" i="1"/>
  <c r="FG153" i="1" s="1"/>
  <c r="FP153" i="1" s="1"/>
  <c r="FR153" i="1" s="1"/>
  <c r="GB188" i="1"/>
  <c r="GC188" i="1" s="1"/>
  <c r="FY103" i="1"/>
  <c r="FZ103" i="1" s="1"/>
  <c r="GA103" i="1" s="1"/>
  <c r="GC103" i="1" s="1"/>
  <c r="GJ103" i="1" s="1"/>
  <c r="GK103" i="1" s="1"/>
  <c r="EP103" i="1"/>
  <c r="FG103" i="1" s="1"/>
  <c r="FP103" i="1" s="1"/>
  <c r="FR103" i="1" s="1"/>
  <c r="EP274" i="1"/>
  <c r="FY153" i="1"/>
  <c r="FZ153" i="1" s="1"/>
  <c r="GA153" i="1" s="1"/>
  <c r="GC153" i="1" s="1"/>
  <c r="GR153" i="1" s="1"/>
  <c r="FY274" i="1"/>
  <c r="FZ274" i="1" s="1"/>
  <c r="GA274" i="1" s="1"/>
  <c r="GC274" i="1" s="1"/>
  <c r="EP188" i="1"/>
  <c r="FG188" i="1" s="1"/>
  <c r="FP188" i="1" s="1"/>
  <c r="FR188" i="1" s="1"/>
  <c r="EP201" i="1"/>
  <c r="EO206" i="1"/>
  <c r="EP114" i="1"/>
  <c r="FG114" i="1" s="1"/>
  <c r="FP114" i="1" s="1"/>
  <c r="FR114" i="1" s="1"/>
  <c r="FG134" i="1"/>
  <c r="FP134" i="1" s="1"/>
  <c r="FR134" i="1" s="1"/>
  <c r="FY114" i="1"/>
  <c r="FZ114" i="1" s="1"/>
  <c r="GA114" i="1" s="1"/>
  <c r="GC114" i="1" s="1"/>
  <c r="GR114" i="1" s="1"/>
  <c r="EP145" i="1"/>
  <c r="FG145" i="1" s="1"/>
  <c r="FP145" i="1" s="1"/>
  <c r="FR145" i="1" s="1"/>
  <c r="EP241" i="1"/>
  <c r="FG241" i="1" s="1"/>
  <c r="FP241" i="1" s="1"/>
  <c r="FR241" i="1" s="1"/>
  <c r="GB106" i="1"/>
  <c r="FY241" i="1"/>
  <c r="FZ241" i="1" s="1"/>
  <c r="GA241" i="1" s="1"/>
  <c r="GC241" i="1" s="1"/>
  <c r="GR241" i="1" s="1"/>
  <c r="FY106" i="1"/>
  <c r="FZ106" i="1" s="1"/>
  <c r="GA106" i="1" s="1"/>
  <c r="FY145" i="1"/>
  <c r="FZ145" i="1" s="1"/>
  <c r="GA145" i="1" s="1"/>
  <c r="GC145" i="1" s="1"/>
  <c r="GJ145" i="1" s="1"/>
  <c r="GK145" i="1" s="1"/>
  <c r="EP128" i="1"/>
  <c r="FG128" i="1" s="1"/>
  <c r="FP128" i="1" s="1"/>
  <c r="FY303" i="1"/>
  <c r="FZ303" i="1" s="1"/>
  <c r="GA303" i="1" s="1"/>
  <c r="GC303" i="1" s="1"/>
  <c r="GD303" i="1" s="1"/>
  <c r="GE303" i="1" s="1"/>
  <c r="GC134" i="1"/>
  <c r="EP296" i="1"/>
  <c r="FG296" i="1" s="1"/>
  <c r="FP296" i="1" s="1"/>
  <c r="FY47" i="1"/>
  <c r="FZ47" i="1" s="1"/>
  <c r="GA47" i="1" s="1"/>
  <c r="GC47" i="1" s="1"/>
  <c r="FY40" i="1"/>
  <c r="FZ40" i="1" s="1"/>
  <c r="GA40" i="1" s="1"/>
  <c r="GC40" i="1" s="1"/>
  <c r="GQ40" i="1" s="1"/>
  <c r="EP247" i="1"/>
  <c r="EO65" i="1"/>
  <c r="FG65" i="1" s="1"/>
  <c r="FP65" i="1" s="1"/>
  <c r="EP187" i="1"/>
  <c r="EO288" i="1"/>
  <c r="FY187" i="1"/>
  <c r="FZ187" i="1" s="1"/>
  <c r="GA187" i="1" s="1"/>
  <c r="GC187" i="1" s="1"/>
  <c r="GJ187" i="1" s="1"/>
  <c r="GK187" i="1" s="1"/>
  <c r="EP29" i="1"/>
  <c r="FY238" i="1"/>
  <c r="FZ238" i="1" s="1"/>
  <c r="GA238" i="1" s="1"/>
  <c r="GB224" i="1"/>
  <c r="GC224" i="1" s="1"/>
  <c r="GB29" i="1"/>
  <c r="GC29" i="1" s="1"/>
  <c r="GT29" i="1" s="1"/>
  <c r="GU29" i="1" s="1"/>
  <c r="GV29" i="1" s="1"/>
  <c r="GB278" i="1"/>
  <c r="GC278" i="1" s="1"/>
  <c r="GB295" i="1"/>
  <c r="GC295" i="1" s="1"/>
  <c r="FY154" i="1"/>
  <c r="FZ154" i="1" s="1"/>
  <c r="GA154" i="1" s="1"/>
  <c r="GC154" i="1" s="1"/>
  <c r="FY128" i="1"/>
  <c r="FZ128" i="1" s="1"/>
  <c r="GA128" i="1" s="1"/>
  <c r="GC128" i="1" s="1"/>
  <c r="GT128" i="1" s="1"/>
  <c r="GU128" i="1" s="1"/>
  <c r="GV128" i="1" s="1"/>
  <c r="FY7" i="1"/>
  <c r="FZ7" i="1" s="1"/>
  <c r="GA7" i="1" s="1"/>
  <c r="FY37" i="1"/>
  <c r="FZ37" i="1" s="1"/>
  <c r="GA37" i="1" s="1"/>
  <c r="FY264" i="1"/>
  <c r="FZ264" i="1" s="1"/>
  <c r="GA264" i="1" s="1"/>
  <c r="EP288" i="1"/>
  <c r="EP303" i="1"/>
  <c r="FG303" i="1" s="1"/>
  <c r="FP303" i="1" s="1"/>
  <c r="FR303" i="1" s="1"/>
  <c r="FY288" i="1"/>
  <c r="FZ288" i="1" s="1"/>
  <c r="GA288" i="1" s="1"/>
  <c r="GC288" i="1" s="1"/>
  <c r="GT288" i="1" s="1"/>
  <c r="GU288" i="1" s="1"/>
  <c r="GV288" i="1" s="1"/>
  <c r="GB7" i="1"/>
  <c r="GB135" i="1"/>
  <c r="GC135" i="1" s="1"/>
  <c r="GB264" i="1"/>
  <c r="EP160" i="1"/>
  <c r="FG160" i="1" s="1"/>
  <c r="FP160" i="1" s="1"/>
  <c r="FQ160" i="1" s="1"/>
  <c r="GB126" i="1"/>
  <c r="GB238" i="1"/>
  <c r="EP118" i="1"/>
  <c r="FG118" i="1" s="1"/>
  <c r="FP118" i="1" s="1"/>
  <c r="EO284" i="1"/>
  <c r="FG284" i="1" s="1"/>
  <c r="FP284" i="1" s="1"/>
  <c r="FQ284" i="1" s="1"/>
  <c r="FY126" i="1"/>
  <c r="FZ126" i="1" s="1"/>
  <c r="GA126" i="1" s="1"/>
  <c r="GB95" i="1"/>
  <c r="FY95" i="1"/>
  <c r="FZ95" i="1" s="1"/>
  <c r="GA95" i="1" s="1"/>
  <c r="EO149" i="1"/>
  <c r="GB198" i="1"/>
  <c r="GC198" i="1" s="1"/>
  <c r="GT198" i="1" s="1"/>
  <c r="GU198" i="1" s="1"/>
  <c r="GV198" i="1" s="1"/>
  <c r="EP293" i="1"/>
  <c r="GB37" i="1"/>
  <c r="EP198" i="1"/>
  <c r="EO154" i="1"/>
  <c r="EP152" i="1"/>
  <c r="FG152" i="1" s="1"/>
  <c r="FP152" i="1" s="1"/>
  <c r="FR152" i="1" s="1"/>
  <c r="GB152" i="1"/>
  <c r="GC152" i="1" s="1"/>
  <c r="GH152" i="1" s="1"/>
  <c r="GI152" i="1" s="1"/>
  <c r="GB118" i="1"/>
  <c r="GC118" i="1" s="1"/>
  <c r="GB160" i="1"/>
  <c r="GC160" i="1" s="1"/>
  <c r="EP224" i="1"/>
  <c r="FG224" i="1" s="1"/>
  <c r="FP224" i="1" s="1"/>
  <c r="FQ224" i="1" s="1"/>
  <c r="EP62" i="1"/>
  <c r="FY286" i="1"/>
  <c r="FZ286" i="1" s="1"/>
  <c r="GA286" i="1" s="1"/>
  <c r="GC286" i="1" s="1"/>
  <c r="GB111" i="1"/>
  <c r="GC111" i="1" s="1"/>
  <c r="GF111" i="1" s="1"/>
  <c r="GG111" i="1" s="1"/>
  <c r="FY133" i="1"/>
  <c r="FZ133" i="1" s="1"/>
  <c r="GA133" i="1" s="1"/>
  <c r="GC133" i="1" s="1"/>
  <c r="GB273" i="1"/>
  <c r="GC273" i="1" s="1"/>
  <c r="EP9" i="1"/>
  <c r="EP286" i="1"/>
  <c r="EO228" i="1"/>
  <c r="EP42" i="1"/>
  <c r="EP281" i="1"/>
  <c r="FY127" i="1"/>
  <c r="FZ127" i="1" s="1"/>
  <c r="GA127" i="1" s="1"/>
  <c r="EP282" i="1"/>
  <c r="FG282" i="1" s="1"/>
  <c r="FP282" i="1" s="1"/>
  <c r="FR282" i="1" s="1"/>
  <c r="EP255" i="1"/>
  <c r="FG255" i="1" s="1"/>
  <c r="FP255" i="1" s="1"/>
  <c r="FQ255" i="1" s="1"/>
  <c r="FY151" i="1"/>
  <c r="FZ151" i="1" s="1"/>
  <c r="GA151" i="1" s="1"/>
  <c r="GC151" i="1" s="1"/>
  <c r="EP151" i="1"/>
  <c r="FG151" i="1" s="1"/>
  <c r="FP151" i="1" s="1"/>
  <c r="FR151" i="1" s="1"/>
  <c r="FY281" i="1"/>
  <c r="FZ281" i="1" s="1"/>
  <c r="GA281" i="1" s="1"/>
  <c r="GC281" i="1" s="1"/>
  <c r="GB275" i="1"/>
  <c r="EO101" i="1"/>
  <c r="EP12" i="1"/>
  <c r="FY302" i="1"/>
  <c r="FZ302" i="1" s="1"/>
  <c r="GA302" i="1" s="1"/>
  <c r="GC302" i="1" s="1"/>
  <c r="FY21" i="1"/>
  <c r="FZ21" i="1" s="1"/>
  <c r="GA21" i="1" s="1"/>
  <c r="GC21" i="1" s="1"/>
  <c r="EP40" i="1"/>
  <c r="FY97" i="1"/>
  <c r="FZ97" i="1" s="1"/>
  <c r="GA97" i="1" s="1"/>
  <c r="GC97" i="1" s="1"/>
  <c r="GJ97" i="1" s="1"/>
  <c r="GK97" i="1" s="1"/>
  <c r="EP101" i="1"/>
  <c r="GB51" i="1"/>
  <c r="GC51" i="1" s="1"/>
  <c r="GB46" i="1"/>
  <c r="GC46" i="1" s="1"/>
  <c r="FY12" i="1"/>
  <c r="FZ12" i="1" s="1"/>
  <c r="GA12" i="1" s="1"/>
  <c r="GC12" i="1" s="1"/>
  <c r="EP273" i="1"/>
  <c r="FG273" i="1" s="1"/>
  <c r="FP273" i="1" s="1"/>
  <c r="FQ273" i="1" s="1"/>
  <c r="EP97" i="1"/>
  <c r="FG97" i="1" s="1"/>
  <c r="FP97" i="1" s="1"/>
  <c r="FR97" i="1" s="1"/>
  <c r="EP36" i="1"/>
  <c r="GB141" i="1"/>
  <c r="GB186" i="1"/>
  <c r="GC186" i="1" s="1"/>
  <c r="GB176" i="1"/>
  <c r="GC176" i="1" s="1"/>
  <c r="GT176" i="1" s="1"/>
  <c r="GU176" i="1" s="1"/>
  <c r="GV176" i="1" s="1"/>
  <c r="FY252" i="1"/>
  <c r="FZ252" i="1" s="1"/>
  <c r="GA252" i="1" s="1"/>
  <c r="GC252" i="1" s="1"/>
  <c r="FY62" i="1"/>
  <c r="FZ62" i="1" s="1"/>
  <c r="GA62" i="1" s="1"/>
  <c r="GC62" i="1" s="1"/>
  <c r="GB36" i="1"/>
  <c r="GC36" i="1" s="1"/>
  <c r="GT36" i="1" s="1"/>
  <c r="GU36" i="1" s="1"/>
  <c r="GV36" i="1" s="1"/>
  <c r="FY291" i="1"/>
  <c r="FZ291" i="1" s="1"/>
  <c r="GA291" i="1" s="1"/>
  <c r="GC291" i="1" s="1"/>
  <c r="GB285" i="1"/>
  <c r="GC285" i="1" s="1"/>
  <c r="GH285" i="1" s="1"/>
  <c r="GI285" i="1" s="1"/>
  <c r="EO247" i="1"/>
  <c r="EP174" i="1"/>
  <c r="FG174" i="1" s="1"/>
  <c r="FP174" i="1" s="1"/>
  <c r="FR174" i="1" s="1"/>
  <c r="EP186" i="1"/>
  <c r="EP285" i="1"/>
  <c r="FG285" i="1" s="1"/>
  <c r="FP285" i="1" s="1"/>
  <c r="FR285" i="1" s="1"/>
  <c r="EP291" i="1"/>
  <c r="FG291" i="1" s="1"/>
  <c r="FP291" i="1" s="1"/>
  <c r="FQ291" i="1" s="1"/>
  <c r="EP148" i="1"/>
  <c r="FG148" i="1" s="1"/>
  <c r="FP148" i="1" s="1"/>
  <c r="FR148" i="1" s="1"/>
  <c r="EP176" i="1"/>
  <c r="EP133" i="1"/>
  <c r="EP21" i="1"/>
  <c r="EP58" i="1"/>
  <c r="FY174" i="1"/>
  <c r="FZ174" i="1" s="1"/>
  <c r="GA174" i="1" s="1"/>
  <c r="GC174" i="1" s="1"/>
  <c r="GQ174" i="1" s="1"/>
  <c r="GB42" i="1"/>
  <c r="GC42" i="1" s="1"/>
  <c r="FY148" i="1"/>
  <c r="FZ148" i="1" s="1"/>
  <c r="GA148" i="1" s="1"/>
  <c r="GC148" i="1" s="1"/>
  <c r="GR148" i="1" s="1"/>
  <c r="EO182" i="1"/>
  <c r="FG182" i="1" s="1"/>
  <c r="FP182" i="1" s="1"/>
  <c r="EO239" i="1"/>
  <c r="EO87" i="1"/>
  <c r="GB296" i="1"/>
  <c r="GC296" i="1" s="1"/>
  <c r="EO198" i="1"/>
  <c r="EO143" i="1"/>
  <c r="FG143" i="1" s="1"/>
  <c r="FP143" i="1" s="1"/>
  <c r="FR143" i="1" s="1"/>
  <c r="EO264" i="1"/>
  <c r="FG264" i="1" s="1"/>
  <c r="FP264" i="1" s="1"/>
  <c r="FR264" i="1" s="1"/>
  <c r="EO12" i="1"/>
  <c r="EP135" i="1"/>
  <c r="EP163" i="1"/>
  <c r="FG163" i="1" s="1"/>
  <c r="FP163" i="1" s="1"/>
  <c r="FQ163" i="1" s="1"/>
  <c r="EO3" i="1"/>
  <c r="GB30" i="1"/>
  <c r="GC30" i="1" s="1"/>
  <c r="FY10" i="1"/>
  <c r="FZ10" i="1" s="1"/>
  <c r="GA10" i="1" s="1"/>
  <c r="GB163" i="1"/>
  <c r="GC163" i="1" s="1"/>
  <c r="GD163" i="1" s="1"/>
  <c r="GE163" i="1" s="1"/>
  <c r="EP300" i="1"/>
  <c r="FG300" i="1" s="1"/>
  <c r="FP300" i="1" s="1"/>
  <c r="FR300" i="1" s="1"/>
  <c r="EP30" i="1"/>
  <c r="EP295" i="1"/>
  <c r="FG295" i="1" s="1"/>
  <c r="FP295" i="1" s="1"/>
  <c r="FR295" i="1" s="1"/>
  <c r="FY68" i="1"/>
  <c r="FZ68" i="1" s="1"/>
  <c r="GA68" i="1" s="1"/>
  <c r="GC68" i="1" s="1"/>
  <c r="GJ68" i="1" s="1"/>
  <c r="GK68" i="1" s="1"/>
  <c r="FY212" i="1"/>
  <c r="FZ212" i="1" s="1"/>
  <c r="GA212" i="1" s="1"/>
  <c r="GC212" i="1" s="1"/>
  <c r="GT212" i="1" s="1"/>
  <c r="GU212" i="1" s="1"/>
  <c r="GV212" i="1" s="1"/>
  <c r="EP78" i="1"/>
  <c r="FG78" i="1" s="1"/>
  <c r="FP78" i="1" s="1"/>
  <c r="FR78" i="1" s="1"/>
  <c r="EP250" i="1"/>
  <c r="FG250" i="1" s="1"/>
  <c r="FP250" i="1" s="1"/>
  <c r="EP194" i="1"/>
  <c r="FG194" i="1" s="1"/>
  <c r="FP194" i="1" s="1"/>
  <c r="FQ194" i="1" s="1"/>
  <c r="GB104" i="1"/>
  <c r="GC104" i="1" s="1"/>
  <c r="GJ104" i="1" s="1"/>
  <c r="GK104" i="1" s="1"/>
  <c r="FY107" i="1"/>
  <c r="FZ107" i="1" s="1"/>
  <c r="GA107" i="1" s="1"/>
  <c r="FY25" i="1"/>
  <c r="FZ25" i="1" s="1"/>
  <c r="GA25" i="1" s="1"/>
  <c r="FY195" i="1"/>
  <c r="FZ195" i="1" s="1"/>
  <c r="GA195" i="1" s="1"/>
  <c r="GC195" i="1" s="1"/>
  <c r="GR195" i="1" s="1"/>
  <c r="EP208" i="1"/>
  <c r="FG208" i="1" s="1"/>
  <c r="FP208" i="1" s="1"/>
  <c r="FQ208" i="1" s="1"/>
  <c r="FY218" i="1"/>
  <c r="FZ218" i="1" s="1"/>
  <c r="GA218" i="1" s="1"/>
  <c r="GC218" i="1" s="1"/>
  <c r="FY300" i="1"/>
  <c r="FZ300" i="1" s="1"/>
  <c r="GA300" i="1" s="1"/>
  <c r="GC300" i="1" s="1"/>
  <c r="EP218" i="1"/>
  <c r="FG218" i="1" s="1"/>
  <c r="FP218" i="1" s="1"/>
  <c r="FQ218" i="1" s="1"/>
  <c r="GB94" i="1"/>
  <c r="FY250" i="1"/>
  <c r="FZ250" i="1" s="1"/>
  <c r="GA250" i="1" s="1"/>
  <c r="GC250" i="1" s="1"/>
  <c r="FY115" i="1"/>
  <c r="FZ115" i="1" s="1"/>
  <c r="GA115" i="1" s="1"/>
  <c r="GC115" i="1" s="1"/>
  <c r="GQ115" i="1" s="1"/>
  <c r="EP104" i="1"/>
  <c r="FG104" i="1" s="1"/>
  <c r="FP104" i="1" s="1"/>
  <c r="FR104" i="1" s="1"/>
  <c r="EP239" i="1"/>
  <c r="EP115" i="1"/>
  <c r="FG115" i="1" s="1"/>
  <c r="FP115" i="1" s="1"/>
  <c r="FY194" i="1"/>
  <c r="FZ194" i="1" s="1"/>
  <c r="GA194" i="1" s="1"/>
  <c r="GC194" i="1" s="1"/>
  <c r="GT194" i="1" s="1"/>
  <c r="GU194" i="1" s="1"/>
  <c r="GV194" i="1" s="1"/>
  <c r="GB190" i="1"/>
  <c r="GC190" i="1" s="1"/>
  <c r="GB220" i="1"/>
  <c r="EP90" i="1"/>
  <c r="FG90" i="1" s="1"/>
  <c r="FP90" i="1" s="1"/>
  <c r="FR90" i="1" s="1"/>
  <c r="EP142" i="1"/>
  <c r="FG142" i="1" s="1"/>
  <c r="FP142" i="1" s="1"/>
  <c r="FQ142" i="1" s="1"/>
  <c r="EP195" i="1"/>
  <c r="FG195" i="1" s="1"/>
  <c r="FP195" i="1" s="1"/>
  <c r="FR195" i="1" s="1"/>
  <c r="EO16" i="1"/>
  <c r="FG16" i="1" s="1"/>
  <c r="FP16" i="1" s="1"/>
  <c r="FQ16" i="1" s="1"/>
  <c r="EP217" i="1"/>
  <c r="EP302" i="1"/>
  <c r="EO170" i="1"/>
  <c r="EP138" i="1"/>
  <c r="FG138" i="1" s="1"/>
  <c r="FP138" i="1" s="1"/>
  <c r="FQ138" i="1" s="1"/>
  <c r="EP154" i="1"/>
  <c r="EP51" i="1"/>
  <c r="EP150" i="1"/>
  <c r="FG150" i="1" s="1"/>
  <c r="FP150" i="1" s="1"/>
  <c r="FR150" i="1" s="1"/>
  <c r="GB150" i="1"/>
  <c r="GC150" i="1" s="1"/>
  <c r="GB217" i="1"/>
  <c r="GC217" i="1" s="1"/>
  <c r="GB138" i="1"/>
  <c r="GC138" i="1" s="1"/>
  <c r="GD138" i="1" s="1"/>
  <c r="FY293" i="1"/>
  <c r="FZ293" i="1" s="1"/>
  <c r="GA293" i="1" s="1"/>
  <c r="GC293" i="1" s="1"/>
  <c r="EP85" i="1"/>
  <c r="FG85" i="1" s="1"/>
  <c r="FP85" i="1" s="1"/>
  <c r="FR85" i="1" s="1"/>
  <c r="FY85" i="1"/>
  <c r="FZ85" i="1" s="1"/>
  <c r="GA85" i="1" s="1"/>
  <c r="GC85" i="1" s="1"/>
  <c r="GT85" i="1" s="1"/>
  <c r="GU85" i="1" s="1"/>
  <c r="GV85" i="1" s="1"/>
  <c r="EP230" i="1"/>
  <c r="EP192" i="1"/>
  <c r="FG192" i="1" s="1"/>
  <c r="FP192" i="1" s="1"/>
  <c r="FR192" i="1" s="1"/>
  <c r="EP190" i="1"/>
  <c r="FG190" i="1" s="1"/>
  <c r="FP190" i="1" s="1"/>
  <c r="FR190" i="1" s="1"/>
  <c r="FY165" i="1"/>
  <c r="FZ165" i="1" s="1"/>
  <c r="GA165" i="1" s="1"/>
  <c r="GC165" i="1" s="1"/>
  <c r="GL165" i="1" s="1"/>
  <c r="GM165" i="1" s="1"/>
  <c r="FY65" i="1"/>
  <c r="FZ65" i="1" s="1"/>
  <c r="GA65" i="1" s="1"/>
  <c r="GB91" i="1"/>
  <c r="GB168" i="1"/>
  <c r="GB107" i="1"/>
  <c r="GB25" i="1"/>
  <c r="FY94" i="1"/>
  <c r="FZ94" i="1" s="1"/>
  <c r="GA94" i="1" s="1"/>
  <c r="FY220" i="1"/>
  <c r="FZ220" i="1" s="1"/>
  <c r="GA220" i="1" s="1"/>
  <c r="FY17" i="1"/>
  <c r="FZ17" i="1" s="1"/>
  <c r="GA17" i="1" s="1"/>
  <c r="FY142" i="1"/>
  <c r="FZ142" i="1" s="1"/>
  <c r="GA142" i="1" s="1"/>
  <c r="GC142" i="1" s="1"/>
  <c r="EP76" i="1"/>
  <c r="FG76" i="1" s="1"/>
  <c r="FP76" i="1" s="1"/>
  <c r="FQ76" i="1" s="1"/>
  <c r="EP287" i="1"/>
  <c r="FY92" i="1"/>
  <c r="FZ92" i="1" s="1"/>
  <c r="GA92" i="1" s="1"/>
  <c r="GC92" i="1" s="1"/>
  <c r="GJ92" i="1" s="1"/>
  <c r="GK92" i="1" s="1"/>
  <c r="GB287" i="1"/>
  <c r="GC287" i="1" s="1"/>
  <c r="GT287" i="1" s="1"/>
  <c r="GU287" i="1" s="1"/>
  <c r="GV287" i="1" s="1"/>
  <c r="FY168" i="1"/>
  <c r="FZ168" i="1" s="1"/>
  <c r="GA168" i="1" s="1"/>
  <c r="GB157" i="1"/>
  <c r="GC157" i="1" s="1"/>
  <c r="FY256" i="1"/>
  <c r="FZ256" i="1" s="1"/>
  <c r="GA256" i="1" s="1"/>
  <c r="GC256" i="1" s="1"/>
  <c r="GJ256" i="1" s="1"/>
  <c r="GK256" i="1" s="1"/>
  <c r="GB76" i="1"/>
  <c r="GC76" i="1" s="1"/>
  <c r="GT76" i="1" s="1"/>
  <c r="GU76" i="1" s="1"/>
  <c r="GV76" i="1" s="1"/>
  <c r="GB17" i="1"/>
  <c r="FY239" i="1"/>
  <c r="FZ239" i="1" s="1"/>
  <c r="GA239" i="1" s="1"/>
  <c r="GC239" i="1" s="1"/>
  <c r="GQ239" i="1" s="1"/>
  <c r="GB208" i="1"/>
  <c r="GC208" i="1" s="1"/>
  <c r="GJ208" i="1" s="1"/>
  <c r="GK208" i="1" s="1"/>
  <c r="FY11" i="1"/>
  <c r="FZ11" i="1" s="1"/>
  <c r="GA11" i="1" s="1"/>
  <c r="GC11" i="1" s="1"/>
  <c r="GF11" i="1" s="1"/>
  <c r="GG11" i="1" s="1"/>
  <c r="GB19" i="1"/>
  <c r="GC19" i="1" s="1"/>
  <c r="GT19" i="1" s="1"/>
  <c r="GU19" i="1" s="1"/>
  <c r="GV19" i="1" s="1"/>
  <c r="EP157" i="1"/>
  <c r="EP256" i="1"/>
  <c r="EP140" i="1"/>
  <c r="EP19" i="1"/>
  <c r="EP11" i="1"/>
  <c r="FY173" i="1"/>
  <c r="FZ173" i="1" s="1"/>
  <c r="GA173" i="1" s="1"/>
  <c r="GC173" i="1" s="1"/>
  <c r="EP294" i="1"/>
  <c r="EP68" i="1"/>
  <c r="FG68" i="1" s="1"/>
  <c r="FP68" i="1" s="1"/>
  <c r="FQ68" i="1" s="1"/>
  <c r="GB10" i="1"/>
  <c r="FY52" i="1"/>
  <c r="FZ52" i="1" s="1"/>
  <c r="GA52" i="1" s="1"/>
  <c r="EP73" i="1"/>
  <c r="FG73" i="1" s="1"/>
  <c r="FP73" i="1" s="1"/>
  <c r="EO157" i="1"/>
  <c r="EO265" i="1"/>
  <c r="EP215" i="1"/>
  <c r="EP205" i="1"/>
  <c r="GB73" i="1"/>
  <c r="GC73" i="1" s="1"/>
  <c r="GJ73" i="1" s="1"/>
  <c r="GK73" i="1" s="1"/>
  <c r="GB294" i="1"/>
  <c r="GC294" i="1" s="1"/>
  <c r="GF294" i="1" s="1"/>
  <c r="GG294" i="1" s="1"/>
  <c r="GB52" i="1"/>
  <c r="DZ73" i="1"/>
  <c r="EP278" i="1"/>
  <c r="FG278" i="1" s="1"/>
  <c r="FP278" i="1" s="1"/>
  <c r="FR278" i="1" s="1"/>
  <c r="EO256" i="1"/>
  <c r="EP212" i="1"/>
  <c r="GB211" i="1"/>
  <c r="GC211" i="1" s="1"/>
  <c r="GB100" i="1"/>
  <c r="FY101" i="1"/>
  <c r="FZ101" i="1" s="1"/>
  <c r="GA101" i="1" s="1"/>
  <c r="GC101" i="1" s="1"/>
  <c r="GR101" i="1" s="1"/>
  <c r="EP211" i="1"/>
  <c r="EP240" i="1"/>
  <c r="FG240" i="1" s="1"/>
  <c r="FP240" i="1" s="1"/>
  <c r="FR240" i="1" s="1"/>
  <c r="EP56" i="1"/>
  <c r="EP20" i="1"/>
  <c r="FY240" i="1"/>
  <c r="FZ240" i="1" s="1"/>
  <c r="GA240" i="1" s="1"/>
  <c r="GC240" i="1" s="1"/>
  <c r="GB56" i="1"/>
  <c r="GC56" i="1" s="1"/>
  <c r="GB113" i="1"/>
  <c r="GC113" i="1" s="1"/>
  <c r="GQ113" i="1" s="1"/>
  <c r="GB20" i="1"/>
  <c r="GC20" i="1" s="1"/>
  <c r="EP113" i="1"/>
  <c r="FY137" i="1"/>
  <c r="FZ137" i="1" s="1"/>
  <c r="GA137" i="1" s="1"/>
  <c r="EP292" i="1"/>
  <c r="FY141" i="1"/>
  <c r="FZ141" i="1" s="1"/>
  <c r="GA141" i="1" s="1"/>
  <c r="FY60" i="1"/>
  <c r="FZ60" i="1" s="1"/>
  <c r="GA60" i="1" s="1"/>
  <c r="GC60" i="1" s="1"/>
  <c r="EP46" i="1"/>
  <c r="FG46" i="1" s="1"/>
  <c r="FP46" i="1" s="1"/>
  <c r="FR46" i="1" s="1"/>
  <c r="EP89" i="1"/>
  <c r="EP60" i="1"/>
  <c r="GB89" i="1"/>
  <c r="GC89" i="1" s="1"/>
  <c r="GF89" i="1" s="1"/>
  <c r="GG89" i="1" s="1"/>
  <c r="GB292" i="1"/>
  <c r="GC292" i="1" s="1"/>
  <c r="GF292" i="1" s="1"/>
  <c r="GG292" i="1" s="1"/>
  <c r="EP57" i="1"/>
  <c r="FG57" i="1" s="1"/>
  <c r="FP57" i="1" s="1"/>
  <c r="EP252" i="1"/>
  <c r="FG252" i="1" s="1"/>
  <c r="FP252" i="1" s="1"/>
  <c r="EO210" i="1"/>
  <c r="GB269" i="1"/>
  <c r="GB137" i="1"/>
  <c r="GB289" i="1"/>
  <c r="FY289" i="1"/>
  <c r="FZ289" i="1" s="1"/>
  <c r="GA289" i="1" s="1"/>
  <c r="EP67" i="1"/>
  <c r="FG67" i="1" s="1"/>
  <c r="FP67" i="1" s="1"/>
  <c r="GB249" i="1"/>
  <c r="FY249" i="1"/>
  <c r="FZ249" i="1" s="1"/>
  <c r="GA249" i="1" s="1"/>
  <c r="GB90" i="1"/>
  <c r="GC90" i="1" s="1"/>
  <c r="FY131" i="1"/>
  <c r="FZ131" i="1" s="1"/>
  <c r="GA131" i="1" s="1"/>
  <c r="FY230" i="1"/>
  <c r="FZ230" i="1" s="1"/>
  <c r="GA230" i="1" s="1"/>
  <c r="GC230" i="1" s="1"/>
  <c r="EP265" i="1"/>
  <c r="FY67" i="1"/>
  <c r="FZ67" i="1" s="1"/>
  <c r="GA67" i="1" s="1"/>
  <c r="GC67" i="1" s="1"/>
  <c r="FY265" i="1"/>
  <c r="FZ265" i="1" s="1"/>
  <c r="GA265" i="1" s="1"/>
  <c r="GC265" i="1" s="1"/>
  <c r="GJ265" i="1" s="1"/>
  <c r="GK265" i="1" s="1"/>
  <c r="FY192" i="1"/>
  <c r="FZ192" i="1" s="1"/>
  <c r="GA192" i="1" s="1"/>
  <c r="GC192" i="1" s="1"/>
  <c r="GB131" i="1"/>
  <c r="FY28" i="1"/>
  <c r="FZ28" i="1" s="1"/>
  <c r="GA28" i="1" s="1"/>
  <c r="GC28" i="1" s="1"/>
  <c r="GJ28" i="1" s="1"/>
  <c r="GK28" i="1" s="1"/>
  <c r="EP164" i="1"/>
  <c r="FG164" i="1" s="1"/>
  <c r="FP164" i="1" s="1"/>
  <c r="FQ164" i="1" s="1"/>
  <c r="EO105" i="1"/>
  <c r="FG105" i="1" s="1"/>
  <c r="FP105" i="1" s="1"/>
  <c r="FY197" i="1"/>
  <c r="FZ197" i="1" s="1"/>
  <c r="GA197" i="1" s="1"/>
  <c r="GC197" i="1" s="1"/>
  <c r="FY215" i="1"/>
  <c r="FZ215" i="1" s="1"/>
  <c r="GA215" i="1" s="1"/>
  <c r="GC215" i="1" s="1"/>
  <c r="GB164" i="1"/>
  <c r="GC164" i="1" s="1"/>
  <c r="GH164" i="1" s="1"/>
  <c r="GI164" i="1" s="1"/>
  <c r="GB260" i="1"/>
  <c r="GC260" i="1" s="1"/>
  <c r="EO219" i="1"/>
  <c r="EP203" i="1"/>
  <c r="FG203" i="1" s="1"/>
  <c r="FP203" i="1" s="1"/>
  <c r="FQ203" i="1" s="1"/>
  <c r="GB268" i="1"/>
  <c r="GB41" i="1"/>
  <c r="FY41" i="1"/>
  <c r="FZ41" i="1" s="1"/>
  <c r="GA41" i="1" s="1"/>
  <c r="EO113" i="1"/>
  <c r="EO186" i="1"/>
  <c r="FY205" i="1"/>
  <c r="FZ205" i="1" s="1"/>
  <c r="GA205" i="1" s="1"/>
  <c r="GC205" i="1" s="1"/>
  <c r="GF205" i="1" s="1"/>
  <c r="GG205" i="1" s="1"/>
  <c r="GB39" i="1"/>
  <c r="GC39" i="1" s="1"/>
  <c r="EP39" i="1"/>
  <c r="FY78" i="1"/>
  <c r="FZ78" i="1" s="1"/>
  <c r="GA78" i="1" s="1"/>
  <c r="GC78" i="1" s="1"/>
  <c r="GJ78" i="1" s="1"/>
  <c r="GK78" i="1" s="1"/>
  <c r="EP27" i="1"/>
  <c r="FY280" i="1"/>
  <c r="FZ280" i="1" s="1"/>
  <c r="GA280" i="1" s="1"/>
  <c r="GC280" i="1" s="1"/>
  <c r="GB27" i="1"/>
  <c r="GC27" i="1" s="1"/>
  <c r="GB75" i="1"/>
  <c r="EP280" i="1"/>
  <c r="FG280" i="1" s="1"/>
  <c r="FP280" i="1" s="1"/>
  <c r="FY75" i="1"/>
  <c r="FZ75" i="1" s="1"/>
  <c r="GA75" i="1" s="1"/>
  <c r="EP260" i="1"/>
  <c r="FY229" i="1"/>
  <c r="FZ229" i="1" s="1"/>
  <c r="GA229" i="1" s="1"/>
  <c r="GC229" i="1" s="1"/>
  <c r="EP229" i="1"/>
  <c r="FG229" i="1" s="1"/>
  <c r="FP229" i="1" s="1"/>
  <c r="FQ229" i="1" s="1"/>
  <c r="EO211" i="1"/>
  <c r="GB261" i="1"/>
  <c r="GC261" i="1" s="1"/>
  <c r="FY269" i="1"/>
  <c r="FZ269" i="1" s="1"/>
  <c r="GA269" i="1" s="1"/>
  <c r="EO158" i="1"/>
  <c r="FY110" i="1"/>
  <c r="FZ110" i="1" s="1"/>
  <c r="GA110" i="1" s="1"/>
  <c r="EP74" i="1"/>
  <c r="FG74" i="1" s="1"/>
  <c r="FP74" i="1" s="1"/>
  <c r="FQ74" i="1" s="1"/>
  <c r="EO249" i="1"/>
  <c r="FG249" i="1" s="1"/>
  <c r="FP249" i="1" s="1"/>
  <c r="FR249" i="1" s="1"/>
  <c r="GB74" i="1"/>
  <c r="GC74" i="1" s="1"/>
  <c r="GB87" i="1"/>
  <c r="GC87" i="1" s="1"/>
  <c r="FY144" i="1"/>
  <c r="FZ144" i="1" s="1"/>
  <c r="GA144" i="1" s="1"/>
  <c r="EP87" i="1"/>
  <c r="GB144" i="1"/>
  <c r="FY284" i="1"/>
  <c r="FZ284" i="1" s="1"/>
  <c r="GA284" i="1" s="1"/>
  <c r="FY182" i="1"/>
  <c r="FZ182" i="1" s="1"/>
  <c r="GA182" i="1" s="1"/>
  <c r="GB284" i="1"/>
  <c r="EP221" i="1"/>
  <c r="FG221" i="1" s="1"/>
  <c r="FP221" i="1" s="1"/>
  <c r="EP43" i="1"/>
  <c r="GB221" i="1"/>
  <c r="GC221" i="1" s="1"/>
  <c r="GB182" i="1"/>
  <c r="EP237" i="1"/>
  <c r="FG237" i="1" s="1"/>
  <c r="FP237" i="1" s="1"/>
  <c r="FR237" i="1" s="1"/>
  <c r="FY43" i="1"/>
  <c r="FZ43" i="1" s="1"/>
  <c r="GA43" i="1" s="1"/>
  <c r="GC43" i="1" s="1"/>
  <c r="GD43" i="1" s="1"/>
  <c r="GE43" i="1" s="1"/>
  <c r="GB237" i="1"/>
  <c r="GC237" i="1" s="1"/>
  <c r="EO140" i="1"/>
  <c r="FY268" i="1"/>
  <c r="FZ268" i="1" s="1"/>
  <c r="GA268" i="1" s="1"/>
  <c r="GB277" i="1"/>
  <c r="GC277" i="1" s="1"/>
  <c r="GL277" i="1" s="1"/>
  <c r="GM277" i="1" s="1"/>
  <c r="GB109" i="1"/>
  <c r="GC109" i="1" s="1"/>
  <c r="GL109" i="1" s="1"/>
  <c r="GM109" i="1" s="1"/>
  <c r="EO244" i="1"/>
  <c r="FG244" i="1" s="1"/>
  <c r="FP244" i="1" s="1"/>
  <c r="EP197" i="1"/>
  <c r="FG197" i="1" s="1"/>
  <c r="FP197" i="1" s="1"/>
  <c r="EP109" i="1"/>
  <c r="FG109" i="1" s="1"/>
  <c r="FP109" i="1" s="1"/>
  <c r="FQ109" i="1" s="1"/>
  <c r="EP277" i="1"/>
  <c r="FG277" i="1" s="1"/>
  <c r="FP277" i="1" s="1"/>
  <c r="FR277" i="1" s="1"/>
  <c r="EP130" i="1"/>
  <c r="GB140" i="1"/>
  <c r="GC140" i="1" s="1"/>
  <c r="FG267" i="1"/>
  <c r="FP267" i="1" s="1"/>
  <c r="FR267" i="1" s="1"/>
  <c r="EP5" i="1"/>
  <c r="EP34" i="1"/>
  <c r="FG34" i="1" s="1"/>
  <c r="FP34" i="1" s="1"/>
  <c r="FQ34" i="1" s="1"/>
  <c r="FY207" i="1"/>
  <c r="FZ207" i="1" s="1"/>
  <c r="GA207" i="1" s="1"/>
  <c r="GC207" i="1" s="1"/>
  <c r="GB5" i="1"/>
  <c r="GC5" i="1" s="1"/>
  <c r="GQ5" i="1" s="1"/>
  <c r="FY34" i="1"/>
  <c r="FZ34" i="1" s="1"/>
  <c r="GA34" i="1" s="1"/>
  <c r="GC34" i="1" s="1"/>
  <c r="FY91" i="1"/>
  <c r="FZ91" i="1" s="1"/>
  <c r="GA91" i="1" s="1"/>
  <c r="EP207" i="1"/>
  <c r="FG207" i="1" s="1"/>
  <c r="FP207" i="1" s="1"/>
  <c r="FQ207" i="1" s="1"/>
  <c r="FY99" i="1"/>
  <c r="FZ99" i="1" s="1"/>
  <c r="GA99" i="1" s="1"/>
  <c r="GC99" i="1" s="1"/>
  <c r="GB130" i="1"/>
  <c r="GC130" i="1" s="1"/>
  <c r="EP92" i="1"/>
  <c r="FG92" i="1" s="1"/>
  <c r="FP92" i="1" s="1"/>
  <c r="FR92" i="1" s="1"/>
  <c r="GB136" i="1"/>
  <c r="GB65" i="1"/>
  <c r="EP124" i="1"/>
  <c r="FG124" i="1" s="1"/>
  <c r="FP124" i="1" s="1"/>
  <c r="FQ124" i="1" s="1"/>
  <c r="EP165" i="1"/>
  <c r="FG165" i="1" s="1"/>
  <c r="FP165" i="1" s="1"/>
  <c r="FQ165" i="1" s="1"/>
  <c r="EP298" i="1"/>
  <c r="FG298" i="1" s="1"/>
  <c r="FP298" i="1" s="1"/>
  <c r="FR298" i="1" s="1"/>
  <c r="EP28" i="1"/>
  <c r="EP86" i="1"/>
  <c r="FG86" i="1" s="1"/>
  <c r="FP86" i="1" s="1"/>
  <c r="FR86" i="1" s="1"/>
  <c r="FY267" i="1"/>
  <c r="FZ267" i="1" s="1"/>
  <c r="GA267" i="1" s="1"/>
  <c r="FY136" i="1"/>
  <c r="FZ136" i="1" s="1"/>
  <c r="GA136" i="1" s="1"/>
  <c r="FY132" i="1"/>
  <c r="FZ132" i="1" s="1"/>
  <c r="GA132" i="1" s="1"/>
  <c r="GC132" i="1" s="1"/>
  <c r="EP158" i="1"/>
  <c r="EP266" i="1"/>
  <c r="FG266" i="1" s="1"/>
  <c r="FP266" i="1" s="1"/>
  <c r="FR266" i="1" s="1"/>
  <c r="EP173" i="1"/>
  <c r="FG173" i="1" s="1"/>
  <c r="FP173" i="1" s="1"/>
  <c r="GB298" i="1"/>
  <c r="GC298" i="1" s="1"/>
  <c r="GB267" i="1"/>
  <c r="FY158" i="1"/>
  <c r="FZ158" i="1" s="1"/>
  <c r="GA158" i="1" s="1"/>
  <c r="GC158" i="1" s="1"/>
  <c r="EP179" i="1"/>
  <c r="FG179" i="1" s="1"/>
  <c r="FP179" i="1" s="1"/>
  <c r="EP262" i="1"/>
  <c r="EP132" i="1"/>
  <c r="FG132" i="1" s="1"/>
  <c r="FP132" i="1" s="1"/>
  <c r="FR132" i="1" s="1"/>
  <c r="EP213" i="1"/>
  <c r="FG213" i="1" s="1"/>
  <c r="FP213" i="1" s="1"/>
  <c r="FR213" i="1" s="1"/>
  <c r="EP120" i="1"/>
  <c r="FG120" i="1" s="1"/>
  <c r="FP120" i="1" s="1"/>
  <c r="FY233" i="1"/>
  <c r="FZ233" i="1" s="1"/>
  <c r="GA233" i="1" s="1"/>
  <c r="EP219" i="1"/>
  <c r="GB233" i="1"/>
  <c r="GB81" i="1"/>
  <c r="FY120" i="1"/>
  <c r="FZ120" i="1" s="1"/>
  <c r="GA120" i="1" s="1"/>
  <c r="GC120" i="1" s="1"/>
  <c r="GB262" i="1"/>
  <c r="GC262" i="1" s="1"/>
  <c r="FY81" i="1"/>
  <c r="FZ81" i="1" s="1"/>
  <c r="GA81" i="1" s="1"/>
  <c r="FY219" i="1"/>
  <c r="FZ219" i="1" s="1"/>
  <c r="GA219" i="1" s="1"/>
  <c r="GC219" i="1" s="1"/>
  <c r="GB179" i="1"/>
  <c r="GC179" i="1" s="1"/>
  <c r="GL179" i="1" s="1"/>
  <c r="GM179" i="1" s="1"/>
  <c r="EP79" i="1"/>
  <c r="FG79" i="1" s="1"/>
  <c r="FP79" i="1" s="1"/>
  <c r="FR79" i="1" s="1"/>
  <c r="EO133" i="1"/>
  <c r="GB110" i="1"/>
  <c r="EP72" i="1"/>
  <c r="FG72" i="1" s="1"/>
  <c r="FP72" i="1" s="1"/>
  <c r="FR72" i="1" s="1"/>
  <c r="EP261" i="1"/>
  <c r="FG261" i="1" s="1"/>
  <c r="FP261" i="1" s="1"/>
  <c r="FY161" i="1"/>
  <c r="FZ161" i="1" s="1"/>
  <c r="GA161" i="1" s="1"/>
  <c r="GB161" i="1"/>
  <c r="FY69" i="1"/>
  <c r="FZ69" i="1" s="1"/>
  <c r="GA69" i="1" s="1"/>
  <c r="GB33" i="1"/>
  <c r="GC33" i="1" s="1"/>
  <c r="GH33" i="1" s="1"/>
  <c r="GI33" i="1" s="1"/>
  <c r="EP33" i="1"/>
  <c r="FG33" i="1" s="1"/>
  <c r="FP33" i="1" s="1"/>
  <c r="FQ33" i="1" s="1"/>
  <c r="EP149" i="1"/>
  <c r="GB149" i="1"/>
  <c r="GC149" i="1" s="1"/>
  <c r="GB69" i="1"/>
  <c r="EP253" i="1"/>
  <c r="FG253" i="1" s="1"/>
  <c r="FP253" i="1" s="1"/>
  <c r="FQ253" i="1" s="1"/>
  <c r="FG119" i="1"/>
  <c r="FP119" i="1" s="1"/>
  <c r="FR119" i="1" s="1"/>
  <c r="GB139" i="1"/>
  <c r="GC139" i="1" s="1"/>
  <c r="GB245" i="1"/>
  <c r="GC245" i="1" s="1"/>
  <c r="EP245" i="1"/>
  <c r="FG245" i="1" s="1"/>
  <c r="FP245" i="1" s="1"/>
  <c r="FQ245" i="1" s="1"/>
  <c r="EP236" i="1"/>
  <c r="FG236" i="1" s="1"/>
  <c r="FP236" i="1" s="1"/>
  <c r="FR236" i="1" s="1"/>
  <c r="GB121" i="1"/>
  <c r="FY121" i="1"/>
  <c r="FZ121" i="1" s="1"/>
  <c r="GA121" i="1" s="1"/>
  <c r="GB83" i="1"/>
  <c r="GC83" i="1" s="1"/>
  <c r="EP83" i="1"/>
  <c r="FG83" i="1" s="1"/>
  <c r="FP83" i="1" s="1"/>
  <c r="EP139" i="1"/>
  <c r="FG139" i="1" s="1"/>
  <c r="FP139" i="1" s="1"/>
  <c r="EP23" i="1"/>
  <c r="GB236" i="1"/>
  <c r="GC236" i="1" s="1"/>
  <c r="GH236" i="1" s="1"/>
  <c r="GI236" i="1" s="1"/>
  <c r="EO69" i="1"/>
  <c r="FG69" i="1" s="1"/>
  <c r="FP69" i="1" s="1"/>
  <c r="FR69" i="1" s="1"/>
  <c r="EP122" i="1"/>
  <c r="FG122" i="1" s="1"/>
  <c r="FP122" i="1" s="1"/>
  <c r="FQ122" i="1" s="1"/>
  <c r="GB202" i="1"/>
  <c r="GC202" i="1" s="1"/>
  <c r="GR202" i="1" s="1"/>
  <c r="EO5" i="1"/>
  <c r="EP202" i="1"/>
  <c r="FG202" i="1" s="1"/>
  <c r="FP202" i="1" s="1"/>
  <c r="FQ202" i="1" s="1"/>
  <c r="FY122" i="1"/>
  <c r="FZ122" i="1" s="1"/>
  <c r="GA122" i="1" s="1"/>
  <c r="GC122" i="1" s="1"/>
  <c r="GB266" i="1"/>
  <c r="GC266" i="1" s="1"/>
  <c r="GB171" i="1"/>
  <c r="GC171" i="1" s="1"/>
  <c r="GN171" i="1" s="1"/>
  <c r="GO171" i="1" s="1"/>
  <c r="EP171" i="1"/>
  <c r="FG171" i="1" s="1"/>
  <c r="FP171" i="1" s="1"/>
  <c r="FR171" i="1" s="1"/>
  <c r="GB57" i="1"/>
  <c r="GC57" i="1" s="1"/>
  <c r="GF57" i="1" s="1"/>
  <c r="GG57" i="1" s="1"/>
  <c r="GB86" i="1"/>
  <c r="GC86" i="1" s="1"/>
  <c r="GR86" i="1" s="1"/>
  <c r="GB124" i="1"/>
  <c r="GC124" i="1" s="1"/>
  <c r="GB203" i="1"/>
  <c r="GC203" i="1" s="1"/>
  <c r="GB79" i="1"/>
  <c r="GC79" i="1" s="1"/>
  <c r="GR79" i="1" s="1"/>
  <c r="EP59" i="1"/>
  <c r="EP210" i="1"/>
  <c r="GB180" i="1"/>
  <c r="FY180" i="1"/>
  <c r="FZ180" i="1" s="1"/>
  <c r="GA180" i="1" s="1"/>
  <c r="GB59" i="1"/>
  <c r="GC59" i="1" s="1"/>
  <c r="EP155" i="1"/>
  <c r="FG155" i="1" s="1"/>
  <c r="FP155" i="1" s="1"/>
  <c r="FR155" i="1" s="1"/>
  <c r="EP31" i="1"/>
  <c r="FG31" i="1" s="1"/>
  <c r="FP31" i="1" s="1"/>
  <c r="FQ31" i="1" s="1"/>
  <c r="FY155" i="1"/>
  <c r="FZ155" i="1" s="1"/>
  <c r="GA155" i="1" s="1"/>
  <c r="GC155" i="1" s="1"/>
  <c r="GR155" i="1" s="1"/>
  <c r="GB49" i="1"/>
  <c r="FY49" i="1"/>
  <c r="FZ49" i="1" s="1"/>
  <c r="GA49" i="1" s="1"/>
  <c r="FY210" i="1"/>
  <c r="FZ210" i="1" s="1"/>
  <c r="GA210" i="1" s="1"/>
  <c r="GC210" i="1" s="1"/>
  <c r="FY31" i="1"/>
  <c r="FZ31" i="1" s="1"/>
  <c r="GA31" i="1" s="1"/>
  <c r="GC31" i="1" s="1"/>
  <c r="GL31" i="1" s="1"/>
  <c r="GM31" i="1" s="1"/>
  <c r="EP99" i="1"/>
  <c r="GB181" i="1"/>
  <c r="FY181" i="1"/>
  <c r="FZ181" i="1" s="1"/>
  <c r="GA181" i="1" s="1"/>
  <c r="FG167" i="1"/>
  <c r="FP167" i="1" s="1"/>
  <c r="FR167" i="1" s="1"/>
  <c r="EP232" i="1"/>
  <c r="FG232" i="1" s="1"/>
  <c r="FP232" i="1" s="1"/>
  <c r="FY232" i="1"/>
  <c r="FZ232" i="1" s="1"/>
  <c r="GA232" i="1" s="1"/>
  <c r="GC232" i="1" s="1"/>
  <c r="GH232" i="1" s="1"/>
  <c r="GI232" i="1" s="1"/>
  <c r="FG110" i="1"/>
  <c r="FP110" i="1" s="1"/>
  <c r="FR110" i="1" s="1"/>
  <c r="EP54" i="1"/>
  <c r="EP22" i="1"/>
  <c r="FG22" i="1" s="1"/>
  <c r="FP22" i="1" s="1"/>
  <c r="FR22" i="1" s="1"/>
  <c r="GB244" i="1"/>
  <c r="FY244" i="1"/>
  <c r="FZ244" i="1" s="1"/>
  <c r="GA244" i="1" s="1"/>
  <c r="FY276" i="1"/>
  <c r="FZ276" i="1" s="1"/>
  <c r="GA276" i="1" s="1"/>
  <c r="GC276" i="1" s="1"/>
  <c r="GL276" i="1" s="1"/>
  <c r="GM276" i="1" s="1"/>
  <c r="GB22" i="1"/>
  <c r="GC22" i="1" s="1"/>
  <c r="EP276" i="1"/>
  <c r="FG276" i="1" s="1"/>
  <c r="FP276" i="1" s="1"/>
  <c r="FR276" i="1" s="1"/>
  <c r="GB54" i="1"/>
  <c r="GC54" i="1" s="1"/>
  <c r="GH54" i="1" s="1"/>
  <c r="GI54" i="1" s="1"/>
  <c r="EO301" i="1"/>
  <c r="EO66" i="1"/>
  <c r="EP242" i="1"/>
  <c r="FG242" i="1" s="1"/>
  <c r="FP242" i="1" s="1"/>
  <c r="FR242" i="1" s="1"/>
  <c r="GB242" i="1"/>
  <c r="GC242" i="1" s="1"/>
  <c r="FY72" i="1"/>
  <c r="FZ72" i="1" s="1"/>
  <c r="GA72" i="1" s="1"/>
  <c r="GC72" i="1" s="1"/>
  <c r="EP26" i="1"/>
  <c r="GB253" i="1"/>
  <c r="GC253" i="1" s="1"/>
  <c r="GB26" i="1"/>
  <c r="GC26" i="1" s="1"/>
  <c r="GJ26" i="1" s="1"/>
  <c r="GK26" i="1" s="1"/>
  <c r="FY23" i="1"/>
  <c r="FZ23" i="1" s="1"/>
  <c r="GA23" i="1" s="1"/>
  <c r="GC23" i="1" s="1"/>
  <c r="GF23" i="1" s="1"/>
  <c r="GG23" i="1" s="1"/>
  <c r="EP147" i="1"/>
  <c r="FG147" i="1" s="1"/>
  <c r="FP147" i="1" s="1"/>
  <c r="FQ147" i="1" s="1"/>
  <c r="FG80" i="1"/>
  <c r="FP80" i="1" s="1"/>
  <c r="FR80" i="1" s="1"/>
  <c r="FY297" i="1"/>
  <c r="FZ297" i="1" s="1"/>
  <c r="GA297" i="1" s="1"/>
  <c r="GB147" i="1"/>
  <c r="GC147" i="1" s="1"/>
  <c r="FY105" i="1"/>
  <c r="FZ105" i="1" s="1"/>
  <c r="GA105" i="1" s="1"/>
  <c r="GB105" i="1"/>
  <c r="FG290" i="1"/>
  <c r="FP290" i="1" s="1"/>
  <c r="FR290" i="1" s="1"/>
  <c r="GB297" i="1"/>
  <c r="EO196" i="1"/>
  <c r="EP35" i="1"/>
  <c r="GB258" i="1"/>
  <c r="FY55" i="1"/>
  <c r="FZ55" i="1" s="1"/>
  <c r="GA55" i="1" s="1"/>
  <c r="FY35" i="1"/>
  <c r="FZ35" i="1" s="1"/>
  <c r="GA35" i="1" s="1"/>
  <c r="GC35" i="1" s="1"/>
  <c r="GH35" i="1" s="1"/>
  <c r="GI35" i="1" s="1"/>
  <c r="FY258" i="1"/>
  <c r="FZ258" i="1" s="1"/>
  <c r="GA258" i="1" s="1"/>
  <c r="GB55" i="1"/>
  <c r="GC170" i="1"/>
  <c r="GR170" i="1" s="1"/>
  <c r="EO135" i="1"/>
  <c r="EP270" i="1"/>
  <c r="FG270" i="1" s="1"/>
  <c r="FP270" i="1" s="1"/>
  <c r="FR270" i="1" s="1"/>
  <c r="FY270" i="1"/>
  <c r="FZ270" i="1" s="1"/>
  <c r="GA270" i="1" s="1"/>
  <c r="GC270" i="1" s="1"/>
  <c r="AM22" i="1"/>
  <c r="FY189" i="1"/>
  <c r="FZ189" i="1" s="1"/>
  <c r="GA189" i="1" s="1"/>
  <c r="EO42" i="1"/>
  <c r="GB189" i="1"/>
  <c r="GB213" i="1"/>
  <c r="GC213" i="1" s="1"/>
  <c r="EO91" i="1"/>
  <c r="FG91" i="1" s="1"/>
  <c r="FP91" i="1" s="1"/>
  <c r="FQ91" i="1" s="1"/>
  <c r="EO45" i="1"/>
  <c r="FG144" i="1"/>
  <c r="FP144" i="1" s="1"/>
  <c r="FR144" i="1" s="1"/>
  <c r="EP235" i="1"/>
  <c r="FG235" i="1" s="1"/>
  <c r="FP235" i="1" s="1"/>
  <c r="FY235" i="1"/>
  <c r="FZ235" i="1" s="1"/>
  <c r="GA235" i="1" s="1"/>
  <c r="GC235" i="1" s="1"/>
  <c r="EO99" i="1"/>
  <c r="FG231" i="1"/>
  <c r="FP231" i="1" s="1"/>
  <c r="FR231" i="1" s="1"/>
  <c r="FG269" i="1"/>
  <c r="FP269" i="1" s="1"/>
  <c r="FQ269" i="1" s="1"/>
  <c r="FG268" i="1"/>
  <c r="FP268" i="1" s="1"/>
  <c r="FR268" i="1" s="1"/>
  <c r="FG175" i="1"/>
  <c r="FP175" i="1" s="1"/>
  <c r="FR175" i="1" s="1"/>
  <c r="FG106" i="1"/>
  <c r="FP106" i="1" s="1"/>
  <c r="FR106" i="1" s="1"/>
  <c r="GB13" i="1"/>
  <c r="FY13" i="1"/>
  <c r="FZ13" i="1" s="1"/>
  <c r="GA13" i="1" s="1"/>
  <c r="EP13" i="1"/>
  <c r="FG161" i="1"/>
  <c r="FP161" i="1" s="1"/>
  <c r="FR161" i="1" s="1"/>
  <c r="FG126" i="1"/>
  <c r="FP126" i="1" s="1"/>
  <c r="FR126" i="1" s="1"/>
  <c r="FG49" i="1"/>
  <c r="FP49" i="1" s="1"/>
  <c r="FQ49" i="1" s="1"/>
  <c r="FG297" i="1"/>
  <c r="FP297" i="1" s="1"/>
  <c r="FQ297" i="1" s="1"/>
  <c r="FG275" i="1"/>
  <c r="FP275" i="1" s="1"/>
  <c r="FR275" i="1" s="1"/>
  <c r="GC257" i="1"/>
  <c r="FG131" i="1"/>
  <c r="FP131" i="1" s="1"/>
  <c r="FR131" i="1" s="1"/>
  <c r="FG137" i="1"/>
  <c r="FP137" i="1" s="1"/>
  <c r="EO212" i="1"/>
  <c r="FG180" i="1"/>
  <c r="FP180" i="1" s="1"/>
  <c r="FR180" i="1" s="1"/>
  <c r="FG209" i="1"/>
  <c r="FP209" i="1" s="1"/>
  <c r="FR209" i="1" s="1"/>
  <c r="FG234" i="1"/>
  <c r="FP234" i="1" s="1"/>
  <c r="FR234" i="1" s="1"/>
  <c r="FG25" i="1"/>
  <c r="FP25" i="1" s="1"/>
  <c r="FR25" i="1" s="1"/>
  <c r="FG95" i="1"/>
  <c r="FP95" i="1" s="1"/>
  <c r="FR95" i="1" s="1"/>
  <c r="FG168" i="1"/>
  <c r="FP168" i="1" s="1"/>
  <c r="FQ168" i="1" s="1"/>
  <c r="FG199" i="1"/>
  <c r="FP199" i="1" s="1"/>
  <c r="FR199" i="1" s="1"/>
  <c r="FG112" i="1"/>
  <c r="FP112" i="1" s="1"/>
  <c r="FQ112" i="1" s="1"/>
  <c r="FG52" i="1"/>
  <c r="FP52" i="1" s="1"/>
  <c r="FR52" i="1" s="1"/>
  <c r="FG178" i="1"/>
  <c r="FP178" i="1" s="1"/>
  <c r="GC223" i="1"/>
  <c r="GL223" i="1" s="1"/>
  <c r="GM223" i="1" s="1"/>
  <c r="FG121" i="1"/>
  <c r="FP121" i="1" s="1"/>
  <c r="FQ121" i="1" s="1"/>
  <c r="FG189" i="1"/>
  <c r="FP189" i="1" s="1"/>
  <c r="FR189" i="1" s="1"/>
  <c r="GC227" i="1"/>
  <c r="GJ227" i="1" s="1"/>
  <c r="GK227" i="1" s="1"/>
  <c r="FG96" i="1"/>
  <c r="FP96" i="1" s="1"/>
  <c r="FQ96" i="1" s="1"/>
  <c r="FG94" i="1"/>
  <c r="FP94" i="1" s="1"/>
  <c r="FR94" i="1" s="1"/>
  <c r="FG136" i="1"/>
  <c r="FP136" i="1" s="1"/>
  <c r="FQ136" i="1" s="1"/>
  <c r="GC96" i="1"/>
  <c r="GN96" i="1" s="1"/>
  <c r="GO96" i="1" s="1"/>
  <c r="FY4" i="1"/>
  <c r="FZ4" i="1" s="1"/>
  <c r="GA4" i="1" s="1"/>
  <c r="GB4" i="1"/>
  <c r="FY204" i="1"/>
  <c r="FZ204" i="1" s="1"/>
  <c r="GA204" i="1" s="1"/>
  <c r="GB204" i="1"/>
  <c r="FY206" i="1"/>
  <c r="FZ206" i="1" s="1"/>
  <c r="GA206" i="1" s="1"/>
  <c r="GB206" i="1"/>
  <c r="FG227" i="1"/>
  <c r="FP227" i="1" s="1"/>
  <c r="FY45" i="1"/>
  <c r="FZ45" i="1" s="1"/>
  <c r="GA45" i="1" s="1"/>
  <c r="GB45" i="1"/>
  <c r="FG100" i="1"/>
  <c r="FP100" i="1" s="1"/>
  <c r="FG220" i="1"/>
  <c r="FP220" i="1" s="1"/>
  <c r="FY61" i="1"/>
  <c r="FZ61" i="1" s="1"/>
  <c r="GA61" i="1" s="1"/>
  <c r="GB61" i="1"/>
  <c r="GC112" i="1"/>
  <c r="FG289" i="1"/>
  <c r="FP289" i="1" s="1"/>
  <c r="FG238" i="1"/>
  <c r="FP238" i="1" s="1"/>
  <c r="FG141" i="1"/>
  <c r="FP141" i="1" s="1"/>
  <c r="FY66" i="1"/>
  <c r="FZ66" i="1" s="1"/>
  <c r="GA66" i="1" s="1"/>
  <c r="GB66" i="1"/>
  <c r="FY196" i="1"/>
  <c r="FZ196" i="1" s="1"/>
  <c r="GA196" i="1" s="1"/>
  <c r="GB196" i="1"/>
  <c r="FG257" i="1"/>
  <c r="FP257" i="1" s="1"/>
  <c r="GC290" i="1"/>
  <c r="EO117" i="1"/>
  <c r="FG117" i="1" s="1"/>
  <c r="FP117" i="1" s="1"/>
  <c r="EO26" i="1"/>
  <c r="EO58" i="1"/>
  <c r="EO38" i="1"/>
  <c r="EP45" i="1"/>
  <c r="AM60" i="1"/>
  <c r="EO60" i="1"/>
  <c r="EO54" i="1"/>
  <c r="EO43" i="1"/>
  <c r="EO205" i="1"/>
  <c r="EO24" i="1"/>
  <c r="EO59" i="1"/>
  <c r="EO17" i="1"/>
  <c r="FG17" i="1" s="1"/>
  <c r="FP17" i="1" s="1"/>
  <c r="EO27" i="1"/>
  <c r="EP4" i="1"/>
  <c r="FG4" i="1" s="1"/>
  <c r="FP4" i="1" s="1"/>
  <c r="EP66" i="1"/>
  <c r="EP196" i="1"/>
  <c r="EP206" i="1"/>
  <c r="EO14" i="1"/>
  <c r="FG14" i="1" s="1"/>
  <c r="FP14" i="1" s="1"/>
  <c r="AM29" i="1"/>
  <c r="EO29" i="1"/>
  <c r="AM55" i="1"/>
  <c r="EO55" i="1"/>
  <c r="FG55" i="1" s="1"/>
  <c r="FP55" i="1" s="1"/>
  <c r="EO19" i="1"/>
  <c r="EO35" i="1"/>
  <c r="EO292" i="1"/>
  <c r="EO56" i="1"/>
  <c r="EO62" i="1"/>
  <c r="AM52" i="1"/>
  <c r="AM37" i="1"/>
  <c r="EO37" i="1"/>
  <c r="FG37" i="1" s="1"/>
  <c r="FP37" i="1" s="1"/>
  <c r="AM6" i="1"/>
  <c r="EO6" i="1"/>
  <c r="EO23" i="1"/>
  <c r="EO36" i="1"/>
  <c r="EO11" i="1"/>
  <c r="EO64" i="1"/>
  <c r="EO47" i="1"/>
  <c r="EO32" i="1"/>
  <c r="EO7" i="1"/>
  <c r="FG7" i="1" s="1"/>
  <c r="FP7" i="1" s="1"/>
  <c r="EO226" i="1"/>
  <c r="EO53" i="1"/>
  <c r="FG53" i="1" s="1"/>
  <c r="FP53" i="1" s="1"/>
  <c r="AM63" i="1"/>
  <c r="EO63" i="1"/>
  <c r="AM31" i="1"/>
  <c r="EO10" i="1"/>
  <c r="FG10" i="1" s="1"/>
  <c r="FP10" i="1" s="1"/>
  <c r="EO30" i="1"/>
  <c r="EO9" i="1"/>
  <c r="EP61" i="1"/>
  <c r="FG61" i="1" s="1"/>
  <c r="FP61" i="1" s="1"/>
  <c r="EP204" i="1"/>
  <c r="FG204" i="1" s="1"/>
  <c r="FP204" i="1" s="1"/>
  <c r="EO21" i="1"/>
  <c r="EO15" i="1"/>
  <c r="AM28" i="1"/>
  <c r="EO28" i="1"/>
  <c r="AM44" i="1"/>
  <c r="EO44" i="1"/>
  <c r="AM40" i="1"/>
  <c r="EO40" i="1"/>
  <c r="AM39" i="1"/>
  <c r="EO39" i="1"/>
  <c r="EO50" i="1"/>
  <c r="EO51" i="1"/>
  <c r="EO215" i="1"/>
  <c r="EO48" i="1"/>
  <c r="FG48" i="1" s="1"/>
  <c r="FP48" i="1" s="1"/>
  <c r="EO20" i="1"/>
  <c r="FY2" i="1"/>
  <c r="FZ2" i="1" s="1"/>
  <c r="GA2" i="1" s="1"/>
  <c r="GB2" i="1"/>
  <c r="EP2" i="1"/>
  <c r="EO2" i="1"/>
  <c r="GC136" i="1" l="1"/>
  <c r="GC18" i="1"/>
  <c r="GJ18" i="1" s="1"/>
  <c r="GK18" i="1" s="1"/>
  <c r="FG184" i="1"/>
  <c r="FP184" i="1" s="1"/>
  <c r="FR184" i="1" s="1"/>
  <c r="FG170" i="1"/>
  <c r="FP170" i="1" s="1"/>
  <c r="FQ170" i="1" s="1"/>
  <c r="FG301" i="1"/>
  <c r="FP301" i="1" s="1"/>
  <c r="FQ301" i="1" s="1"/>
  <c r="FG214" i="1"/>
  <c r="FP214" i="1" s="1"/>
  <c r="FR214" i="1" s="1"/>
  <c r="FG125" i="1"/>
  <c r="FP125" i="1" s="1"/>
  <c r="FQ125" i="1" s="1"/>
  <c r="FG15" i="1"/>
  <c r="FP15" i="1" s="1"/>
  <c r="FR15" i="1" s="1"/>
  <c r="FR123" i="1"/>
  <c r="FS123" i="1" s="1"/>
  <c r="FT123" i="1" s="1"/>
  <c r="FU123" i="1" s="1"/>
  <c r="FV123" i="1" s="1"/>
  <c r="FX123" i="1" s="1"/>
  <c r="GC234" i="1"/>
  <c r="GF234" i="1" s="1"/>
  <c r="GG234" i="1" s="1"/>
  <c r="GC209" i="1"/>
  <c r="GT209" i="1" s="1"/>
  <c r="GU209" i="1" s="1"/>
  <c r="GV209" i="1" s="1"/>
  <c r="GC53" i="1"/>
  <c r="GF53" i="1" s="1"/>
  <c r="GG53" i="1" s="1"/>
  <c r="FG183" i="1"/>
  <c r="FP183" i="1" s="1"/>
  <c r="FR183" i="1" s="1"/>
  <c r="GC231" i="1"/>
  <c r="GT231" i="1" s="1"/>
  <c r="GU231" i="1" s="1"/>
  <c r="GV231" i="1" s="1"/>
  <c r="GJ123" i="1"/>
  <c r="GK123" i="1" s="1"/>
  <c r="GD123" i="1"/>
  <c r="GE123" i="1" s="1"/>
  <c r="GH123" i="1"/>
  <c r="GI123" i="1" s="1"/>
  <c r="GF123" i="1"/>
  <c r="GG123" i="1" s="1"/>
  <c r="GC178" i="1"/>
  <c r="GQ178" i="1" s="1"/>
  <c r="GR123" i="1"/>
  <c r="GT123" i="1"/>
  <c r="GU123" i="1" s="1"/>
  <c r="GV123" i="1" s="1"/>
  <c r="FR18" i="1"/>
  <c r="FS18" i="1" s="1"/>
  <c r="FT18" i="1" s="1"/>
  <c r="FU18" i="1" s="1"/>
  <c r="FV18" i="1" s="1"/>
  <c r="FX18" i="1" s="1"/>
  <c r="GQ123" i="1"/>
  <c r="GH18" i="1"/>
  <c r="GI18" i="1" s="1"/>
  <c r="GC305" i="1"/>
  <c r="GF305" i="1" s="1"/>
  <c r="GG305" i="1" s="1"/>
  <c r="GR18" i="1"/>
  <c r="FG251" i="1"/>
  <c r="FP251" i="1" s="1"/>
  <c r="FR251" i="1" s="1"/>
  <c r="FG201" i="1"/>
  <c r="FP201" i="1" s="1"/>
  <c r="FR201" i="1" s="1"/>
  <c r="FG302" i="1"/>
  <c r="FP302" i="1" s="1"/>
  <c r="FR302" i="1" s="1"/>
  <c r="FG111" i="1"/>
  <c r="FP111" i="1" s="1"/>
  <c r="FR111" i="1" s="1"/>
  <c r="FG177" i="1"/>
  <c r="FP177" i="1" s="1"/>
  <c r="FQ177" i="1" s="1"/>
  <c r="FQ200" i="1"/>
  <c r="FS200" i="1" s="1"/>
  <c r="FT200" i="1" s="1"/>
  <c r="FU200" i="1" s="1"/>
  <c r="FV200" i="1" s="1"/>
  <c r="FX200" i="1" s="1"/>
  <c r="FG6" i="1"/>
  <c r="FP6" i="1" s="1"/>
  <c r="FR6" i="1" s="1"/>
  <c r="FG262" i="1"/>
  <c r="FP262" i="1" s="1"/>
  <c r="FQ262" i="1" s="1"/>
  <c r="FG84" i="1"/>
  <c r="FP84" i="1" s="1"/>
  <c r="FQ84" i="1" s="1"/>
  <c r="FG299" i="1"/>
  <c r="FP299" i="1" s="1"/>
  <c r="FR299" i="1" s="1"/>
  <c r="FG230" i="1"/>
  <c r="FP230" i="1" s="1"/>
  <c r="FR230" i="1" s="1"/>
  <c r="FG187" i="1"/>
  <c r="FP187" i="1" s="1"/>
  <c r="FQ187" i="1" s="1"/>
  <c r="GC48" i="1"/>
  <c r="GL48" i="1" s="1"/>
  <c r="GM48" i="1" s="1"/>
  <c r="FG130" i="1"/>
  <c r="FP130" i="1" s="1"/>
  <c r="FR130" i="1" s="1"/>
  <c r="FG281" i="1"/>
  <c r="FP281" i="1" s="1"/>
  <c r="FR281" i="1" s="1"/>
  <c r="FG64" i="1"/>
  <c r="FP64" i="1" s="1"/>
  <c r="FR64" i="1" s="1"/>
  <c r="FG272" i="1"/>
  <c r="FP272" i="1" s="1"/>
  <c r="FR272" i="1" s="1"/>
  <c r="FG13" i="1"/>
  <c r="FP13" i="1" s="1"/>
  <c r="FQ13" i="1" s="1"/>
  <c r="FG286" i="1"/>
  <c r="FP286" i="1" s="1"/>
  <c r="FR286" i="1" s="1"/>
  <c r="GC143" i="1"/>
  <c r="GJ143" i="1" s="1"/>
  <c r="GK143" i="1" s="1"/>
  <c r="FQ305" i="1"/>
  <c r="FS305" i="1" s="1"/>
  <c r="FT305" i="1" s="1"/>
  <c r="FU305" i="1" s="1"/>
  <c r="FV305" i="1" s="1"/>
  <c r="FX305" i="1" s="1"/>
  <c r="FG44" i="1"/>
  <c r="FP44" i="1" s="1"/>
  <c r="FQ44" i="1" s="1"/>
  <c r="FG228" i="1"/>
  <c r="FP228" i="1" s="1"/>
  <c r="FQ228" i="1" s="1"/>
  <c r="FG3" i="1"/>
  <c r="FP3" i="1" s="1"/>
  <c r="FR3" i="1" s="1"/>
  <c r="FG63" i="1"/>
  <c r="FP63" i="1" s="1"/>
  <c r="FR63" i="1" s="1"/>
  <c r="FG62" i="1"/>
  <c r="FP62" i="1" s="1"/>
  <c r="FR62" i="1" s="1"/>
  <c r="FG32" i="1"/>
  <c r="FP32" i="1" s="1"/>
  <c r="FR32" i="1" s="1"/>
  <c r="FG50" i="1"/>
  <c r="FP50" i="1" s="1"/>
  <c r="FQ50" i="1" s="1"/>
  <c r="FG176" i="1"/>
  <c r="FP176" i="1" s="1"/>
  <c r="FR176" i="1" s="1"/>
  <c r="FG113" i="1"/>
  <c r="FP113" i="1" s="1"/>
  <c r="FR113" i="1" s="1"/>
  <c r="GC14" i="1"/>
  <c r="GT14" i="1" s="1"/>
  <c r="GU14" i="1" s="1"/>
  <c r="GV14" i="1" s="1"/>
  <c r="FG294" i="1"/>
  <c r="FP294" i="1" s="1"/>
  <c r="FQ294" i="1" s="1"/>
  <c r="GC80" i="1"/>
  <c r="GH80" i="1" s="1"/>
  <c r="GI80" i="1" s="1"/>
  <c r="FG42" i="1"/>
  <c r="FP42" i="1" s="1"/>
  <c r="FR42" i="1" s="1"/>
  <c r="FG260" i="1"/>
  <c r="FP260" i="1" s="1"/>
  <c r="FQ260" i="1" s="1"/>
  <c r="FG274" i="1"/>
  <c r="FP274" i="1" s="1"/>
  <c r="FR274" i="1" s="1"/>
  <c r="FG287" i="1"/>
  <c r="FP287" i="1" s="1"/>
  <c r="FQ287" i="1" s="1"/>
  <c r="GC162" i="1"/>
  <c r="GF162" i="1" s="1"/>
  <c r="GG162" i="1" s="1"/>
  <c r="FG146" i="1"/>
  <c r="FP146" i="1" s="1"/>
  <c r="FR146" i="1" s="1"/>
  <c r="GH263" i="1"/>
  <c r="GI263" i="1" s="1"/>
  <c r="FG38" i="1"/>
  <c r="FP38" i="1" s="1"/>
  <c r="FR38" i="1" s="1"/>
  <c r="FG24" i="1"/>
  <c r="FP24" i="1" s="1"/>
  <c r="FR24" i="1" s="1"/>
  <c r="GJ263" i="1"/>
  <c r="GK263" i="1" s="1"/>
  <c r="GQ263" i="1"/>
  <c r="GC127" i="1"/>
  <c r="GD127" i="1" s="1"/>
  <c r="GE127" i="1" s="1"/>
  <c r="GR263" i="1"/>
  <c r="GD263" i="1"/>
  <c r="GE263" i="1" s="1"/>
  <c r="GL263" i="1"/>
  <c r="GM263" i="1" s="1"/>
  <c r="FG293" i="1"/>
  <c r="FP293" i="1" s="1"/>
  <c r="FR293" i="1" s="1"/>
  <c r="GT263" i="1"/>
  <c r="GU263" i="1" s="1"/>
  <c r="GV263" i="1" s="1"/>
  <c r="FG217" i="1"/>
  <c r="FP217" i="1" s="1"/>
  <c r="FR217" i="1" s="1"/>
  <c r="GC119" i="1"/>
  <c r="GD119" i="1" s="1"/>
  <c r="GE119" i="1" s="1"/>
  <c r="FG226" i="1"/>
  <c r="FP226" i="1" s="1"/>
  <c r="FR226" i="1" s="1"/>
  <c r="FQ263" i="1"/>
  <c r="FS263" i="1" s="1"/>
  <c r="FT263" i="1" s="1"/>
  <c r="FU263" i="1" s="1"/>
  <c r="FV263" i="1" s="1"/>
  <c r="FX263" i="1" s="1"/>
  <c r="GC175" i="1"/>
  <c r="GT175" i="1" s="1"/>
  <c r="GU175" i="1" s="1"/>
  <c r="GV175" i="1" s="1"/>
  <c r="GC259" i="1"/>
  <c r="GJ259" i="1" s="1"/>
  <c r="GK259" i="1" s="1"/>
  <c r="GC117" i="1"/>
  <c r="GD117" i="1" s="1"/>
  <c r="GE117" i="1" s="1"/>
  <c r="FG243" i="1"/>
  <c r="FP243" i="1" s="1"/>
  <c r="FQ243" i="1" s="1"/>
  <c r="GL70" i="1"/>
  <c r="GM70" i="1" s="1"/>
  <c r="FG47" i="1"/>
  <c r="FP47" i="1" s="1"/>
  <c r="FR47" i="1" s="1"/>
  <c r="GC275" i="1"/>
  <c r="GF275" i="1" s="1"/>
  <c r="GG275" i="1" s="1"/>
  <c r="GC199" i="1"/>
  <c r="GF199" i="1" s="1"/>
  <c r="GG199" i="1" s="1"/>
  <c r="GF70" i="1"/>
  <c r="GG70" i="1" s="1"/>
  <c r="GJ70" i="1"/>
  <c r="GK70" i="1" s="1"/>
  <c r="GD70" i="1"/>
  <c r="GE70" i="1" s="1"/>
  <c r="GQ70" i="1"/>
  <c r="GR70" i="1"/>
  <c r="GH70" i="1"/>
  <c r="GI70" i="1" s="1"/>
  <c r="FQ80" i="1"/>
  <c r="FS80" i="1" s="1"/>
  <c r="FT80" i="1" s="1"/>
  <c r="FU80" i="1" s="1"/>
  <c r="FV80" i="1" s="1"/>
  <c r="FX80" i="1" s="1"/>
  <c r="FG89" i="1"/>
  <c r="FP89" i="1" s="1"/>
  <c r="FQ89" i="1" s="1"/>
  <c r="GC100" i="1"/>
  <c r="GH100" i="1" s="1"/>
  <c r="GI100" i="1" s="1"/>
  <c r="FG36" i="1"/>
  <c r="FP36" i="1" s="1"/>
  <c r="FQ36" i="1" s="1"/>
  <c r="FG149" i="1"/>
  <c r="FP149" i="1" s="1"/>
  <c r="FR149" i="1" s="1"/>
  <c r="FG40" i="1"/>
  <c r="FP40" i="1" s="1"/>
  <c r="FR40" i="1" s="1"/>
  <c r="FG9" i="1"/>
  <c r="FP9" i="1" s="1"/>
  <c r="FR9" i="1" s="1"/>
  <c r="FG87" i="1"/>
  <c r="FP87" i="1" s="1"/>
  <c r="FR87" i="1" s="1"/>
  <c r="FG206" i="1"/>
  <c r="FP206" i="1" s="1"/>
  <c r="FQ206" i="1" s="1"/>
  <c r="FG133" i="1"/>
  <c r="FP133" i="1" s="1"/>
  <c r="FQ133" i="1" s="1"/>
  <c r="FQ134" i="1"/>
  <c r="FS134" i="1" s="1"/>
  <c r="FT134" i="1" s="1"/>
  <c r="FU134" i="1" s="1"/>
  <c r="FV134" i="1" s="1"/>
  <c r="FX134" i="1" s="1"/>
  <c r="GC106" i="1"/>
  <c r="GH106" i="1" s="1"/>
  <c r="GI106" i="1" s="1"/>
  <c r="FG29" i="1"/>
  <c r="FP29" i="1" s="1"/>
  <c r="FR29" i="1" s="1"/>
  <c r="GC264" i="1"/>
  <c r="GQ264" i="1" s="1"/>
  <c r="GC37" i="1"/>
  <c r="GQ37" i="1" s="1"/>
  <c r="GC238" i="1"/>
  <c r="GT238" i="1" s="1"/>
  <c r="GU238" i="1" s="1"/>
  <c r="GV238" i="1" s="1"/>
  <c r="GC126" i="1"/>
  <c r="GF126" i="1" s="1"/>
  <c r="GG126" i="1" s="1"/>
  <c r="FG58" i="1"/>
  <c r="FP58" i="1" s="1"/>
  <c r="FR58" i="1" s="1"/>
  <c r="FG186" i="1"/>
  <c r="FP186" i="1" s="1"/>
  <c r="FR186" i="1" s="1"/>
  <c r="FG247" i="1"/>
  <c r="FP247" i="1" s="1"/>
  <c r="FR247" i="1" s="1"/>
  <c r="GC95" i="1"/>
  <c r="GD95" i="1" s="1"/>
  <c r="GE95" i="1" s="1"/>
  <c r="FG288" i="1"/>
  <c r="FP288" i="1" s="1"/>
  <c r="FQ288" i="1" s="1"/>
  <c r="GC7" i="1"/>
  <c r="GF7" i="1" s="1"/>
  <c r="GG7" i="1" s="1"/>
  <c r="GF134" i="1"/>
  <c r="GG134" i="1" s="1"/>
  <c r="GN134" i="1"/>
  <c r="GO134" i="1" s="1"/>
  <c r="GD134" i="1"/>
  <c r="GE134" i="1" s="1"/>
  <c r="GT134" i="1"/>
  <c r="GU134" i="1" s="1"/>
  <c r="GV134" i="1" s="1"/>
  <c r="GH134" i="1"/>
  <c r="GI134" i="1" s="1"/>
  <c r="GQ134" i="1"/>
  <c r="GJ134" i="1"/>
  <c r="GK134" i="1" s="1"/>
  <c r="GR134" i="1"/>
  <c r="GL134" i="1"/>
  <c r="GM134" i="1" s="1"/>
  <c r="GC25" i="1"/>
  <c r="GD25" i="1" s="1"/>
  <c r="GE25" i="1" s="1"/>
  <c r="FG12" i="1"/>
  <c r="FP12" i="1" s="1"/>
  <c r="FR12" i="1" s="1"/>
  <c r="FG154" i="1"/>
  <c r="FP154" i="1" s="1"/>
  <c r="FR154" i="1" s="1"/>
  <c r="FG198" i="1"/>
  <c r="FP198" i="1" s="1"/>
  <c r="FR198" i="1" s="1"/>
  <c r="FG135" i="1"/>
  <c r="FP135" i="1" s="1"/>
  <c r="FQ135" i="1" s="1"/>
  <c r="GC269" i="1"/>
  <c r="GJ269" i="1" s="1"/>
  <c r="GK269" i="1" s="1"/>
  <c r="FG101" i="1"/>
  <c r="FP101" i="1" s="1"/>
  <c r="FR101" i="1" s="1"/>
  <c r="FG26" i="1"/>
  <c r="FP26" i="1" s="1"/>
  <c r="FR26" i="1" s="1"/>
  <c r="FG265" i="1"/>
  <c r="FP265" i="1" s="1"/>
  <c r="FQ265" i="1" s="1"/>
  <c r="GC168" i="1"/>
  <c r="GT168" i="1" s="1"/>
  <c r="GU168" i="1" s="1"/>
  <c r="GV168" i="1" s="1"/>
  <c r="FG140" i="1"/>
  <c r="FP140" i="1" s="1"/>
  <c r="FR140" i="1" s="1"/>
  <c r="FQ250" i="1"/>
  <c r="FR250" i="1"/>
  <c r="GC10" i="1"/>
  <c r="GL10" i="1" s="1"/>
  <c r="GM10" i="1" s="1"/>
  <c r="GC220" i="1"/>
  <c r="GQ220" i="1" s="1"/>
  <c r="GC91" i="1"/>
  <c r="GJ91" i="1" s="1"/>
  <c r="GK91" i="1" s="1"/>
  <c r="FR194" i="1"/>
  <c r="FS194" i="1" s="1"/>
  <c r="FT194" i="1" s="1"/>
  <c r="FU194" i="1" s="1"/>
  <c r="FV194" i="1" s="1"/>
  <c r="FX194" i="1" s="1"/>
  <c r="FG239" i="1"/>
  <c r="FP239" i="1" s="1"/>
  <c r="FQ239" i="1" s="1"/>
  <c r="GD85" i="1"/>
  <c r="GE85" i="1" s="1"/>
  <c r="GJ85" i="1"/>
  <c r="GK85" i="1" s="1"/>
  <c r="GC141" i="1"/>
  <c r="GL141" i="1" s="1"/>
  <c r="GM141" i="1" s="1"/>
  <c r="FG39" i="1"/>
  <c r="FP39" i="1" s="1"/>
  <c r="FQ39" i="1" s="1"/>
  <c r="FG30" i="1"/>
  <c r="FP30" i="1" s="1"/>
  <c r="FQ30" i="1" s="1"/>
  <c r="FG21" i="1"/>
  <c r="FP21" i="1" s="1"/>
  <c r="FQ21" i="1" s="1"/>
  <c r="FG157" i="1"/>
  <c r="FP157" i="1" s="1"/>
  <c r="FQ157" i="1" s="1"/>
  <c r="FG11" i="1"/>
  <c r="FP11" i="1" s="1"/>
  <c r="FQ11" i="1" s="1"/>
  <c r="FR138" i="1"/>
  <c r="FS138" i="1" s="1"/>
  <c r="FT138" i="1" s="1"/>
  <c r="FU138" i="1" s="1"/>
  <c r="FV138" i="1" s="1"/>
  <c r="FX138" i="1" s="1"/>
  <c r="FG20" i="1"/>
  <c r="FP20" i="1" s="1"/>
  <c r="FR20" i="1" s="1"/>
  <c r="GC94" i="1"/>
  <c r="GH94" i="1" s="1"/>
  <c r="GI94" i="1" s="1"/>
  <c r="FG60" i="1"/>
  <c r="FP60" i="1" s="1"/>
  <c r="FR60" i="1" s="1"/>
  <c r="FG256" i="1"/>
  <c r="FP256" i="1" s="1"/>
  <c r="FQ256" i="1" s="1"/>
  <c r="GQ173" i="1"/>
  <c r="GH173" i="1"/>
  <c r="GI173" i="1" s="1"/>
  <c r="GC107" i="1"/>
  <c r="GT107" i="1" s="1"/>
  <c r="GU107" i="1" s="1"/>
  <c r="GV107" i="1" s="1"/>
  <c r="GR85" i="1"/>
  <c r="GH85" i="1"/>
  <c r="GI85" i="1" s="1"/>
  <c r="GJ84" i="1"/>
  <c r="GK84" i="1" s="1"/>
  <c r="GQ85" i="1"/>
  <c r="GL85" i="1"/>
  <c r="GM85" i="1" s="1"/>
  <c r="GF85" i="1"/>
  <c r="GG85" i="1" s="1"/>
  <c r="GC65" i="1"/>
  <c r="GL65" i="1" s="1"/>
  <c r="GM65" i="1" s="1"/>
  <c r="FG51" i="1"/>
  <c r="FP51" i="1" s="1"/>
  <c r="FQ51" i="1" s="1"/>
  <c r="FG205" i="1"/>
  <c r="FP205" i="1" s="1"/>
  <c r="FQ205" i="1" s="1"/>
  <c r="GC268" i="1"/>
  <c r="GR268" i="1" s="1"/>
  <c r="FG19" i="1"/>
  <c r="FP19" i="1" s="1"/>
  <c r="FQ19" i="1" s="1"/>
  <c r="FQ190" i="1"/>
  <c r="FS190" i="1" s="1"/>
  <c r="FT190" i="1" s="1"/>
  <c r="FU190" i="1" s="1"/>
  <c r="FV190" i="1" s="1"/>
  <c r="FX190" i="1" s="1"/>
  <c r="FR70" i="1"/>
  <c r="FS70" i="1" s="1"/>
  <c r="FT70" i="1" s="1"/>
  <c r="FU70" i="1" s="1"/>
  <c r="FV70" i="1" s="1"/>
  <c r="FX70" i="1" s="1"/>
  <c r="FG56" i="1"/>
  <c r="FP56" i="1" s="1"/>
  <c r="FR56" i="1" s="1"/>
  <c r="GC52" i="1"/>
  <c r="GQ52" i="1" s="1"/>
  <c r="GC17" i="1"/>
  <c r="GD17" i="1" s="1"/>
  <c r="GE17" i="1" s="1"/>
  <c r="FG23" i="1"/>
  <c r="FP23" i="1" s="1"/>
  <c r="FR23" i="1" s="1"/>
  <c r="FG292" i="1"/>
  <c r="FP292" i="1" s="1"/>
  <c r="FR292" i="1" s="1"/>
  <c r="FG215" i="1"/>
  <c r="FP215" i="1" s="1"/>
  <c r="FR215" i="1" s="1"/>
  <c r="FG212" i="1"/>
  <c r="FP212" i="1" s="1"/>
  <c r="FR212" i="1" s="1"/>
  <c r="FG210" i="1"/>
  <c r="FP210" i="1" s="1"/>
  <c r="FR210" i="1" s="1"/>
  <c r="FG211" i="1"/>
  <c r="FP211" i="1" s="1"/>
  <c r="FR211" i="1" s="1"/>
  <c r="GC249" i="1"/>
  <c r="GF249" i="1" s="1"/>
  <c r="GG249" i="1" s="1"/>
  <c r="GC75" i="1"/>
  <c r="GQ75" i="1" s="1"/>
  <c r="GC41" i="1"/>
  <c r="GD41" i="1" s="1"/>
  <c r="GE41" i="1" s="1"/>
  <c r="GC289" i="1"/>
  <c r="GT289" i="1" s="1"/>
  <c r="GU289" i="1" s="1"/>
  <c r="GV289" i="1" s="1"/>
  <c r="GC137" i="1"/>
  <c r="GD137" i="1" s="1"/>
  <c r="GE137" i="1" s="1"/>
  <c r="FQ104" i="1"/>
  <c r="FS104" i="1" s="1"/>
  <c r="FT104" i="1" s="1"/>
  <c r="FU104" i="1" s="1"/>
  <c r="FV104" i="1" s="1"/>
  <c r="FX104" i="1" s="1"/>
  <c r="FG158" i="1"/>
  <c r="FP158" i="1" s="1"/>
  <c r="FQ158" i="1" s="1"/>
  <c r="FR291" i="1"/>
  <c r="FS291" i="1" s="1"/>
  <c r="FT291" i="1" s="1"/>
  <c r="FU291" i="1" s="1"/>
  <c r="FV291" i="1" s="1"/>
  <c r="FX291" i="1" s="1"/>
  <c r="FG59" i="1"/>
  <c r="FP59" i="1" s="1"/>
  <c r="FR59" i="1" s="1"/>
  <c r="GD173" i="1"/>
  <c r="GE173" i="1" s="1"/>
  <c r="GQ78" i="1"/>
  <c r="GC55" i="1"/>
  <c r="GF55" i="1" s="1"/>
  <c r="GG55" i="1" s="1"/>
  <c r="GC182" i="1"/>
  <c r="GQ182" i="1" s="1"/>
  <c r="GH280" i="1"/>
  <c r="GI280" i="1" s="1"/>
  <c r="GR280" i="1"/>
  <c r="GC131" i="1"/>
  <c r="GF131" i="1" s="1"/>
  <c r="GG131" i="1" s="1"/>
  <c r="GC144" i="1"/>
  <c r="GD144" i="1" s="1"/>
  <c r="GE144" i="1" s="1"/>
  <c r="GC110" i="1"/>
  <c r="GJ110" i="1" s="1"/>
  <c r="GK110" i="1" s="1"/>
  <c r="FG219" i="1"/>
  <c r="FP219" i="1" s="1"/>
  <c r="FQ219" i="1" s="1"/>
  <c r="FR129" i="1"/>
  <c r="FS129" i="1" s="1"/>
  <c r="FT129" i="1" s="1"/>
  <c r="FU129" i="1" s="1"/>
  <c r="FV129" i="1" s="1"/>
  <c r="FX129" i="1" s="1"/>
  <c r="FQ85" i="1"/>
  <c r="FS85" i="1" s="1"/>
  <c r="FT85" i="1" s="1"/>
  <c r="FU85" i="1" s="1"/>
  <c r="FV85" i="1" s="1"/>
  <c r="FX85" i="1" s="1"/>
  <c r="FQ167" i="1"/>
  <c r="FS167" i="1" s="1"/>
  <c r="FT167" i="1" s="1"/>
  <c r="FU167" i="1" s="1"/>
  <c r="FV167" i="1" s="1"/>
  <c r="FX167" i="1" s="1"/>
  <c r="GC284" i="1"/>
  <c r="GR284" i="1" s="1"/>
  <c r="GF280" i="1"/>
  <c r="GG280" i="1" s="1"/>
  <c r="GT84" i="1"/>
  <c r="GU84" i="1" s="1"/>
  <c r="GV84" i="1" s="1"/>
  <c r="GC69" i="1"/>
  <c r="GR69" i="1" s="1"/>
  <c r="FG5" i="1"/>
  <c r="FP5" i="1" s="1"/>
  <c r="FQ5" i="1" s="1"/>
  <c r="GF104" i="1"/>
  <c r="GG104" i="1" s="1"/>
  <c r="GR104" i="1"/>
  <c r="FG27" i="1"/>
  <c r="FP27" i="1" s="1"/>
  <c r="FQ27" i="1" s="1"/>
  <c r="FR269" i="1"/>
  <c r="FS269" i="1" s="1"/>
  <c r="FT269" i="1" s="1"/>
  <c r="FU269" i="1" s="1"/>
  <c r="FV269" i="1" s="1"/>
  <c r="FX269" i="1" s="1"/>
  <c r="GR232" i="1"/>
  <c r="GF78" i="1"/>
  <c r="GG78" i="1" s="1"/>
  <c r="GL78" i="1"/>
  <c r="GM78" i="1" s="1"/>
  <c r="GT78" i="1"/>
  <c r="GU78" i="1" s="1"/>
  <c r="GV78" i="1" s="1"/>
  <c r="GH78" i="1"/>
  <c r="GI78" i="1" s="1"/>
  <c r="GR78" i="1"/>
  <c r="GD78" i="1"/>
  <c r="GE78" i="1" s="1"/>
  <c r="GL92" i="1"/>
  <c r="GM92" i="1" s="1"/>
  <c r="FG66" i="1"/>
  <c r="FP66" i="1" s="1"/>
  <c r="FQ66" i="1" s="1"/>
  <c r="FR120" i="1"/>
  <c r="FQ120" i="1"/>
  <c r="GC161" i="1"/>
  <c r="GH161" i="1" s="1"/>
  <c r="GI161" i="1" s="1"/>
  <c r="FG43" i="1"/>
  <c r="FP43" i="1" s="1"/>
  <c r="FR43" i="1" s="1"/>
  <c r="FQ119" i="1"/>
  <c r="FS119" i="1" s="1"/>
  <c r="FT119" i="1" s="1"/>
  <c r="FU119" i="1" s="1"/>
  <c r="FV119" i="1" s="1"/>
  <c r="FX119" i="1" s="1"/>
  <c r="GJ146" i="1"/>
  <c r="GK146" i="1" s="1"/>
  <c r="GQ287" i="1"/>
  <c r="GL287" i="1"/>
  <c r="GM287" i="1" s="1"/>
  <c r="FQ267" i="1"/>
  <c r="FS267" i="1" s="1"/>
  <c r="FT267" i="1" s="1"/>
  <c r="FU267" i="1" s="1"/>
  <c r="FV267" i="1" s="1"/>
  <c r="FX267" i="1" s="1"/>
  <c r="GQ232" i="1"/>
  <c r="GL128" i="1"/>
  <c r="GM128" i="1" s="1"/>
  <c r="GC267" i="1"/>
  <c r="GT267" i="1" s="1"/>
  <c r="GU267" i="1" s="1"/>
  <c r="GV267" i="1" s="1"/>
  <c r="GJ287" i="1"/>
  <c r="GK287" i="1" s="1"/>
  <c r="FR229" i="1"/>
  <c r="FS229" i="1" s="1"/>
  <c r="FT229" i="1" s="1"/>
  <c r="FU229" i="1" s="1"/>
  <c r="FV229" i="1" s="1"/>
  <c r="FX229" i="1" s="1"/>
  <c r="GQ108" i="1"/>
  <c r="FQ246" i="1"/>
  <c r="FS246" i="1" s="1"/>
  <c r="FT246" i="1" s="1"/>
  <c r="FU246" i="1" s="1"/>
  <c r="FV246" i="1" s="1"/>
  <c r="FX246" i="1" s="1"/>
  <c r="FQ106" i="1"/>
  <c r="FS106" i="1" s="1"/>
  <c r="FT106" i="1" s="1"/>
  <c r="FU106" i="1" s="1"/>
  <c r="FV106" i="1" s="1"/>
  <c r="FX106" i="1" s="1"/>
  <c r="GC233" i="1"/>
  <c r="GL233" i="1" s="1"/>
  <c r="GM233" i="1" s="1"/>
  <c r="GC121" i="1"/>
  <c r="GT121" i="1" s="1"/>
  <c r="GU121" i="1" s="1"/>
  <c r="GV121" i="1" s="1"/>
  <c r="GC81" i="1"/>
  <c r="GF81" i="1" s="1"/>
  <c r="GG81" i="1" s="1"/>
  <c r="FR202" i="1"/>
  <c r="FS202" i="1" s="1"/>
  <c r="FT202" i="1" s="1"/>
  <c r="FU202" i="1" s="1"/>
  <c r="FV202" i="1" s="1"/>
  <c r="FX202" i="1" s="1"/>
  <c r="GL265" i="1"/>
  <c r="GM265" i="1" s="1"/>
  <c r="FG28" i="1"/>
  <c r="FP28" i="1" s="1"/>
  <c r="FR28" i="1" s="1"/>
  <c r="GH82" i="1"/>
  <c r="GI82" i="1" s="1"/>
  <c r="GT146" i="1"/>
  <c r="GU146" i="1" s="1"/>
  <c r="GV146" i="1" s="1"/>
  <c r="GL64" i="1"/>
  <c r="GM64" i="1" s="1"/>
  <c r="GH97" i="1"/>
  <c r="GI97" i="1" s="1"/>
  <c r="GR216" i="1"/>
  <c r="GJ64" i="1"/>
  <c r="GK64" i="1" s="1"/>
  <c r="GL97" i="1"/>
  <c r="GM97" i="1" s="1"/>
  <c r="GH64" i="1"/>
  <c r="GI64" i="1" s="1"/>
  <c r="GH73" i="1"/>
  <c r="GI73" i="1" s="1"/>
  <c r="GD64" i="1"/>
  <c r="GE64" i="1" s="1"/>
  <c r="GT239" i="1"/>
  <c r="GU239" i="1" s="1"/>
  <c r="GV239" i="1" s="1"/>
  <c r="GQ73" i="1"/>
  <c r="GJ239" i="1"/>
  <c r="GK239" i="1" s="1"/>
  <c r="GF239" i="1"/>
  <c r="GG239" i="1" s="1"/>
  <c r="GD164" i="1"/>
  <c r="GE164" i="1" s="1"/>
  <c r="GL239" i="1"/>
  <c r="GM239" i="1" s="1"/>
  <c r="GD108" i="1"/>
  <c r="GE108" i="1" s="1"/>
  <c r="GR194" i="1"/>
  <c r="GT73" i="1"/>
  <c r="GU73" i="1" s="1"/>
  <c r="GV73" i="1" s="1"/>
  <c r="GF287" i="1"/>
  <c r="GG287" i="1" s="1"/>
  <c r="GT294" i="1"/>
  <c r="GU294" i="1" s="1"/>
  <c r="GV294" i="1" s="1"/>
  <c r="GL294" i="1"/>
  <c r="GM294" i="1" s="1"/>
  <c r="GF108" i="1"/>
  <c r="GG108" i="1" s="1"/>
  <c r="FR170" i="1"/>
  <c r="FS170" i="1" s="1"/>
  <c r="FT170" i="1" s="1"/>
  <c r="FU170" i="1" s="1"/>
  <c r="FV170" i="1" s="1"/>
  <c r="FX170" i="1" s="1"/>
  <c r="FQ237" i="1"/>
  <c r="FS237" i="1" s="1"/>
  <c r="FT237" i="1" s="1"/>
  <c r="FU237" i="1" s="1"/>
  <c r="FV237" i="1" s="1"/>
  <c r="FX237" i="1" s="1"/>
  <c r="GJ108" i="1"/>
  <c r="GK108" i="1" s="1"/>
  <c r="GR108" i="1"/>
  <c r="GL108" i="1"/>
  <c r="GM108" i="1" s="1"/>
  <c r="GC244" i="1"/>
  <c r="GF244" i="1" s="1"/>
  <c r="GG244" i="1" s="1"/>
  <c r="GR287" i="1"/>
  <c r="FR224" i="1"/>
  <c r="FS224" i="1" s="1"/>
  <c r="FT224" i="1" s="1"/>
  <c r="FU224" i="1" s="1"/>
  <c r="FV224" i="1" s="1"/>
  <c r="FX224" i="1" s="1"/>
  <c r="FR139" i="1"/>
  <c r="FQ139" i="1"/>
  <c r="GJ216" i="1"/>
  <c r="GK216" i="1" s="1"/>
  <c r="GH92" i="1"/>
  <c r="GI92" i="1" s="1"/>
  <c r="GT216" i="1"/>
  <c r="GU216" i="1" s="1"/>
  <c r="GV216" i="1" s="1"/>
  <c r="GD92" i="1"/>
  <c r="GE92" i="1" s="1"/>
  <c r="GH216" i="1"/>
  <c r="GI216" i="1" s="1"/>
  <c r="GF92" i="1"/>
  <c r="GG92" i="1" s="1"/>
  <c r="GJ113" i="1"/>
  <c r="GK113" i="1" s="1"/>
  <c r="GD216" i="1"/>
  <c r="GE216" i="1" s="1"/>
  <c r="GQ92" i="1"/>
  <c r="GR92" i="1"/>
  <c r="GT92" i="1"/>
  <c r="GU92" i="1" s="1"/>
  <c r="GV92" i="1" s="1"/>
  <c r="GF216" i="1"/>
  <c r="GG216" i="1" s="1"/>
  <c r="GF73" i="1"/>
  <c r="GG73" i="1" s="1"/>
  <c r="GF83" i="1"/>
  <c r="GG83" i="1" s="1"/>
  <c r="GL83" i="1"/>
  <c r="GM83" i="1" s="1"/>
  <c r="FQ78" i="1"/>
  <c r="FS78" i="1" s="1"/>
  <c r="FT78" i="1" s="1"/>
  <c r="FU78" i="1" s="1"/>
  <c r="FV78" i="1" s="1"/>
  <c r="FX78" i="1" s="1"/>
  <c r="GC49" i="1"/>
  <c r="GJ49" i="1" s="1"/>
  <c r="GK49" i="1" s="1"/>
  <c r="GC180" i="1"/>
  <c r="GH180" i="1" s="1"/>
  <c r="GI180" i="1" s="1"/>
  <c r="FG99" i="1"/>
  <c r="FP99" i="1" s="1"/>
  <c r="FQ99" i="1" s="1"/>
  <c r="FR297" i="1"/>
  <c r="FS297" i="1" s="1"/>
  <c r="FT297" i="1" s="1"/>
  <c r="FU297" i="1" s="1"/>
  <c r="FV297" i="1" s="1"/>
  <c r="FX297" i="1" s="1"/>
  <c r="FQ153" i="1"/>
  <c r="FS153" i="1" s="1"/>
  <c r="FT153" i="1" s="1"/>
  <c r="FU153" i="1" s="1"/>
  <c r="FV153" i="1" s="1"/>
  <c r="FX153" i="1" s="1"/>
  <c r="FQ114" i="1"/>
  <c r="FS114" i="1" s="1"/>
  <c r="FT114" i="1" s="1"/>
  <c r="FU114" i="1" s="1"/>
  <c r="FV114" i="1" s="1"/>
  <c r="FX114" i="1" s="1"/>
  <c r="FG54" i="1"/>
  <c r="FP54" i="1" s="1"/>
  <c r="FR54" i="1" s="1"/>
  <c r="GR173" i="1"/>
  <c r="GT79" i="1"/>
  <c r="GU79" i="1" s="1"/>
  <c r="GV79" i="1" s="1"/>
  <c r="FQ181" i="1"/>
  <c r="FS181" i="1" s="1"/>
  <c r="FT181" i="1" s="1"/>
  <c r="FU181" i="1" s="1"/>
  <c r="FV181" i="1" s="1"/>
  <c r="FX181" i="1" s="1"/>
  <c r="FQ88" i="1"/>
  <c r="FS88" i="1" s="1"/>
  <c r="FT88" i="1" s="1"/>
  <c r="FU88" i="1" s="1"/>
  <c r="FV88" i="1" s="1"/>
  <c r="FX88" i="1" s="1"/>
  <c r="FQ270" i="1"/>
  <c r="FS270" i="1" s="1"/>
  <c r="FT270" i="1" s="1"/>
  <c r="FU270" i="1" s="1"/>
  <c r="FV270" i="1" s="1"/>
  <c r="FX270" i="1" s="1"/>
  <c r="GC181" i="1"/>
  <c r="GL181" i="1" s="1"/>
  <c r="GM181" i="1" s="1"/>
  <c r="GQ83" i="1"/>
  <c r="GF173" i="1"/>
  <c r="GG173" i="1" s="1"/>
  <c r="GH79" i="1"/>
  <c r="GI79" i="1" s="1"/>
  <c r="GT173" i="1"/>
  <c r="GU173" i="1" s="1"/>
  <c r="GV173" i="1" s="1"/>
  <c r="FQ103" i="1"/>
  <c r="FS103" i="1" s="1"/>
  <c r="FT103" i="1" s="1"/>
  <c r="FU103" i="1" s="1"/>
  <c r="FV103" i="1" s="1"/>
  <c r="FX103" i="1" s="1"/>
  <c r="FQ92" i="1"/>
  <c r="FS92" i="1" s="1"/>
  <c r="FT92" i="1" s="1"/>
  <c r="FU92" i="1" s="1"/>
  <c r="FV92" i="1" s="1"/>
  <c r="FX92" i="1" s="1"/>
  <c r="GJ40" i="1"/>
  <c r="GK40" i="1" s="1"/>
  <c r="GD83" i="1"/>
  <c r="GE83" i="1" s="1"/>
  <c r="FQ282" i="1"/>
  <c r="FS282" i="1" s="1"/>
  <c r="FT282" i="1" s="1"/>
  <c r="FU282" i="1" s="1"/>
  <c r="FV282" i="1" s="1"/>
  <c r="FX282" i="1" s="1"/>
  <c r="GJ173" i="1"/>
  <c r="GK173" i="1" s="1"/>
  <c r="GJ292" i="1"/>
  <c r="GK292" i="1" s="1"/>
  <c r="GQ216" i="1"/>
  <c r="GH108" i="1"/>
  <c r="GI108" i="1" s="1"/>
  <c r="GQ194" i="1"/>
  <c r="GJ79" i="1"/>
  <c r="GK79" i="1" s="1"/>
  <c r="FR33" i="1"/>
  <c r="FS33" i="1" s="1"/>
  <c r="FT33" i="1" s="1"/>
  <c r="FU33" i="1" s="1"/>
  <c r="FV33" i="1" s="1"/>
  <c r="FX33" i="1" s="1"/>
  <c r="FQ277" i="1"/>
  <c r="FS277" i="1" s="1"/>
  <c r="FT277" i="1" s="1"/>
  <c r="FU277" i="1" s="1"/>
  <c r="FV277" i="1" s="1"/>
  <c r="FX277" i="1" s="1"/>
  <c r="FQ193" i="1"/>
  <c r="FS193" i="1" s="1"/>
  <c r="FT193" i="1" s="1"/>
  <c r="FU193" i="1" s="1"/>
  <c r="FV193" i="1" s="1"/>
  <c r="FX193" i="1" s="1"/>
  <c r="GL173" i="1"/>
  <c r="GM173" i="1" s="1"/>
  <c r="FQ248" i="1"/>
  <c r="FS248" i="1" s="1"/>
  <c r="FT248" i="1" s="1"/>
  <c r="FU248" i="1" s="1"/>
  <c r="FV248" i="1" s="1"/>
  <c r="FX248" i="1" s="1"/>
  <c r="GD292" i="1"/>
  <c r="GE292" i="1" s="1"/>
  <c r="GQ208" i="1"/>
  <c r="FR77" i="1"/>
  <c r="FS77" i="1" s="1"/>
  <c r="FT77" i="1" s="1"/>
  <c r="FU77" i="1" s="1"/>
  <c r="FV77" i="1" s="1"/>
  <c r="FX77" i="1" s="1"/>
  <c r="GT292" i="1"/>
  <c r="GU292" i="1" s="1"/>
  <c r="GV292" i="1" s="1"/>
  <c r="GJ83" i="1"/>
  <c r="GK83" i="1" s="1"/>
  <c r="GD72" i="1"/>
  <c r="GE72" i="1" s="1"/>
  <c r="GL72" i="1"/>
  <c r="GM72" i="1" s="1"/>
  <c r="GD146" i="1"/>
  <c r="GE146" i="1" s="1"/>
  <c r="GD97" i="1"/>
  <c r="GE97" i="1" s="1"/>
  <c r="FQ110" i="1"/>
  <c r="FS110" i="1" s="1"/>
  <c r="FT110" i="1" s="1"/>
  <c r="FU110" i="1" s="1"/>
  <c r="FV110" i="1" s="1"/>
  <c r="FX110" i="1" s="1"/>
  <c r="GJ57" i="1"/>
  <c r="GK57" i="1" s="1"/>
  <c r="GJ194" i="1"/>
  <c r="GK194" i="1" s="1"/>
  <c r="GT183" i="1"/>
  <c r="GU183" i="1" s="1"/>
  <c r="GV183" i="1" s="1"/>
  <c r="GF128" i="1"/>
  <c r="GG128" i="1" s="1"/>
  <c r="GF232" i="1"/>
  <c r="GG232" i="1" s="1"/>
  <c r="GR183" i="1"/>
  <c r="GH146" i="1"/>
  <c r="GI146" i="1" s="1"/>
  <c r="GF97" i="1"/>
  <c r="GG97" i="1" s="1"/>
  <c r="FQ46" i="1"/>
  <c r="FS46" i="1" s="1"/>
  <c r="FT46" i="1" s="1"/>
  <c r="FU46" i="1" s="1"/>
  <c r="FV46" i="1" s="1"/>
  <c r="FX46" i="1" s="1"/>
  <c r="GD57" i="1"/>
  <c r="GE57" i="1" s="1"/>
  <c r="GF194" i="1"/>
  <c r="GG194" i="1" s="1"/>
  <c r="GJ183" i="1"/>
  <c r="GK183" i="1" s="1"/>
  <c r="GJ128" i="1"/>
  <c r="GK128" i="1" s="1"/>
  <c r="GJ76" i="1"/>
  <c r="GK76" i="1" s="1"/>
  <c r="GL232" i="1"/>
  <c r="GM232" i="1" s="1"/>
  <c r="GD128" i="1"/>
  <c r="GE128" i="1" s="1"/>
  <c r="GR146" i="1"/>
  <c r="GD194" i="1"/>
  <c r="GE194" i="1" s="1"/>
  <c r="GR128" i="1"/>
  <c r="GJ202" i="1"/>
  <c r="GK202" i="1" s="1"/>
  <c r="GT232" i="1"/>
  <c r="GU232" i="1" s="1"/>
  <c r="GV232" i="1" s="1"/>
  <c r="FQ298" i="1"/>
  <c r="FS298" i="1" s="1"/>
  <c r="FT298" i="1" s="1"/>
  <c r="FU298" i="1" s="1"/>
  <c r="FV298" i="1" s="1"/>
  <c r="FX298" i="1" s="1"/>
  <c r="GQ97" i="1"/>
  <c r="FQ192" i="1"/>
  <c r="FS192" i="1" s="1"/>
  <c r="FT192" i="1" s="1"/>
  <c r="FU192" i="1" s="1"/>
  <c r="FV192" i="1" s="1"/>
  <c r="FX192" i="1" s="1"/>
  <c r="GH57" i="1"/>
  <c r="GI57" i="1" s="1"/>
  <c r="GF146" i="1"/>
  <c r="GG146" i="1" s="1"/>
  <c r="GH163" i="1"/>
  <c r="GI163" i="1" s="1"/>
  <c r="GR97" i="1"/>
  <c r="FR273" i="1"/>
  <c r="FS273" i="1" s="1"/>
  <c r="FT273" i="1" s="1"/>
  <c r="FU273" i="1" s="1"/>
  <c r="FV273" i="1" s="1"/>
  <c r="FX273" i="1" s="1"/>
  <c r="GQ128" i="1"/>
  <c r="GJ176" i="1"/>
  <c r="GK176" i="1" s="1"/>
  <c r="GJ232" i="1"/>
  <c r="GK232" i="1" s="1"/>
  <c r="GH128" i="1"/>
  <c r="GI128" i="1" s="1"/>
  <c r="FR68" i="1"/>
  <c r="FS68" i="1" s="1"/>
  <c r="FT68" i="1" s="1"/>
  <c r="FU68" i="1" s="1"/>
  <c r="FV68" i="1" s="1"/>
  <c r="FX68" i="1" s="1"/>
  <c r="GQ146" i="1"/>
  <c r="GQ163" i="1"/>
  <c r="GT97" i="1"/>
  <c r="GU97" i="1" s="1"/>
  <c r="GV97" i="1" s="1"/>
  <c r="GQ265" i="1"/>
  <c r="GD232" i="1"/>
  <c r="GE232" i="1" s="1"/>
  <c r="GH212" i="1"/>
  <c r="GI212" i="1" s="1"/>
  <c r="GH194" i="1"/>
  <c r="GI194" i="1" s="1"/>
  <c r="GF265" i="1"/>
  <c r="GG265" i="1" s="1"/>
  <c r="FQ264" i="1"/>
  <c r="FS264" i="1" s="1"/>
  <c r="FT264" i="1" s="1"/>
  <c r="FU264" i="1" s="1"/>
  <c r="FV264" i="1" s="1"/>
  <c r="FX264" i="1" s="1"/>
  <c r="GC258" i="1"/>
  <c r="GL258" i="1" s="1"/>
  <c r="GM258" i="1" s="1"/>
  <c r="FR232" i="1"/>
  <c r="FQ232" i="1"/>
  <c r="FQ90" i="1"/>
  <c r="FS90" i="1" s="1"/>
  <c r="FT90" i="1" s="1"/>
  <c r="FU90" i="1" s="1"/>
  <c r="FV90" i="1" s="1"/>
  <c r="FX90" i="1" s="1"/>
  <c r="FR122" i="1"/>
  <c r="FS122" i="1" s="1"/>
  <c r="FT122" i="1" s="1"/>
  <c r="FU122" i="1" s="1"/>
  <c r="FV122" i="1" s="1"/>
  <c r="FX122" i="1" s="1"/>
  <c r="GD288" i="1"/>
  <c r="GE288" i="1" s="1"/>
  <c r="GQ303" i="1"/>
  <c r="GH288" i="1"/>
  <c r="GI288" i="1" s="1"/>
  <c r="FR203" i="1"/>
  <c r="FS203" i="1" s="1"/>
  <c r="FT203" i="1" s="1"/>
  <c r="FU203" i="1" s="1"/>
  <c r="FV203" i="1" s="1"/>
  <c r="FX203" i="1" s="1"/>
  <c r="GQ152" i="1"/>
  <c r="GR22" i="1"/>
  <c r="GL22" i="1"/>
  <c r="GM22" i="1" s="1"/>
  <c r="GJ22" i="1"/>
  <c r="GK22" i="1" s="1"/>
  <c r="GT22" i="1"/>
  <c r="GU22" i="1" s="1"/>
  <c r="GV22" i="1" s="1"/>
  <c r="GF22" i="1"/>
  <c r="GG22" i="1" s="1"/>
  <c r="GQ22" i="1"/>
  <c r="GH22" i="1"/>
  <c r="GI22" i="1" s="1"/>
  <c r="GF164" i="1"/>
  <c r="GG164" i="1" s="1"/>
  <c r="GL212" i="1"/>
  <c r="GM212" i="1" s="1"/>
  <c r="FR166" i="1"/>
  <c r="FS166" i="1" s="1"/>
  <c r="FT166" i="1" s="1"/>
  <c r="FU166" i="1" s="1"/>
  <c r="FV166" i="1" s="1"/>
  <c r="FX166" i="1" s="1"/>
  <c r="FQ290" i="1"/>
  <c r="FS290" i="1" s="1"/>
  <c r="FT290" i="1" s="1"/>
  <c r="FU290" i="1" s="1"/>
  <c r="FV290" i="1" s="1"/>
  <c r="FX290" i="1" s="1"/>
  <c r="FR147" i="1"/>
  <c r="FS147" i="1" s="1"/>
  <c r="FT147" i="1" s="1"/>
  <c r="FU147" i="1" s="1"/>
  <c r="FV147" i="1" s="1"/>
  <c r="FX147" i="1" s="1"/>
  <c r="FQ148" i="1"/>
  <c r="FS148" i="1" s="1"/>
  <c r="FT148" i="1" s="1"/>
  <c r="FU148" i="1" s="1"/>
  <c r="FV148" i="1" s="1"/>
  <c r="FX148" i="1" s="1"/>
  <c r="GR164" i="1"/>
  <c r="GL164" i="1"/>
  <c r="GM164" i="1" s="1"/>
  <c r="FR233" i="1"/>
  <c r="FS233" i="1" s="1"/>
  <c r="FT233" i="1" s="1"/>
  <c r="FU233" i="1" s="1"/>
  <c r="FV233" i="1" s="1"/>
  <c r="FX233" i="1" s="1"/>
  <c r="FQ22" i="1"/>
  <c r="FS22" i="1" s="1"/>
  <c r="FT22" i="1" s="1"/>
  <c r="FU22" i="1" s="1"/>
  <c r="FV22" i="1" s="1"/>
  <c r="FX22" i="1" s="1"/>
  <c r="FQ126" i="1"/>
  <c r="FS126" i="1" s="1"/>
  <c r="FT126" i="1" s="1"/>
  <c r="FU126" i="1" s="1"/>
  <c r="FV126" i="1" s="1"/>
  <c r="FX126" i="1" s="1"/>
  <c r="GH8" i="1"/>
  <c r="GI8" i="1" s="1"/>
  <c r="GQ164" i="1"/>
  <c r="GR212" i="1"/>
  <c r="GR72" i="1"/>
  <c r="GJ82" i="1"/>
  <c r="GK82" i="1" s="1"/>
  <c r="GT246" i="1"/>
  <c r="GU246" i="1" s="1"/>
  <c r="GV246" i="1" s="1"/>
  <c r="GD8" i="1"/>
  <c r="GE8" i="1" s="1"/>
  <c r="GL255" i="1"/>
  <c r="GM255" i="1" s="1"/>
  <c r="GJ164" i="1"/>
  <c r="GK164" i="1" s="1"/>
  <c r="GT72" i="1"/>
  <c r="GU72" i="1" s="1"/>
  <c r="GV72" i="1" s="1"/>
  <c r="GF82" i="1"/>
  <c r="GG82" i="1" s="1"/>
  <c r="GJ246" i="1"/>
  <c r="GK246" i="1" s="1"/>
  <c r="GQ255" i="1"/>
  <c r="FG35" i="1"/>
  <c r="FP35" i="1" s="1"/>
  <c r="FR35" i="1" s="1"/>
  <c r="GT164" i="1"/>
  <c r="GU164" i="1" s="1"/>
  <c r="GV164" i="1" s="1"/>
  <c r="GJ212" i="1"/>
  <c r="GK212" i="1" s="1"/>
  <c r="GQ212" i="1"/>
  <c r="GJ72" i="1"/>
  <c r="GK72" i="1" s="1"/>
  <c r="GR82" i="1"/>
  <c r="GD246" i="1"/>
  <c r="GE246" i="1" s="1"/>
  <c r="GF303" i="1"/>
  <c r="GG303" i="1" s="1"/>
  <c r="GH208" i="1"/>
  <c r="GI208" i="1" s="1"/>
  <c r="GD152" i="1"/>
  <c r="GE152" i="1" s="1"/>
  <c r="FR16" i="1"/>
  <c r="FS16" i="1" s="1"/>
  <c r="FT16" i="1" s="1"/>
  <c r="FU16" i="1" s="1"/>
  <c r="FV16" i="1" s="1"/>
  <c r="FX16" i="1" s="1"/>
  <c r="FQ249" i="1"/>
  <c r="FS249" i="1" s="1"/>
  <c r="FT249" i="1" s="1"/>
  <c r="FU249" i="1" s="1"/>
  <c r="FV249" i="1" s="1"/>
  <c r="FX249" i="1" s="1"/>
  <c r="GD208" i="1"/>
  <c r="GE208" i="1" s="1"/>
  <c r="GL208" i="1"/>
  <c r="GM208" i="1" s="1"/>
  <c r="GF171" i="1"/>
  <c r="GG171" i="1" s="1"/>
  <c r="FR225" i="1"/>
  <c r="FS225" i="1" s="1"/>
  <c r="FT225" i="1" s="1"/>
  <c r="FU225" i="1" s="1"/>
  <c r="FV225" i="1" s="1"/>
  <c r="FX225" i="1" s="1"/>
  <c r="GF208" i="1"/>
  <c r="GG208" i="1" s="1"/>
  <c r="FR284" i="1"/>
  <c r="FS284" i="1" s="1"/>
  <c r="FT284" i="1" s="1"/>
  <c r="FU284" i="1" s="1"/>
  <c r="FV284" i="1" s="1"/>
  <c r="FX284" i="1" s="1"/>
  <c r="GT208" i="1"/>
  <c r="GU208" i="1" s="1"/>
  <c r="GV208" i="1" s="1"/>
  <c r="FQ223" i="1"/>
  <c r="FS223" i="1" s="1"/>
  <c r="FT223" i="1" s="1"/>
  <c r="FU223" i="1" s="1"/>
  <c r="FV223" i="1" s="1"/>
  <c r="FX223" i="1" s="1"/>
  <c r="GR205" i="1"/>
  <c r="FQ191" i="1"/>
  <c r="FS191" i="1" s="1"/>
  <c r="FT191" i="1" s="1"/>
  <c r="FU191" i="1" s="1"/>
  <c r="FV191" i="1" s="1"/>
  <c r="FX191" i="1" s="1"/>
  <c r="GC189" i="1"/>
  <c r="GQ189" i="1" s="1"/>
  <c r="GC105" i="1"/>
  <c r="GT105" i="1" s="1"/>
  <c r="GU105" i="1" s="1"/>
  <c r="GV105" i="1" s="1"/>
  <c r="GC297" i="1"/>
  <c r="GD297" i="1" s="1"/>
  <c r="GE297" i="1" s="1"/>
  <c r="GR208" i="1"/>
  <c r="FQ195" i="1"/>
  <c r="FS195" i="1" s="1"/>
  <c r="FT195" i="1" s="1"/>
  <c r="FU195" i="1" s="1"/>
  <c r="FV195" i="1" s="1"/>
  <c r="FX195" i="1" s="1"/>
  <c r="FQ152" i="1"/>
  <c r="FS152" i="1" s="1"/>
  <c r="FT152" i="1" s="1"/>
  <c r="FU152" i="1" s="1"/>
  <c r="FV152" i="1" s="1"/>
  <c r="FX152" i="1" s="1"/>
  <c r="FQ278" i="1"/>
  <c r="FS278" i="1" s="1"/>
  <c r="FT278" i="1" s="1"/>
  <c r="FU278" i="1" s="1"/>
  <c r="FV278" i="1" s="1"/>
  <c r="FX278" i="1" s="1"/>
  <c r="FG196" i="1"/>
  <c r="FP196" i="1" s="1"/>
  <c r="FR196" i="1" s="1"/>
  <c r="GT64" i="1"/>
  <c r="GU64" i="1" s="1"/>
  <c r="GV64" i="1" s="1"/>
  <c r="GD294" i="1"/>
  <c r="GE294" i="1" s="1"/>
  <c r="GD239" i="1"/>
  <c r="GE239" i="1" s="1"/>
  <c r="FQ159" i="1"/>
  <c r="FS159" i="1" s="1"/>
  <c r="FT159" i="1" s="1"/>
  <c r="FU159" i="1" s="1"/>
  <c r="FV159" i="1" s="1"/>
  <c r="FX159" i="1" s="1"/>
  <c r="GN236" i="1"/>
  <c r="GO236" i="1" s="1"/>
  <c r="GT303" i="1"/>
  <c r="GU303" i="1" s="1"/>
  <c r="GV303" i="1" s="1"/>
  <c r="FR168" i="1"/>
  <c r="FS168" i="1" s="1"/>
  <c r="FT168" i="1" s="1"/>
  <c r="FU168" i="1" s="1"/>
  <c r="FV168" i="1" s="1"/>
  <c r="FX168" i="1" s="1"/>
  <c r="FQ188" i="1"/>
  <c r="FS188" i="1" s="1"/>
  <c r="FT188" i="1" s="1"/>
  <c r="FU188" i="1" s="1"/>
  <c r="FV188" i="1" s="1"/>
  <c r="FX188" i="1" s="1"/>
  <c r="FQ259" i="1"/>
  <c r="FS259" i="1" s="1"/>
  <c r="FT259" i="1" s="1"/>
  <c r="FU259" i="1" s="1"/>
  <c r="FV259" i="1" s="1"/>
  <c r="FX259" i="1" s="1"/>
  <c r="GH11" i="1"/>
  <c r="GI11" i="1" s="1"/>
  <c r="FR81" i="1"/>
  <c r="FS81" i="1" s="1"/>
  <c r="FT81" i="1" s="1"/>
  <c r="FU81" i="1" s="1"/>
  <c r="FV81" i="1" s="1"/>
  <c r="FX81" i="1" s="1"/>
  <c r="FR109" i="1"/>
  <c r="FS109" i="1" s="1"/>
  <c r="FT109" i="1" s="1"/>
  <c r="FU109" i="1" s="1"/>
  <c r="FV109" i="1" s="1"/>
  <c r="FX109" i="1" s="1"/>
  <c r="FQ213" i="1"/>
  <c r="FS213" i="1" s="1"/>
  <c r="FT213" i="1" s="1"/>
  <c r="FU213" i="1" s="1"/>
  <c r="FV213" i="1" s="1"/>
  <c r="FX213" i="1" s="1"/>
  <c r="GJ294" i="1"/>
  <c r="GK294" i="1" s="1"/>
  <c r="GQ31" i="1"/>
  <c r="GF64" i="1"/>
  <c r="GG64" i="1" s="1"/>
  <c r="GQ294" i="1"/>
  <c r="GH239" i="1"/>
  <c r="GI239" i="1" s="1"/>
  <c r="FR124" i="1"/>
  <c r="FS124" i="1" s="1"/>
  <c r="FT124" i="1" s="1"/>
  <c r="FU124" i="1" s="1"/>
  <c r="FV124" i="1" s="1"/>
  <c r="FX124" i="1" s="1"/>
  <c r="GQ64" i="1"/>
  <c r="GH294" i="1"/>
  <c r="GI294" i="1" s="1"/>
  <c r="GR239" i="1"/>
  <c r="FR255" i="1"/>
  <c r="FS255" i="1" s="1"/>
  <c r="FT255" i="1" s="1"/>
  <c r="FU255" i="1" s="1"/>
  <c r="FV255" i="1" s="1"/>
  <c r="FX255" i="1" s="1"/>
  <c r="GL176" i="1"/>
  <c r="GM176" i="1" s="1"/>
  <c r="FR163" i="1"/>
  <c r="FS163" i="1" s="1"/>
  <c r="FT163" i="1" s="1"/>
  <c r="FU163" i="1" s="1"/>
  <c r="FV163" i="1" s="1"/>
  <c r="FX163" i="1" s="1"/>
  <c r="FQ258" i="1"/>
  <c r="FS258" i="1" s="1"/>
  <c r="FT258" i="1" s="1"/>
  <c r="FU258" i="1" s="1"/>
  <c r="FV258" i="1" s="1"/>
  <c r="FX258" i="1" s="1"/>
  <c r="GQ236" i="1"/>
  <c r="GR294" i="1"/>
  <c r="FG45" i="1"/>
  <c r="FP45" i="1" s="1"/>
  <c r="FR45" i="1" s="1"/>
  <c r="GQ109" i="1"/>
  <c r="GJ288" i="1"/>
  <c r="GK288" i="1" s="1"/>
  <c r="GR152" i="1"/>
  <c r="GH171" i="1"/>
  <c r="GI171" i="1" s="1"/>
  <c r="GJ36" i="1"/>
  <c r="GK36" i="1" s="1"/>
  <c r="GQ103" i="1"/>
  <c r="GF31" i="1"/>
  <c r="GG31" i="1" s="1"/>
  <c r="GR98" i="1"/>
  <c r="GD22" i="1"/>
  <c r="GE22" i="1" s="1"/>
  <c r="GD63" i="1"/>
  <c r="GE63" i="1" s="1"/>
  <c r="GL73" i="1"/>
  <c r="GM73" i="1" s="1"/>
  <c r="GD113" i="1"/>
  <c r="GE113" i="1" s="1"/>
  <c r="GH287" i="1"/>
  <c r="GI287" i="1" s="1"/>
  <c r="GF170" i="1"/>
  <c r="GG170" i="1" s="1"/>
  <c r="GT98" i="1"/>
  <c r="GU98" i="1" s="1"/>
  <c r="GV98" i="1" s="1"/>
  <c r="GJ63" i="1"/>
  <c r="GK63" i="1" s="1"/>
  <c r="GR113" i="1"/>
  <c r="GQ170" i="1"/>
  <c r="GD31" i="1"/>
  <c r="GE31" i="1" s="1"/>
  <c r="GJ98" i="1"/>
  <c r="GK98" i="1" s="1"/>
  <c r="GD73" i="1"/>
  <c r="GE73" i="1" s="1"/>
  <c r="GF113" i="1"/>
  <c r="GG113" i="1" s="1"/>
  <c r="GL113" i="1"/>
  <c r="GM113" i="1" s="1"/>
  <c r="GT113" i="1"/>
  <c r="GU113" i="1" s="1"/>
  <c r="GV113" i="1" s="1"/>
  <c r="GT171" i="1"/>
  <c r="GU171" i="1" s="1"/>
  <c r="GV171" i="1" s="1"/>
  <c r="GQ299" i="1"/>
  <c r="GH29" i="1"/>
  <c r="GI29" i="1" s="1"/>
  <c r="GH170" i="1"/>
  <c r="GI170" i="1" s="1"/>
  <c r="GF19" i="1"/>
  <c r="GG19" i="1" s="1"/>
  <c r="GR31" i="1"/>
  <c r="GJ277" i="1"/>
  <c r="GK277" i="1" s="1"/>
  <c r="GT101" i="1"/>
  <c r="GU101" i="1" s="1"/>
  <c r="GV101" i="1" s="1"/>
  <c r="GQ171" i="1"/>
  <c r="GL98" i="1"/>
  <c r="GM98" i="1" s="1"/>
  <c r="GQ288" i="1"/>
  <c r="GL63" i="1"/>
  <c r="GM63" i="1" s="1"/>
  <c r="GQ111" i="1"/>
  <c r="GH303" i="1"/>
  <c r="GI303" i="1" s="1"/>
  <c r="GT170" i="1"/>
  <c r="GU170" i="1" s="1"/>
  <c r="GV170" i="1" s="1"/>
  <c r="GT31" i="1"/>
  <c r="GU31" i="1" s="1"/>
  <c r="GV31" i="1" s="1"/>
  <c r="GD171" i="1"/>
  <c r="GE171" i="1" s="1"/>
  <c r="GR171" i="1"/>
  <c r="GR288" i="1"/>
  <c r="GH63" i="1"/>
  <c r="GI63" i="1" s="1"/>
  <c r="GJ195" i="1"/>
  <c r="GK195" i="1" s="1"/>
  <c r="GR68" i="1"/>
  <c r="GJ303" i="1"/>
  <c r="GK303" i="1" s="1"/>
  <c r="GD170" i="1"/>
  <c r="GE170" i="1" s="1"/>
  <c r="GH101" i="1"/>
  <c r="GI101" i="1" s="1"/>
  <c r="GD35" i="1"/>
  <c r="GE35" i="1" s="1"/>
  <c r="GH98" i="1"/>
  <c r="GI98" i="1" s="1"/>
  <c r="GJ31" i="1"/>
  <c r="GK31" i="1" s="1"/>
  <c r="GF35" i="1"/>
  <c r="GG35" i="1" s="1"/>
  <c r="GJ171" i="1"/>
  <c r="GK171" i="1" s="1"/>
  <c r="GF98" i="1"/>
  <c r="GG98" i="1" s="1"/>
  <c r="GF288" i="1"/>
  <c r="GG288" i="1" s="1"/>
  <c r="GF195" i="1"/>
  <c r="GG195" i="1" s="1"/>
  <c r="GQ202" i="1"/>
  <c r="GF68" i="1"/>
  <c r="GG68" i="1" s="1"/>
  <c r="GR89" i="1"/>
  <c r="GL303" i="1"/>
  <c r="GM303" i="1" s="1"/>
  <c r="GL152" i="1"/>
  <c r="GM152" i="1" s="1"/>
  <c r="GJ170" i="1"/>
  <c r="GK170" i="1" s="1"/>
  <c r="GF285" i="1"/>
  <c r="GG285" i="1" s="1"/>
  <c r="GL171" i="1"/>
  <c r="GM171" i="1" s="1"/>
  <c r="GD98" i="1"/>
  <c r="GE98" i="1" s="1"/>
  <c r="GF241" i="1"/>
  <c r="GG241" i="1" s="1"/>
  <c r="GL288" i="1"/>
  <c r="GM288" i="1" s="1"/>
  <c r="GN36" i="1"/>
  <c r="GO36" i="1" s="1"/>
  <c r="GD223" i="1"/>
  <c r="GE223" i="1" s="1"/>
  <c r="GQ279" i="1"/>
  <c r="GR303" i="1"/>
  <c r="GL170" i="1"/>
  <c r="GM170" i="1" s="1"/>
  <c r="GF115" i="1"/>
  <c r="GG115" i="1" s="1"/>
  <c r="GL111" i="1"/>
  <c r="GM111" i="1" s="1"/>
  <c r="GH31" i="1"/>
  <c r="GI31" i="1" s="1"/>
  <c r="GR23" i="1"/>
  <c r="GT23" i="1"/>
  <c r="GU23" i="1" s="1"/>
  <c r="GV23" i="1" s="1"/>
  <c r="GT285" i="1"/>
  <c r="GU285" i="1" s="1"/>
  <c r="GV285" i="1" s="1"/>
  <c r="GQ241" i="1"/>
  <c r="GL36" i="1"/>
  <c r="GM36" i="1" s="1"/>
  <c r="GL247" i="1"/>
  <c r="GM247" i="1" s="1"/>
  <c r="GD103" i="1"/>
  <c r="GE103" i="1" s="1"/>
  <c r="GR279" i="1"/>
  <c r="GJ152" i="1"/>
  <c r="GK152" i="1" s="1"/>
  <c r="GH86" i="1"/>
  <c r="GI86" i="1" s="1"/>
  <c r="GD187" i="1"/>
  <c r="GE187" i="1" s="1"/>
  <c r="GF256" i="1"/>
  <c r="GG256" i="1" s="1"/>
  <c r="GF200" i="1"/>
  <c r="GG200" i="1" s="1"/>
  <c r="GL28" i="1"/>
  <c r="GM28" i="1" s="1"/>
  <c r="GN152" i="1"/>
  <c r="GO152" i="1" s="1"/>
  <c r="FR169" i="1"/>
  <c r="FS169" i="1" s="1"/>
  <c r="FT169" i="1" s="1"/>
  <c r="FU169" i="1" s="1"/>
  <c r="FV169" i="1" s="1"/>
  <c r="FX169" i="1" s="1"/>
  <c r="GJ5" i="1"/>
  <c r="GK5" i="1" s="1"/>
  <c r="GQ43" i="1"/>
  <c r="GL11" i="1"/>
  <c r="GM11" i="1" s="1"/>
  <c r="GD29" i="1"/>
  <c r="GE29" i="1" s="1"/>
  <c r="GJ251" i="1"/>
  <c r="GK251" i="1" s="1"/>
  <c r="FR125" i="1"/>
  <c r="FS125" i="1" s="1"/>
  <c r="FT125" i="1" s="1"/>
  <c r="FU125" i="1" s="1"/>
  <c r="FV125" i="1" s="1"/>
  <c r="FX125" i="1" s="1"/>
  <c r="GQ29" i="1"/>
  <c r="GD115" i="1"/>
  <c r="GE115" i="1" s="1"/>
  <c r="GH115" i="1"/>
  <c r="GI115" i="1" s="1"/>
  <c r="FR74" i="1"/>
  <c r="FS74" i="1" s="1"/>
  <c r="FT74" i="1" s="1"/>
  <c r="FU74" i="1" s="1"/>
  <c r="FV74" i="1" s="1"/>
  <c r="FX74" i="1" s="1"/>
  <c r="GH148" i="1"/>
  <c r="GI148" i="1" s="1"/>
  <c r="GQ251" i="1"/>
  <c r="GJ115" i="1"/>
  <c r="GK115" i="1" s="1"/>
  <c r="GR115" i="1"/>
  <c r="GF177" i="1"/>
  <c r="GG177" i="1" s="1"/>
  <c r="GQ148" i="1"/>
  <c r="GT251" i="1"/>
  <c r="GU251" i="1" s="1"/>
  <c r="GV251" i="1" s="1"/>
  <c r="FR253" i="1"/>
  <c r="FS253" i="1" s="1"/>
  <c r="FT253" i="1" s="1"/>
  <c r="FU253" i="1" s="1"/>
  <c r="FV253" i="1" s="1"/>
  <c r="FX253" i="1" s="1"/>
  <c r="GR177" i="1"/>
  <c r="GF148" i="1"/>
  <c r="GG148" i="1" s="1"/>
  <c r="GR11" i="1"/>
  <c r="FR185" i="1"/>
  <c r="FS185" i="1" s="1"/>
  <c r="FT185" i="1" s="1"/>
  <c r="FU185" i="1" s="1"/>
  <c r="FV185" i="1" s="1"/>
  <c r="FX185" i="1" s="1"/>
  <c r="FR162" i="1"/>
  <c r="FS162" i="1" s="1"/>
  <c r="FT162" i="1" s="1"/>
  <c r="FU162" i="1" s="1"/>
  <c r="FV162" i="1" s="1"/>
  <c r="FX162" i="1" s="1"/>
  <c r="FQ268" i="1"/>
  <c r="FS268" i="1" s="1"/>
  <c r="FT268" i="1" s="1"/>
  <c r="FU268" i="1" s="1"/>
  <c r="FV268" i="1" s="1"/>
  <c r="FX268" i="1" s="1"/>
  <c r="GT177" i="1"/>
  <c r="GU177" i="1" s="1"/>
  <c r="GV177" i="1" s="1"/>
  <c r="GT148" i="1"/>
  <c r="GU148" i="1" s="1"/>
  <c r="GV148" i="1" s="1"/>
  <c r="GN11" i="1"/>
  <c r="GO11" i="1" s="1"/>
  <c r="GF193" i="1"/>
  <c r="GG193" i="1" s="1"/>
  <c r="FR41" i="1"/>
  <c r="FS41" i="1" s="1"/>
  <c r="FT41" i="1" s="1"/>
  <c r="FU41" i="1" s="1"/>
  <c r="FV41" i="1" s="1"/>
  <c r="FX41" i="1" s="1"/>
  <c r="GJ29" i="1"/>
  <c r="GK29" i="1" s="1"/>
  <c r="GJ177" i="1"/>
  <c r="GK177" i="1" s="1"/>
  <c r="GT11" i="1"/>
  <c r="GU11" i="1" s="1"/>
  <c r="GV11" i="1" s="1"/>
  <c r="GQ198" i="1"/>
  <c r="GL299" i="1"/>
  <c r="GM299" i="1" s="1"/>
  <c r="GD86" i="1"/>
  <c r="GE86" i="1" s="1"/>
  <c r="GR256" i="1"/>
  <c r="GT185" i="1"/>
  <c r="GU185" i="1" s="1"/>
  <c r="GV185" i="1" s="1"/>
  <c r="GQ187" i="1"/>
  <c r="GT200" i="1"/>
  <c r="GU200" i="1" s="1"/>
  <c r="GV200" i="1" s="1"/>
  <c r="GH40" i="1"/>
  <c r="GI40" i="1" s="1"/>
  <c r="GQ28" i="1"/>
  <c r="FQ25" i="1"/>
  <c r="FS25" i="1" s="1"/>
  <c r="FT25" i="1" s="1"/>
  <c r="FU25" i="1" s="1"/>
  <c r="FV25" i="1" s="1"/>
  <c r="FX25" i="1" s="1"/>
  <c r="GJ86" i="1"/>
  <c r="GK86" i="1" s="1"/>
  <c r="GD256" i="1"/>
  <c r="GE256" i="1" s="1"/>
  <c r="GJ185" i="1"/>
  <c r="GK185" i="1" s="1"/>
  <c r="FQ242" i="1"/>
  <c r="FS242" i="1" s="1"/>
  <c r="FT242" i="1" s="1"/>
  <c r="FU242" i="1" s="1"/>
  <c r="FV242" i="1" s="1"/>
  <c r="FX242" i="1" s="1"/>
  <c r="GL187" i="1"/>
  <c r="GM187" i="1" s="1"/>
  <c r="GR200" i="1"/>
  <c r="GT40" i="1"/>
  <c r="GU40" i="1" s="1"/>
  <c r="GV40" i="1" s="1"/>
  <c r="GH28" i="1"/>
  <c r="GI28" i="1" s="1"/>
  <c r="FQ156" i="1"/>
  <c r="FS156" i="1" s="1"/>
  <c r="FT156" i="1" s="1"/>
  <c r="FU156" i="1" s="1"/>
  <c r="FV156" i="1" s="1"/>
  <c r="FX156" i="1" s="1"/>
  <c r="FQ295" i="1"/>
  <c r="FS295" i="1" s="1"/>
  <c r="FT295" i="1" s="1"/>
  <c r="FU295" i="1" s="1"/>
  <c r="FV295" i="1" s="1"/>
  <c r="FX295" i="1" s="1"/>
  <c r="GQ256" i="1"/>
  <c r="GL185" i="1"/>
  <c r="GM185" i="1" s="1"/>
  <c r="GF187" i="1"/>
  <c r="GG187" i="1" s="1"/>
  <c r="GD200" i="1"/>
  <c r="GE200" i="1" s="1"/>
  <c r="GF40" i="1"/>
  <c r="GG40" i="1" s="1"/>
  <c r="GD28" i="1"/>
  <c r="GE28" i="1" s="1"/>
  <c r="FR208" i="1"/>
  <c r="FS208" i="1" s="1"/>
  <c r="FT208" i="1" s="1"/>
  <c r="FU208" i="1" s="1"/>
  <c r="FV208" i="1" s="1"/>
  <c r="FX208" i="1" s="1"/>
  <c r="GL256" i="1"/>
  <c r="GM256" i="1" s="1"/>
  <c r="GQ185" i="1"/>
  <c r="GR187" i="1"/>
  <c r="GH200" i="1"/>
  <c r="GI200" i="1" s="1"/>
  <c r="GD40" i="1"/>
  <c r="GE40" i="1" s="1"/>
  <c r="GF28" i="1"/>
  <c r="GG28" i="1" s="1"/>
  <c r="FR160" i="1"/>
  <c r="FS160" i="1" s="1"/>
  <c r="FT160" i="1" s="1"/>
  <c r="FU160" i="1" s="1"/>
  <c r="FV160" i="1" s="1"/>
  <c r="FX160" i="1" s="1"/>
  <c r="GT256" i="1"/>
  <c r="GU256" i="1" s="1"/>
  <c r="GV256" i="1" s="1"/>
  <c r="GD185" i="1"/>
  <c r="GE185" i="1" s="1"/>
  <c r="GH187" i="1"/>
  <c r="GI187" i="1" s="1"/>
  <c r="GL200" i="1"/>
  <c r="GM200" i="1" s="1"/>
  <c r="GR28" i="1"/>
  <c r="FQ275" i="1"/>
  <c r="FS275" i="1" s="1"/>
  <c r="FT275" i="1" s="1"/>
  <c r="FU275" i="1" s="1"/>
  <c r="FV275" i="1" s="1"/>
  <c r="FX275" i="1" s="1"/>
  <c r="GH256" i="1"/>
  <c r="GI256" i="1" s="1"/>
  <c r="GH185" i="1"/>
  <c r="GI185" i="1" s="1"/>
  <c r="FQ79" i="1"/>
  <c r="FS79" i="1" s="1"/>
  <c r="FT79" i="1" s="1"/>
  <c r="FU79" i="1" s="1"/>
  <c r="FV79" i="1" s="1"/>
  <c r="FX79" i="1" s="1"/>
  <c r="GT187" i="1"/>
  <c r="GU187" i="1" s="1"/>
  <c r="GV187" i="1" s="1"/>
  <c r="GQ200" i="1"/>
  <c r="GR40" i="1"/>
  <c r="GT28" i="1"/>
  <c r="GU28" i="1" s="1"/>
  <c r="GV28" i="1" s="1"/>
  <c r="FQ97" i="1"/>
  <c r="FS97" i="1" s="1"/>
  <c r="FT97" i="1" s="1"/>
  <c r="FU97" i="1" s="1"/>
  <c r="FV97" i="1" s="1"/>
  <c r="FX97" i="1" s="1"/>
  <c r="FQ175" i="1"/>
  <c r="FS175" i="1" s="1"/>
  <c r="FT175" i="1" s="1"/>
  <c r="FU175" i="1" s="1"/>
  <c r="FV175" i="1" s="1"/>
  <c r="FX175" i="1" s="1"/>
  <c r="GR185" i="1"/>
  <c r="GJ299" i="1"/>
  <c r="GK299" i="1" s="1"/>
  <c r="GL86" i="1"/>
  <c r="GM86" i="1" s="1"/>
  <c r="GL213" i="1"/>
  <c r="GM213" i="1" s="1"/>
  <c r="GD213" i="1"/>
  <c r="GE213" i="1" s="1"/>
  <c r="GT213" i="1"/>
  <c r="GU213" i="1" s="1"/>
  <c r="GV213" i="1" s="1"/>
  <c r="GJ213" i="1"/>
  <c r="GK213" i="1" s="1"/>
  <c r="GR213" i="1"/>
  <c r="GQ213" i="1"/>
  <c r="GH213" i="1"/>
  <c r="GI213" i="1" s="1"/>
  <c r="GF213" i="1"/>
  <c r="GG213" i="1" s="1"/>
  <c r="GJ43" i="1"/>
  <c r="GK43" i="1" s="1"/>
  <c r="GT193" i="1"/>
  <c r="GU193" i="1" s="1"/>
  <c r="GV193" i="1" s="1"/>
  <c r="GR247" i="1"/>
  <c r="GJ198" i="1"/>
  <c r="GK198" i="1" s="1"/>
  <c r="GH223" i="1"/>
  <c r="GI223" i="1" s="1"/>
  <c r="FR207" i="1"/>
  <c r="FS207" i="1" s="1"/>
  <c r="FT207" i="1" s="1"/>
  <c r="FU207" i="1" s="1"/>
  <c r="FV207" i="1" s="1"/>
  <c r="FX207" i="1" s="1"/>
  <c r="FQ304" i="1"/>
  <c r="FS304" i="1" s="1"/>
  <c r="FT304" i="1" s="1"/>
  <c r="FU304" i="1" s="1"/>
  <c r="FV304" i="1" s="1"/>
  <c r="FX304" i="1" s="1"/>
  <c r="GD285" i="1"/>
  <c r="GE285" i="1" s="1"/>
  <c r="GH5" i="1"/>
  <c r="GI5" i="1" s="1"/>
  <c r="GR109" i="1"/>
  <c r="GF101" i="1"/>
  <c r="GG101" i="1" s="1"/>
  <c r="GT43" i="1"/>
  <c r="GU43" i="1" s="1"/>
  <c r="GV43" i="1" s="1"/>
  <c r="GL241" i="1"/>
  <c r="GM241" i="1" s="1"/>
  <c r="GH36" i="1"/>
  <c r="GI36" i="1" s="1"/>
  <c r="GN193" i="1"/>
  <c r="GO193" i="1" s="1"/>
  <c r="GJ247" i="1"/>
  <c r="GK247" i="1" s="1"/>
  <c r="GF236" i="1"/>
  <c r="GG236" i="1" s="1"/>
  <c r="GL68" i="1"/>
  <c r="GM68" i="1" s="1"/>
  <c r="GR198" i="1"/>
  <c r="GD111" i="1"/>
  <c r="GE111" i="1" s="1"/>
  <c r="GR103" i="1"/>
  <c r="GJ89" i="1"/>
  <c r="GK89" i="1" s="1"/>
  <c r="GD279" i="1"/>
  <c r="GE279" i="1" s="1"/>
  <c r="GT165" i="1"/>
  <c r="GU165" i="1" s="1"/>
  <c r="GV165" i="1" s="1"/>
  <c r="FQ172" i="1"/>
  <c r="FS172" i="1" s="1"/>
  <c r="FT172" i="1" s="1"/>
  <c r="FU172" i="1" s="1"/>
  <c r="FV172" i="1" s="1"/>
  <c r="FX172" i="1" s="1"/>
  <c r="FQ95" i="1"/>
  <c r="FS95" i="1" s="1"/>
  <c r="FT95" i="1" s="1"/>
  <c r="FU95" i="1" s="1"/>
  <c r="FV95" i="1" s="1"/>
  <c r="FX95" i="1" s="1"/>
  <c r="FR31" i="1"/>
  <c r="FS31" i="1" s="1"/>
  <c r="FT31" i="1" s="1"/>
  <c r="FU31" i="1" s="1"/>
  <c r="FV31" i="1" s="1"/>
  <c r="FX31" i="1" s="1"/>
  <c r="FQ131" i="1"/>
  <c r="FS131" i="1" s="1"/>
  <c r="FT131" i="1" s="1"/>
  <c r="FU131" i="1" s="1"/>
  <c r="FV131" i="1" s="1"/>
  <c r="FX131" i="1" s="1"/>
  <c r="GL19" i="1"/>
  <c r="GM19" i="1" s="1"/>
  <c r="GQ277" i="1"/>
  <c r="GT5" i="1"/>
  <c r="GU5" i="1" s="1"/>
  <c r="GV5" i="1" s="1"/>
  <c r="GJ165" i="1"/>
  <c r="GK165" i="1" s="1"/>
  <c r="GT35" i="1"/>
  <c r="GU35" i="1" s="1"/>
  <c r="GV35" i="1" s="1"/>
  <c r="GL23" i="1"/>
  <c r="GM23" i="1" s="1"/>
  <c r="GF277" i="1"/>
  <c r="GG277" i="1" s="1"/>
  <c r="GR163" i="1"/>
  <c r="FQ300" i="1"/>
  <c r="FS300" i="1" s="1"/>
  <c r="FT300" i="1" s="1"/>
  <c r="FU300" i="1" s="1"/>
  <c r="FV300" i="1" s="1"/>
  <c r="FX300" i="1" s="1"/>
  <c r="GJ285" i="1"/>
  <c r="GK285" i="1" s="1"/>
  <c r="GL5" i="1"/>
  <c r="GM5" i="1" s="1"/>
  <c r="GH109" i="1"/>
  <c r="GI109" i="1" s="1"/>
  <c r="GL101" i="1"/>
  <c r="GM101" i="1" s="1"/>
  <c r="GL43" i="1"/>
  <c r="GM43" i="1" s="1"/>
  <c r="GT241" i="1"/>
  <c r="GU241" i="1" s="1"/>
  <c r="GV241" i="1" s="1"/>
  <c r="FQ279" i="1"/>
  <c r="FS279" i="1" s="1"/>
  <c r="FT279" i="1" s="1"/>
  <c r="FU279" i="1" s="1"/>
  <c r="FV279" i="1" s="1"/>
  <c r="FX279" i="1" s="1"/>
  <c r="GD36" i="1"/>
  <c r="GE36" i="1" s="1"/>
  <c r="GL193" i="1"/>
  <c r="GM193" i="1" s="1"/>
  <c r="GD193" i="1"/>
  <c r="GE193" i="1" s="1"/>
  <c r="GF247" i="1"/>
  <c r="GG247" i="1" s="1"/>
  <c r="GL236" i="1"/>
  <c r="GM236" i="1" s="1"/>
  <c r="GQ68" i="1"/>
  <c r="GH198" i="1"/>
  <c r="GI198" i="1" s="1"/>
  <c r="GR111" i="1"/>
  <c r="GH103" i="1"/>
  <c r="GI103" i="1" s="1"/>
  <c r="GQ89" i="1"/>
  <c r="GJ279" i="1"/>
  <c r="GK279" i="1" s="1"/>
  <c r="GF165" i="1"/>
  <c r="GG165" i="1" s="1"/>
  <c r="GF152" i="1"/>
  <c r="GG152" i="1" s="1"/>
  <c r="FQ143" i="1"/>
  <c r="FS143" i="1" s="1"/>
  <c r="FT143" i="1" s="1"/>
  <c r="FU143" i="1" s="1"/>
  <c r="FV143" i="1" s="1"/>
  <c r="FX143" i="1" s="1"/>
  <c r="FQ69" i="1"/>
  <c r="FS69" i="1" s="1"/>
  <c r="FT69" i="1" s="1"/>
  <c r="FU69" i="1" s="1"/>
  <c r="FV69" i="1" s="1"/>
  <c r="FX69" i="1" s="1"/>
  <c r="FQ276" i="1"/>
  <c r="FS276" i="1" s="1"/>
  <c r="FT276" i="1" s="1"/>
  <c r="FU276" i="1" s="1"/>
  <c r="FV276" i="1" s="1"/>
  <c r="FX276" i="1" s="1"/>
  <c r="FQ150" i="1"/>
  <c r="FS150" i="1" s="1"/>
  <c r="FT150" i="1" s="1"/>
  <c r="FU150" i="1" s="1"/>
  <c r="FV150" i="1" s="1"/>
  <c r="FX150" i="1" s="1"/>
  <c r="GD109" i="1"/>
  <c r="GE109" i="1" s="1"/>
  <c r="GR35" i="1"/>
  <c r="GF163" i="1"/>
  <c r="GG163" i="1" s="1"/>
  <c r="GQ285" i="1"/>
  <c r="GR5" i="1"/>
  <c r="GJ109" i="1"/>
  <c r="GK109" i="1" s="1"/>
  <c r="GD101" i="1"/>
  <c r="GE101" i="1" s="1"/>
  <c r="GF43" i="1"/>
  <c r="GG43" i="1" s="1"/>
  <c r="GJ241" i="1"/>
  <c r="GK241" i="1" s="1"/>
  <c r="FQ144" i="1"/>
  <c r="FS144" i="1" s="1"/>
  <c r="FT144" i="1" s="1"/>
  <c r="FU144" i="1" s="1"/>
  <c r="FV144" i="1" s="1"/>
  <c r="FX144" i="1" s="1"/>
  <c r="GF36" i="1"/>
  <c r="GG36" i="1" s="1"/>
  <c r="GQ193" i="1"/>
  <c r="GQ247" i="1"/>
  <c r="GJ236" i="1"/>
  <c r="GK236" i="1" s="1"/>
  <c r="GT236" i="1"/>
  <c r="GU236" i="1" s="1"/>
  <c r="GV236" i="1" s="1"/>
  <c r="GT68" i="1"/>
  <c r="GU68" i="1" s="1"/>
  <c r="GV68" i="1" s="1"/>
  <c r="GL198" i="1"/>
  <c r="GM198" i="1" s="1"/>
  <c r="GH111" i="1"/>
  <c r="GI111" i="1" s="1"/>
  <c r="GT103" i="1"/>
  <c r="GU103" i="1" s="1"/>
  <c r="GV103" i="1" s="1"/>
  <c r="GT89" i="1"/>
  <c r="GU89" i="1" s="1"/>
  <c r="GV89" i="1" s="1"/>
  <c r="GL279" i="1"/>
  <c r="GM279" i="1" s="1"/>
  <c r="GH165" i="1"/>
  <c r="GI165" i="1" s="1"/>
  <c r="FR49" i="1"/>
  <c r="FS49" i="1" s="1"/>
  <c r="FT49" i="1" s="1"/>
  <c r="FU49" i="1" s="1"/>
  <c r="FV49" i="1" s="1"/>
  <c r="FX49" i="1" s="1"/>
  <c r="FQ180" i="1"/>
  <c r="FS180" i="1" s="1"/>
  <c r="FT180" i="1" s="1"/>
  <c r="FU180" i="1" s="1"/>
  <c r="FV180" i="1" s="1"/>
  <c r="FX180" i="1" s="1"/>
  <c r="FR218" i="1"/>
  <c r="FS218" i="1" s="1"/>
  <c r="FT218" i="1" s="1"/>
  <c r="FU218" i="1" s="1"/>
  <c r="FV218" i="1" s="1"/>
  <c r="FX218" i="1" s="1"/>
  <c r="FR91" i="1"/>
  <c r="FS91" i="1" s="1"/>
  <c r="FT91" i="1" s="1"/>
  <c r="FU91" i="1" s="1"/>
  <c r="FV91" i="1" s="1"/>
  <c r="FX91" i="1" s="1"/>
  <c r="GD19" i="1"/>
  <c r="GE19" i="1" s="1"/>
  <c r="GJ35" i="1"/>
  <c r="GK35" i="1" s="1"/>
  <c r="GD277" i="1"/>
  <c r="GE277" i="1" s="1"/>
  <c r="GT163" i="1"/>
  <c r="GU163" i="1" s="1"/>
  <c r="GV163" i="1" s="1"/>
  <c r="GR285" i="1"/>
  <c r="GN5" i="1"/>
  <c r="GO5" i="1" s="1"/>
  <c r="GJ101" i="1"/>
  <c r="GK101" i="1" s="1"/>
  <c r="GH43" i="1"/>
  <c r="GI43" i="1" s="1"/>
  <c r="GD241" i="1"/>
  <c r="GE241" i="1" s="1"/>
  <c r="FQ241" i="1"/>
  <c r="FS241" i="1" s="1"/>
  <c r="FT241" i="1" s="1"/>
  <c r="FU241" i="1" s="1"/>
  <c r="FV241" i="1" s="1"/>
  <c r="FX241" i="1" s="1"/>
  <c r="GR36" i="1"/>
  <c r="GR193" i="1"/>
  <c r="GT247" i="1"/>
  <c r="GU247" i="1" s="1"/>
  <c r="GV247" i="1" s="1"/>
  <c r="GD236" i="1"/>
  <c r="GE236" i="1" s="1"/>
  <c r="GD68" i="1"/>
  <c r="GE68" i="1" s="1"/>
  <c r="GF198" i="1"/>
  <c r="GG198" i="1" s="1"/>
  <c r="GJ111" i="1"/>
  <c r="GK111" i="1" s="1"/>
  <c r="GF223" i="1"/>
  <c r="GG223" i="1" s="1"/>
  <c r="GF103" i="1"/>
  <c r="GG103" i="1" s="1"/>
  <c r="GH89" i="1"/>
  <c r="GI89" i="1" s="1"/>
  <c r="GT279" i="1"/>
  <c r="GU279" i="1" s="1"/>
  <c r="GV279" i="1" s="1"/>
  <c r="FQ189" i="1"/>
  <c r="FS189" i="1" s="1"/>
  <c r="FT189" i="1" s="1"/>
  <c r="FU189" i="1" s="1"/>
  <c r="FV189" i="1" s="1"/>
  <c r="FX189" i="1" s="1"/>
  <c r="FQ231" i="1"/>
  <c r="FS231" i="1" s="1"/>
  <c r="FT231" i="1" s="1"/>
  <c r="FU231" i="1" s="1"/>
  <c r="FV231" i="1" s="1"/>
  <c r="FX231" i="1" s="1"/>
  <c r="GR19" i="1"/>
  <c r="GJ23" i="1"/>
  <c r="GK23" i="1" s="1"/>
  <c r="GT277" i="1"/>
  <c r="GU277" i="1" s="1"/>
  <c r="GV277" i="1" s="1"/>
  <c r="GQ23" i="1"/>
  <c r="GH23" i="1"/>
  <c r="GI23" i="1" s="1"/>
  <c r="GJ163" i="1"/>
  <c r="GK163" i="1" s="1"/>
  <c r="GT109" i="1"/>
  <c r="GU109" i="1" s="1"/>
  <c r="GV109" i="1" s="1"/>
  <c r="GJ19" i="1"/>
  <c r="GK19" i="1" s="1"/>
  <c r="GL35" i="1"/>
  <c r="GM35" i="1" s="1"/>
  <c r="GD23" i="1"/>
  <c r="GE23" i="1" s="1"/>
  <c r="GH277" i="1"/>
  <c r="GI277" i="1" s="1"/>
  <c r="GL163" i="1"/>
  <c r="GM163" i="1" s="1"/>
  <c r="FQ72" i="1"/>
  <c r="FS72" i="1" s="1"/>
  <c r="FT72" i="1" s="1"/>
  <c r="FU72" i="1" s="1"/>
  <c r="FV72" i="1" s="1"/>
  <c r="FX72" i="1" s="1"/>
  <c r="FQ174" i="1"/>
  <c r="FS174" i="1" s="1"/>
  <c r="FT174" i="1" s="1"/>
  <c r="FU174" i="1" s="1"/>
  <c r="FV174" i="1" s="1"/>
  <c r="FX174" i="1" s="1"/>
  <c r="GL285" i="1"/>
  <c r="GM285" i="1" s="1"/>
  <c r="GF5" i="1"/>
  <c r="GG5" i="1" s="1"/>
  <c r="GD5" i="1"/>
  <c r="GE5" i="1" s="1"/>
  <c r="GF109" i="1"/>
  <c r="GG109" i="1" s="1"/>
  <c r="GQ101" i="1"/>
  <c r="GR43" i="1"/>
  <c r="GH241" i="1"/>
  <c r="GI241" i="1" s="1"/>
  <c r="FR165" i="1"/>
  <c r="FS165" i="1" s="1"/>
  <c r="FT165" i="1" s="1"/>
  <c r="FU165" i="1" s="1"/>
  <c r="FV165" i="1" s="1"/>
  <c r="FX165" i="1" s="1"/>
  <c r="GQ36" i="1"/>
  <c r="GJ193" i="1"/>
  <c r="GK193" i="1" s="1"/>
  <c r="GH247" i="1"/>
  <c r="GI247" i="1" s="1"/>
  <c r="GR236" i="1"/>
  <c r="GR73" i="1"/>
  <c r="GH113" i="1"/>
  <c r="GI113" i="1" s="1"/>
  <c r="GD198" i="1"/>
  <c r="GE198" i="1" s="1"/>
  <c r="GT111" i="1"/>
  <c r="GU111" i="1" s="1"/>
  <c r="GV111" i="1" s="1"/>
  <c r="GT223" i="1"/>
  <c r="GU223" i="1" s="1"/>
  <c r="GV223" i="1" s="1"/>
  <c r="GL103" i="1"/>
  <c r="GM103" i="1" s="1"/>
  <c r="GD287" i="1"/>
  <c r="GE287" i="1" s="1"/>
  <c r="GD89" i="1"/>
  <c r="GE89" i="1" s="1"/>
  <c r="GH279" i="1"/>
  <c r="GI279" i="1" s="1"/>
  <c r="GT152" i="1"/>
  <c r="GU152" i="1" s="1"/>
  <c r="GV152" i="1" s="1"/>
  <c r="FR164" i="1"/>
  <c r="FS164" i="1" s="1"/>
  <c r="FT164" i="1" s="1"/>
  <c r="FU164" i="1" s="1"/>
  <c r="FV164" i="1" s="1"/>
  <c r="FX164" i="1" s="1"/>
  <c r="FR96" i="1"/>
  <c r="FS96" i="1" s="1"/>
  <c r="FT96" i="1" s="1"/>
  <c r="FU96" i="1" s="1"/>
  <c r="FV96" i="1" s="1"/>
  <c r="FX96" i="1" s="1"/>
  <c r="FQ283" i="1"/>
  <c r="FS283" i="1" s="1"/>
  <c r="FT283" i="1" s="1"/>
  <c r="FU283" i="1" s="1"/>
  <c r="FV283" i="1" s="1"/>
  <c r="FX283" i="1" s="1"/>
  <c r="FQ285" i="1"/>
  <c r="FS285" i="1" s="1"/>
  <c r="FT285" i="1" s="1"/>
  <c r="FU285" i="1" s="1"/>
  <c r="FV285" i="1" s="1"/>
  <c r="FX285" i="1" s="1"/>
  <c r="GQ19" i="1"/>
  <c r="GH19" i="1"/>
  <c r="GI19" i="1" s="1"/>
  <c r="GQ35" i="1"/>
  <c r="GR277" i="1"/>
  <c r="GH68" i="1"/>
  <c r="GI68" i="1" s="1"/>
  <c r="GJ223" i="1"/>
  <c r="GK223" i="1" s="1"/>
  <c r="GD205" i="1"/>
  <c r="GE205" i="1" s="1"/>
  <c r="GJ205" i="1"/>
  <c r="GK205" i="1" s="1"/>
  <c r="GQ205" i="1"/>
  <c r="GL205" i="1"/>
  <c r="GM205" i="1" s="1"/>
  <c r="GT205" i="1"/>
  <c r="GU205" i="1" s="1"/>
  <c r="GV205" i="1" s="1"/>
  <c r="GH205" i="1"/>
  <c r="GI205" i="1" s="1"/>
  <c r="GL9" i="1"/>
  <c r="GM9" i="1" s="1"/>
  <c r="GR9" i="1"/>
  <c r="GT9" i="1"/>
  <c r="GU9" i="1" s="1"/>
  <c r="GV9" i="1" s="1"/>
  <c r="GQ9" i="1"/>
  <c r="GF9" i="1"/>
  <c r="GG9" i="1" s="1"/>
  <c r="GJ9" i="1"/>
  <c r="GK9" i="1" s="1"/>
  <c r="GH158" i="1"/>
  <c r="GI158" i="1" s="1"/>
  <c r="GT158" i="1"/>
  <c r="GU158" i="1" s="1"/>
  <c r="GV158" i="1" s="1"/>
  <c r="GR158" i="1"/>
  <c r="GJ158" i="1"/>
  <c r="GK158" i="1" s="1"/>
  <c r="GQ158" i="1"/>
  <c r="GF158" i="1"/>
  <c r="GG158" i="1" s="1"/>
  <c r="GD186" i="1"/>
  <c r="GE186" i="1" s="1"/>
  <c r="GL186" i="1"/>
  <c r="GM186" i="1" s="1"/>
  <c r="GJ186" i="1"/>
  <c r="GK186" i="1" s="1"/>
  <c r="FR178" i="1"/>
  <c r="FQ178" i="1"/>
  <c r="FR118" i="1"/>
  <c r="FQ118" i="1"/>
  <c r="FR71" i="1"/>
  <c r="FQ71" i="1"/>
  <c r="GD9" i="1"/>
  <c r="GE9" i="1" s="1"/>
  <c r="GD158" i="1"/>
  <c r="GE158" i="1" s="1"/>
  <c r="FR245" i="1"/>
  <c r="FS245" i="1" s="1"/>
  <c r="FT245" i="1" s="1"/>
  <c r="FU245" i="1" s="1"/>
  <c r="FV245" i="1" s="1"/>
  <c r="FX245" i="1" s="1"/>
  <c r="FR8" i="1"/>
  <c r="FS8" i="1" s="1"/>
  <c r="FT8" i="1" s="1"/>
  <c r="FU8" i="1" s="1"/>
  <c r="FV8" i="1" s="1"/>
  <c r="FX8" i="1" s="1"/>
  <c r="GL158" i="1"/>
  <c r="GM158" i="1" s="1"/>
  <c r="FR197" i="1"/>
  <c r="FQ197" i="1"/>
  <c r="FR137" i="1"/>
  <c r="FQ137" i="1"/>
  <c r="GT257" i="1"/>
  <c r="GU257" i="1" s="1"/>
  <c r="GV257" i="1" s="1"/>
  <c r="GR257" i="1"/>
  <c r="GJ257" i="1"/>
  <c r="GK257" i="1" s="1"/>
  <c r="GD257" i="1"/>
  <c r="GE257" i="1" s="1"/>
  <c r="GQ257" i="1"/>
  <c r="GF257" i="1"/>
  <c r="GG257" i="1" s="1"/>
  <c r="GL257" i="1"/>
  <c r="GM257" i="1" s="1"/>
  <c r="GL88" i="1"/>
  <c r="GM88" i="1" s="1"/>
  <c r="GR88" i="1"/>
  <c r="GD88" i="1"/>
  <c r="GE88" i="1" s="1"/>
  <c r="GH88" i="1"/>
  <c r="GI88" i="1" s="1"/>
  <c r="GF154" i="1"/>
  <c r="GG154" i="1" s="1"/>
  <c r="GJ154" i="1"/>
  <c r="GK154" i="1" s="1"/>
  <c r="GD154" i="1"/>
  <c r="GE154" i="1" s="1"/>
  <c r="GJ46" i="1"/>
  <c r="GK46" i="1" s="1"/>
  <c r="GD46" i="1"/>
  <c r="GE46" i="1" s="1"/>
  <c r="GR46" i="1"/>
  <c r="GT46" i="1"/>
  <c r="GU46" i="1" s="1"/>
  <c r="GV46" i="1" s="1"/>
  <c r="GL46" i="1"/>
  <c r="GM46" i="1" s="1"/>
  <c r="GF46" i="1"/>
  <c r="GG46" i="1" s="1"/>
  <c r="FR235" i="1"/>
  <c r="FQ235" i="1"/>
  <c r="GH46" i="1"/>
  <c r="GI46" i="1" s="1"/>
  <c r="FQ94" i="1"/>
  <c r="FS94" i="1" s="1"/>
  <c r="FT94" i="1" s="1"/>
  <c r="FU94" i="1" s="1"/>
  <c r="FV94" i="1" s="1"/>
  <c r="FX94" i="1" s="1"/>
  <c r="GR276" i="1"/>
  <c r="GD276" i="1"/>
  <c r="GE276" i="1" s="1"/>
  <c r="GQ276" i="1"/>
  <c r="GH276" i="1"/>
  <c r="GI276" i="1" s="1"/>
  <c r="GJ276" i="1"/>
  <c r="GK276" i="1" s="1"/>
  <c r="GF276" i="1"/>
  <c r="GG276" i="1" s="1"/>
  <c r="GL282" i="1"/>
  <c r="GM282" i="1" s="1"/>
  <c r="GR282" i="1"/>
  <c r="GT282" i="1"/>
  <c r="GU282" i="1" s="1"/>
  <c r="GV282" i="1" s="1"/>
  <c r="GF282" i="1"/>
  <c r="GG282" i="1" s="1"/>
  <c r="GJ282" i="1"/>
  <c r="GK282" i="1" s="1"/>
  <c r="GN282" i="1"/>
  <c r="GO282" i="1" s="1"/>
  <c r="GH282" i="1"/>
  <c r="GI282" i="1" s="1"/>
  <c r="FQ67" i="1"/>
  <c r="FR67" i="1"/>
  <c r="GH188" i="1"/>
  <c r="GI188" i="1" s="1"/>
  <c r="GJ188" i="1"/>
  <c r="GK188" i="1" s="1"/>
  <c r="GF188" i="1"/>
  <c r="GG188" i="1" s="1"/>
  <c r="GD188" i="1"/>
  <c r="GE188" i="1" s="1"/>
  <c r="GR188" i="1"/>
  <c r="GH155" i="1"/>
  <c r="GI155" i="1" s="1"/>
  <c r="GL155" i="1"/>
  <c r="GM155" i="1" s="1"/>
  <c r="GJ155" i="1"/>
  <c r="GK155" i="1" s="1"/>
  <c r="GQ155" i="1"/>
  <c r="GT155" i="1"/>
  <c r="GU155" i="1" s="1"/>
  <c r="GV155" i="1" s="1"/>
  <c r="GF155" i="1"/>
  <c r="GG155" i="1" s="1"/>
  <c r="GJ124" i="1"/>
  <c r="GK124" i="1" s="1"/>
  <c r="GH124" i="1"/>
  <c r="GI124" i="1" s="1"/>
  <c r="GQ124" i="1"/>
  <c r="GL124" i="1"/>
  <c r="GM124" i="1" s="1"/>
  <c r="GF124" i="1"/>
  <c r="GG124" i="1" s="1"/>
  <c r="GR124" i="1"/>
  <c r="GD124" i="1"/>
  <c r="GE124" i="1" s="1"/>
  <c r="GT276" i="1"/>
  <c r="GU276" i="1" s="1"/>
  <c r="GV276" i="1" s="1"/>
  <c r="GD282" i="1"/>
  <c r="GE282" i="1" s="1"/>
  <c r="GQ46" i="1"/>
  <c r="FR261" i="1"/>
  <c r="FQ261" i="1"/>
  <c r="GQ33" i="1"/>
  <c r="GD33" i="1"/>
  <c r="GE33" i="1" s="1"/>
  <c r="GJ33" i="1"/>
  <c r="GK33" i="1" s="1"/>
  <c r="GR33" i="1"/>
  <c r="GF33" i="1"/>
  <c r="GG33" i="1" s="1"/>
  <c r="GT33" i="1"/>
  <c r="GU33" i="1" s="1"/>
  <c r="GV33" i="1" s="1"/>
  <c r="GL33" i="1"/>
  <c r="GM33" i="1" s="1"/>
  <c r="GJ174" i="1"/>
  <c r="GK174" i="1" s="1"/>
  <c r="GF174" i="1"/>
  <c r="GG174" i="1" s="1"/>
  <c r="GH174" i="1"/>
  <c r="GI174" i="1" s="1"/>
  <c r="GT174" i="1"/>
  <c r="GU174" i="1" s="1"/>
  <c r="GV174" i="1" s="1"/>
  <c r="GR174" i="1"/>
  <c r="GD174" i="1"/>
  <c r="GE174" i="1" s="1"/>
  <c r="GL174" i="1"/>
  <c r="GM174" i="1" s="1"/>
  <c r="GT124" i="1"/>
  <c r="GU124" i="1" s="1"/>
  <c r="GV124" i="1" s="1"/>
  <c r="GQ282" i="1"/>
  <c r="GD155" i="1"/>
  <c r="GE155" i="1" s="1"/>
  <c r="GH257" i="1"/>
  <c r="GI257" i="1" s="1"/>
  <c r="GL84" i="1"/>
  <c r="GM84" i="1" s="1"/>
  <c r="FQ86" i="1"/>
  <c r="FS86" i="1" s="1"/>
  <c r="FT86" i="1" s="1"/>
  <c r="FU86" i="1" s="1"/>
  <c r="FV86" i="1" s="1"/>
  <c r="FX86" i="1" s="1"/>
  <c r="GH26" i="1"/>
  <c r="GI26" i="1" s="1"/>
  <c r="GF29" i="1"/>
  <c r="GG29" i="1" s="1"/>
  <c r="GL292" i="1"/>
  <c r="GM292" i="1" s="1"/>
  <c r="GT86" i="1"/>
  <c r="GU86" i="1" s="1"/>
  <c r="GV86" i="1" s="1"/>
  <c r="GT57" i="1"/>
  <c r="GU57" i="1" s="1"/>
  <c r="GV57" i="1" s="1"/>
  <c r="GF72" i="1"/>
  <c r="GG72" i="1" s="1"/>
  <c r="GH227" i="1"/>
  <c r="GI227" i="1" s="1"/>
  <c r="GH177" i="1"/>
  <c r="GI177" i="1" s="1"/>
  <c r="GL104" i="1"/>
  <c r="GM104" i="1" s="1"/>
  <c r="GL183" i="1"/>
  <c r="GM183" i="1" s="1"/>
  <c r="GJ153" i="1"/>
  <c r="GK153" i="1" s="1"/>
  <c r="GD148" i="1"/>
  <c r="GE148" i="1" s="1"/>
  <c r="GD265" i="1"/>
  <c r="GD82" i="1"/>
  <c r="GE82" i="1" s="1"/>
  <c r="GQ280" i="1"/>
  <c r="GJ11" i="1"/>
  <c r="GK11" i="1" s="1"/>
  <c r="GL76" i="1"/>
  <c r="GM76" i="1" s="1"/>
  <c r="GH246" i="1"/>
  <c r="GI246" i="1" s="1"/>
  <c r="GT83" i="1"/>
  <c r="GU83" i="1" s="1"/>
  <c r="GV83" i="1" s="1"/>
  <c r="GH251" i="1"/>
  <c r="GI251" i="1" s="1"/>
  <c r="GQ79" i="1"/>
  <c r="GD79" i="1"/>
  <c r="GE79" i="1" s="1"/>
  <c r="GT96" i="1"/>
  <c r="GU96" i="1" s="1"/>
  <c r="GV96" i="1" s="1"/>
  <c r="GR84" i="1"/>
  <c r="FR34" i="1"/>
  <c r="FS34" i="1" s="1"/>
  <c r="FT34" i="1" s="1"/>
  <c r="FU34" i="1" s="1"/>
  <c r="FV34" i="1" s="1"/>
  <c r="FX34" i="1" s="1"/>
  <c r="GC13" i="1"/>
  <c r="GD104" i="1"/>
  <c r="GE104" i="1" s="1"/>
  <c r="GL280" i="1"/>
  <c r="GM280" i="1" s="1"/>
  <c r="GQ104" i="1"/>
  <c r="GH265" i="1"/>
  <c r="GI265" i="1" s="1"/>
  <c r="GL115" i="1"/>
  <c r="GM115" i="1" s="1"/>
  <c r="GD212" i="1"/>
  <c r="GE212" i="1" s="1"/>
  <c r="GL29" i="1"/>
  <c r="GM29" i="1" s="1"/>
  <c r="GQ292" i="1"/>
  <c r="GF86" i="1"/>
  <c r="GG86" i="1" s="1"/>
  <c r="GR57" i="1"/>
  <c r="GH72" i="1"/>
  <c r="GI72" i="1" s="1"/>
  <c r="GL177" i="1"/>
  <c r="GM177" i="1" s="1"/>
  <c r="GT104" i="1"/>
  <c r="GU104" i="1" s="1"/>
  <c r="GV104" i="1" s="1"/>
  <c r="GH104" i="1"/>
  <c r="GI104" i="1" s="1"/>
  <c r="GQ183" i="1"/>
  <c r="GL148" i="1"/>
  <c r="GM148" i="1" s="1"/>
  <c r="GR265" i="1"/>
  <c r="GT82" i="1"/>
  <c r="GU82" i="1" s="1"/>
  <c r="GV82" i="1" s="1"/>
  <c r="GJ280" i="1"/>
  <c r="GK280" i="1" s="1"/>
  <c r="GD11" i="1"/>
  <c r="GE11" i="1" s="1"/>
  <c r="GF246" i="1"/>
  <c r="GG246" i="1" s="1"/>
  <c r="GH83" i="1"/>
  <c r="GI83" i="1" s="1"/>
  <c r="GD228" i="1"/>
  <c r="GE228" i="1" s="1"/>
  <c r="GT8" i="1"/>
  <c r="GU8" i="1" s="1"/>
  <c r="GV8" i="1" s="1"/>
  <c r="GL79" i="1"/>
  <c r="GM79" i="1" s="1"/>
  <c r="GQ96" i="1"/>
  <c r="GD84" i="1"/>
  <c r="GE84" i="1" s="1"/>
  <c r="FQ116" i="1"/>
  <c r="FS116" i="1" s="1"/>
  <c r="FT116" i="1" s="1"/>
  <c r="FU116" i="1" s="1"/>
  <c r="FV116" i="1" s="1"/>
  <c r="FX116" i="1" s="1"/>
  <c r="FQ184" i="1"/>
  <c r="FS184" i="1" s="1"/>
  <c r="FT184" i="1" s="1"/>
  <c r="FU184" i="1" s="1"/>
  <c r="FV184" i="1" s="1"/>
  <c r="FX184" i="1" s="1"/>
  <c r="FQ151" i="1"/>
  <c r="FS151" i="1" s="1"/>
  <c r="FT151" i="1" s="1"/>
  <c r="FU151" i="1" s="1"/>
  <c r="FV151" i="1" s="1"/>
  <c r="FX151" i="1" s="1"/>
  <c r="FR216" i="1"/>
  <c r="FS216" i="1" s="1"/>
  <c r="FT216" i="1" s="1"/>
  <c r="FU216" i="1" s="1"/>
  <c r="FV216" i="1" s="1"/>
  <c r="FX216" i="1" s="1"/>
  <c r="FR98" i="1"/>
  <c r="FS98" i="1" s="1"/>
  <c r="FT98" i="1" s="1"/>
  <c r="FU98" i="1" s="1"/>
  <c r="FV98" i="1" s="1"/>
  <c r="FX98" i="1" s="1"/>
  <c r="FQ161" i="1"/>
  <c r="FS161" i="1" s="1"/>
  <c r="FT161" i="1" s="1"/>
  <c r="FU161" i="1" s="1"/>
  <c r="FV161" i="1" s="1"/>
  <c r="FX161" i="1" s="1"/>
  <c r="GT280" i="1"/>
  <c r="GU280" i="1" s="1"/>
  <c r="GV280" i="1" s="1"/>
  <c r="GF8" i="1"/>
  <c r="GG8" i="1" s="1"/>
  <c r="GT115" i="1"/>
  <c r="GU115" i="1" s="1"/>
  <c r="GV115" i="1" s="1"/>
  <c r="GF212" i="1"/>
  <c r="GG212" i="1" s="1"/>
  <c r="FQ145" i="1"/>
  <c r="FS145" i="1" s="1"/>
  <c r="FT145" i="1" s="1"/>
  <c r="FU145" i="1" s="1"/>
  <c r="FV145" i="1" s="1"/>
  <c r="FX145" i="1" s="1"/>
  <c r="GF58" i="1"/>
  <c r="GG58" i="1" s="1"/>
  <c r="GR29" i="1"/>
  <c r="GR292" i="1"/>
  <c r="GQ86" i="1"/>
  <c r="GF138" i="1"/>
  <c r="GG138" i="1" s="1"/>
  <c r="GQ57" i="1"/>
  <c r="GQ72" i="1"/>
  <c r="GQ177" i="1"/>
  <c r="GN104" i="1"/>
  <c r="GO104" i="1" s="1"/>
  <c r="GF183" i="1"/>
  <c r="GG183" i="1" s="1"/>
  <c r="GH183" i="1"/>
  <c r="GI183" i="1" s="1"/>
  <c r="GJ148" i="1"/>
  <c r="GK148" i="1" s="1"/>
  <c r="GT265" i="1"/>
  <c r="GU265" i="1" s="1"/>
  <c r="GV265" i="1" s="1"/>
  <c r="GL82" i="1"/>
  <c r="GM82" i="1" s="1"/>
  <c r="GD280" i="1"/>
  <c r="GE280" i="1" s="1"/>
  <c r="GQ11" i="1"/>
  <c r="GQ246" i="1"/>
  <c r="GR83" i="1"/>
  <c r="GR71" i="1"/>
  <c r="GJ8" i="1"/>
  <c r="GK8" i="1" s="1"/>
  <c r="GF79" i="1"/>
  <c r="GG79" i="1" s="1"/>
  <c r="GH93" i="1"/>
  <c r="GI93" i="1" s="1"/>
  <c r="GR96" i="1"/>
  <c r="GF84" i="1"/>
  <c r="GG84" i="1" s="1"/>
  <c r="FR76" i="1"/>
  <c r="FS76" i="1" s="1"/>
  <c r="FT76" i="1" s="1"/>
  <c r="FU76" i="1" s="1"/>
  <c r="FV76" i="1" s="1"/>
  <c r="FX76" i="1" s="1"/>
  <c r="GH292" i="1"/>
  <c r="GI292" i="1" s="1"/>
  <c r="GL57" i="1"/>
  <c r="GM57" i="1" s="1"/>
  <c r="GN183" i="1"/>
  <c r="GO183" i="1" s="1"/>
  <c r="GL246" i="1"/>
  <c r="GM246" i="1" s="1"/>
  <c r="GH84" i="1"/>
  <c r="GI84" i="1" s="1"/>
  <c r="FQ52" i="1"/>
  <c r="FS52" i="1" s="1"/>
  <c r="FT52" i="1" s="1"/>
  <c r="FU52" i="1" s="1"/>
  <c r="FV52" i="1" s="1"/>
  <c r="FX52" i="1" s="1"/>
  <c r="GJ58" i="1"/>
  <c r="GK58" i="1" s="1"/>
  <c r="GD227" i="1"/>
  <c r="GE227" i="1" s="1"/>
  <c r="GF153" i="1"/>
  <c r="GG153" i="1" s="1"/>
  <c r="GT71" i="1"/>
  <c r="GU71" i="1" s="1"/>
  <c r="GV71" i="1" s="1"/>
  <c r="GR251" i="1"/>
  <c r="GL93" i="1"/>
  <c r="GM93" i="1" s="1"/>
  <c r="GF96" i="1"/>
  <c r="GG96" i="1" s="1"/>
  <c r="GT63" i="1"/>
  <c r="GU63" i="1" s="1"/>
  <c r="GV63" i="1" s="1"/>
  <c r="GT188" i="1"/>
  <c r="GU188" i="1" s="1"/>
  <c r="GV188" i="1" s="1"/>
  <c r="GT195" i="1"/>
  <c r="GU195" i="1" s="1"/>
  <c r="GV195" i="1" s="1"/>
  <c r="GQ88" i="1"/>
  <c r="GH202" i="1"/>
  <c r="GI202" i="1" s="1"/>
  <c r="GQ176" i="1"/>
  <c r="GQ186" i="1"/>
  <c r="GH154" i="1"/>
  <c r="GI154" i="1" s="1"/>
  <c r="GF255" i="1"/>
  <c r="GG255" i="1" s="1"/>
  <c r="GD195" i="1"/>
  <c r="GE195" i="1" s="1"/>
  <c r="GT202" i="1"/>
  <c r="GU202" i="1" s="1"/>
  <c r="GV202" i="1" s="1"/>
  <c r="GH176" i="1"/>
  <c r="GI176" i="1" s="1"/>
  <c r="GH186" i="1"/>
  <c r="GI186" i="1" s="1"/>
  <c r="GQ154" i="1"/>
  <c r="GT255" i="1"/>
  <c r="GU255" i="1" s="1"/>
  <c r="GV255" i="1" s="1"/>
  <c r="GF63" i="1"/>
  <c r="GG63" i="1" s="1"/>
  <c r="GL188" i="1"/>
  <c r="GM188" i="1" s="1"/>
  <c r="GH195" i="1"/>
  <c r="GI195" i="1" s="1"/>
  <c r="GT88" i="1"/>
  <c r="GU88" i="1" s="1"/>
  <c r="GV88" i="1" s="1"/>
  <c r="GF88" i="1"/>
  <c r="GG88" i="1" s="1"/>
  <c r="GD202" i="1"/>
  <c r="GE202" i="1" s="1"/>
  <c r="GD176" i="1"/>
  <c r="GE176" i="1" s="1"/>
  <c r="GF186" i="1"/>
  <c r="GG186" i="1" s="1"/>
  <c r="GL154" i="1"/>
  <c r="GM154" i="1" s="1"/>
  <c r="GH255" i="1"/>
  <c r="GI255" i="1" s="1"/>
  <c r="GQ63" i="1"/>
  <c r="GQ188" i="1"/>
  <c r="GQ195" i="1"/>
  <c r="GJ88" i="1"/>
  <c r="GL202" i="1"/>
  <c r="GM202" i="1" s="1"/>
  <c r="GF176" i="1"/>
  <c r="GG176" i="1" s="1"/>
  <c r="GR186" i="1"/>
  <c r="GR154" i="1"/>
  <c r="GJ255" i="1"/>
  <c r="GK255" i="1" s="1"/>
  <c r="GL195" i="1"/>
  <c r="GM195" i="1" s="1"/>
  <c r="GF202" i="1"/>
  <c r="GG202" i="1" s="1"/>
  <c r="GR176" i="1"/>
  <c r="GT186" i="1"/>
  <c r="GU186" i="1" s="1"/>
  <c r="GV186" i="1" s="1"/>
  <c r="GT154" i="1"/>
  <c r="GU154" i="1" s="1"/>
  <c r="GV154" i="1" s="1"/>
  <c r="GD255" i="1"/>
  <c r="GE255" i="1" s="1"/>
  <c r="GQ138" i="1"/>
  <c r="GH76" i="1"/>
  <c r="GI76" i="1" s="1"/>
  <c r="GQ179" i="1"/>
  <c r="GH228" i="1"/>
  <c r="GI228" i="1" s="1"/>
  <c r="GL301" i="1"/>
  <c r="GM301" i="1" s="1"/>
  <c r="FQ236" i="1"/>
  <c r="FS236" i="1" s="1"/>
  <c r="FT236" i="1" s="1"/>
  <c r="FU236" i="1" s="1"/>
  <c r="FV236" i="1" s="1"/>
  <c r="FX236" i="1" s="1"/>
  <c r="GD76" i="1"/>
  <c r="GE76" i="1" s="1"/>
  <c r="GQ228" i="1"/>
  <c r="GC61" i="1"/>
  <c r="GD61" i="1" s="1"/>
  <c r="GE61" i="1" s="1"/>
  <c r="GL26" i="1"/>
  <c r="GM26" i="1" s="1"/>
  <c r="GD26" i="1"/>
  <c r="GE26" i="1" s="1"/>
  <c r="GH138" i="1"/>
  <c r="GI138" i="1" s="1"/>
  <c r="GN76" i="1"/>
  <c r="GO76" i="1" s="1"/>
  <c r="GR228" i="1"/>
  <c r="FQ155" i="1"/>
  <c r="FS155" i="1" s="1"/>
  <c r="FT155" i="1" s="1"/>
  <c r="FU155" i="1" s="1"/>
  <c r="FV155" i="1" s="1"/>
  <c r="FX155" i="1" s="1"/>
  <c r="GT138" i="1"/>
  <c r="GU138" i="1" s="1"/>
  <c r="GV138" i="1" s="1"/>
  <c r="GF26" i="1"/>
  <c r="GG26" i="1" s="1"/>
  <c r="GR138" i="1"/>
  <c r="GQ76" i="1"/>
  <c r="GF228" i="1"/>
  <c r="GG228" i="1" s="1"/>
  <c r="GF251" i="1"/>
  <c r="GG251" i="1" s="1"/>
  <c r="GQ8" i="1"/>
  <c r="GJ93" i="1"/>
  <c r="GK93" i="1" s="1"/>
  <c r="GR223" i="1"/>
  <c r="GR54" i="1"/>
  <c r="GJ96" i="1"/>
  <c r="GK96" i="1" s="1"/>
  <c r="GR165" i="1"/>
  <c r="GC206" i="1"/>
  <c r="GL206" i="1" s="1"/>
  <c r="GM206" i="1" s="1"/>
  <c r="FQ127" i="1"/>
  <c r="FS127" i="1" s="1"/>
  <c r="FT127" i="1" s="1"/>
  <c r="FU127" i="1" s="1"/>
  <c r="FV127" i="1" s="1"/>
  <c r="FX127" i="1" s="1"/>
  <c r="GQ26" i="1"/>
  <c r="GR26" i="1"/>
  <c r="GL138" i="1"/>
  <c r="GM138" i="1" s="1"/>
  <c r="GR76" i="1"/>
  <c r="GL228" i="1"/>
  <c r="GM228" i="1" s="1"/>
  <c r="GF54" i="1"/>
  <c r="GG54" i="1" s="1"/>
  <c r="GL96" i="1"/>
  <c r="GM96" i="1" s="1"/>
  <c r="GD165" i="1"/>
  <c r="GE165" i="1" s="1"/>
  <c r="FQ199" i="1"/>
  <c r="FS199" i="1" s="1"/>
  <c r="FT199" i="1" s="1"/>
  <c r="FU199" i="1" s="1"/>
  <c r="FV199" i="1" s="1"/>
  <c r="FX199" i="1" s="1"/>
  <c r="FQ93" i="1"/>
  <c r="FS93" i="1" s="1"/>
  <c r="FT93" i="1" s="1"/>
  <c r="FU93" i="1" s="1"/>
  <c r="FV93" i="1" s="1"/>
  <c r="FX93" i="1" s="1"/>
  <c r="FQ266" i="1"/>
  <c r="FS266" i="1" s="1"/>
  <c r="FT266" i="1" s="1"/>
  <c r="FU266" i="1" s="1"/>
  <c r="FV266" i="1" s="1"/>
  <c r="FX266" i="1" s="1"/>
  <c r="FQ234" i="1"/>
  <c r="FS234" i="1" s="1"/>
  <c r="FT234" i="1" s="1"/>
  <c r="FU234" i="1" s="1"/>
  <c r="FV234" i="1" s="1"/>
  <c r="FX234" i="1" s="1"/>
  <c r="FQ222" i="1"/>
  <c r="FS222" i="1" s="1"/>
  <c r="FT222" i="1" s="1"/>
  <c r="FU222" i="1" s="1"/>
  <c r="FV222" i="1" s="1"/>
  <c r="FX222" i="1" s="1"/>
  <c r="GT26" i="1"/>
  <c r="GU26" i="1" s="1"/>
  <c r="GV26" i="1" s="1"/>
  <c r="GJ138" i="1"/>
  <c r="GK138" i="1" s="1"/>
  <c r="GH145" i="1"/>
  <c r="GI145" i="1" s="1"/>
  <c r="FQ303" i="1"/>
  <c r="FS303" i="1" s="1"/>
  <c r="FT303" i="1" s="1"/>
  <c r="FU303" i="1" s="1"/>
  <c r="FV303" i="1" s="1"/>
  <c r="FX303" i="1" s="1"/>
  <c r="FR121" i="1"/>
  <c r="FS121" i="1" s="1"/>
  <c r="FT121" i="1" s="1"/>
  <c r="FU121" i="1" s="1"/>
  <c r="FV121" i="1" s="1"/>
  <c r="FX121" i="1" s="1"/>
  <c r="GF76" i="1"/>
  <c r="GG76" i="1" s="1"/>
  <c r="GT228" i="1"/>
  <c r="GU228" i="1" s="1"/>
  <c r="GV228" i="1" s="1"/>
  <c r="GD251" i="1"/>
  <c r="GE251" i="1" s="1"/>
  <c r="GR8" i="1"/>
  <c r="GQ223" i="1"/>
  <c r="GD96" i="1"/>
  <c r="GE96" i="1" s="1"/>
  <c r="GH96" i="1"/>
  <c r="GI96" i="1" s="1"/>
  <c r="GQ165" i="1"/>
  <c r="GC204" i="1"/>
  <c r="GH204" i="1" s="1"/>
  <c r="GI204" i="1" s="1"/>
  <c r="FQ209" i="1"/>
  <c r="FS209" i="1" s="1"/>
  <c r="FT209" i="1" s="1"/>
  <c r="FU209" i="1" s="1"/>
  <c r="FV209" i="1" s="1"/>
  <c r="FX209" i="1" s="1"/>
  <c r="FQ132" i="1"/>
  <c r="FS132" i="1" s="1"/>
  <c r="FT132" i="1" s="1"/>
  <c r="FU132" i="1" s="1"/>
  <c r="FV132" i="1" s="1"/>
  <c r="FX132" i="1" s="1"/>
  <c r="FR108" i="1"/>
  <c r="FS108" i="1" s="1"/>
  <c r="FT108" i="1" s="1"/>
  <c r="FU108" i="1" s="1"/>
  <c r="FV108" i="1" s="1"/>
  <c r="FX108" i="1" s="1"/>
  <c r="GR3" i="1"/>
  <c r="GQ114" i="1"/>
  <c r="FQ240" i="1"/>
  <c r="FS240" i="1" s="1"/>
  <c r="FT240" i="1" s="1"/>
  <c r="FU240" i="1" s="1"/>
  <c r="FV240" i="1" s="1"/>
  <c r="FX240" i="1" s="1"/>
  <c r="GD299" i="1"/>
  <c r="GE299" i="1" s="1"/>
  <c r="GQ3" i="1"/>
  <c r="FR142" i="1"/>
  <c r="FS142" i="1" s="1"/>
  <c r="FT142" i="1" s="1"/>
  <c r="FU142" i="1" s="1"/>
  <c r="FV142" i="1" s="1"/>
  <c r="FX142" i="1" s="1"/>
  <c r="GD58" i="1"/>
  <c r="GE58" i="1" s="1"/>
  <c r="GQ145" i="1"/>
  <c r="GR227" i="1"/>
  <c r="GL114" i="1"/>
  <c r="GM114" i="1" s="1"/>
  <c r="GD153" i="1"/>
  <c r="GE153" i="1" s="1"/>
  <c r="GH179" i="1"/>
  <c r="GI179" i="1" s="1"/>
  <c r="GH71" i="1"/>
  <c r="GI71" i="1" s="1"/>
  <c r="GF301" i="1"/>
  <c r="GG301" i="1" s="1"/>
  <c r="GD93" i="1"/>
  <c r="GE93" i="1" s="1"/>
  <c r="GT54" i="1"/>
  <c r="GU54" i="1" s="1"/>
  <c r="GV54" i="1" s="1"/>
  <c r="GC4" i="1"/>
  <c r="GR4" i="1" s="1"/>
  <c r="FQ107" i="1"/>
  <c r="FS107" i="1" s="1"/>
  <c r="FT107" i="1" s="1"/>
  <c r="FU107" i="1" s="1"/>
  <c r="FV107" i="1" s="1"/>
  <c r="FX107" i="1" s="1"/>
  <c r="GD179" i="1"/>
  <c r="GE179" i="1" s="1"/>
  <c r="GJ301" i="1"/>
  <c r="GK301" i="1" s="1"/>
  <c r="GH299" i="1"/>
  <c r="GI299" i="1" s="1"/>
  <c r="GT3" i="1"/>
  <c r="GU3" i="1" s="1"/>
  <c r="GV3" i="1" s="1"/>
  <c r="FR75" i="1"/>
  <c r="FS75" i="1" s="1"/>
  <c r="FT75" i="1" s="1"/>
  <c r="FU75" i="1" s="1"/>
  <c r="FV75" i="1" s="1"/>
  <c r="FX75" i="1" s="1"/>
  <c r="GH58" i="1"/>
  <c r="GI58" i="1" s="1"/>
  <c r="GF145" i="1"/>
  <c r="GG145" i="1" s="1"/>
  <c r="GF227" i="1"/>
  <c r="GG227" i="1" s="1"/>
  <c r="GT114" i="1"/>
  <c r="GU114" i="1" s="1"/>
  <c r="GV114" i="1" s="1"/>
  <c r="GL153" i="1"/>
  <c r="GM153" i="1" s="1"/>
  <c r="GF179" i="1"/>
  <c r="GG179" i="1" s="1"/>
  <c r="GJ71" i="1"/>
  <c r="GK71" i="1" s="1"/>
  <c r="GD301" i="1"/>
  <c r="GE301" i="1" s="1"/>
  <c r="GJ54" i="1"/>
  <c r="GK54" i="1" s="1"/>
  <c r="FR136" i="1"/>
  <c r="FS136" i="1" s="1"/>
  <c r="FT136" i="1" s="1"/>
  <c r="FU136" i="1" s="1"/>
  <c r="FV136" i="1" s="1"/>
  <c r="FX136" i="1" s="1"/>
  <c r="FR112" i="1"/>
  <c r="FS112" i="1" s="1"/>
  <c r="FT112" i="1" s="1"/>
  <c r="FU112" i="1" s="1"/>
  <c r="FV112" i="1" s="1"/>
  <c r="FX112" i="1" s="1"/>
  <c r="GF299" i="1"/>
  <c r="GG299" i="1" s="1"/>
  <c r="GJ3" i="1"/>
  <c r="GK3" i="1" s="1"/>
  <c r="GQ58" i="1"/>
  <c r="GT145" i="1"/>
  <c r="GU145" i="1" s="1"/>
  <c r="GV145" i="1" s="1"/>
  <c r="GQ227" i="1"/>
  <c r="GJ114" i="1"/>
  <c r="GK114" i="1" s="1"/>
  <c r="GH153" i="1"/>
  <c r="GI153" i="1" s="1"/>
  <c r="GR179" i="1"/>
  <c r="GF71" i="1"/>
  <c r="GG71" i="1" s="1"/>
  <c r="GT301" i="1"/>
  <c r="GU301" i="1" s="1"/>
  <c r="GV301" i="1" s="1"/>
  <c r="GQ93" i="1"/>
  <c r="GL54" i="1"/>
  <c r="GM54" i="1" s="1"/>
  <c r="GR145" i="1"/>
  <c r="GT299" i="1"/>
  <c r="GU299" i="1" s="1"/>
  <c r="GV299" i="1" s="1"/>
  <c r="GL3" i="1"/>
  <c r="GM3" i="1" s="1"/>
  <c r="GR58" i="1"/>
  <c r="GL145" i="1"/>
  <c r="GM145" i="1" s="1"/>
  <c r="GL227" i="1"/>
  <c r="GM227" i="1" s="1"/>
  <c r="GD114" i="1"/>
  <c r="GE114" i="1" s="1"/>
  <c r="GQ153" i="1"/>
  <c r="GT179" i="1"/>
  <c r="GU179" i="1" s="1"/>
  <c r="GV179" i="1" s="1"/>
  <c r="GD71" i="1"/>
  <c r="GE71" i="1" s="1"/>
  <c r="GH301" i="1"/>
  <c r="GI301" i="1" s="1"/>
  <c r="GR93" i="1"/>
  <c r="GQ54" i="1"/>
  <c r="GF3" i="1"/>
  <c r="GG3" i="1" s="1"/>
  <c r="GH3" i="1"/>
  <c r="GI3" i="1" s="1"/>
  <c r="FQ171" i="1"/>
  <c r="FS171" i="1" s="1"/>
  <c r="FT171" i="1" s="1"/>
  <c r="FU171" i="1" s="1"/>
  <c r="FV171" i="1" s="1"/>
  <c r="FX171" i="1" s="1"/>
  <c r="GL58" i="1"/>
  <c r="GM58" i="1" s="1"/>
  <c r="GD145" i="1"/>
  <c r="GE145" i="1" s="1"/>
  <c r="GT227" i="1"/>
  <c r="GU227" i="1" s="1"/>
  <c r="GV227" i="1" s="1"/>
  <c r="GH114" i="1"/>
  <c r="GI114" i="1" s="1"/>
  <c r="GT153" i="1"/>
  <c r="GU153" i="1" s="1"/>
  <c r="GV153" i="1" s="1"/>
  <c r="GJ179" i="1"/>
  <c r="GK179" i="1" s="1"/>
  <c r="GQ71" i="1"/>
  <c r="GQ301" i="1"/>
  <c r="GF93" i="1"/>
  <c r="GG93" i="1" s="1"/>
  <c r="GD54" i="1"/>
  <c r="GE54" i="1" s="1"/>
  <c r="GF114" i="1"/>
  <c r="GG114" i="1" s="1"/>
  <c r="FQ4" i="1"/>
  <c r="FR4" i="1"/>
  <c r="FQ53" i="1"/>
  <c r="FR53" i="1"/>
  <c r="GR62" i="1"/>
  <c r="GT62" i="1"/>
  <c r="GU62" i="1" s="1"/>
  <c r="GV62" i="1" s="1"/>
  <c r="GQ62" i="1"/>
  <c r="GL62" i="1"/>
  <c r="GM62" i="1" s="1"/>
  <c r="GF62" i="1"/>
  <c r="GG62" i="1" s="1"/>
  <c r="GH62" i="1"/>
  <c r="GI62" i="1" s="1"/>
  <c r="GD62" i="1"/>
  <c r="GE62" i="1" s="1"/>
  <c r="GJ62" i="1"/>
  <c r="GK62" i="1" s="1"/>
  <c r="GN201" i="1"/>
  <c r="GO201" i="1" s="1"/>
  <c r="GR201" i="1"/>
  <c r="GH201" i="1"/>
  <c r="GI201" i="1" s="1"/>
  <c r="GD201" i="1"/>
  <c r="GE201" i="1" s="1"/>
  <c r="GQ201" i="1"/>
  <c r="GL201" i="1"/>
  <c r="GM201" i="1" s="1"/>
  <c r="GF201" i="1"/>
  <c r="GG201" i="1" s="1"/>
  <c r="GJ201" i="1"/>
  <c r="GK201" i="1" s="1"/>
  <c r="GT201" i="1"/>
  <c r="GU201" i="1" s="1"/>
  <c r="GV201" i="1" s="1"/>
  <c r="GQ225" i="1"/>
  <c r="GN225" i="1"/>
  <c r="GO225" i="1" s="1"/>
  <c r="GF225" i="1"/>
  <c r="GG225" i="1" s="1"/>
  <c r="GH225" i="1"/>
  <c r="GI225" i="1" s="1"/>
  <c r="GR225" i="1"/>
  <c r="GJ225" i="1"/>
  <c r="GK225" i="1" s="1"/>
  <c r="GD225" i="1"/>
  <c r="GE225" i="1" s="1"/>
  <c r="GL225" i="1"/>
  <c r="GM225" i="1" s="1"/>
  <c r="GT225" i="1"/>
  <c r="GU225" i="1" s="1"/>
  <c r="GV225" i="1" s="1"/>
  <c r="GD130" i="1"/>
  <c r="GE130" i="1" s="1"/>
  <c r="GF130" i="1"/>
  <c r="GG130" i="1" s="1"/>
  <c r="GQ130" i="1"/>
  <c r="GJ130" i="1"/>
  <c r="GK130" i="1" s="1"/>
  <c r="GT130" i="1"/>
  <c r="GU130" i="1" s="1"/>
  <c r="GV130" i="1" s="1"/>
  <c r="GH130" i="1"/>
  <c r="GI130" i="1" s="1"/>
  <c r="GR130" i="1"/>
  <c r="GL130" i="1"/>
  <c r="GM130" i="1" s="1"/>
  <c r="GQ270" i="1"/>
  <c r="GD270" i="1"/>
  <c r="GE270" i="1" s="1"/>
  <c r="GH270" i="1"/>
  <c r="GI270" i="1" s="1"/>
  <c r="GL270" i="1"/>
  <c r="GM270" i="1" s="1"/>
  <c r="GT270" i="1"/>
  <c r="GU270" i="1" s="1"/>
  <c r="GV270" i="1" s="1"/>
  <c r="GN270" i="1"/>
  <c r="GO270" i="1" s="1"/>
  <c r="GF270" i="1"/>
  <c r="GG270" i="1" s="1"/>
  <c r="GR270" i="1"/>
  <c r="GJ270" i="1"/>
  <c r="GK270" i="1" s="1"/>
  <c r="GF67" i="1"/>
  <c r="GG67" i="1" s="1"/>
  <c r="GL67" i="1"/>
  <c r="GM67" i="1" s="1"/>
  <c r="GR67" i="1"/>
  <c r="GH67" i="1"/>
  <c r="GI67" i="1" s="1"/>
  <c r="GQ67" i="1"/>
  <c r="GJ67" i="1"/>
  <c r="GK67" i="1" s="1"/>
  <c r="GD67" i="1"/>
  <c r="GE67" i="1" s="1"/>
  <c r="GT67" i="1"/>
  <c r="GU67" i="1" s="1"/>
  <c r="GV67" i="1" s="1"/>
  <c r="FQ83" i="1"/>
  <c r="FR83" i="1"/>
  <c r="GD203" i="1"/>
  <c r="GE203" i="1" s="1"/>
  <c r="GL203" i="1"/>
  <c r="GM203" i="1" s="1"/>
  <c r="GH203" i="1"/>
  <c r="GI203" i="1" s="1"/>
  <c r="GQ203" i="1"/>
  <c r="GF203" i="1"/>
  <c r="GG203" i="1" s="1"/>
  <c r="GJ203" i="1"/>
  <c r="GK203" i="1" s="1"/>
  <c r="GR203" i="1"/>
  <c r="GT203" i="1"/>
  <c r="GU203" i="1" s="1"/>
  <c r="GV203" i="1" s="1"/>
  <c r="GL38" i="1"/>
  <c r="GM38" i="1" s="1"/>
  <c r="GF38" i="1"/>
  <c r="GG38" i="1" s="1"/>
  <c r="GJ38" i="1"/>
  <c r="GK38" i="1" s="1"/>
  <c r="GT38" i="1"/>
  <c r="GU38" i="1" s="1"/>
  <c r="GV38" i="1" s="1"/>
  <c r="GN38" i="1"/>
  <c r="GO38" i="1" s="1"/>
  <c r="GR38" i="1"/>
  <c r="GH38" i="1"/>
  <c r="GI38" i="1" s="1"/>
  <c r="GD38" i="1"/>
  <c r="GE38" i="1" s="1"/>
  <c r="GQ38" i="1"/>
  <c r="GH229" i="1"/>
  <c r="GI229" i="1" s="1"/>
  <c r="GD229" i="1"/>
  <c r="GE229" i="1" s="1"/>
  <c r="GJ229" i="1"/>
  <c r="GK229" i="1" s="1"/>
  <c r="GT229" i="1"/>
  <c r="GU229" i="1" s="1"/>
  <c r="GV229" i="1" s="1"/>
  <c r="GL229" i="1"/>
  <c r="GM229" i="1" s="1"/>
  <c r="GF229" i="1"/>
  <c r="GG229" i="1" s="1"/>
  <c r="GQ229" i="1"/>
  <c r="GR229" i="1"/>
  <c r="GR254" i="1"/>
  <c r="GL254" i="1"/>
  <c r="GM254" i="1" s="1"/>
  <c r="GH254" i="1"/>
  <c r="GI254" i="1" s="1"/>
  <c r="GD254" i="1"/>
  <c r="GE254" i="1" s="1"/>
  <c r="GQ254" i="1"/>
  <c r="GJ254" i="1"/>
  <c r="GK254" i="1" s="1"/>
  <c r="GT254" i="1"/>
  <c r="GU254" i="1" s="1"/>
  <c r="GV254" i="1" s="1"/>
  <c r="GF254" i="1"/>
  <c r="GG254" i="1" s="1"/>
  <c r="GF140" i="1"/>
  <c r="GG140" i="1" s="1"/>
  <c r="GR140" i="1"/>
  <c r="GQ140" i="1"/>
  <c r="GJ140" i="1"/>
  <c r="GK140" i="1" s="1"/>
  <c r="GD140" i="1"/>
  <c r="GE140" i="1" s="1"/>
  <c r="GL140" i="1"/>
  <c r="GM140" i="1" s="1"/>
  <c r="GH140" i="1"/>
  <c r="GI140" i="1" s="1"/>
  <c r="GT140" i="1"/>
  <c r="GU140" i="1" s="1"/>
  <c r="GV140" i="1" s="1"/>
  <c r="GF133" i="1"/>
  <c r="GG133" i="1" s="1"/>
  <c r="GR133" i="1"/>
  <c r="GH133" i="1"/>
  <c r="GI133" i="1" s="1"/>
  <c r="GD133" i="1"/>
  <c r="GE133" i="1" s="1"/>
  <c r="GQ133" i="1"/>
  <c r="GL133" i="1"/>
  <c r="GM133" i="1" s="1"/>
  <c r="GT133" i="1"/>
  <c r="GU133" i="1" s="1"/>
  <c r="GV133" i="1" s="1"/>
  <c r="GJ133" i="1"/>
  <c r="GK133" i="1" s="1"/>
  <c r="GL184" i="1"/>
  <c r="GM184" i="1" s="1"/>
  <c r="GT184" i="1"/>
  <c r="GU184" i="1" s="1"/>
  <c r="GV184" i="1" s="1"/>
  <c r="GD184" i="1"/>
  <c r="GE184" i="1" s="1"/>
  <c r="GR184" i="1"/>
  <c r="GQ184" i="1"/>
  <c r="GH184" i="1"/>
  <c r="GI184" i="1" s="1"/>
  <c r="GF184" i="1"/>
  <c r="GG184" i="1" s="1"/>
  <c r="GJ184" i="1"/>
  <c r="GK184" i="1" s="1"/>
  <c r="GN99" i="1"/>
  <c r="GO99" i="1" s="1"/>
  <c r="GD99" i="1"/>
  <c r="GE99" i="1" s="1"/>
  <c r="GQ99" i="1"/>
  <c r="GH99" i="1"/>
  <c r="GI99" i="1" s="1"/>
  <c r="GL99" i="1"/>
  <c r="GM99" i="1" s="1"/>
  <c r="GJ99" i="1"/>
  <c r="GK99" i="1" s="1"/>
  <c r="GT99" i="1"/>
  <c r="GU99" i="1" s="1"/>
  <c r="GV99" i="1" s="1"/>
  <c r="GR99" i="1"/>
  <c r="GF99" i="1"/>
  <c r="GG99" i="1" s="1"/>
  <c r="FQ220" i="1"/>
  <c r="FR220" i="1"/>
  <c r="FR115" i="1"/>
  <c r="FQ115" i="1"/>
  <c r="GJ39" i="1"/>
  <c r="GK39" i="1" s="1"/>
  <c r="GD39" i="1"/>
  <c r="GE39" i="1" s="1"/>
  <c r="GL39" i="1"/>
  <c r="GM39" i="1" s="1"/>
  <c r="GH39" i="1"/>
  <c r="GI39" i="1" s="1"/>
  <c r="GF39" i="1"/>
  <c r="GG39" i="1" s="1"/>
  <c r="GQ39" i="1"/>
  <c r="GR39" i="1"/>
  <c r="GT39" i="1"/>
  <c r="GU39" i="1" s="1"/>
  <c r="GV39" i="1" s="1"/>
  <c r="FR37" i="1"/>
  <c r="FQ37" i="1"/>
  <c r="FQ55" i="1"/>
  <c r="FR55" i="1"/>
  <c r="FQ14" i="1"/>
  <c r="FR14" i="1"/>
  <c r="FQ17" i="1"/>
  <c r="FR17" i="1"/>
  <c r="FQ117" i="1"/>
  <c r="FR117" i="1"/>
  <c r="GH102" i="1"/>
  <c r="GI102" i="1" s="1"/>
  <c r="GJ102" i="1"/>
  <c r="GK102" i="1" s="1"/>
  <c r="GD102" i="1"/>
  <c r="GE102" i="1" s="1"/>
  <c r="GQ102" i="1"/>
  <c r="GL102" i="1"/>
  <c r="GM102" i="1" s="1"/>
  <c r="GR102" i="1"/>
  <c r="GF102" i="1"/>
  <c r="GG102" i="1" s="1"/>
  <c r="GT102" i="1"/>
  <c r="GU102" i="1" s="1"/>
  <c r="GV102" i="1" s="1"/>
  <c r="GQ120" i="1"/>
  <c r="GT120" i="1"/>
  <c r="GU120" i="1" s="1"/>
  <c r="GV120" i="1" s="1"/>
  <c r="GD120" i="1"/>
  <c r="GE120" i="1" s="1"/>
  <c r="GH120" i="1"/>
  <c r="GI120" i="1" s="1"/>
  <c r="GR120" i="1"/>
  <c r="GJ120" i="1"/>
  <c r="GK120" i="1" s="1"/>
  <c r="GF120" i="1"/>
  <c r="GG120" i="1" s="1"/>
  <c r="GL120" i="1"/>
  <c r="GM120" i="1" s="1"/>
  <c r="GR147" i="1"/>
  <c r="GJ147" i="1"/>
  <c r="GK147" i="1" s="1"/>
  <c r="GQ147" i="1"/>
  <c r="GF147" i="1"/>
  <c r="GG147" i="1" s="1"/>
  <c r="GL147" i="1"/>
  <c r="GM147" i="1" s="1"/>
  <c r="GT147" i="1"/>
  <c r="GU147" i="1" s="1"/>
  <c r="GV147" i="1" s="1"/>
  <c r="GD147" i="1"/>
  <c r="GE147" i="1" s="1"/>
  <c r="GH147" i="1"/>
  <c r="GI147" i="1" s="1"/>
  <c r="GQ32" i="1"/>
  <c r="GJ32" i="1"/>
  <c r="GK32" i="1" s="1"/>
  <c r="GT32" i="1"/>
  <c r="GU32" i="1" s="1"/>
  <c r="GV32" i="1" s="1"/>
  <c r="GR32" i="1"/>
  <c r="GF32" i="1"/>
  <c r="GG32" i="1" s="1"/>
  <c r="GD32" i="1"/>
  <c r="GE32" i="1" s="1"/>
  <c r="GL32" i="1"/>
  <c r="GM32" i="1" s="1"/>
  <c r="GH32" i="1"/>
  <c r="GI32" i="1" s="1"/>
  <c r="GF290" i="1"/>
  <c r="GG290" i="1" s="1"/>
  <c r="GR290" i="1"/>
  <c r="GH290" i="1"/>
  <c r="GI290" i="1" s="1"/>
  <c r="GQ290" i="1"/>
  <c r="GD290" i="1"/>
  <c r="GE290" i="1" s="1"/>
  <c r="GJ290" i="1"/>
  <c r="GK290" i="1" s="1"/>
  <c r="GL290" i="1"/>
  <c r="GM290" i="1" s="1"/>
  <c r="GT290" i="1"/>
  <c r="GU290" i="1" s="1"/>
  <c r="GV290" i="1" s="1"/>
  <c r="GD278" i="1"/>
  <c r="GE278" i="1" s="1"/>
  <c r="GH278" i="1"/>
  <c r="GI278" i="1" s="1"/>
  <c r="GQ278" i="1"/>
  <c r="GT278" i="1"/>
  <c r="GU278" i="1" s="1"/>
  <c r="GV278" i="1" s="1"/>
  <c r="GL278" i="1"/>
  <c r="GM278" i="1" s="1"/>
  <c r="GF278" i="1"/>
  <c r="GG278" i="1" s="1"/>
  <c r="GR278" i="1"/>
  <c r="GJ278" i="1"/>
  <c r="GK278" i="1" s="1"/>
  <c r="GL245" i="1"/>
  <c r="GM245" i="1" s="1"/>
  <c r="GD245" i="1"/>
  <c r="GE245" i="1" s="1"/>
  <c r="GH245" i="1"/>
  <c r="GI245" i="1" s="1"/>
  <c r="GQ245" i="1"/>
  <c r="GT245" i="1"/>
  <c r="GU245" i="1" s="1"/>
  <c r="GV245" i="1" s="1"/>
  <c r="GF245" i="1"/>
  <c r="GG245" i="1" s="1"/>
  <c r="GJ245" i="1"/>
  <c r="GK245" i="1" s="1"/>
  <c r="GR245" i="1"/>
  <c r="GR172" i="1"/>
  <c r="GL172" i="1"/>
  <c r="GM172" i="1" s="1"/>
  <c r="GH172" i="1"/>
  <c r="GI172" i="1" s="1"/>
  <c r="GD172" i="1"/>
  <c r="GE172" i="1" s="1"/>
  <c r="GQ172" i="1"/>
  <c r="GF172" i="1"/>
  <c r="GG172" i="1" s="1"/>
  <c r="GJ172" i="1"/>
  <c r="GK172" i="1" s="1"/>
  <c r="GT172" i="1"/>
  <c r="GU172" i="1" s="1"/>
  <c r="GV172" i="1" s="1"/>
  <c r="FQ257" i="1"/>
  <c r="FR257" i="1"/>
  <c r="FR238" i="1"/>
  <c r="FQ238" i="1"/>
  <c r="GD47" i="1"/>
  <c r="GE47" i="1" s="1"/>
  <c r="GJ47" i="1"/>
  <c r="GK47" i="1" s="1"/>
  <c r="GH47" i="1"/>
  <c r="GI47" i="1" s="1"/>
  <c r="GT47" i="1"/>
  <c r="GU47" i="1" s="1"/>
  <c r="GV47" i="1" s="1"/>
  <c r="GQ47" i="1"/>
  <c r="GL47" i="1"/>
  <c r="GM47" i="1" s="1"/>
  <c r="GF47" i="1"/>
  <c r="GG47" i="1" s="1"/>
  <c r="GR47" i="1"/>
  <c r="GN132" i="1"/>
  <c r="GO132" i="1" s="1"/>
  <c r="GF132" i="1"/>
  <c r="GG132" i="1" s="1"/>
  <c r="GJ132" i="1"/>
  <c r="GK132" i="1" s="1"/>
  <c r="GT132" i="1"/>
  <c r="GU132" i="1" s="1"/>
  <c r="GV132" i="1" s="1"/>
  <c r="GR132" i="1"/>
  <c r="GH132" i="1"/>
  <c r="GI132" i="1" s="1"/>
  <c r="GD132" i="1"/>
  <c r="GE132" i="1" s="1"/>
  <c r="GQ132" i="1"/>
  <c r="GL132" i="1"/>
  <c r="GM132" i="1" s="1"/>
  <c r="GL260" i="1"/>
  <c r="GM260" i="1" s="1"/>
  <c r="GT260" i="1"/>
  <c r="GU260" i="1" s="1"/>
  <c r="GV260" i="1" s="1"/>
  <c r="GH260" i="1"/>
  <c r="GI260" i="1" s="1"/>
  <c r="GJ260" i="1"/>
  <c r="GK260" i="1" s="1"/>
  <c r="GD260" i="1"/>
  <c r="GE260" i="1" s="1"/>
  <c r="GR260" i="1"/>
  <c r="GF260" i="1"/>
  <c r="GG260" i="1" s="1"/>
  <c r="GQ260" i="1"/>
  <c r="GF50" i="1"/>
  <c r="GG50" i="1" s="1"/>
  <c r="GJ50" i="1"/>
  <c r="GK50" i="1" s="1"/>
  <c r="GT50" i="1"/>
  <c r="GU50" i="1" s="1"/>
  <c r="GV50" i="1" s="1"/>
  <c r="GR50" i="1"/>
  <c r="GH50" i="1"/>
  <c r="GI50" i="1" s="1"/>
  <c r="GD50" i="1"/>
  <c r="GE50" i="1" s="1"/>
  <c r="GQ50" i="1"/>
  <c r="GL50" i="1"/>
  <c r="GM50" i="1" s="1"/>
  <c r="GR273" i="1"/>
  <c r="GF273" i="1"/>
  <c r="GG273" i="1" s="1"/>
  <c r="GJ273" i="1"/>
  <c r="GK273" i="1" s="1"/>
  <c r="GH273" i="1"/>
  <c r="GI273" i="1" s="1"/>
  <c r="GT273" i="1"/>
  <c r="GU273" i="1" s="1"/>
  <c r="GV273" i="1" s="1"/>
  <c r="GD273" i="1"/>
  <c r="GE273" i="1" s="1"/>
  <c r="GQ273" i="1"/>
  <c r="GL273" i="1"/>
  <c r="GM273" i="1" s="1"/>
  <c r="GQ87" i="1"/>
  <c r="GJ87" i="1"/>
  <c r="GK87" i="1" s="1"/>
  <c r="GT87" i="1"/>
  <c r="GU87" i="1" s="1"/>
  <c r="GV87" i="1" s="1"/>
  <c r="GR87" i="1"/>
  <c r="GF87" i="1"/>
  <c r="GG87" i="1" s="1"/>
  <c r="GD87" i="1"/>
  <c r="GE87" i="1" s="1"/>
  <c r="GH87" i="1"/>
  <c r="GI87" i="1" s="1"/>
  <c r="GL87" i="1"/>
  <c r="GM87" i="1" s="1"/>
  <c r="GT242" i="1"/>
  <c r="GU242" i="1" s="1"/>
  <c r="GV242" i="1" s="1"/>
  <c r="GQ242" i="1"/>
  <c r="GF242" i="1"/>
  <c r="GG242" i="1" s="1"/>
  <c r="GR242" i="1"/>
  <c r="GH242" i="1"/>
  <c r="GI242" i="1" s="1"/>
  <c r="GD242" i="1"/>
  <c r="GJ242" i="1"/>
  <c r="GK242" i="1" s="1"/>
  <c r="GR218" i="1"/>
  <c r="GH218" i="1"/>
  <c r="GI218" i="1" s="1"/>
  <c r="GD218" i="1"/>
  <c r="GE218" i="1" s="1"/>
  <c r="GJ218" i="1"/>
  <c r="GK218" i="1" s="1"/>
  <c r="GQ218" i="1"/>
  <c r="GT218" i="1"/>
  <c r="GU218" i="1" s="1"/>
  <c r="GV218" i="1" s="1"/>
  <c r="GL218" i="1"/>
  <c r="GM218" i="1" s="1"/>
  <c r="GF218" i="1"/>
  <c r="GG218" i="1" s="1"/>
  <c r="GL302" i="1"/>
  <c r="GM302" i="1" s="1"/>
  <c r="GF302" i="1"/>
  <c r="GG302" i="1" s="1"/>
  <c r="GJ302" i="1"/>
  <c r="GK302" i="1" s="1"/>
  <c r="GT302" i="1"/>
  <c r="GU302" i="1" s="1"/>
  <c r="GV302" i="1" s="1"/>
  <c r="GD302" i="1"/>
  <c r="GE302" i="1" s="1"/>
  <c r="GH302" i="1"/>
  <c r="GI302" i="1" s="1"/>
  <c r="GQ302" i="1"/>
  <c r="GR302" i="1"/>
  <c r="GL253" i="1"/>
  <c r="GM253" i="1" s="1"/>
  <c r="GH253" i="1"/>
  <c r="GI253" i="1" s="1"/>
  <c r="GT253" i="1"/>
  <c r="GU253" i="1" s="1"/>
  <c r="GV253" i="1" s="1"/>
  <c r="GQ253" i="1"/>
  <c r="GD253" i="1"/>
  <c r="GE253" i="1" s="1"/>
  <c r="GR253" i="1"/>
  <c r="GJ253" i="1"/>
  <c r="GK253" i="1" s="1"/>
  <c r="GF253" i="1"/>
  <c r="GG253" i="1" s="1"/>
  <c r="GL221" i="1"/>
  <c r="GM221" i="1" s="1"/>
  <c r="GF221" i="1"/>
  <c r="GG221" i="1" s="1"/>
  <c r="GQ221" i="1"/>
  <c r="GR221" i="1"/>
  <c r="GH221" i="1"/>
  <c r="GI221" i="1" s="1"/>
  <c r="GD221" i="1"/>
  <c r="GE221" i="1" s="1"/>
  <c r="GJ221" i="1"/>
  <c r="GK221" i="1" s="1"/>
  <c r="GT221" i="1"/>
  <c r="GU221" i="1" s="1"/>
  <c r="GV221" i="1" s="1"/>
  <c r="GD27" i="1"/>
  <c r="GE27" i="1" s="1"/>
  <c r="GF27" i="1"/>
  <c r="GG27" i="1" s="1"/>
  <c r="GQ27" i="1"/>
  <c r="GL27" i="1"/>
  <c r="GM27" i="1" s="1"/>
  <c r="GJ27" i="1"/>
  <c r="GK27" i="1" s="1"/>
  <c r="GT27" i="1"/>
  <c r="GU27" i="1" s="1"/>
  <c r="GV27" i="1" s="1"/>
  <c r="GR27" i="1"/>
  <c r="GH27" i="1"/>
  <c r="GI27" i="1" s="1"/>
  <c r="GD156" i="1"/>
  <c r="GE156" i="1" s="1"/>
  <c r="GH156" i="1"/>
  <c r="GI156" i="1" s="1"/>
  <c r="GR156" i="1"/>
  <c r="GJ156" i="1"/>
  <c r="GK156" i="1" s="1"/>
  <c r="GQ156" i="1"/>
  <c r="GT156" i="1"/>
  <c r="GU156" i="1" s="1"/>
  <c r="GV156" i="1" s="1"/>
  <c r="GF156" i="1"/>
  <c r="GG156" i="1" s="1"/>
  <c r="GL156" i="1"/>
  <c r="GM156" i="1" s="1"/>
  <c r="GL298" i="1"/>
  <c r="GM298" i="1" s="1"/>
  <c r="GF298" i="1"/>
  <c r="GG298" i="1" s="1"/>
  <c r="GR298" i="1"/>
  <c r="GJ298" i="1"/>
  <c r="GK298" i="1" s="1"/>
  <c r="GD298" i="1"/>
  <c r="GE298" i="1" s="1"/>
  <c r="GH298" i="1"/>
  <c r="GI298" i="1" s="1"/>
  <c r="GQ298" i="1"/>
  <c r="GT298" i="1"/>
  <c r="GU298" i="1" s="1"/>
  <c r="GV298" i="1" s="1"/>
  <c r="FR221" i="1"/>
  <c r="FQ221" i="1"/>
  <c r="FR179" i="1"/>
  <c r="FQ179" i="1"/>
  <c r="FR296" i="1"/>
  <c r="FQ296" i="1"/>
  <c r="GE138" i="1"/>
  <c r="GF150" i="1"/>
  <c r="GG150" i="1" s="1"/>
  <c r="GT150" i="1"/>
  <c r="GU150" i="1" s="1"/>
  <c r="GV150" i="1" s="1"/>
  <c r="GH150" i="1"/>
  <c r="GI150" i="1" s="1"/>
  <c r="GD150" i="1"/>
  <c r="GE150" i="1" s="1"/>
  <c r="GQ150" i="1"/>
  <c r="GL150" i="1"/>
  <c r="GM150" i="1" s="1"/>
  <c r="GJ150" i="1"/>
  <c r="GK150" i="1" s="1"/>
  <c r="GR150" i="1"/>
  <c r="GC45" i="1"/>
  <c r="GL34" i="1"/>
  <c r="GM34" i="1" s="1"/>
  <c r="GJ34" i="1"/>
  <c r="GK34" i="1" s="1"/>
  <c r="GT34" i="1"/>
  <c r="GU34" i="1" s="1"/>
  <c r="GV34" i="1" s="1"/>
  <c r="GR34" i="1"/>
  <c r="GF34" i="1"/>
  <c r="GG34" i="1" s="1"/>
  <c r="GQ34" i="1"/>
  <c r="GD34" i="1"/>
  <c r="GE34" i="1" s="1"/>
  <c r="GH34" i="1"/>
  <c r="GI34" i="1" s="1"/>
  <c r="GQ230" i="1"/>
  <c r="GT230" i="1"/>
  <c r="GU230" i="1" s="1"/>
  <c r="GV230" i="1" s="1"/>
  <c r="GL230" i="1"/>
  <c r="GM230" i="1" s="1"/>
  <c r="GF230" i="1"/>
  <c r="GG230" i="1" s="1"/>
  <c r="GR230" i="1"/>
  <c r="GH230" i="1"/>
  <c r="GI230" i="1" s="1"/>
  <c r="GD230" i="1"/>
  <c r="GE230" i="1" s="1"/>
  <c r="GJ230" i="1"/>
  <c r="GK230" i="1" s="1"/>
  <c r="FQ73" i="1"/>
  <c r="FR73" i="1"/>
  <c r="FQ10" i="1"/>
  <c r="FR10" i="1"/>
  <c r="GD240" i="1"/>
  <c r="GE240" i="1" s="1"/>
  <c r="GJ240" i="1"/>
  <c r="GK240" i="1" s="1"/>
  <c r="GT240" i="1"/>
  <c r="GU240" i="1" s="1"/>
  <c r="GV240" i="1" s="1"/>
  <c r="GL240" i="1"/>
  <c r="GM240" i="1" s="1"/>
  <c r="GF240" i="1"/>
  <c r="GG240" i="1" s="1"/>
  <c r="GR240" i="1"/>
  <c r="GQ240" i="1"/>
  <c r="GH240" i="1"/>
  <c r="GI240" i="1" s="1"/>
  <c r="FR289" i="1"/>
  <c r="FQ289" i="1"/>
  <c r="GJ237" i="1"/>
  <c r="GK237" i="1" s="1"/>
  <c r="GT237" i="1"/>
  <c r="GU237" i="1" s="1"/>
  <c r="GV237" i="1" s="1"/>
  <c r="GL237" i="1"/>
  <c r="GM237" i="1" s="1"/>
  <c r="GF237" i="1"/>
  <c r="GG237" i="1" s="1"/>
  <c r="GQ237" i="1"/>
  <c r="GR237" i="1"/>
  <c r="GH237" i="1"/>
  <c r="GI237" i="1" s="1"/>
  <c r="GD237" i="1"/>
  <c r="GE237" i="1" s="1"/>
  <c r="FR227" i="1"/>
  <c r="FQ227" i="1"/>
  <c r="GJ210" i="1"/>
  <c r="GK210" i="1" s="1"/>
  <c r="GL210" i="1"/>
  <c r="GM210" i="1" s="1"/>
  <c r="GR210" i="1"/>
  <c r="GT210" i="1"/>
  <c r="GU210" i="1" s="1"/>
  <c r="GV210" i="1" s="1"/>
  <c r="GF210" i="1"/>
  <c r="GG210" i="1" s="1"/>
  <c r="GD210" i="1"/>
  <c r="GE210" i="1" s="1"/>
  <c r="GH210" i="1"/>
  <c r="GI210" i="1" s="1"/>
  <c r="GQ210" i="1"/>
  <c r="GL304" i="1"/>
  <c r="GM304" i="1" s="1"/>
  <c r="GT304" i="1"/>
  <c r="GU304" i="1" s="1"/>
  <c r="GV304" i="1" s="1"/>
  <c r="GR304" i="1"/>
  <c r="GD304" i="1"/>
  <c r="GE304" i="1" s="1"/>
  <c r="GF304" i="1"/>
  <c r="GG304" i="1" s="1"/>
  <c r="GH304" i="1"/>
  <c r="GI304" i="1" s="1"/>
  <c r="GQ304" i="1"/>
  <c r="GJ304" i="1"/>
  <c r="GK304" i="1" s="1"/>
  <c r="GF135" i="1"/>
  <c r="GG135" i="1" s="1"/>
  <c r="GJ135" i="1"/>
  <c r="GK135" i="1" s="1"/>
  <c r="GQ135" i="1"/>
  <c r="GD135" i="1"/>
  <c r="GE135" i="1" s="1"/>
  <c r="GL135" i="1"/>
  <c r="GM135" i="1" s="1"/>
  <c r="GR135" i="1"/>
  <c r="GT135" i="1"/>
  <c r="GU135" i="1" s="1"/>
  <c r="GV135" i="1" s="1"/>
  <c r="GH135" i="1"/>
  <c r="GI135" i="1" s="1"/>
  <c r="FQ102" i="1"/>
  <c r="FR102" i="1"/>
  <c r="GD262" i="1"/>
  <c r="GE262" i="1" s="1"/>
  <c r="GR262" i="1"/>
  <c r="GF262" i="1"/>
  <c r="GG262" i="1" s="1"/>
  <c r="GL262" i="1"/>
  <c r="GM262" i="1" s="1"/>
  <c r="GQ262" i="1"/>
  <c r="GT262" i="1"/>
  <c r="GU262" i="1" s="1"/>
  <c r="GV262" i="1" s="1"/>
  <c r="GJ262" i="1"/>
  <c r="GK262" i="1" s="1"/>
  <c r="GH262" i="1"/>
  <c r="GI262" i="1" s="1"/>
  <c r="FR65" i="1"/>
  <c r="FQ65" i="1"/>
  <c r="GQ24" i="1"/>
  <c r="GL24" i="1"/>
  <c r="GM24" i="1" s="1"/>
  <c r="GJ24" i="1"/>
  <c r="GK24" i="1" s="1"/>
  <c r="GT24" i="1"/>
  <c r="GU24" i="1" s="1"/>
  <c r="GV24" i="1" s="1"/>
  <c r="GR24" i="1"/>
  <c r="GF24" i="1"/>
  <c r="GG24" i="1" s="1"/>
  <c r="GD24" i="1"/>
  <c r="GE24" i="1" s="1"/>
  <c r="GH24" i="1"/>
  <c r="GI24" i="1" s="1"/>
  <c r="GD6" i="1"/>
  <c r="GE6" i="1" s="1"/>
  <c r="GH6" i="1"/>
  <c r="GI6" i="1" s="1"/>
  <c r="GL6" i="1"/>
  <c r="GM6" i="1" s="1"/>
  <c r="GQ6" i="1"/>
  <c r="GT6" i="1"/>
  <c r="GU6" i="1" s="1"/>
  <c r="GV6" i="1" s="1"/>
  <c r="GR6" i="1"/>
  <c r="GF6" i="1"/>
  <c r="GG6" i="1" s="1"/>
  <c r="GJ6" i="1"/>
  <c r="GK6" i="1" s="1"/>
  <c r="GH90" i="1"/>
  <c r="GI90" i="1" s="1"/>
  <c r="GL90" i="1"/>
  <c r="GM90" i="1" s="1"/>
  <c r="GJ90" i="1"/>
  <c r="GK90" i="1" s="1"/>
  <c r="GT90" i="1"/>
  <c r="GU90" i="1" s="1"/>
  <c r="GV90" i="1" s="1"/>
  <c r="GR90" i="1"/>
  <c r="GQ90" i="1"/>
  <c r="GF90" i="1"/>
  <c r="GG90" i="1" s="1"/>
  <c r="GD90" i="1"/>
  <c r="GE90" i="1" s="1"/>
  <c r="GQ30" i="1"/>
  <c r="GD30" i="1"/>
  <c r="GE30" i="1" s="1"/>
  <c r="GT30" i="1"/>
  <c r="GU30" i="1" s="1"/>
  <c r="GV30" i="1" s="1"/>
  <c r="GJ30" i="1"/>
  <c r="GK30" i="1" s="1"/>
  <c r="GR30" i="1"/>
  <c r="GF30" i="1"/>
  <c r="GG30" i="1" s="1"/>
  <c r="GL30" i="1"/>
  <c r="GM30" i="1" s="1"/>
  <c r="GH30" i="1"/>
  <c r="GI30" i="1" s="1"/>
  <c r="GL149" i="1"/>
  <c r="GM149" i="1" s="1"/>
  <c r="GD149" i="1"/>
  <c r="GE149" i="1" s="1"/>
  <c r="GH149" i="1"/>
  <c r="GI149" i="1" s="1"/>
  <c r="GR149" i="1"/>
  <c r="GJ149" i="1"/>
  <c r="GK149" i="1" s="1"/>
  <c r="GF149" i="1"/>
  <c r="GG149" i="1" s="1"/>
  <c r="GQ149" i="1"/>
  <c r="GT149" i="1"/>
  <c r="GU149" i="1" s="1"/>
  <c r="GV149" i="1" s="1"/>
  <c r="FR271" i="1"/>
  <c r="FQ271" i="1"/>
  <c r="FQ48" i="1"/>
  <c r="FR48" i="1"/>
  <c r="FQ61" i="1"/>
  <c r="FR61" i="1"/>
  <c r="GT215" i="1"/>
  <c r="GU215" i="1" s="1"/>
  <c r="GV215" i="1" s="1"/>
  <c r="GR215" i="1"/>
  <c r="GD215" i="1"/>
  <c r="GE215" i="1" s="1"/>
  <c r="GF215" i="1"/>
  <c r="GG215" i="1" s="1"/>
  <c r="GQ215" i="1"/>
  <c r="GH215" i="1"/>
  <c r="GI215" i="1" s="1"/>
  <c r="GJ215" i="1"/>
  <c r="GK215" i="1" s="1"/>
  <c r="GL215" i="1"/>
  <c r="GM215" i="1" s="1"/>
  <c r="GQ222" i="1"/>
  <c r="GT222" i="1"/>
  <c r="GU222" i="1" s="1"/>
  <c r="GV222" i="1" s="1"/>
  <c r="GL222" i="1"/>
  <c r="GM222" i="1" s="1"/>
  <c r="GF222" i="1"/>
  <c r="GG222" i="1" s="1"/>
  <c r="GR222" i="1"/>
  <c r="GH222" i="1"/>
  <c r="GI222" i="1" s="1"/>
  <c r="GD222" i="1"/>
  <c r="GE222" i="1" s="1"/>
  <c r="GJ222" i="1"/>
  <c r="GK222" i="1" s="1"/>
  <c r="GF192" i="1"/>
  <c r="GG192" i="1" s="1"/>
  <c r="GD192" i="1"/>
  <c r="GE192" i="1" s="1"/>
  <c r="GR192" i="1"/>
  <c r="GJ192" i="1"/>
  <c r="GK192" i="1" s="1"/>
  <c r="GH192" i="1"/>
  <c r="GI192" i="1" s="1"/>
  <c r="GT192" i="1"/>
  <c r="GU192" i="1" s="1"/>
  <c r="GV192" i="1" s="1"/>
  <c r="GL192" i="1"/>
  <c r="GM192" i="1" s="1"/>
  <c r="GQ192" i="1"/>
  <c r="GD274" i="1"/>
  <c r="GE274" i="1" s="1"/>
  <c r="GH274" i="1"/>
  <c r="GI274" i="1" s="1"/>
  <c r="GQ274" i="1"/>
  <c r="GT274" i="1"/>
  <c r="GU274" i="1" s="1"/>
  <c r="GV274" i="1" s="1"/>
  <c r="GL274" i="1"/>
  <c r="GM274" i="1" s="1"/>
  <c r="GF274" i="1"/>
  <c r="GG274" i="1" s="1"/>
  <c r="GR274" i="1"/>
  <c r="GJ274" i="1"/>
  <c r="GK274" i="1" s="1"/>
  <c r="GQ159" i="1"/>
  <c r="GD159" i="1"/>
  <c r="GE159" i="1" s="1"/>
  <c r="GR159" i="1"/>
  <c r="GL159" i="1"/>
  <c r="GM159" i="1" s="1"/>
  <c r="GT159" i="1"/>
  <c r="GU159" i="1" s="1"/>
  <c r="GV159" i="1" s="1"/>
  <c r="GJ159" i="1"/>
  <c r="GK159" i="1" s="1"/>
  <c r="GH159" i="1"/>
  <c r="GI159" i="1" s="1"/>
  <c r="GF159" i="1"/>
  <c r="GG159" i="1" s="1"/>
  <c r="GQ122" i="1"/>
  <c r="GT122" i="1"/>
  <c r="GU122" i="1" s="1"/>
  <c r="GV122" i="1" s="1"/>
  <c r="GD122" i="1"/>
  <c r="GE122" i="1" s="1"/>
  <c r="GH122" i="1"/>
  <c r="GI122" i="1" s="1"/>
  <c r="GR122" i="1"/>
  <c r="GJ122" i="1"/>
  <c r="GK122" i="1" s="1"/>
  <c r="GF122" i="1"/>
  <c r="GG122" i="1" s="1"/>
  <c r="GL122" i="1"/>
  <c r="GM122" i="1" s="1"/>
  <c r="GR243" i="1"/>
  <c r="GH243" i="1"/>
  <c r="GI243" i="1" s="1"/>
  <c r="GD243" i="1"/>
  <c r="GE243" i="1" s="1"/>
  <c r="GJ243" i="1"/>
  <c r="GK243" i="1" s="1"/>
  <c r="GT243" i="1"/>
  <c r="GU243" i="1" s="1"/>
  <c r="GV243" i="1" s="1"/>
  <c r="GL243" i="1"/>
  <c r="GM243" i="1" s="1"/>
  <c r="GQ243" i="1"/>
  <c r="GF243" i="1"/>
  <c r="GG243" i="1" s="1"/>
  <c r="GR286" i="1"/>
  <c r="GH286" i="1"/>
  <c r="GI286" i="1" s="1"/>
  <c r="GQ286" i="1"/>
  <c r="GD286" i="1"/>
  <c r="GE286" i="1" s="1"/>
  <c r="GJ286" i="1"/>
  <c r="GK286" i="1" s="1"/>
  <c r="GL286" i="1"/>
  <c r="GM286" i="1" s="1"/>
  <c r="GT286" i="1"/>
  <c r="GU286" i="1" s="1"/>
  <c r="GV286" i="1" s="1"/>
  <c r="GF286" i="1"/>
  <c r="GG286" i="1" s="1"/>
  <c r="GC196" i="1"/>
  <c r="GC66" i="1"/>
  <c r="FR141" i="1"/>
  <c r="FQ141" i="1"/>
  <c r="FR244" i="1"/>
  <c r="FQ244" i="1"/>
  <c r="GF248" i="1"/>
  <c r="GG248" i="1" s="1"/>
  <c r="GR248" i="1"/>
  <c r="GH248" i="1"/>
  <c r="GI248" i="1" s="1"/>
  <c r="GJ248" i="1"/>
  <c r="GK248" i="1" s="1"/>
  <c r="GD248" i="1"/>
  <c r="GE248" i="1" s="1"/>
  <c r="GQ248" i="1"/>
  <c r="GL248" i="1"/>
  <c r="GM248" i="1" s="1"/>
  <c r="GT248" i="1"/>
  <c r="GU248" i="1" s="1"/>
  <c r="GV248" i="1" s="1"/>
  <c r="GF112" i="1"/>
  <c r="GG112" i="1" s="1"/>
  <c r="GT112" i="1"/>
  <c r="GU112" i="1" s="1"/>
  <c r="GV112" i="1" s="1"/>
  <c r="GH112" i="1"/>
  <c r="GI112" i="1" s="1"/>
  <c r="GR112" i="1"/>
  <c r="GD112" i="1"/>
  <c r="GE112" i="1" s="1"/>
  <c r="GQ112" i="1"/>
  <c r="GL112" i="1"/>
  <c r="GM112" i="1" s="1"/>
  <c r="GJ112" i="1"/>
  <c r="GK112" i="1" s="1"/>
  <c r="GF139" i="1"/>
  <c r="GG139" i="1" s="1"/>
  <c r="GD139" i="1"/>
  <c r="GE139" i="1" s="1"/>
  <c r="GR139" i="1"/>
  <c r="GJ139" i="1"/>
  <c r="GK139" i="1" s="1"/>
  <c r="GL139" i="1"/>
  <c r="GM139" i="1" s="1"/>
  <c r="GH139" i="1"/>
  <c r="GI139" i="1" s="1"/>
  <c r="GT139" i="1"/>
  <c r="GU139" i="1" s="1"/>
  <c r="GV139" i="1" s="1"/>
  <c r="GQ139" i="1"/>
  <c r="GF21" i="1"/>
  <c r="GG21" i="1" s="1"/>
  <c r="GJ21" i="1"/>
  <c r="GK21" i="1" s="1"/>
  <c r="GT21" i="1"/>
  <c r="GU21" i="1" s="1"/>
  <c r="GV21" i="1" s="1"/>
  <c r="GR21" i="1"/>
  <c r="GH21" i="1"/>
  <c r="GI21" i="1" s="1"/>
  <c r="GD21" i="1"/>
  <c r="GE21" i="1" s="1"/>
  <c r="GN21" i="1"/>
  <c r="GO21" i="1" s="1"/>
  <c r="GQ21" i="1"/>
  <c r="GL21" i="1"/>
  <c r="GM21" i="1" s="1"/>
  <c r="GQ217" i="1"/>
  <c r="GN217" i="1"/>
  <c r="GO217" i="1" s="1"/>
  <c r="GF217" i="1"/>
  <c r="GG217" i="1" s="1"/>
  <c r="GH217" i="1"/>
  <c r="GI217" i="1" s="1"/>
  <c r="GR217" i="1"/>
  <c r="GJ217" i="1"/>
  <c r="GK217" i="1" s="1"/>
  <c r="GD217" i="1"/>
  <c r="GE217" i="1" s="1"/>
  <c r="GL217" i="1"/>
  <c r="GM217" i="1" s="1"/>
  <c r="GT217" i="1"/>
  <c r="GU217" i="1" s="1"/>
  <c r="GV217" i="1" s="1"/>
  <c r="GQ129" i="1"/>
  <c r="GT129" i="1"/>
  <c r="GU129" i="1" s="1"/>
  <c r="GV129" i="1" s="1"/>
  <c r="GN129" i="1"/>
  <c r="GO129" i="1" s="1"/>
  <c r="GF129" i="1"/>
  <c r="GG129" i="1" s="1"/>
  <c r="GJ129" i="1"/>
  <c r="GK129" i="1" s="1"/>
  <c r="GR129" i="1"/>
  <c r="GL129" i="1"/>
  <c r="GM129" i="1" s="1"/>
  <c r="GH129" i="1"/>
  <c r="GI129" i="1" s="1"/>
  <c r="GD129" i="1"/>
  <c r="GE129" i="1" s="1"/>
  <c r="GH157" i="1"/>
  <c r="GI157" i="1" s="1"/>
  <c r="GT157" i="1"/>
  <c r="GU157" i="1" s="1"/>
  <c r="GV157" i="1" s="1"/>
  <c r="GQ157" i="1"/>
  <c r="GL157" i="1"/>
  <c r="GM157" i="1" s="1"/>
  <c r="GF157" i="1"/>
  <c r="GG157" i="1" s="1"/>
  <c r="GD157" i="1"/>
  <c r="GE157" i="1" s="1"/>
  <c r="GR157" i="1"/>
  <c r="GJ157" i="1"/>
  <c r="GK157" i="1" s="1"/>
  <c r="GT219" i="1"/>
  <c r="GU219" i="1" s="1"/>
  <c r="GV219" i="1" s="1"/>
  <c r="GL219" i="1"/>
  <c r="GM219" i="1" s="1"/>
  <c r="GQ219" i="1"/>
  <c r="GF219" i="1"/>
  <c r="GG219" i="1" s="1"/>
  <c r="GR219" i="1"/>
  <c r="GH219" i="1"/>
  <c r="GI219" i="1" s="1"/>
  <c r="GD219" i="1"/>
  <c r="GE219" i="1" s="1"/>
  <c r="GJ219" i="1"/>
  <c r="GK219" i="1" s="1"/>
  <c r="GH169" i="1"/>
  <c r="GI169" i="1" s="1"/>
  <c r="GT169" i="1"/>
  <c r="GU169" i="1" s="1"/>
  <c r="GV169" i="1" s="1"/>
  <c r="GF169" i="1"/>
  <c r="GG169" i="1" s="1"/>
  <c r="GL169" i="1"/>
  <c r="GM169" i="1" s="1"/>
  <c r="GJ169" i="1"/>
  <c r="GK169" i="1" s="1"/>
  <c r="GD169" i="1"/>
  <c r="GE169" i="1" s="1"/>
  <c r="GQ169" i="1"/>
  <c r="GR169" i="1"/>
  <c r="GR283" i="1"/>
  <c r="GF283" i="1"/>
  <c r="GG283" i="1" s="1"/>
  <c r="GT283" i="1"/>
  <c r="GU283" i="1" s="1"/>
  <c r="GV283" i="1" s="1"/>
  <c r="GQ283" i="1"/>
  <c r="GD283" i="1"/>
  <c r="GE283" i="1" s="1"/>
  <c r="GH283" i="1"/>
  <c r="GI283" i="1" s="1"/>
  <c r="GJ283" i="1"/>
  <c r="GK283" i="1" s="1"/>
  <c r="GL283" i="1"/>
  <c r="GM283" i="1" s="1"/>
  <c r="GT296" i="1"/>
  <c r="GU296" i="1" s="1"/>
  <c r="GV296" i="1" s="1"/>
  <c r="GJ296" i="1"/>
  <c r="GK296" i="1" s="1"/>
  <c r="GF296" i="1"/>
  <c r="GG296" i="1" s="1"/>
  <c r="GL296" i="1"/>
  <c r="GM296" i="1" s="1"/>
  <c r="GQ296" i="1"/>
  <c r="GR296" i="1"/>
  <c r="GD296" i="1"/>
  <c r="GE296" i="1" s="1"/>
  <c r="GH296" i="1"/>
  <c r="GI296" i="1" s="1"/>
  <c r="GR42" i="1"/>
  <c r="GN42" i="1"/>
  <c r="GO42" i="1" s="1"/>
  <c r="GQ42" i="1"/>
  <c r="GF42" i="1"/>
  <c r="GG42" i="1" s="1"/>
  <c r="GL42" i="1"/>
  <c r="GM42" i="1" s="1"/>
  <c r="GH42" i="1"/>
  <c r="GI42" i="1" s="1"/>
  <c r="GD42" i="1"/>
  <c r="GE42" i="1" s="1"/>
  <c r="GJ42" i="1"/>
  <c r="GK42" i="1" s="1"/>
  <c r="GT42" i="1"/>
  <c r="GU42" i="1" s="1"/>
  <c r="GV42" i="1" s="1"/>
  <c r="GQ226" i="1"/>
  <c r="GT226" i="1"/>
  <c r="GU226" i="1" s="1"/>
  <c r="GV226" i="1" s="1"/>
  <c r="GL226" i="1"/>
  <c r="GM226" i="1" s="1"/>
  <c r="GF226" i="1"/>
  <c r="GG226" i="1" s="1"/>
  <c r="GR226" i="1"/>
  <c r="GH226" i="1"/>
  <c r="GI226" i="1" s="1"/>
  <c r="GD226" i="1"/>
  <c r="GE226" i="1" s="1"/>
  <c r="GJ226" i="1"/>
  <c r="GK226" i="1" s="1"/>
  <c r="GD116" i="1"/>
  <c r="GE116" i="1" s="1"/>
  <c r="GJ116" i="1"/>
  <c r="GK116" i="1" s="1"/>
  <c r="GT116" i="1"/>
  <c r="GU116" i="1" s="1"/>
  <c r="GV116" i="1" s="1"/>
  <c r="GL116" i="1"/>
  <c r="GM116" i="1" s="1"/>
  <c r="GQ116" i="1"/>
  <c r="GF116" i="1"/>
  <c r="GG116" i="1" s="1"/>
  <c r="GR116" i="1"/>
  <c r="GH116" i="1"/>
  <c r="GI116" i="1" s="1"/>
  <c r="GF166" i="1"/>
  <c r="GG166" i="1" s="1"/>
  <c r="GQ166" i="1"/>
  <c r="GJ166" i="1"/>
  <c r="GK166" i="1" s="1"/>
  <c r="GH166" i="1"/>
  <c r="GI166" i="1" s="1"/>
  <c r="GR166" i="1"/>
  <c r="GT166" i="1"/>
  <c r="GU166" i="1" s="1"/>
  <c r="GV166" i="1" s="1"/>
  <c r="GD166" i="1"/>
  <c r="GE166" i="1" s="1"/>
  <c r="GL166" i="1"/>
  <c r="GM166" i="1" s="1"/>
  <c r="FR128" i="1"/>
  <c r="FQ128" i="1"/>
  <c r="FQ82" i="1"/>
  <c r="FR82" i="1"/>
  <c r="FR100" i="1"/>
  <c r="FQ100" i="1"/>
  <c r="FQ254" i="1"/>
  <c r="FR254" i="1"/>
  <c r="FR280" i="1"/>
  <c r="FQ280" i="1"/>
  <c r="GJ77" i="1"/>
  <c r="GK77" i="1" s="1"/>
  <c r="GT77" i="1"/>
  <c r="GU77" i="1" s="1"/>
  <c r="GV77" i="1" s="1"/>
  <c r="GR77" i="1"/>
  <c r="GQ77" i="1"/>
  <c r="GF77" i="1"/>
  <c r="GG77" i="1" s="1"/>
  <c r="GD77" i="1"/>
  <c r="GE77" i="1" s="1"/>
  <c r="GH77" i="1"/>
  <c r="GI77" i="1" s="1"/>
  <c r="GL77" i="1"/>
  <c r="GM77" i="1" s="1"/>
  <c r="GD207" i="1"/>
  <c r="GE207" i="1" s="1"/>
  <c r="GL207" i="1"/>
  <c r="GM207" i="1" s="1"/>
  <c r="GT207" i="1"/>
  <c r="GU207" i="1" s="1"/>
  <c r="GV207" i="1" s="1"/>
  <c r="GH207" i="1"/>
  <c r="GI207" i="1" s="1"/>
  <c r="GQ207" i="1"/>
  <c r="GJ207" i="1"/>
  <c r="GK207" i="1" s="1"/>
  <c r="GF207" i="1"/>
  <c r="GG207" i="1" s="1"/>
  <c r="GR207" i="1"/>
  <c r="GJ125" i="1"/>
  <c r="GK125" i="1" s="1"/>
  <c r="GD125" i="1"/>
  <c r="GE125" i="1" s="1"/>
  <c r="GT125" i="1"/>
  <c r="GU125" i="1" s="1"/>
  <c r="GV125" i="1" s="1"/>
  <c r="GF125" i="1"/>
  <c r="GG125" i="1" s="1"/>
  <c r="GQ125" i="1"/>
  <c r="GR125" i="1"/>
  <c r="GL125" i="1"/>
  <c r="GM125" i="1" s="1"/>
  <c r="GH125" i="1"/>
  <c r="GI125" i="1" s="1"/>
  <c r="GF142" i="1"/>
  <c r="GG142" i="1" s="1"/>
  <c r="GH142" i="1"/>
  <c r="GI142" i="1" s="1"/>
  <c r="GL142" i="1"/>
  <c r="GM142" i="1" s="1"/>
  <c r="GT142" i="1"/>
  <c r="GU142" i="1" s="1"/>
  <c r="GV142" i="1" s="1"/>
  <c r="GQ142" i="1"/>
  <c r="GR142" i="1"/>
  <c r="GN142" i="1"/>
  <c r="GO142" i="1" s="1"/>
  <c r="GJ142" i="1"/>
  <c r="GK142" i="1" s="1"/>
  <c r="GD142" i="1"/>
  <c r="GE142" i="1" s="1"/>
  <c r="FQ204" i="1"/>
  <c r="FR204" i="1"/>
  <c r="GJ51" i="1"/>
  <c r="GK51" i="1" s="1"/>
  <c r="GT51" i="1"/>
  <c r="GU51" i="1" s="1"/>
  <c r="GV51" i="1" s="1"/>
  <c r="GR51" i="1"/>
  <c r="GH51" i="1"/>
  <c r="GI51" i="1" s="1"/>
  <c r="GD51" i="1"/>
  <c r="GE51" i="1" s="1"/>
  <c r="GQ51" i="1"/>
  <c r="GL51" i="1"/>
  <c r="GM51" i="1" s="1"/>
  <c r="GF51" i="1"/>
  <c r="GG51" i="1" s="1"/>
  <c r="GR151" i="1"/>
  <c r="GJ151" i="1"/>
  <c r="GK151" i="1" s="1"/>
  <c r="GF151" i="1"/>
  <c r="GG151" i="1" s="1"/>
  <c r="GL151" i="1"/>
  <c r="GM151" i="1" s="1"/>
  <c r="GT151" i="1"/>
  <c r="GU151" i="1" s="1"/>
  <c r="GV151" i="1" s="1"/>
  <c r="GD151" i="1"/>
  <c r="GE151" i="1" s="1"/>
  <c r="GQ151" i="1"/>
  <c r="GH151" i="1"/>
  <c r="GI151" i="1" s="1"/>
  <c r="GR293" i="1"/>
  <c r="GQ293" i="1"/>
  <c r="GT293" i="1"/>
  <c r="GU293" i="1" s="1"/>
  <c r="GV293" i="1" s="1"/>
  <c r="GD293" i="1"/>
  <c r="GE293" i="1" s="1"/>
  <c r="GF293" i="1"/>
  <c r="GG293" i="1" s="1"/>
  <c r="GL293" i="1"/>
  <c r="GM293" i="1" s="1"/>
  <c r="GH293" i="1"/>
  <c r="GI293" i="1" s="1"/>
  <c r="GJ293" i="1"/>
  <c r="GK293" i="1" s="1"/>
  <c r="GT190" i="1"/>
  <c r="GU190" i="1" s="1"/>
  <c r="GV190" i="1" s="1"/>
  <c r="GN190" i="1"/>
  <c r="GO190" i="1" s="1"/>
  <c r="GD190" i="1"/>
  <c r="GE190" i="1" s="1"/>
  <c r="GJ190" i="1"/>
  <c r="GK190" i="1" s="1"/>
  <c r="GH190" i="1"/>
  <c r="GI190" i="1" s="1"/>
  <c r="GF190" i="1"/>
  <c r="GG190" i="1" s="1"/>
  <c r="GQ190" i="1"/>
  <c r="GL190" i="1"/>
  <c r="GM190" i="1" s="1"/>
  <c r="GR190" i="1"/>
  <c r="GL56" i="1"/>
  <c r="GM56" i="1" s="1"/>
  <c r="GQ56" i="1"/>
  <c r="GD56" i="1"/>
  <c r="GE56" i="1" s="1"/>
  <c r="GH56" i="1"/>
  <c r="GI56" i="1" s="1"/>
  <c r="GR56" i="1"/>
  <c r="GF56" i="1"/>
  <c r="GG56" i="1" s="1"/>
  <c r="GJ56" i="1"/>
  <c r="GK56" i="1" s="1"/>
  <c r="GT56" i="1"/>
  <c r="GU56" i="1" s="1"/>
  <c r="GV56" i="1" s="1"/>
  <c r="FQ7" i="1"/>
  <c r="FR7" i="1"/>
  <c r="GT15" i="1"/>
  <c r="GU15" i="1" s="1"/>
  <c r="GV15" i="1" s="1"/>
  <c r="GR15" i="1"/>
  <c r="GF15" i="1"/>
  <c r="GG15" i="1" s="1"/>
  <c r="GJ15" i="1"/>
  <c r="GK15" i="1" s="1"/>
  <c r="GD15" i="1"/>
  <c r="GE15" i="1" s="1"/>
  <c r="GH15" i="1"/>
  <c r="GI15" i="1" s="1"/>
  <c r="GL15" i="1"/>
  <c r="GM15" i="1" s="1"/>
  <c r="GQ15" i="1"/>
  <c r="GD224" i="1"/>
  <c r="GE224" i="1" s="1"/>
  <c r="GJ224" i="1"/>
  <c r="GK224" i="1" s="1"/>
  <c r="GT224" i="1"/>
  <c r="GU224" i="1" s="1"/>
  <c r="GV224" i="1" s="1"/>
  <c r="GL224" i="1"/>
  <c r="GM224" i="1" s="1"/>
  <c r="GF224" i="1"/>
  <c r="GG224" i="1" s="1"/>
  <c r="GR224" i="1"/>
  <c r="GQ224" i="1"/>
  <c r="GH224" i="1"/>
  <c r="GI224" i="1" s="1"/>
  <c r="GF197" i="1"/>
  <c r="GG197" i="1" s="1"/>
  <c r="GJ197" i="1"/>
  <c r="GK197" i="1" s="1"/>
  <c r="GR197" i="1"/>
  <c r="GL197" i="1"/>
  <c r="GM197" i="1" s="1"/>
  <c r="GH197" i="1"/>
  <c r="GI197" i="1" s="1"/>
  <c r="GD197" i="1"/>
  <c r="GE197" i="1" s="1"/>
  <c r="GQ197" i="1"/>
  <c r="GT197" i="1"/>
  <c r="GU197" i="1" s="1"/>
  <c r="GV197" i="1" s="1"/>
  <c r="GQ191" i="1"/>
  <c r="GT191" i="1"/>
  <c r="GU191" i="1" s="1"/>
  <c r="GV191" i="1" s="1"/>
  <c r="GD191" i="1"/>
  <c r="GE191" i="1" s="1"/>
  <c r="GH191" i="1"/>
  <c r="GI191" i="1" s="1"/>
  <c r="GF191" i="1"/>
  <c r="GG191" i="1" s="1"/>
  <c r="GJ191" i="1"/>
  <c r="GK191" i="1" s="1"/>
  <c r="GR191" i="1"/>
  <c r="GL191" i="1"/>
  <c r="GM191" i="1" s="1"/>
  <c r="GD211" i="1"/>
  <c r="GE211" i="1" s="1"/>
  <c r="GJ211" i="1"/>
  <c r="GK211" i="1" s="1"/>
  <c r="GR211" i="1"/>
  <c r="GF211" i="1"/>
  <c r="GG211" i="1" s="1"/>
  <c r="GT211" i="1"/>
  <c r="GU211" i="1" s="1"/>
  <c r="GV211" i="1" s="1"/>
  <c r="GQ211" i="1"/>
  <c r="GH211" i="1"/>
  <c r="GI211" i="1" s="1"/>
  <c r="GL211" i="1"/>
  <c r="GM211" i="1" s="1"/>
  <c r="GT60" i="1"/>
  <c r="GU60" i="1" s="1"/>
  <c r="GV60" i="1" s="1"/>
  <c r="GH60" i="1"/>
  <c r="GI60" i="1" s="1"/>
  <c r="GQ60" i="1"/>
  <c r="GL60" i="1"/>
  <c r="GM60" i="1" s="1"/>
  <c r="GR60" i="1"/>
  <c r="GD60" i="1"/>
  <c r="GE60" i="1" s="1"/>
  <c r="GJ60" i="1"/>
  <c r="GK60" i="1" s="1"/>
  <c r="GF60" i="1"/>
  <c r="GG60" i="1" s="1"/>
  <c r="GD272" i="1"/>
  <c r="GE272" i="1" s="1"/>
  <c r="GJ272" i="1"/>
  <c r="GK272" i="1" s="1"/>
  <c r="GT272" i="1"/>
  <c r="GU272" i="1" s="1"/>
  <c r="GV272" i="1" s="1"/>
  <c r="GL272" i="1"/>
  <c r="GM272" i="1" s="1"/>
  <c r="GF272" i="1"/>
  <c r="GG272" i="1" s="1"/>
  <c r="GR272" i="1"/>
  <c r="GQ272" i="1"/>
  <c r="GH272" i="1"/>
  <c r="GI272" i="1" s="1"/>
  <c r="GF261" i="1"/>
  <c r="GG261" i="1" s="1"/>
  <c r="GQ261" i="1"/>
  <c r="GL261" i="1"/>
  <c r="GM261" i="1" s="1"/>
  <c r="GJ261" i="1"/>
  <c r="GK261" i="1" s="1"/>
  <c r="GT261" i="1"/>
  <c r="GU261" i="1" s="1"/>
  <c r="GV261" i="1" s="1"/>
  <c r="GH261" i="1"/>
  <c r="GI261" i="1" s="1"/>
  <c r="GD261" i="1"/>
  <c r="GE261" i="1" s="1"/>
  <c r="GR261" i="1"/>
  <c r="FQ105" i="1"/>
  <c r="FR105" i="1"/>
  <c r="FQ252" i="1"/>
  <c r="FR252" i="1"/>
  <c r="GQ59" i="1"/>
  <c r="GH59" i="1"/>
  <c r="GI59" i="1" s="1"/>
  <c r="GD59" i="1"/>
  <c r="GE59" i="1" s="1"/>
  <c r="GJ59" i="1"/>
  <c r="GK59" i="1" s="1"/>
  <c r="GF59" i="1"/>
  <c r="GG59" i="1" s="1"/>
  <c r="GT59" i="1"/>
  <c r="GU59" i="1" s="1"/>
  <c r="GV59" i="1" s="1"/>
  <c r="GR59" i="1"/>
  <c r="GL59" i="1"/>
  <c r="GM59" i="1" s="1"/>
  <c r="GR291" i="1"/>
  <c r="GJ291" i="1"/>
  <c r="GK291" i="1" s="1"/>
  <c r="GT291" i="1"/>
  <c r="GU291" i="1" s="1"/>
  <c r="GV291" i="1" s="1"/>
  <c r="GQ291" i="1"/>
  <c r="GF291" i="1"/>
  <c r="GG291" i="1" s="1"/>
  <c r="GH291" i="1"/>
  <c r="GI291" i="1" s="1"/>
  <c r="GD291" i="1"/>
  <c r="GE291" i="1" s="1"/>
  <c r="GL291" i="1"/>
  <c r="GM291" i="1" s="1"/>
  <c r="GL250" i="1"/>
  <c r="GM250" i="1" s="1"/>
  <c r="GD250" i="1"/>
  <c r="GE250" i="1" s="1"/>
  <c r="GR250" i="1"/>
  <c r="GF250" i="1"/>
  <c r="GG250" i="1" s="1"/>
  <c r="GT250" i="1"/>
  <c r="GU250" i="1" s="1"/>
  <c r="GV250" i="1" s="1"/>
  <c r="GQ250" i="1"/>
  <c r="GJ250" i="1"/>
  <c r="GK250" i="1" s="1"/>
  <c r="GN250" i="1"/>
  <c r="GO250" i="1" s="1"/>
  <c r="GH250" i="1"/>
  <c r="GI250" i="1" s="1"/>
  <c r="GH167" i="1"/>
  <c r="GI167" i="1" s="1"/>
  <c r="GJ167" i="1"/>
  <c r="GK167" i="1" s="1"/>
  <c r="GD167" i="1"/>
  <c r="GE167" i="1" s="1"/>
  <c r="GR167" i="1"/>
  <c r="GQ167" i="1"/>
  <c r="GT167" i="1"/>
  <c r="GU167" i="1" s="1"/>
  <c r="GV167" i="1" s="1"/>
  <c r="GF167" i="1"/>
  <c r="GG167" i="1" s="1"/>
  <c r="GL167" i="1"/>
  <c r="GM167" i="1" s="1"/>
  <c r="GT20" i="1"/>
  <c r="GU20" i="1" s="1"/>
  <c r="GV20" i="1" s="1"/>
  <c r="GJ20" i="1"/>
  <c r="GK20" i="1" s="1"/>
  <c r="GH20" i="1"/>
  <c r="GI20" i="1" s="1"/>
  <c r="GD20" i="1"/>
  <c r="GE20" i="1" s="1"/>
  <c r="GF20" i="1"/>
  <c r="GG20" i="1" s="1"/>
  <c r="GL20" i="1"/>
  <c r="GM20" i="1" s="1"/>
  <c r="GQ20" i="1"/>
  <c r="GR20" i="1"/>
  <c r="GT12" i="1"/>
  <c r="GU12" i="1" s="1"/>
  <c r="GV12" i="1" s="1"/>
  <c r="GQ12" i="1"/>
  <c r="GF12" i="1"/>
  <c r="GG12" i="1" s="1"/>
  <c r="GR12" i="1"/>
  <c r="GD12" i="1"/>
  <c r="GE12" i="1" s="1"/>
  <c r="GH12" i="1"/>
  <c r="GI12" i="1" s="1"/>
  <c r="GL12" i="1"/>
  <c r="GM12" i="1" s="1"/>
  <c r="GJ12" i="1"/>
  <c r="GK12" i="1" s="1"/>
  <c r="GF136" i="1"/>
  <c r="GG136" i="1" s="1"/>
  <c r="GN136" i="1"/>
  <c r="GO136" i="1" s="1"/>
  <c r="GH136" i="1"/>
  <c r="GI136" i="1" s="1"/>
  <c r="GT136" i="1"/>
  <c r="GU136" i="1" s="1"/>
  <c r="GV136" i="1" s="1"/>
  <c r="GQ136" i="1"/>
  <c r="GR136" i="1"/>
  <c r="GD136" i="1"/>
  <c r="GE136" i="1" s="1"/>
  <c r="GL136" i="1"/>
  <c r="GM136" i="1" s="1"/>
  <c r="GJ136" i="1"/>
  <c r="GK136" i="1" s="1"/>
  <c r="GH160" i="1"/>
  <c r="GI160" i="1" s="1"/>
  <c r="GL160" i="1"/>
  <c r="GM160" i="1" s="1"/>
  <c r="GQ160" i="1"/>
  <c r="GT160" i="1"/>
  <c r="GU160" i="1" s="1"/>
  <c r="GV160" i="1" s="1"/>
  <c r="GF160" i="1"/>
  <c r="GG160" i="1" s="1"/>
  <c r="GJ160" i="1"/>
  <c r="GK160" i="1" s="1"/>
  <c r="GD160" i="1"/>
  <c r="GE160" i="1" s="1"/>
  <c r="GR160" i="1"/>
  <c r="GR295" i="1"/>
  <c r="GT295" i="1"/>
  <c r="GU295" i="1" s="1"/>
  <c r="GV295" i="1" s="1"/>
  <c r="GJ295" i="1"/>
  <c r="GK295" i="1" s="1"/>
  <c r="GD295" i="1"/>
  <c r="GE295" i="1" s="1"/>
  <c r="GF295" i="1"/>
  <c r="GG295" i="1" s="1"/>
  <c r="GQ295" i="1"/>
  <c r="GL295" i="1"/>
  <c r="GM295" i="1" s="1"/>
  <c r="GH295" i="1"/>
  <c r="GI295" i="1" s="1"/>
  <c r="GD252" i="1"/>
  <c r="GE252" i="1" s="1"/>
  <c r="GH252" i="1"/>
  <c r="GI252" i="1" s="1"/>
  <c r="GL252" i="1"/>
  <c r="GM252" i="1" s="1"/>
  <c r="GR252" i="1"/>
  <c r="GF252" i="1"/>
  <c r="GG252" i="1" s="1"/>
  <c r="GT252" i="1"/>
  <c r="GU252" i="1" s="1"/>
  <c r="GV252" i="1" s="1"/>
  <c r="GQ252" i="1"/>
  <c r="GJ252" i="1"/>
  <c r="GK252" i="1" s="1"/>
  <c r="GR281" i="1"/>
  <c r="GT281" i="1"/>
  <c r="GU281" i="1" s="1"/>
  <c r="GV281" i="1" s="1"/>
  <c r="GF281" i="1"/>
  <c r="GG281" i="1" s="1"/>
  <c r="GQ281" i="1"/>
  <c r="GH281" i="1"/>
  <c r="GI281" i="1" s="1"/>
  <c r="GD281" i="1"/>
  <c r="GE281" i="1" s="1"/>
  <c r="GJ281" i="1"/>
  <c r="GK281" i="1" s="1"/>
  <c r="GL281" i="1"/>
  <c r="GM281" i="1" s="1"/>
  <c r="GQ266" i="1"/>
  <c r="GH266" i="1"/>
  <c r="GI266" i="1" s="1"/>
  <c r="GJ266" i="1"/>
  <c r="GK266" i="1" s="1"/>
  <c r="GT266" i="1"/>
  <c r="GU266" i="1" s="1"/>
  <c r="GV266" i="1" s="1"/>
  <c r="GR266" i="1"/>
  <c r="GD266" i="1"/>
  <c r="GE266" i="1" s="1"/>
  <c r="GL266" i="1"/>
  <c r="GM266" i="1" s="1"/>
  <c r="GF266" i="1"/>
  <c r="GG266" i="1" s="1"/>
  <c r="GJ44" i="1"/>
  <c r="GK44" i="1" s="1"/>
  <c r="GT44" i="1"/>
  <c r="GU44" i="1" s="1"/>
  <c r="GV44" i="1" s="1"/>
  <c r="GL44" i="1"/>
  <c r="GM44" i="1" s="1"/>
  <c r="GD44" i="1"/>
  <c r="GE44" i="1" s="1"/>
  <c r="GQ44" i="1"/>
  <c r="GR44" i="1"/>
  <c r="GF44" i="1"/>
  <c r="GG44" i="1" s="1"/>
  <c r="GH44" i="1"/>
  <c r="GI44" i="1" s="1"/>
  <c r="GQ16" i="1"/>
  <c r="GF16" i="1"/>
  <c r="GG16" i="1" s="1"/>
  <c r="GL16" i="1"/>
  <c r="GM16" i="1" s="1"/>
  <c r="GR16" i="1"/>
  <c r="GT16" i="1"/>
  <c r="GU16" i="1" s="1"/>
  <c r="GV16" i="1" s="1"/>
  <c r="GH16" i="1"/>
  <c r="GI16" i="1" s="1"/>
  <c r="GD16" i="1"/>
  <c r="GE16" i="1" s="1"/>
  <c r="GJ16" i="1"/>
  <c r="GK16" i="1" s="1"/>
  <c r="GR271" i="1"/>
  <c r="GT271" i="1"/>
  <c r="GU271" i="1" s="1"/>
  <c r="GV271" i="1" s="1"/>
  <c r="GF271" i="1"/>
  <c r="GG271" i="1" s="1"/>
  <c r="GD271" i="1"/>
  <c r="GE271" i="1" s="1"/>
  <c r="GQ271" i="1"/>
  <c r="GL271" i="1"/>
  <c r="GM271" i="1" s="1"/>
  <c r="GH271" i="1"/>
  <c r="GI271" i="1" s="1"/>
  <c r="GJ271" i="1"/>
  <c r="GK271" i="1" s="1"/>
  <c r="FQ183" i="1"/>
  <c r="FQ182" i="1"/>
  <c r="FR182" i="1"/>
  <c r="FR57" i="1"/>
  <c r="FQ57" i="1"/>
  <c r="GR74" i="1"/>
  <c r="GQ74" i="1"/>
  <c r="GF74" i="1"/>
  <c r="GG74" i="1" s="1"/>
  <c r="GD74" i="1"/>
  <c r="GE74" i="1" s="1"/>
  <c r="GH74" i="1"/>
  <c r="GI74" i="1" s="1"/>
  <c r="GL74" i="1"/>
  <c r="GM74" i="1" s="1"/>
  <c r="GJ74" i="1"/>
  <c r="GK74" i="1" s="1"/>
  <c r="GT74" i="1"/>
  <c r="GU74" i="1" s="1"/>
  <c r="GV74" i="1" s="1"/>
  <c r="GJ118" i="1"/>
  <c r="GK118" i="1" s="1"/>
  <c r="GT118" i="1"/>
  <c r="GU118" i="1" s="1"/>
  <c r="GV118" i="1" s="1"/>
  <c r="GL118" i="1"/>
  <c r="GM118" i="1" s="1"/>
  <c r="GF118" i="1"/>
  <c r="GG118" i="1" s="1"/>
  <c r="GQ118" i="1"/>
  <c r="GR118" i="1"/>
  <c r="GH118" i="1"/>
  <c r="GI118" i="1" s="1"/>
  <c r="GD118" i="1"/>
  <c r="GE118" i="1" s="1"/>
  <c r="FR173" i="1"/>
  <c r="FQ173" i="1"/>
  <c r="GF214" i="1"/>
  <c r="GG214" i="1" s="1"/>
  <c r="GD214" i="1"/>
  <c r="GE214" i="1" s="1"/>
  <c r="GQ214" i="1"/>
  <c r="GH214" i="1"/>
  <c r="GI214" i="1" s="1"/>
  <c r="GJ214" i="1"/>
  <c r="GK214" i="1" s="1"/>
  <c r="GL214" i="1"/>
  <c r="GM214" i="1" s="1"/>
  <c r="GT214" i="1"/>
  <c r="GU214" i="1" s="1"/>
  <c r="GV214" i="1" s="1"/>
  <c r="GR214" i="1"/>
  <c r="GR235" i="1"/>
  <c r="GH235" i="1"/>
  <c r="GI235" i="1" s="1"/>
  <c r="GD235" i="1"/>
  <c r="GE235" i="1" s="1"/>
  <c r="GJ235" i="1"/>
  <c r="GK235" i="1" s="1"/>
  <c r="GT235" i="1"/>
  <c r="GU235" i="1" s="1"/>
  <c r="GV235" i="1" s="1"/>
  <c r="GL235" i="1"/>
  <c r="GM235" i="1" s="1"/>
  <c r="GQ235" i="1"/>
  <c r="GF235" i="1"/>
  <c r="GG235" i="1" s="1"/>
  <c r="GT300" i="1"/>
  <c r="GU300" i="1" s="1"/>
  <c r="GV300" i="1" s="1"/>
  <c r="GL300" i="1"/>
  <c r="GM300" i="1" s="1"/>
  <c r="GF300" i="1"/>
  <c r="GG300" i="1" s="1"/>
  <c r="GR300" i="1"/>
  <c r="GQ300" i="1"/>
  <c r="GH300" i="1"/>
  <c r="GI300" i="1" s="1"/>
  <c r="GD300" i="1"/>
  <c r="GE300" i="1" s="1"/>
  <c r="GJ300" i="1"/>
  <c r="GK300" i="1" s="1"/>
  <c r="GC2" i="1"/>
  <c r="FG2" i="1"/>
  <c r="FP2" i="1" s="1"/>
  <c r="FR2" i="1" s="1"/>
  <c r="GF18" i="1" l="1"/>
  <c r="GG18" i="1" s="1"/>
  <c r="GQ18" i="1"/>
  <c r="GT18" i="1"/>
  <c r="GU18" i="1" s="1"/>
  <c r="GV18" i="1" s="1"/>
  <c r="GN245" i="1"/>
  <c r="GO245" i="1" s="1"/>
  <c r="GN145" i="1"/>
  <c r="GO145" i="1" s="1"/>
  <c r="GN93" i="1"/>
  <c r="GO93" i="1" s="1"/>
  <c r="GN68" i="1"/>
  <c r="GO68" i="1" s="1"/>
  <c r="GN108" i="1"/>
  <c r="GO108" i="1" s="1"/>
  <c r="GP108" i="1" s="1"/>
  <c r="GS108" i="1" s="1"/>
  <c r="GW108" i="1" s="1"/>
  <c r="GX108" i="1" s="1"/>
  <c r="GY108" i="1" s="1"/>
  <c r="GZ108" i="1" s="1"/>
  <c r="GN254" i="1"/>
  <c r="GO254" i="1" s="1"/>
  <c r="GP254" i="1" s="1"/>
  <c r="GS254" i="1" s="1"/>
  <c r="GW254" i="1" s="1"/>
  <c r="GX254" i="1" s="1"/>
  <c r="GY254" i="1" s="1"/>
  <c r="GZ254" i="1" s="1"/>
  <c r="GN39" i="1"/>
  <c r="GO39" i="1" s="1"/>
  <c r="GP39" i="1" s="1"/>
  <c r="GS39" i="1" s="1"/>
  <c r="GW39" i="1" s="1"/>
  <c r="GX39" i="1" s="1"/>
  <c r="GY39" i="1" s="1"/>
  <c r="GZ39" i="1" s="1"/>
  <c r="GN24" i="1"/>
  <c r="GO24" i="1" s="1"/>
  <c r="GP24" i="1" s="1"/>
  <c r="GS24" i="1" s="1"/>
  <c r="GW24" i="1" s="1"/>
  <c r="GX24" i="1" s="1"/>
  <c r="GY24" i="1" s="1"/>
  <c r="GZ24" i="1" s="1"/>
  <c r="GL18" i="1"/>
  <c r="GM18" i="1" s="1"/>
  <c r="GD18" i="1"/>
  <c r="GE18" i="1" s="1"/>
  <c r="GN160" i="1"/>
  <c r="GO160" i="1" s="1"/>
  <c r="FQ214" i="1"/>
  <c r="FS214" i="1" s="1"/>
  <c r="FT214" i="1" s="1"/>
  <c r="FU214" i="1" s="1"/>
  <c r="FV214" i="1" s="1"/>
  <c r="FX214" i="1" s="1"/>
  <c r="GN286" i="1"/>
  <c r="GO286" i="1" s="1"/>
  <c r="GP286" i="1" s="1"/>
  <c r="GS286" i="1" s="1"/>
  <c r="GW286" i="1" s="1"/>
  <c r="GX286" i="1" s="1"/>
  <c r="GY286" i="1" s="1"/>
  <c r="GZ286" i="1" s="1"/>
  <c r="GN32" i="1"/>
  <c r="GO32" i="1" s="1"/>
  <c r="GP32" i="1" s="1"/>
  <c r="GS32" i="1" s="1"/>
  <c r="GW32" i="1" s="1"/>
  <c r="GX32" i="1" s="1"/>
  <c r="GY32" i="1" s="1"/>
  <c r="GZ32" i="1" s="1"/>
  <c r="FR301" i="1"/>
  <c r="FS301" i="1" s="1"/>
  <c r="FT301" i="1" s="1"/>
  <c r="FU301" i="1" s="1"/>
  <c r="FV301" i="1" s="1"/>
  <c r="FX301" i="1" s="1"/>
  <c r="GL234" i="1"/>
  <c r="GM234" i="1" s="1"/>
  <c r="FQ302" i="1"/>
  <c r="FS302" i="1" s="1"/>
  <c r="FT302" i="1" s="1"/>
  <c r="FU302" i="1" s="1"/>
  <c r="FV302" i="1" s="1"/>
  <c r="FX302" i="1" s="1"/>
  <c r="FQ15" i="1"/>
  <c r="FS15" i="1" s="1"/>
  <c r="FT15" i="1" s="1"/>
  <c r="FU15" i="1" s="1"/>
  <c r="FV15" i="1" s="1"/>
  <c r="FX15" i="1" s="1"/>
  <c r="FQ251" i="1"/>
  <c r="FS251" i="1" s="1"/>
  <c r="FT251" i="1" s="1"/>
  <c r="FU251" i="1" s="1"/>
  <c r="FV251" i="1" s="1"/>
  <c r="FX251" i="1" s="1"/>
  <c r="GN266" i="1"/>
  <c r="GO266" i="1" s="1"/>
  <c r="GP266" i="1" s="1"/>
  <c r="GS266" i="1" s="1"/>
  <c r="GW266" i="1" s="1"/>
  <c r="GX266" i="1" s="1"/>
  <c r="GY266" i="1" s="1"/>
  <c r="GZ266" i="1" s="1"/>
  <c r="GR209" i="1"/>
  <c r="GH209" i="1"/>
  <c r="GI209" i="1" s="1"/>
  <c r="GT234" i="1"/>
  <c r="GU234" i="1" s="1"/>
  <c r="GV234" i="1" s="1"/>
  <c r="GQ209" i="1"/>
  <c r="GD209" i="1"/>
  <c r="GE209" i="1" s="1"/>
  <c r="GF209" i="1"/>
  <c r="GG209" i="1" s="1"/>
  <c r="GH234" i="1"/>
  <c r="GI234" i="1" s="1"/>
  <c r="GJ209" i="1"/>
  <c r="GK209" i="1" s="1"/>
  <c r="GQ234" i="1"/>
  <c r="GJ234" i="1"/>
  <c r="GK234" i="1" s="1"/>
  <c r="GD234" i="1"/>
  <c r="GE234" i="1" s="1"/>
  <c r="GL209" i="1"/>
  <c r="GM209" i="1" s="1"/>
  <c r="GR234" i="1"/>
  <c r="GT53" i="1"/>
  <c r="GU53" i="1" s="1"/>
  <c r="GV53" i="1" s="1"/>
  <c r="GL53" i="1"/>
  <c r="GM53" i="1" s="1"/>
  <c r="GQ53" i="1"/>
  <c r="GR53" i="1"/>
  <c r="GH178" i="1"/>
  <c r="GI178" i="1" s="1"/>
  <c r="GT178" i="1"/>
  <c r="GU178" i="1" s="1"/>
  <c r="GV178" i="1" s="1"/>
  <c r="GJ178" i="1"/>
  <c r="GK178" i="1" s="1"/>
  <c r="GD178" i="1"/>
  <c r="GE178" i="1" s="1"/>
  <c r="GD53" i="1"/>
  <c r="GE53" i="1" s="1"/>
  <c r="GJ53" i="1"/>
  <c r="GK53" i="1" s="1"/>
  <c r="GH53" i="1"/>
  <c r="GI53" i="1" s="1"/>
  <c r="GF231" i="1"/>
  <c r="GG231" i="1" s="1"/>
  <c r="GQ231" i="1"/>
  <c r="GJ231" i="1"/>
  <c r="GK231" i="1" s="1"/>
  <c r="GL231" i="1"/>
  <c r="GM231" i="1" s="1"/>
  <c r="GH231" i="1"/>
  <c r="GI231" i="1" s="1"/>
  <c r="GD231" i="1"/>
  <c r="GE231" i="1" s="1"/>
  <c r="GR231" i="1"/>
  <c r="FQ6" i="1"/>
  <c r="FS6" i="1" s="1"/>
  <c r="FT6" i="1" s="1"/>
  <c r="FU6" i="1" s="1"/>
  <c r="FV6" i="1" s="1"/>
  <c r="FX6" i="1" s="1"/>
  <c r="GF178" i="1"/>
  <c r="GG178" i="1" s="1"/>
  <c r="GL178" i="1"/>
  <c r="GM178" i="1" s="1"/>
  <c r="GR178" i="1"/>
  <c r="FQ201" i="1"/>
  <c r="FS201" i="1" s="1"/>
  <c r="FT201" i="1" s="1"/>
  <c r="FU201" i="1" s="1"/>
  <c r="FV201" i="1" s="1"/>
  <c r="FX201" i="1" s="1"/>
  <c r="FR262" i="1"/>
  <c r="FS262" i="1" s="1"/>
  <c r="FT262" i="1" s="1"/>
  <c r="FU262" i="1" s="1"/>
  <c r="FV262" i="1" s="1"/>
  <c r="FX262" i="1" s="1"/>
  <c r="GN123" i="1"/>
  <c r="GO123" i="1" s="1"/>
  <c r="GP123" i="1" s="1"/>
  <c r="GS123" i="1" s="1"/>
  <c r="GW123" i="1" s="1"/>
  <c r="GX123" i="1" s="1"/>
  <c r="FQ111" i="1"/>
  <c r="FS111" i="1" s="1"/>
  <c r="FT111" i="1" s="1"/>
  <c r="FU111" i="1" s="1"/>
  <c r="FV111" i="1" s="1"/>
  <c r="FX111" i="1" s="1"/>
  <c r="GT305" i="1"/>
  <c r="GU305" i="1" s="1"/>
  <c r="GV305" i="1" s="1"/>
  <c r="GD305" i="1"/>
  <c r="GE305" i="1" s="1"/>
  <c r="GH305" i="1"/>
  <c r="GI305" i="1" s="1"/>
  <c r="GL305" i="1"/>
  <c r="GM305" i="1" s="1"/>
  <c r="GQ305" i="1"/>
  <c r="GJ305" i="1"/>
  <c r="GK305" i="1" s="1"/>
  <c r="GR305" i="1"/>
  <c r="GJ14" i="1"/>
  <c r="GK14" i="1" s="1"/>
  <c r="GF48" i="1"/>
  <c r="GG48" i="1" s="1"/>
  <c r="GT48" i="1"/>
  <c r="GU48" i="1" s="1"/>
  <c r="GV48" i="1" s="1"/>
  <c r="GD48" i="1"/>
  <c r="GE48" i="1" s="1"/>
  <c r="GJ48" i="1"/>
  <c r="GK48" i="1" s="1"/>
  <c r="GR48" i="1"/>
  <c r="GQ48" i="1"/>
  <c r="GH48" i="1"/>
  <c r="GI48" i="1" s="1"/>
  <c r="FR44" i="1"/>
  <c r="FS44" i="1" s="1"/>
  <c r="FT44" i="1" s="1"/>
  <c r="FU44" i="1" s="1"/>
  <c r="FV44" i="1" s="1"/>
  <c r="FX44" i="1" s="1"/>
  <c r="FR177" i="1"/>
  <c r="FS177" i="1" s="1"/>
  <c r="FT177" i="1" s="1"/>
  <c r="FU177" i="1" s="1"/>
  <c r="FV177" i="1" s="1"/>
  <c r="FX177" i="1" s="1"/>
  <c r="FR84" i="1"/>
  <c r="FS84" i="1" s="1"/>
  <c r="FT84" i="1" s="1"/>
  <c r="FU84" i="1" s="1"/>
  <c r="FV84" i="1" s="1"/>
  <c r="FX84" i="1" s="1"/>
  <c r="FQ230" i="1"/>
  <c r="FS230" i="1" s="1"/>
  <c r="FT230" i="1" s="1"/>
  <c r="FU230" i="1" s="1"/>
  <c r="FV230" i="1" s="1"/>
  <c r="FX230" i="1" s="1"/>
  <c r="FR187" i="1"/>
  <c r="FS187" i="1" s="1"/>
  <c r="FT187" i="1" s="1"/>
  <c r="FU187" i="1" s="1"/>
  <c r="FV187" i="1" s="1"/>
  <c r="FX187" i="1" s="1"/>
  <c r="FQ299" i="1"/>
  <c r="FS299" i="1" s="1"/>
  <c r="FT299" i="1" s="1"/>
  <c r="FU299" i="1" s="1"/>
  <c r="FV299" i="1" s="1"/>
  <c r="FX299" i="1" s="1"/>
  <c r="FQ281" i="1"/>
  <c r="FS281" i="1" s="1"/>
  <c r="FT281" i="1" s="1"/>
  <c r="FU281" i="1" s="1"/>
  <c r="FV281" i="1" s="1"/>
  <c r="FX281" i="1" s="1"/>
  <c r="FR228" i="1"/>
  <c r="FS228" i="1" s="1"/>
  <c r="FT228" i="1" s="1"/>
  <c r="FU228" i="1" s="1"/>
  <c r="FV228" i="1" s="1"/>
  <c r="FX228" i="1" s="1"/>
  <c r="FQ130" i="1"/>
  <c r="FS130" i="1" s="1"/>
  <c r="FT130" i="1" s="1"/>
  <c r="FU130" i="1" s="1"/>
  <c r="FV130" i="1" s="1"/>
  <c r="FX130" i="1" s="1"/>
  <c r="GH117" i="1"/>
  <c r="GI117" i="1" s="1"/>
  <c r="FQ113" i="1"/>
  <c r="FS113" i="1" s="1"/>
  <c r="FT113" i="1" s="1"/>
  <c r="FU113" i="1" s="1"/>
  <c r="FV113" i="1" s="1"/>
  <c r="FX113" i="1" s="1"/>
  <c r="GH259" i="1"/>
  <c r="GI259" i="1" s="1"/>
  <c r="FQ3" i="1"/>
  <c r="FS3" i="1" s="1"/>
  <c r="FT3" i="1" s="1"/>
  <c r="FU3" i="1" s="1"/>
  <c r="FV3" i="1" s="1"/>
  <c r="FX3" i="1" s="1"/>
  <c r="FQ64" i="1"/>
  <c r="FS64" i="1" s="1"/>
  <c r="FT64" i="1" s="1"/>
  <c r="FU64" i="1" s="1"/>
  <c r="FV64" i="1" s="1"/>
  <c r="FX64" i="1" s="1"/>
  <c r="FR36" i="1"/>
  <c r="FS36" i="1" s="1"/>
  <c r="FT36" i="1" s="1"/>
  <c r="FU36" i="1" s="1"/>
  <c r="FV36" i="1" s="1"/>
  <c r="FX36" i="1" s="1"/>
  <c r="FQ272" i="1"/>
  <c r="FS272" i="1" s="1"/>
  <c r="FT272" i="1" s="1"/>
  <c r="FU272" i="1" s="1"/>
  <c r="FV272" i="1" s="1"/>
  <c r="FX272" i="1" s="1"/>
  <c r="FQ63" i="1"/>
  <c r="FS63" i="1" s="1"/>
  <c r="FT63" i="1" s="1"/>
  <c r="FU63" i="1" s="1"/>
  <c r="FV63" i="1" s="1"/>
  <c r="FX63" i="1" s="1"/>
  <c r="GH14" i="1"/>
  <c r="GI14" i="1" s="1"/>
  <c r="FR294" i="1"/>
  <c r="FS294" i="1" s="1"/>
  <c r="FT294" i="1" s="1"/>
  <c r="FU294" i="1" s="1"/>
  <c r="FV294" i="1" s="1"/>
  <c r="FX294" i="1" s="1"/>
  <c r="GR14" i="1"/>
  <c r="GN79" i="1"/>
  <c r="GO79" i="1" s="1"/>
  <c r="GP79" i="1" s="1"/>
  <c r="GS79" i="1" s="1"/>
  <c r="GW79" i="1" s="1"/>
  <c r="GX79" i="1" s="1"/>
  <c r="GY79" i="1" s="1"/>
  <c r="GZ79" i="1" s="1"/>
  <c r="FR13" i="1"/>
  <c r="FS13" i="1" s="1"/>
  <c r="FT13" i="1" s="1"/>
  <c r="FU13" i="1" s="1"/>
  <c r="FV13" i="1" s="1"/>
  <c r="FX13" i="1" s="1"/>
  <c r="FQ62" i="1"/>
  <c r="FS62" i="1" s="1"/>
  <c r="FT62" i="1" s="1"/>
  <c r="FU62" i="1" s="1"/>
  <c r="FV62" i="1" s="1"/>
  <c r="FX62" i="1" s="1"/>
  <c r="GF143" i="1"/>
  <c r="GG143" i="1" s="1"/>
  <c r="FQ286" i="1"/>
  <c r="FS286" i="1" s="1"/>
  <c r="FT286" i="1" s="1"/>
  <c r="FU286" i="1" s="1"/>
  <c r="FV286" i="1" s="1"/>
  <c r="FX286" i="1" s="1"/>
  <c r="GQ143" i="1"/>
  <c r="GD143" i="1"/>
  <c r="GE143" i="1" s="1"/>
  <c r="GL143" i="1"/>
  <c r="GM143" i="1" s="1"/>
  <c r="GT143" i="1"/>
  <c r="GU143" i="1" s="1"/>
  <c r="GV143" i="1" s="1"/>
  <c r="GH143" i="1"/>
  <c r="GI143" i="1" s="1"/>
  <c r="GR143" i="1"/>
  <c r="FQ176" i="1"/>
  <c r="FS176" i="1" s="1"/>
  <c r="FT176" i="1" s="1"/>
  <c r="FU176" i="1" s="1"/>
  <c r="FV176" i="1" s="1"/>
  <c r="FX176" i="1" s="1"/>
  <c r="GF106" i="1"/>
  <c r="GG106" i="1" s="1"/>
  <c r="GD14" i="1"/>
  <c r="GE14" i="1" s="1"/>
  <c r="GL14" i="1"/>
  <c r="GM14" i="1" s="1"/>
  <c r="GF14" i="1"/>
  <c r="GG14" i="1" s="1"/>
  <c r="GQ14" i="1"/>
  <c r="FQ32" i="1"/>
  <c r="FS32" i="1" s="1"/>
  <c r="FT32" i="1" s="1"/>
  <c r="FU32" i="1" s="1"/>
  <c r="FV32" i="1" s="1"/>
  <c r="FX32" i="1" s="1"/>
  <c r="FR50" i="1"/>
  <c r="FS50" i="1" s="1"/>
  <c r="FT50" i="1" s="1"/>
  <c r="FU50" i="1" s="1"/>
  <c r="FV50" i="1" s="1"/>
  <c r="FX50" i="1" s="1"/>
  <c r="GQ80" i="1"/>
  <c r="GR80" i="1"/>
  <c r="FQ146" i="1"/>
  <c r="FS146" i="1" s="1"/>
  <c r="FT146" i="1" s="1"/>
  <c r="FU146" i="1" s="1"/>
  <c r="FV146" i="1" s="1"/>
  <c r="FX146" i="1" s="1"/>
  <c r="GF80" i="1"/>
  <c r="GG80" i="1" s="1"/>
  <c r="GT80" i="1"/>
  <c r="GU80" i="1" s="1"/>
  <c r="GV80" i="1" s="1"/>
  <c r="FQ42" i="1"/>
  <c r="FS42" i="1" s="1"/>
  <c r="FT42" i="1" s="1"/>
  <c r="FU42" i="1" s="1"/>
  <c r="FV42" i="1" s="1"/>
  <c r="FX42" i="1" s="1"/>
  <c r="GL80" i="1"/>
  <c r="GM80" i="1" s="1"/>
  <c r="GD80" i="1"/>
  <c r="GE80" i="1" s="1"/>
  <c r="GJ80" i="1"/>
  <c r="GK80" i="1" s="1"/>
  <c r="FQ274" i="1"/>
  <c r="FS274" i="1" s="1"/>
  <c r="FT274" i="1" s="1"/>
  <c r="FU274" i="1" s="1"/>
  <c r="FV274" i="1" s="1"/>
  <c r="FX274" i="1" s="1"/>
  <c r="FR260" i="1"/>
  <c r="FS260" i="1" s="1"/>
  <c r="FT260" i="1" s="1"/>
  <c r="FU260" i="1" s="1"/>
  <c r="FV260" i="1" s="1"/>
  <c r="FX260" i="1" s="1"/>
  <c r="GD259" i="1"/>
  <c r="GE259" i="1" s="1"/>
  <c r="GT259" i="1"/>
  <c r="GU259" i="1" s="1"/>
  <c r="GV259" i="1" s="1"/>
  <c r="FR287" i="1"/>
  <c r="FS287" i="1" s="1"/>
  <c r="FT287" i="1" s="1"/>
  <c r="FU287" i="1" s="1"/>
  <c r="FV287" i="1" s="1"/>
  <c r="FX287" i="1" s="1"/>
  <c r="GQ259" i="1"/>
  <c r="GF259" i="1"/>
  <c r="GG259" i="1" s="1"/>
  <c r="GD199" i="1"/>
  <c r="GE199" i="1" s="1"/>
  <c r="GL259" i="1"/>
  <c r="GM259" i="1" s="1"/>
  <c r="FQ217" i="1"/>
  <c r="FS217" i="1" s="1"/>
  <c r="FT217" i="1" s="1"/>
  <c r="FU217" i="1" s="1"/>
  <c r="FV217" i="1" s="1"/>
  <c r="FX217" i="1" s="1"/>
  <c r="GQ127" i="1"/>
  <c r="GJ162" i="1"/>
  <c r="GK162" i="1" s="1"/>
  <c r="GR127" i="1"/>
  <c r="GQ119" i="1"/>
  <c r="GR119" i="1"/>
  <c r="GH119" i="1"/>
  <c r="GI119" i="1" s="1"/>
  <c r="GL162" i="1"/>
  <c r="GM162" i="1" s="1"/>
  <c r="GR117" i="1"/>
  <c r="GF117" i="1"/>
  <c r="GG117" i="1" s="1"/>
  <c r="GR259" i="1"/>
  <c r="GH127" i="1"/>
  <c r="GI127" i="1" s="1"/>
  <c r="GR162" i="1"/>
  <c r="GL117" i="1"/>
  <c r="GM117" i="1" s="1"/>
  <c r="GL119" i="1"/>
  <c r="GM119" i="1" s="1"/>
  <c r="GF119" i="1"/>
  <c r="GG119" i="1" s="1"/>
  <c r="GQ162" i="1"/>
  <c r="GL127" i="1"/>
  <c r="GM127" i="1" s="1"/>
  <c r="GT117" i="1"/>
  <c r="GU117" i="1" s="1"/>
  <c r="GV117" i="1" s="1"/>
  <c r="GF127" i="1"/>
  <c r="GG127" i="1" s="1"/>
  <c r="GT162" i="1"/>
  <c r="GU162" i="1" s="1"/>
  <c r="GV162" i="1" s="1"/>
  <c r="GH162" i="1"/>
  <c r="GI162" i="1" s="1"/>
  <c r="GQ117" i="1"/>
  <c r="FQ226" i="1"/>
  <c r="FS226" i="1" s="1"/>
  <c r="FT226" i="1" s="1"/>
  <c r="FU226" i="1" s="1"/>
  <c r="FV226" i="1" s="1"/>
  <c r="FX226" i="1" s="1"/>
  <c r="GJ117" i="1"/>
  <c r="GK117" i="1" s="1"/>
  <c r="GT127" i="1"/>
  <c r="GU127" i="1" s="1"/>
  <c r="GV127" i="1" s="1"/>
  <c r="GJ119" i="1"/>
  <c r="GK119" i="1" s="1"/>
  <c r="GT119" i="1"/>
  <c r="GU119" i="1" s="1"/>
  <c r="GV119" i="1" s="1"/>
  <c r="GD162" i="1"/>
  <c r="GE162" i="1" s="1"/>
  <c r="GJ127" i="1"/>
  <c r="GK127" i="1" s="1"/>
  <c r="GJ175" i="1"/>
  <c r="GK175" i="1" s="1"/>
  <c r="FQ24" i="1"/>
  <c r="FS24" i="1" s="1"/>
  <c r="FT24" i="1" s="1"/>
  <c r="FU24" i="1" s="1"/>
  <c r="FV24" i="1" s="1"/>
  <c r="FX24" i="1" s="1"/>
  <c r="GH175" i="1"/>
  <c r="GI175" i="1" s="1"/>
  <c r="GQ175" i="1"/>
  <c r="GF175" i="1"/>
  <c r="GG175" i="1" s="1"/>
  <c r="GR175" i="1"/>
  <c r="GL175" i="1"/>
  <c r="GM175" i="1" s="1"/>
  <c r="FQ47" i="1"/>
  <c r="FS47" i="1" s="1"/>
  <c r="FT47" i="1" s="1"/>
  <c r="FU47" i="1" s="1"/>
  <c r="FV47" i="1" s="1"/>
  <c r="FX47" i="1" s="1"/>
  <c r="GD175" i="1"/>
  <c r="GE175" i="1" s="1"/>
  <c r="FQ38" i="1"/>
  <c r="FS38" i="1" s="1"/>
  <c r="FT38" i="1" s="1"/>
  <c r="FU38" i="1" s="1"/>
  <c r="FV38" i="1" s="1"/>
  <c r="FX38" i="1" s="1"/>
  <c r="GN263" i="1"/>
  <c r="GO263" i="1" s="1"/>
  <c r="GP263" i="1" s="1"/>
  <c r="GS263" i="1" s="1"/>
  <c r="GW263" i="1" s="1"/>
  <c r="GX263" i="1" s="1"/>
  <c r="FR243" i="1"/>
  <c r="FS243" i="1" s="1"/>
  <c r="FT243" i="1" s="1"/>
  <c r="FU243" i="1" s="1"/>
  <c r="FV243" i="1" s="1"/>
  <c r="FX243" i="1" s="1"/>
  <c r="FQ293" i="1"/>
  <c r="FS293" i="1" s="1"/>
  <c r="FT293" i="1" s="1"/>
  <c r="FU293" i="1" s="1"/>
  <c r="FV293" i="1" s="1"/>
  <c r="FX293" i="1" s="1"/>
  <c r="GT100" i="1"/>
  <c r="GU100" i="1" s="1"/>
  <c r="GV100" i="1" s="1"/>
  <c r="FQ198" i="1"/>
  <c r="FS198" i="1" s="1"/>
  <c r="FT198" i="1" s="1"/>
  <c r="FU198" i="1" s="1"/>
  <c r="FV198" i="1" s="1"/>
  <c r="FX198" i="1" s="1"/>
  <c r="GT106" i="1"/>
  <c r="GU106" i="1" s="1"/>
  <c r="GV106" i="1" s="1"/>
  <c r="GL275" i="1"/>
  <c r="GM275" i="1" s="1"/>
  <c r="GL199" i="1"/>
  <c r="GM199" i="1" s="1"/>
  <c r="GT275" i="1"/>
  <c r="GU275" i="1" s="1"/>
  <c r="GV275" i="1" s="1"/>
  <c r="GD275" i="1"/>
  <c r="GE275" i="1" s="1"/>
  <c r="GH275" i="1"/>
  <c r="GI275" i="1" s="1"/>
  <c r="GR275" i="1"/>
  <c r="GR199" i="1"/>
  <c r="GQ275" i="1"/>
  <c r="GJ275" i="1"/>
  <c r="GK275" i="1" s="1"/>
  <c r="GH199" i="1"/>
  <c r="GI199" i="1" s="1"/>
  <c r="GT199" i="1"/>
  <c r="GU199" i="1" s="1"/>
  <c r="GV199" i="1" s="1"/>
  <c r="GQ199" i="1"/>
  <c r="GQ106" i="1"/>
  <c r="GL106" i="1"/>
  <c r="GM106" i="1" s="1"/>
  <c r="GJ199" i="1"/>
  <c r="GK199" i="1" s="1"/>
  <c r="GD106" i="1"/>
  <c r="GE106" i="1" s="1"/>
  <c r="GQ100" i="1"/>
  <c r="GJ106" i="1"/>
  <c r="GK106" i="1" s="1"/>
  <c r="GR106" i="1"/>
  <c r="GD100" i="1"/>
  <c r="GE100" i="1" s="1"/>
  <c r="GR100" i="1"/>
  <c r="GJ100" i="1"/>
  <c r="GK100" i="1" s="1"/>
  <c r="GL100" i="1"/>
  <c r="GM100" i="1" s="1"/>
  <c r="GF100" i="1"/>
  <c r="GG100" i="1" s="1"/>
  <c r="GT95" i="1"/>
  <c r="GU95" i="1" s="1"/>
  <c r="GV95" i="1" s="1"/>
  <c r="FQ29" i="1"/>
  <c r="FS29" i="1" s="1"/>
  <c r="FT29" i="1" s="1"/>
  <c r="FU29" i="1" s="1"/>
  <c r="FV29" i="1" s="1"/>
  <c r="FX29" i="1" s="1"/>
  <c r="GR269" i="1"/>
  <c r="GL269" i="1"/>
  <c r="GM269" i="1" s="1"/>
  <c r="GJ264" i="1"/>
  <c r="GK264" i="1" s="1"/>
  <c r="GR264" i="1"/>
  <c r="FR135" i="1"/>
  <c r="FS135" i="1" s="1"/>
  <c r="FT135" i="1" s="1"/>
  <c r="FU135" i="1" s="1"/>
  <c r="FV135" i="1" s="1"/>
  <c r="FX135" i="1" s="1"/>
  <c r="GJ95" i="1"/>
  <c r="GK95" i="1" s="1"/>
  <c r="FQ149" i="1"/>
  <c r="FS149" i="1" s="1"/>
  <c r="FT149" i="1" s="1"/>
  <c r="FU149" i="1" s="1"/>
  <c r="FV149" i="1" s="1"/>
  <c r="FX149" i="1" s="1"/>
  <c r="GH95" i="1"/>
  <c r="GI95" i="1" s="1"/>
  <c r="GR95" i="1"/>
  <c r="FQ40" i="1"/>
  <c r="FS40" i="1" s="1"/>
  <c r="FT40" i="1" s="1"/>
  <c r="FU40" i="1" s="1"/>
  <c r="FV40" i="1" s="1"/>
  <c r="FX40" i="1" s="1"/>
  <c r="FQ140" i="1"/>
  <c r="FS140" i="1" s="1"/>
  <c r="FT140" i="1" s="1"/>
  <c r="FU140" i="1" s="1"/>
  <c r="FV140" i="1" s="1"/>
  <c r="FX140" i="1" s="1"/>
  <c r="FR288" i="1"/>
  <c r="FS288" i="1" s="1"/>
  <c r="FT288" i="1" s="1"/>
  <c r="FU288" i="1" s="1"/>
  <c r="FV288" i="1" s="1"/>
  <c r="FX288" i="1" s="1"/>
  <c r="FQ43" i="1"/>
  <c r="FS43" i="1" s="1"/>
  <c r="FT43" i="1" s="1"/>
  <c r="FU43" i="1" s="1"/>
  <c r="FV43" i="1" s="1"/>
  <c r="FX43" i="1" s="1"/>
  <c r="GL264" i="1"/>
  <c r="GM264" i="1" s="1"/>
  <c r="GH264" i="1"/>
  <c r="GI264" i="1" s="1"/>
  <c r="FQ9" i="1"/>
  <c r="FS9" i="1" s="1"/>
  <c r="FT9" i="1" s="1"/>
  <c r="FU9" i="1" s="1"/>
  <c r="FV9" i="1" s="1"/>
  <c r="FX9" i="1" s="1"/>
  <c r="GR37" i="1"/>
  <c r="GN70" i="1"/>
  <c r="GO70" i="1" s="1"/>
  <c r="GP70" i="1" s="1"/>
  <c r="GS70" i="1" s="1"/>
  <c r="GW70" i="1" s="1"/>
  <c r="GX70" i="1" s="1"/>
  <c r="GY70" i="1" s="1"/>
  <c r="GZ70" i="1" s="1"/>
  <c r="FR89" i="1"/>
  <c r="FS89" i="1" s="1"/>
  <c r="FT89" i="1" s="1"/>
  <c r="FU89" i="1" s="1"/>
  <c r="FV89" i="1" s="1"/>
  <c r="FX89" i="1" s="1"/>
  <c r="FR206" i="1"/>
  <c r="FS206" i="1" s="1"/>
  <c r="FT206" i="1" s="1"/>
  <c r="FU206" i="1" s="1"/>
  <c r="FV206" i="1" s="1"/>
  <c r="FX206" i="1" s="1"/>
  <c r="FQ87" i="1"/>
  <c r="FS87" i="1" s="1"/>
  <c r="FT87" i="1" s="1"/>
  <c r="FU87" i="1" s="1"/>
  <c r="FV87" i="1" s="1"/>
  <c r="FX87" i="1" s="1"/>
  <c r="FR39" i="1"/>
  <c r="FS39" i="1" s="1"/>
  <c r="FT39" i="1" s="1"/>
  <c r="FU39" i="1" s="1"/>
  <c r="FV39" i="1" s="1"/>
  <c r="FX39" i="1" s="1"/>
  <c r="GJ126" i="1"/>
  <c r="GK126" i="1" s="1"/>
  <c r="GR126" i="1"/>
  <c r="FR133" i="1"/>
  <c r="FS133" i="1" s="1"/>
  <c r="FT133" i="1" s="1"/>
  <c r="FU133" i="1" s="1"/>
  <c r="FV133" i="1" s="1"/>
  <c r="FX133" i="1" s="1"/>
  <c r="GT37" i="1"/>
  <c r="GU37" i="1" s="1"/>
  <c r="GV37" i="1" s="1"/>
  <c r="GD238" i="1"/>
  <c r="GE238" i="1" s="1"/>
  <c r="GF238" i="1"/>
  <c r="GG238" i="1" s="1"/>
  <c r="GF269" i="1"/>
  <c r="GG269" i="1" s="1"/>
  <c r="GH37" i="1"/>
  <c r="GI37" i="1" s="1"/>
  <c r="GQ238" i="1"/>
  <c r="GL37" i="1"/>
  <c r="GM37" i="1" s="1"/>
  <c r="GR238" i="1"/>
  <c r="GF264" i="1"/>
  <c r="GG264" i="1" s="1"/>
  <c r="GH238" i="1"/>
  <c r="GI238" i="1" s="1"/>
  <c r="GF37" i="1"/>
  <c r="GG37" i="1" s="1"/>
  <c r="GD37" i="1"/>
  <c r="GE37" i="1" s="1"/>
  <c r="GT264" i="1"/>
  <c r="GU264" i="1" s="1"/>
  <c r="GV264" i="1" s="1"/>
  <c r="GJ238" i="1"/>
  <c r="GK238" i="1" s="1"/>
  <c r="GJ37" i="1"/>
  <c r="GK37" i="1" s="1"/>
  <c r="GL238" i="1"/>
  <c r="GM238" i="1" s="1"/>
  <c r="GD264" i="1"/>
  <c r="GE264" i="1" s="1"/>
  <c r="GT126" i="1"/>
  <c r="GU126" i="1" s="1"/>
  <c r="GV126" i="1" s="1"/>
  <c r="GD126" i="1"/>
  <c r="GE126" i="1" s="1"/>
  <c r="GL126" i="1"/>
  <c r="GM126" i="1" s="1"/>
  <c r="GQ126" i="1"/>
  <c r="GH126" i="1"/>
  <c r="GI126" i="1" s="1"/>
  <c r="FQ12" i="1"/>
  <c r="FS12" i="1" s="1"/>
  <c r="FT12" i="1" s="1"/>
  <c r="FU12" i="1" s="1"/>
  <c r="FV12" i="1" s="1"/>
  <c r="FX12" i="1" s="1"/>
  <c r="FQ186" i="1"/>
  <c r="FS186" i="1" s="1"/>
  <c r="FT186" i="1" s="1"/>
  <c r="FU186" i="1" s="1"/>
  <c r="FV186" i="1" s="1"/>
  <c r="FX186" i="1" s="1"/>
  <c r="FQ58" i="1"/>
  <c r="FS58" i="1" s="1"/>
  <c r="FT58" i="1" s="1"/>
  <c r="FU58" i="1" s="1"/>
  <c r="FV58" i="1" s="1"/>
  <c r="FX58" i="1" s="1"/>
  <c r="FR21" i="1"/>
  <c r="FS21" i="1" s="1"/>
  <c r="FT21" i="1" s="1"/>
  <c r="FU21" i="1" s="1"/>
  <c r="FV21" i="1" s="1"/>
  <c r="FX21" i="1" s="1"/>
  <c r="GH75" i="1"/>
  <c r="GI75" i="1" s="1"/>
  <c r="GL268" i="1"/>
  <c r="GM268" i="1" s="1"/>
  <c r="FQ154" i="1"/>
  <c r="FS154" i="1" s="1"/>
  <c r="FT154" i="1" s="1"/>
  <c r="FU154" i="1" s="1"/>
  <c r="FV154" i="1" s="1"/>
  <c r="FX154" i="1" s="1"/>
  <c r="FQ247" i="1"/>
  <c r="FS247" i="1" s="1"/>
  <c r="FT247" i="1" s="1"/>
  <c r="FU247" i="1" s="1"/>
  <c r="FV247" i="1" s="1"/>
  <c r="FX247" i="1" s="1"/>
  <c r="GJ268" i="1"/>
  <c r="GK268" i="1" s="1"/>
  <c r="GF95" i="1"/>
  <c r="GG95" i="1" s="1"/>
  <c r="GN95" i="1"/>
  <c r="GO95" i="1" s="1"/>
  <c r="GL95" i="1"/>
  <c r="GM95" i="1" s="1"/>
  <c r="GQ95" i="1"/>
  <c r="FS250" i="1"/>
  <c r="FT250" i="1" s="1"/>
  <c r="FU250" i="1" s="1"/>
  <c r="FV250" i="1" s="1"/>
  <c r="FX250" i="1" s="1"/>
  <c r="GD141" i="1"/>
  <c r="GE141" i="1" s="1"/>
  <c r="GH269" i="1"/>
  <c r="GI269" i="1" s="1"/>
  <c r="GQ7" i="1"/>
  <c r="GD7" i="1"/>
  <c r="GE7" i="1" s="1"/>
  <c r="GL7" i="1"/>
  <c r="GM7" i="1" s="1"/>
  <c r="GJ7" i="1"/>
  <c r="GK7" i="1" s="1"/>
  <c r="GH7" i="1"/>
  <c r="GI7" i="1" s="1"/>
  <c r="GR7" i="1"/>
  <c r="GT69" i="1"/>
  <c r="GU69" i="1" s="1"/>
  <c r="GV69" i="1" s="1"/>
  <c r="GT269" i="1"/>
  <c r="GU269" i="1" s="1"/>
  <c r="GV269" i="1" s="1"/>
  <c r="GQ269" i="1"/>
  <c r="GD269" i="1"/>
  <c r="GE269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1" i="1"/>
  <c r="FS211" i="1" s="1"/>
  <c r="FT211" i="1" s="1"/>
  <c r="FU211" i="1" s="1"/>
  <c r="FV211" i="1" s="1"/>
  <c r="FX211" i="1" s="1"/>
  <c r="GR25" i="1"/>
  <c r="GL25" i="1"/>
  <c r="GM25" i="1" s="1"/>
  <c r="GH107" i="1"/>
  <c r="GI107" i="1" s="1"/>
  <c r="GJ107" i="1"/>
  <c r="GK107" i="1" s="1"/>
  <c r="GQ137" i="1"/>
  <c r="GQ168" i="1"/>
  <c r="GP134" i="1"/>
  <c r="GH141" i="1"/>
  <c r="GI141" i="1" s="1"/>
  <c r="GJ141" i="1"/>
  <c r="GK141" i="1" s="1"/>
  <c r="GQ141" i="1"/>
  <c r="GF141" i="1"/>
  <c r="GG141" i="1" s="1"/>
  <c r="GR141" i="1"/>
  <c r="GT141" i="1"/>
  <c r="GU141" i="1" s="1"/>
  <c r="GV141" i="1" s="1"/>
  <c r="GQ55" i="1"/>
  <c r="GD52" i="1"/>
  <c r="GE52" i="1" s="1"/>
  <c r="GH52" i="1"/>
  <c r="GI52" i="1" s="1"/>
  <c r="GT55" i="1"/>
  <c r="GU55" i="1" s="1"/>
  <c r="GV55" i="1" s="1"/>
  <c r="GF65" i="1"/>
  <c r="GG65" i="1" s="1"/>
  <c r="GF52" i="1"/>
  <c r="GG52" i="1" s="1"/>
  <c r="GH55" i="1"/>
  <c r="GI55" i="1" s="1"/>
  <c r="GR52" i="1"/>
  <c r="GR55" i="1"/>
  <c r="GT52" i="1"/>
  <c r="GU52" i="1" s="1"/>
  <c r="GV52" i="1" s="1"/>
  <c r="GL55" i="1"/>
  <c r="GM55" i="1" s="1"/>
  <c r="GJ52" i="1"/>
  <c r="GK52" i="1" s="1"/>
  <c r="GJ55" i="1"/>
  <c r="GK55" i="1" s="1"/>
  <c r="GL52" i="1"/>
  <c r="GM52" i="1" s="1"/>
  <c r="GD55" i="1"/>
  <c r="GE55" i="1" s="1"/>
  <c r="GR75" i="1"/>
  <c r="GH81" i="1"/>
  <c r="GI81" i="1" s="1"/>
  <c r="GQ81" i="1"/>
  <c r="FQ26" i="1"/>
  <c r="FS26" i="1" s="1"/>
  <c r="FT26" i="1" s="1"/>
  <c r="FU26" i="1" s="1"/>
  <c r="FV26" i="1" s="1"/>
  <c r="FX26" i="1" s="1"/>
  <c r="GT81" i="1"/>
  <c r="GU81" i="1" s="1"/>
  <c r="GV81" i="1" s="1"/>
  <c r="FQ101" i="1"/>
  <c r="FS101" i="1" s="1"/>
  <c r="FT101" i="1" s="1"/>
  <c r="FU101" i="1" s="1"/>
  <c r="FV101" i="1" s="1"/>
  <c r="FX101" i="1" s="1"/>
  <c r="GJ249" i="1"/>
  <c r="GK249" i="1" s="1"/>
  <c r="GT91" i="1"/>
  <c r="GU91" i="1" s="1"/>
  <c r="GV91" i="1" s="1"/>
  <c r="GH65" i="1"/>
  <c r="GI65" i="1" s="1"/>
  <c r="FQ23" i="1"/>
  <c r="FS23" i="1" s="1"/>
  <c r="FT23" i="1" s="1"/>
  <c r="FU23" i="1" s="1"/>
  <c r="FV23" i="1" s="1"/>
  <c r="FX23" i="1" s="1"/>
  <c r="GQ91" i="1"/>
  <c r="GQ17" i="1"/>
  <c r="GJ168" i="1"/>
  <c r="GK168" i="1" s="1"/>
  <c r="GH268" i="1"/>
  <c r="GI268" i="1" s="1"/>
  <c r="FR265" i="1"/>
  <c r="FS265" i="1" s="1"/>
  <c r="FT265" i="1" s="1"/>
  <c r="FU265" i="1" s="1"/>
  <c r="FV265" i="1" s="1"/>
  <c r="FX265" i="1" s="1"/>
  <c r="GL81" i="1"/>
  <c r="GM81" i="1" s="1"/>
  <c r="GH131" i="1"/>
  <c r="GI131" i="1" s="1"/>
  <c r="GH91" i="1"/>
  <c r="GI91" i="1" s="1"/>
  <c r="GF91" i="1"/>
  <c r="GG91" i="1" s="1"/>
  <c r="GR168" i="1"/>
  <c r="FR19" i="1"/>
  <c r="FS19" i="1" s="1"/>
  <c r="FT19" i="1" s="1"/>
  <c r="FU19" i="1" s="1"/>
  <c r="FV19" i="1" s="1"/>
  <c r="FX19" i="1" s="1"/>
  <c r="GH168" i="1"/>
  <c r="GI168" i="1" s="1"/>
  <c r="GL91" i="1"/>
  <c r="GM91" i="1" s="1"/>
  <c r="GF168" i="1"/>
  <c r="GG168" i="1" s="1"/>
  <c r="GL131" i="1"/>
  <c r="GM131" i="1" s="1"/>
  <c r="GR91" i="1"/>
  <c r="GD168" i="1"/>
  <c r="GE168" i="1" s="1"/>
  <c r="GF268" i="1"/>
  <c r="GG268" i="1" s="1"/>
  <c r="GL168" i="1"/>
  <c r="GM168" i="1" s="1"/>
  <c r="GT131" i="1"/>
  <c r="GU131" i="1" s="1"/>
  <c r="GV131" i="1" s="1"/>
  <c r="GD131" i="1"/>
  <c r="GE131" i="1" s="1"/>
  <c r="FR157" i="1"/>
  <c r="FS157" i="1" s="1"/>
  <c r="FT157" i="1" s="1"/>
  <c r="FU157" i="1" s="1"/>
  <c r="FV157" i="1" s="1"/>
  <c r="FX157" i="1" s="1"/>
  <c r="GF289" i="1"/>
  <c r="GG289" i="1" s="1"/>
  <c r="GD91" i="1"/>
  <c r="GE91" i="1" s="1"/>
  <c r="GD94" i="1"/>
  <c r="GE94" i="1" s="1"/>
  <c r="GL94" i="1"/>
  <c r="GM94" i="1" s="1"/>
  <c r="GQ10" i="1"/>
  <c r="GJ10" i="1"/>
  <c r="GK10" i="1" s="1"/>
  <c r="GT65" i="1"/>
  <c r="GU65" i="1" s="1"/>
  <c r="GV65" i="1" s="1"/>
  <c r="GR94" i="1"/>
  <c r="GF94" i="1"/>
  <c r="GG94" i="1" s="1"/>
  <c r="GH10" i="1"/>
  <c r="GI10" i="1" s="1"/>
  <c r="GQ65" i="1"/>
  <c r="GT94" i="1"/>
  <c r="GU94" i="1" s="1"/>
  <c r="GV94" i="1" s="1"/>
  <c r="GQ94" i="1"/>
  <c r="GR65" i="1"/>
  <c r="GJ94" i="1"/>
  <c r="GK94" i="1" s="1"/>
  <c r="GR10" i="1"/>
  <c r="GD10" i="1"/>
  <c r="GE10" i="1" s="1"/>
  <c r="GN85" i="1"/>
  <c r="GO85" i="1" s="1"/>
  <c r="GP85" i="1" s="1"/>
  <c r="GS85" i="1" s="1"/>
  <c r="GW85" i="1" s="1"/>
  <c r="GX85" i="1" s="1"/>
  <c r="GY85" i="1" s="1"/>
  <c r="GZ85" i="1" s="1"/>
  <c r="GT10" i="1"/>
  <c r="GU10" i="1" s="1"/>
  <c r="GV10" i="1" s="1"/>
  <c r="GF10" i="1"/>
  <c r="GG10" i="1" s="1"/>
  <c r="GJ65" i="1"/>
  <c r="GK65" i="1" s="1"/>
  <c r="GD65" i="1"/>
  <c r="GE65" i="1" s="1"/>
  <c r="GQ249" i="1"/>
  <c r="GH17" i="1"/>
  <c r="GI17" i="1" s="1"/>
  <c r="GN17" i="1"/>
  <c r="GO17" i="1" s="1"/>
  <c r="FR30" i="1"/>
  <c r="FS30" i="1" s="1"/>
  <c r="FT30" i="1" s="1"/>
  <c r="FU30" i="1" s="1"/>
  <c r="FV30" i="1" s="1"/>
  <c r="FX30" i="1" s="1"/>
  <c r="GT220" i="1"/>
  <c r="GU220" i="1" s="1"/>
  <c r="GV220" i="1" s="1"/>
  <c r="GR220" i="1"/>
  <c r="GT249" i="1"/>
  <c r="GU249" i="1" s="1"/>
  <c r="GV249" i="1" s="1"/>
  <c r="GJ17" i="1"/>
  <c r="GK17" i="1" s="1"/>
  <c r="GH220" i="1"/>
  <c r="GI220" i="1" s="1"/>
  <c r="GT17" i="1"/>
  <c r="GU17" i="1" s="1"/>
  <c r="GV17" i="1" s="1"/>
  <c r="GL220" i="1"/>
  <c r="GM220" i="1" s="1"/>
  <c r="GR249" i="1"/>
  <c r="GD249" i="1"/>
  <c r="GE249" i="1" s="1"/>
  <c r="GR17" i="1"/>
  <c r="FQ60" i="1"/>
  <c r="FS60" i="1" s="1"/>
  <c r="FT60" i="1" s="1"/>
  <c r="FU60" i="1" s="1"/>
  <c r="FV60" i="1" s="1"/>
  <c r="FX60" i="1" s="1"/>
  <c r="GD220" i="1"/>
  <c r="GE220" i="1" s="1"/>
  <c r="FR51" i="1"/>
  <c r="FS51" i="1" s="1"/>
  <c r="FT51" i="1" s="1"/>
  <c r="FU51" i="1" s="1"/>
  <c r="FV51" i="1" s="1"/>
  <c r="FX51" i="1" s="1"/>
  <c r="GL249" i="1"/>
  <c r="GM249" i="1" s="1"/>
  <c r="GF17" i="1"/>
  <c r="GG17" i="1" s="1"/>
  <c r="GT182" i="1"/>
  <c r="GU182" i="1" s="1"/>
  <c r="GV182" i="1" s="1"/>
  <c r="GJ220" i="1"/>
  <c r="GK220" i="1" s="1"/>
  <c r="GH249" i="1"/>
  <c r="GI249" i="1" s="1"/>
  <c r="GL17" i="1"/>
  <c r="GM17" i="1" s="1"/>
  <c r="GN182" i="1"/>
  <c r="GO182" i="1" s="1"/>
  <c r="GF220" i="1"/>
  <c r="GG220" i="1" s="1"/>
  <c r="GF137" i="1"/>
  <c r="GG137" i="1" s="1"/>
  <c r="GD107" i="1"/>
  <c r="GE107" i="1" s="1"/>
  <c r="GR131" i="1"/>
  <c r="GH289" i="1"/>
  <c r="GI289" i="1" s="1"/>
  <c r="FR11" i="1"/>
  <c r="FS11" i="1" s="1"/>
  <c r="FT11" i="1" s="1"/>
  <c r="FU11" i="1" s="1"/>
  <c r="FV11" i="1" s="1"/>
  <c r="FX11" i="1" s="1"/>
  <c r="FR239" i="1"/>
  <c r="FS239" i="1" s="1"/>
  <c r="FT239" i="1" s="1"/>
  <c r="FU239" i="1" s="1"/>
  <c r="FV239" i="1" s="1"/>
  <c r="FX239" i="1" s="1"/>
  <c r="GJ131" i="1"/>
  <c r="GK131" i="1" s="1"/>
  <c r="GQ131" i="1"/>
  <c r="GL107" i="1"/>
  <c r="GM107" i="1" s="1"/>
  <c r="GR289" i="1"/>
  <c r="GQ289" i="1"/>
  <c r="GJ137" i="1"/>
  <c r="GK137" i="1" s="1"/>
  <c r="GR137" i="1"/>
  <c r="GH137" i="1"/>
  <c r="GI137" i="1" s="1"/>
  <c r="GL137" i="1"/>
  <c r="GM137" i="1" s="1"/>
  <c r="GQ107" i="1"/>
  <c r="GL289" i="1"/>
  <c r="GM289" i="1" s="1"/>
  <c r="GJ289" i="1"/>
  <c r="GK289" i="1" s="1"/>
  <c r="GT137" i="1"/>
  <c r="GU137" i="1" s="1"/>
  <c r="GV137" i="1" s="1"/>
  <c r="FQ215" i="1"/>
  <c r="FS215" i="1" s="1"/>
  <c r="FT215" i="1" s="1"/>
  <c r="FU215" i="1" s="1"/>
  <c r="FV215" i="1" s="1"/>
  <c r="FX215" i="1" s="1"/>
  <c r="GN137" i="1"/>
  <c r="GO137" i="1" s="1"/>
  <c r="GR107" i="1"/>
  <c r="GF107" i="1"/>
  <c r="GG107" i="1" s="1"/>
  <c r="GF144" i="1"/>
  <c r="GG144" i="1" s="1"/>
  <c r="GD289" i="1"/>
  <c r="GE289" i="1" s="1"/>
  <c r="GF284" i="1"/>
  <c r="GG284" i="1" s="1"/>
  <c r="GN78" i="1"/>
  <c r="GO78" i="1" s="1"/>
  <c r="GP78" i="1" s="1"/>
  <c r="GS78" i="1" s="1"/>
  <c r="GW78" i="1" s="1"/>
  <c r="GX78" i="1" s="1"/>
  <c r="GY78" i="1" s="1"/>
  <c r="GZ78" i="1" s="1"/>
  <c r="GD69" i="1"/>
  <c r="GE69" i="1" s="1"/>
  <c r="GD110" i="1"/>
  <c r="GE110" i="1" s="1"/>
  <c r="GL110" i="1"/>
  <c r="GM110" i="1" s="1"/>
  <c r="FR256" i="1"/>
  <c r="FS256" i="1" s="1"/>
  <c r="FT256" i="1" s="1"/>
  <c r="FU256" i="1" s="1"/>
  <c r="FV256" i="1" s="1"/>
  <c r="FX256" i="1" s="1"/>
  <c r="FQ20" i="1"/>
  <c r="FS20" i="1" s="1"/>
  <c r="FT20" i="1" s="1"/>
  <c r="FU20" i="1" s="1"/>
  <c r="FV20" i="1" s="1"/>
  <c r="FX20" i="1" s="1"/>
  <c r="FQ212" i="1"/>
  <c r="FS212" i="1" s="1"/>
  <c r="FT212" i="1" s="1"/>
  <c r="FU212" i="1" s="1"/>
  <c r="FV212" i="1" s="1"/>
  <c r="FX212" i="1" s="1"/>
  <c r="GJ75" i="1"/>
  <c r="GK75" i="1" s="1"/>
  <c r="GD75" i="1"/>
  <c r="GE75" i="1" s="1"/>
  <c r="GH69" i="1"/>
  <c r="GI69" i="1" s="1"/>
  <c r="GF69" i="1"/>
  <c r="GG69" i="1" s="1"/>
  <c r="GQ110" i="1"/>
  <c r="GT75" i="1"/>
  <c r="GU75" i="1" s="1"/>
  <c r="GV75" i="1" s="1"/>
  <c r="GF75" i="1"/>
  <c r="GG75" i="1" s="1"/>
  <c r="GJ69" i="1"/>
  <c r="GK69" i="1" s="1"/>
  <c r="GL69" i="1"/>
  <c r="GM69" i="1" s="1"/>
  <c r="FR205" i="1"/>
  <c r="FS205" i="1" s="1"/>
  <c r="FT205" i="1" s="1"/>
  <c r="FU205" i="1" s="1"/>
  <c r="FV205" i="1" s="1"/>
  <c r="FX205" i="1" s="1"/>
  <c r="FQ45" i="1"/>
  <c r="FS45" i="1" s="1"/>
  <c r="FT45" i="1" s="1"/>
  <c r="FU45" i="1" s="1"/>
  <c r="FV45" i="1" s="1"/>
  <c r="FX45" i="1" s="1"/>
  <c r="FR27" i="1"/>
  <c r="FS27" i="1" s="1"/>
  <c r="FT27" i="1" s="1"/>
  <c r="FU27" i="1" s="1"/>
  <c r="FV27" i="1" s="1"/>
  <c r="FX27" i="1" s="1"/>
  <c r="GJ267" i="1"/>
  <c r="GK267" i="1" s="1"/>
  <c r="GF110" i="1"/>
  <c r="GG110" i="1" s="1"/>
  <c r="GH110" i="1"/>
  <c r="GI110" i="1" s="1"/>
  <c r="GL75" i="1"/>
  <c r="GM75" i="1" s="1"/>
  <c r="GQ69" i="1"/>
  <c r="GR110" i="1"/>
  <c r="GT110" i="1"/>
  <c r="GU110" i="1" s="1"/>
  <c r="GV110" i="1" s="1"/>
  <c r="GT268" i="1"/>
  <c r="GU268" i="1" s="1"/>
  <c r="GV268" i="1" s="1"/>
  <c r="GD268" i="1"/>
  <c r="GE268" i="1" s="1"/>
  <c r="GH121" i="1"/>
  <c r="GI121" i="1" s="1"/>
  <c r="GQ268" i="1"/>
  <c r="GJ258" i="1"/>
  <c r="GK258" i="1" s="1"/>
  <c r="GJ161" i="1"/>
  <c r="GK161" i="1" s="1"/>
  <c r="FQ292" i="1"/>
  <c r="FS292" i="1" s="1"/>
  <c r="FT292" i="1" s="1"/>
  <c r="FU292" i="1" s="1"/>
  <c r="FV292" i="1" s="1"/>
  <c r="FX292" i="1" s="1"/>
  <c r="FQ59" i="1"/>
  <c r="FS59" i="1" s="1"/>
  <c r="FT59" i="1" s="1"/>
  <c r="FU59" i="1" s="1"/>
  <c r="FV59" i="1" s="1"/>
  <c r="FX59" i="1" s="1"/>
  <c r="FQ56" i="1"/>
  <c r="FS56" i="1" s="1"/>
  <c r="FT56" i="1" s="1"/>
  <c r="FU56" i="1" s="1"/>
  <c r="FV56" i="1" s="1"/>
  <c r="FX56" i="1" s="1"/>
  <c r="FQ54" i="1"/>
  <c r="FS54" i="1" s="1"/>
  <c r="FT54" i="1" s="1"/>
  <c r="FU54" i="1" s="1"/>
  <c r="FV54" i="1" s="1"/>
  <c r="FX54" i="1" s="1"/>
  <c r="GL121" i="1"/>
  <c r="GM121" i="1" s="1"/>
  <c r="GH41" i="1"/>
  <c r="GI41" i="1" s="1"/>
  <c r="GR161" i="1"/>
  <c r="GD121" i="1"/>
  <c r="GE121" i="1" s="1"/>
  <c r="GJ121" i="1"/>
  <c r="GK121" i="1" s="1"/>
  <c r="GL41" i="1"/>
  <c r="GM41" i="1" s="1"/>
  <c r="GJ41" i="1"/>
  <c r="GK41" i="1" s="1"/>
  <c r="GQ41" i="1"/>
  <c r="FR5" i="1"/>
  <c r="FS5" i="1" s="1"/>
  <c r="FT5" i="1" s="1"/>
  <c r="FU5" i="1" s="1"/>
  <c r="FV5" i="1" s="1"/>
  <c r="FX5" i="1" s="1"/>
  <c r="GT161" i="1"/>
  <c r="GU161" i="1" s="1"/>
  <c r="GV161" i="1" s="1"/>
  <c r="GQ121" i="1"/>
  <c r="GF121" i="1"/>
  <c r="GG121" i="1" s="1"/>
  <c r="GR41" i="1"/>
  <c r="GF41" i="1"/>
  <c r="GG41" i="1" s="1"/>
  <c r="FR219" i="1"/>
  <c r="FS219" i="1" s="1"/>
  <c r="FT219" i="1" s="1"/>
  <c r="FU219" i="1" s="1"/>
  <c r="FV219" i="1" s="1"/>
  <c r="FX219" i="1" s="1"/>
  <c r="GD161" i="1"/>
  <c r="GE161" i="1" s="1"/>
  <c r="FQ210" i="1"/>
  <c r="FS210" i="1" s="1"/>
  <c r="FT210" i="1" s="1"/>
  <c r="FU210" i="1" s="1"/>
  <c r="FV210" i="1" s="1"/>
  <c r="FX210" i="1" s="1"/>
  <c r="GL161" i="1"/>
  <c r="GM161" i="1" s="1"/>
  <c r="GT284" i="1"/>
  <c r="GU284" i="1" s="1"/>
  <c r="GV284" i="1" s="1"/>
  <c r="FQ196" i="1"/>
  <c r="FS196" i="1" s="1"/>
  <c r="FT196" i="1" s="1"/>
  <c r="FU196" i="1" s="1"/>
  <c r="FV196" i="1" s="1"/>
  <c r="FX196" i="1" s="1"/>
  <c r="GR121" i="1"/>
  <c r="GT41" i="1"/>
  <c r="GU41" i="1" s="1"/>
  <c r="GV41" i="1" s="1"/>
  <c r="GQ161" i="1"/>
  <c r="GF161" i="1"/>
  <c r="GG161" i="1" s="1"/>
  <c r="GH284" i="1"/>
  <c r="GI284" i="1" s="1"/>
  <c r="FS120" i="1"/>
  <c r="FT120" i="1" s="1"/>
  <c r="FU120" i="1" s="1"/>
  <c r="FV120" i="1" s="1"/>
  <c r="FX120" i="1" s="1"/>
  <c r="GQ144" i="1"/>
  <c r="FR158" i="1"/>
  <c r="FS158" i="1" s="1"/>
  <c r="FT158" i="1" s="1"/>
  <c r="FU158" i="1" s="1"/>
  <c r="FV158" i="1" s="1"/>
  <c r="FX158" i="1" s="1"/>
  <c r="GJ182" i="1"/>
  <c r="GK182" i="1" s="1"/>
  <c r="GD182" i="1"/>
  <c r="GE182" i="1" s="1"/>
  <c r="GN81" i="1"/>
  <c r="GO81" i="1" s="1"/>
  <c r="GR81" i="1"/>
  <c r="GR182" i="1"/>
  <c r="GL182" i="1"/>
  <c r="GM182" i="1" s="1"/>
  <c r="GH182" i="1"/>
  <c r="GI182" i="1" s="1"/>
  <c r="GD81" i="1"/>
  <c r="GE81" i="1" s="1"/>
  <c r="GH297" i="1"/>
  <c r="GI297" i="1" s="1"/>
  <c r="GF182" i="1"/>
  <c r="GG182" i="1" s="1"/>
  <c r="GL144" i="1"/>
  <c r="GM144" i="1" s="1"/>
  <c r="GR144" i="1"/>
  <c r="GJ144" i="1"/>
  <c r="GK144" i="1" s="1"/>
  <c r="GD284" i="1"/>
  <c r="GE284" i="1" s="1"/>
  <c r="GJ284" i="1"/>
  <c r="GK284" i="1" s="1"/>
  <c r="GQ284" i="1"/>
  <c r="GT144" i="1"/>
  <c r="GU144" i="1" s="1"/>
  <c r="GV144" i="1" s="1"/>
  <c r="GH144" i="1"/>
  <c r="GI144" i="1" s="1"/>
  <c r="GL284" i="1"/>
  <c r="GM284" i="1" s="1"/>
  <c r="GJ81" i="1"/>
  <c r="GK81" i="1" s="1"/>
  <c r="GF267" i="1"/>
  <c r="GG267" i="1" s="1"/>
  <c r="FR66" i="1"/>
  <c r="FS66" i="1" s="1"/>
  <c r="FT66" i="1" s="1"/>
  <c r="FU66" i="1" s="1"/>
  <c r="FV66" i="1" s="1"/>
  <c r="FX66" i="1" s="1"/>
  <c r="GH267" i="1"/>
  <c r="GI267" i="1" s="1"/>
  <c r="GL267" i="1"/>
  <c r="GM267" i="1" s="1"/>
  <c r="GJ244" i="1"/>
  <c r="GK244" i="1" s="1"/>
  <c r="GR267" i="1"/>
  <c r="GQ267" i="1"/>
  <c r="GD267" i="1"/>
  <c r="GE267" i="1" s="1"/>
  <c r="FS139" i="1"/>
  <c r="FT139" i="1" s="1"/>
  <c r="FU139" i="1" s="1"/>
  <c r="FV139" i="1" s="1"/>
  <c r="FX139" i="1" s="1"/>
  <c r="GR105" i="1"/>
  <c r="GL105" i="1"/>
  <c r="GM105" i="1" s="1"/>
  <c r="GH105" i="1"/>
  <c r="GI105" i="1" s="1"/>
  <c r="GD105" i="1"/>
  <c r="GE105" i="1" s="1"/>
  <c r="GJ105" i="1"/>
  <c r="GK105" i="1" s="1"/>
  <c r="GQ233" i="1"/>
  <c r="GT233" i="1"/>
  <c r="GU233" i="1" s="1"/>
  <c r="GV233" i="1" s="1"/>
  <c r="GF233" i="1"/>
  <c r="GG233" i="1" s="1"/>
  <c r="GR233" i="1"/>
  <c r="GJ233" i="1"/>
  <c r="GK233" i="1" s="1"/>
  <c r="GD233" i="1"/>
  <c r="GE233" i="1" s="1"/>
  <c r="GH233" i="1"/>
  <c r="GI233" i="1" s="1"/>
  <c r="GN64" i="1"/>
  <c r="GO64" i="1" s="1"/>
  <c r="GP64" i="1" s="1"/>
  <c r="GS64" i="1" s="1"/>
  <c r="GW64" i="1" s="1"/>
  <c r="GX64" i="1" s="1"/>
  <c r="GY64" i="1" s="1"/>
  <c r="GZ64" i="1" s="1"/>
  <c r="FR99" i="1"/>
  <c r="FS99" i="1" s="1"/>
  <c r="FT99" i="1" s="1"/>
  <c r="FU99" i="1" s="1"/>
  <c r="FV99" i="1" s="1"/>
  <c r="FX99" i="1" s="1"/>
  <c r="GQ258" i="1"/>
  <c r="GF258" i="1"/>
  <c r="GG258" i="1" s="1"/>
  <c r="GT258" i="1"/>
  <c r="GU258" i="1" s="1"/>
  <c r="GV258" i="1" s="1"/>
  <c r="GR258" i="1"/>
  <c r="GH258" i="1"/>
  <c r="GI258" i="1" s="1"/>
  <c r="FQ28" i="1"/>
  <c r="FS28" i="1" s="1"/>
  <c r="FT28" i="1" s="1"/>
  <c r="FU28" i="1" s="1"/>
  <c r="FV28" i="1" s="1"/>
  <c r="FX28" i="1" s="1"/>
  <c r="GD258" i="1"/>
  <c r="GE258" i="1" s="1"/>
  <c r="GD181" i="1"/>
  <c r="GE181" i="1" s="1"/>
  <c r="GR181" i="1"/>
  <c r="GF181" i="1"/>
  <c r="GG181" i="1" s="1"/>
  <c r="GN92" i="1"/>
  <c r="GO92" i="1" s="1"/>
  <c r="GP92" i="1" s="1"/>
  <c r="GS92" i="1" s="1"/>
  <c r="GW92" i="1" s="1"/>
  <c r="GX92" i="1" s="1"/>
  <c r="GY92" i="1" s="1"/>
  <c r="GZ92" i="1" s="1"/>
  <c r="GF297" i="1"/>
  <c r="GG297" i="1" s="1"/>
  <c r="GN22" i="1"/>
  <c r="GO22" i="1" s="1"/>
  <c r="GP22" i="1" s="1"/>
  <c r="GS22" i="1" s="1"/>
  <c r="GW22" i="1" s="1"/>
  <c r="GX22" i="1" s="1"/>
  <c r="GY22" i="1" s="1"/>
  <c r="GZ22" i="1" s="1"/>
  <c r="GQ244" i="1"/>
  <c r="GL297" i="1"/>
  <c r="GM297" i="1" s="1"/>
  <c r="GR297" i="1"/>
  <c r="GN164" i="1"/>
  <c r="GO164" i="1" s="1"/>
  <c r="GP164" i="1" s="1"/>
  <c r="GS164" i="1" s="1"/>
  <c r="GW164" i="1" s="1"/>
  <c r="GX164" i="1" s="1"/>
  <c r="GY164" i="1" s="1"/>
  <c r="GZ164" i="1" s="1"/>
  <c r="GL194" i="1"/>
  <c r="GM194" i="1" s="1"/>
  <c r="GR244" i="1"/>
  <c r="GH244" i="1"/>
  <c r="GI244" i="1" s="1"/>
  <c r="GN297" i="1"/>
  <c r="GO297" i="1" s="1"/>
  <c r="GF105" i="1"/>
  <c r="GG105" i="1" s="1"/>
  <c r="GT244" i="1"/>
  <c r="GU244" i="1" s="1"/>
  <c r="GV244" i="1" s="1"/>
  <c r="GQ297" i="1"/>
  <c r="GT297" i="1"/>
  <c r="GU297" i="1" s="1"/>
  <c r="GV297" i="1" s="1"/>
  <c r="GQ105" i="1"/>
  <c r="GD244" i="1"/>
  <c r="GE244" i="1" s="1"/>
  <c r="GJ297" i="1"/>
  <c r="GK297" i="1" s="1"/>
  <c r="GL244" i="1"/>
  <c r="GM244" i="1" s="1"/>
  <c r="GN216" i="1"/>
  <c r="GO216" i="1" s="1"/>
  <c r="GP216" i="1" s="1"/>
  <c r="GS216" i="1" s="1"/>
  <c r="GW216" i="1" s="1"/>
  <c r="GX216" i="1" s="1"/>
  <c r="GY216" i="1" s="1"/>
  <c r="GZ216" i="1" s="1"/>
  <c r="FS232" i="1"/>
  <c r="FT232" i="1" s="1"/>
  <c r="FU232" i="1" s="1"/>
  <c r="FV232" i="1" s="1"/>
  <c r="FX232" i="1" s="1"/>
  <c r="GN239" i="1"/>
  <c r="GO239" i="1" s="1"/>
  <c r="GP239" i="1" s="1"/>
  <c r="GS239" i="1" s="1"/>
  <c r="GW239" i="1" s="1"/>
  <c r="GX239" i="1" s="1"/>
  <c r="GY239" i="1" s="1"/>
  <c r="GZ239" i="1" s="1"/>
  <c r="FS261" i="1"/>
  <c r="FT261" i="1" s="1"/>
  <c r="FU261" i="1" s="1"/>
  <c r="FV261" i="1" s="1"/>
  <c r="FX261" i="1" s="1"/>
  <c r="GN173" i="1"/>
  <c r="GO173" i="1" s="1"/>
  <c r="GP173" i="1" s="1"/>
  <c r="GS173" i="1" s="1"/>
  <c r="GW173" i="1" s="1"/>
  <c r="GX173" i="1" s="1"/>
  <c r="GY173" i="1" s="1"/>
  <c r="GZ173" i="1" s="1"/>
  <c r="GR180" i="1"/>
  <c r="GF180" i="1"/>
  <c r="GG180" i="1" s="1"/>
  <c r="GH49" i="1"/>
  <c r="GI49" i="1" s="1"/>
  <c r="GN146" i="1"/>
  <c r="GO146" i="1" s="1"/>
  <c r="GP146" i="1" s="1"/>
  <c r="GS146" i="1" s="1"/>
  <c r="GW146" i="1" s="1"/>
  <c r="GX146" i="1" s="1"/>
  <c r="GY146" i="1" s="1"/>
  <c r="GZ146" i="1" s="1"/>
  <c r="GT180" i="1"/>
  <c r="GU180" i="1" s="1"/>
  <c r="GV180" i="1" s="1"/>
  <c r="GJ180" i="1"/>
  <c r="GK180" i="1" s="1"/>
  <c r="GQ49" i="1"/>
  <c r="GD180" i="1"/>
  <c r="GE180" i="1" s="1"/>
  <c r="GN97" i="1"/>
  <c r="GO97" i="1" s="1"/>
  <c r="GP97" i="1" s="1"/>
  <c r="GS97" i="1" s="1"/>
  <c r="GW97" i="1" s="1"/>
  <c r="GX97" i="1" s="1"/>
  <c r="GY97" i="1" s="1"/>
  <c r="GZ97" i="1" s="1"/>
  <c r="GL180" i="1"/>
  <c r="GM180" i="1" s="1"/>
  <c r="GR49" i="1"/>
  <c r="GL49" i="1"/>
  <c r="GM49" i="1" s="1"/>
  <c r="GQ180" i="1"/>
  <c r="GF49" i="1"/>
  <c r="GG49" i="1" s="1"/>
  <c r="GD49" i="1"/>
  <c r="GE49" i="1" s="1"/>
  <c r="GT49" i="1"/>
  <c r="GU49" i="1" s="1"/>
  <c r="GV49" i="1" s="1"/>
  <c r="FS137" i="1"/>
  <c r="FT137" i="1" s="1"/>
  <c r="FU137" i="1" s="1"/>
  <c r="FV137" i="1" s="1"/>
  <c r="FX137" i="1" s="1"/>
  <c r="GR61" i="1"/>
  <c r="GJ181" i="1"/>
  <c r="GK181" i="1" s="1"/>
  <c r="GT189" i="1"/>
  <c r="GU189" i="1" s="1"/>
  <c r="GV189" i="1" s="1"/>
  <c r="FQ35" i="1"/>
  <c r="FS35" i="1" s="1"/>
  <c r="FT35" i="1" s="1"/>
  <c r="FU35" i="1" s="1"/>
  <c r="FV35" i="1" s="1"/>
  <c r="FX35" i="1" s="1"/>
  <c r="GN212" i="1"/>
  <c r="GO212" i="1" s="1"/>
  <c r="GP212" i="1" s="1"/>
  <c r="GS212" i="1" s="1"/>
  <c r="GW212" i="1" s="1"/>
  <c r="GX212" i="1" s="1"/>
  <c r="GY212" i="1" s="1"/>
  <c r="GZ212" i="1" s="1"/>
  <c r="GH181" i="1"/>
  <c r="GI181" i="1" s="1"/>
  <c r="GQ181" i="1"/>
  <c r="GL61" i="1"/>
  <c r="GM61" i="1" s="1"/>
  <c r="GT181" i="1"/>
  <c r="GU181" i="1" s="1"/>
  <c r="GV181" i="1" s="1"/>
  <c r="GH61" i="1"/>
  <c r="GI61" i="1" s="1"/>
  <c r="GL189" i="1"/>
  <c r="GM189" i="1" s="1"/>
  <c r="GN232" i="1"/>
  <c r="GO232" i="1" s="1"/>
  <c r="GP232" i="1" s="1"/>
  <c r="GS232" i="1" s="1"/>
  <c r="GW232" i="1" s="1"/>
  <c r="GX232" i="1" s="1"/>
  <c r="GY232" i="1" s="1"/>
  <c r="GZ232" i="1" s="1"/>
  <c r="GH189" i="1"/>
  <c r="GI189" i="1" s="1"/>
  <c r="GF189" i="1"/>
  <c r="GG189" i="1" s="1"/>
  <c r="GD204" i="1"/>
  <c r="GE204" i="1" s="1"/>
  <c r="GN128" i="1"/>
  <c r="GO128" i="1" s="1"/>
  <c r="GP128" i="1" s="1"/>
  <c r="GS128" i="1" s="1"/>
  <c r="GW128" i="1" s="1"/>
  <c r="GX128" i="1" s="1"/>
  <c r="GY128" i="1" s="1"/>
  <c r="GZ128" i="1" s="1"/>
  <c r="GN83" i="1"/>
  <c r="GO83" i="1" s="1"/>
  <c r="GP83" i="1" s="1"/>
  <c r="GS83" i="1" s="1"/>
  <c r="GW83" i="1" s="1"/>
  <c r="GX83" i="1" s="1"/>
  <c r="GY83" i="1" s="1"/>
  <c r="GZ83" i="1" s="1"/>
  <c r="GJ189" i="1"/>
  <c r="GK189" i="1" s="1"/>
  <c r="GD189" i="1"/>
  <c r="GE189" i="1" s="1"/>
  <c r="GR204" i="1"/>
  <c r="GR189" i="1"/>
  <c r="GN73" i="1"/>
  <c r="GO73" i="1" s="1"/>
  <c r="GP73" i="1" s="1"/>
  <c r="GS73" i="1" s="1"/>
  <c r="GW73" i="1" s="1"/>
  <c r="GX73" i="1" s="1"/>
  <c r="GY73" i="1" s="1"/>
  <c r="GZ73" i="1" s="1"/>
  <c r="GN72" i="1"/>
  <c r="GO72" i="1" s="1"/>
  <c r="GP72" i="1" s="1"/>
  <c r="GS72" i="1" s="1"/>
  <c r="GW72" i="1" s="1"/>
  <c r="GX72" i="1" s="1"/>
  <c r="GY72" i="1" s="1"/>
  <c r="GZ72" i="1" s="1"/>
  <c r="GP152" i="1"/>
  <c r="GS152" i="1" s="1"/>
  <c r="GW152" i="1" s="1"/>
  <c r="GX152" i="1" s="1"/>
  <c r="GY152" i="1" s="1"/>
  <c r="GZ152" i="1" s="1"/>
  <c r="GN176" i="1"/>
  <c r="GO176" i="1" s="1"/>
  <c r="GP176" i="1" s="1"/>
  <c r="GS176" i="1" s="1"/>
  <c r="GW176" i="1" s="1"/>
  <c r="GX176" i="1" s="1"/>
  <c r="GY176" i="1" s="1"/>
  <c r="GZ176" i="1" s="1"/>
  <c r="GN208" i="1"/>
  <c r="GO208" i="1" s="1"/>
  <c r="GP208" i="1" s="1"/>
  <c r="GS208" i="1" s="1"/>
  <c r="GW208" i="1" s="1"/>
  <c r="GX208" i="1" s="1"/>
  <c r="GY208" i="1" s="1"/>
  <c r="GZ208" i="1" s="1"/>
  <c r="FS67" i="1"/>
  <c r="FT67" i="1" s="1"/>
  <c r="FU67" i="1" s="1"/>
  <c r="FV67" i="1" s="1"/>
  <c r="FX67" i="1" s="1"/>
  <c r="FS235" i="1"/>
  <c r="FT235" i="1" s="1"/>
  <c r="FU235" i="1" s="1"/>
  <c r="FV235" i="1" s="1"/>
  <c r="FX235" i="1" s="1"/>
  <c r="FS197" i="1"/>
  <c r="FT197" i="1" s="1"/>
  <c r="FU197" i="1" s="1"/>
  <c r="FV197" i="1" s="1"/>
  <c r="FX197" i="1" s="1"/>
  <c r="FS71" i="1"/>
  <c r="FT71" i="1" s="1"/>
  <c r="FU71" i="1" s="1"/>
  <c r="FV71" i="1" s="1"/>
  <c r="FX71" i="1" s="1"/>
  <c r="FS118" i="1"/>
  <c r="FT118" i="1" s="1"/>
  <c r="FU118" i="1" s="1"/>
  <c r="FV118" i="1" s="1"/>
  <c r="FX118" i="1" s="1"/>
  <c r="GN82" i="1"/>
  <c r="GO82" i="1" s="1"/>
  <c r="GP82" i="1" s="1"/>
  <c r="GS82" i="1" s="1"/>
  <c r="GW82" i="1" s="1"/>
  <c r="GX82" i="1" s="1"/>
  <c r="GY82" i="1" s="1"/>
  <c r="GZ82" i="1" s="1"/>
  <c r="GT204" i="1"/>
  <c r="GU204" i="1" s="1"/>
  <c r="GV204" i="1" s="1"/>
  <c r="GQ4" i="1"/>
  <c r="GJ4" i="1"/>
  <c r="GK4" i="1" s="1"/>
  <c r="GJ204" i="1"/>
  <c r="GK204" i="1" s="1"/>
  <c r="GN57" i="1"/>
  <c r="GO57" i="1" s="1"/>
  <c r="GP57" i="1" s="1"/>
  <c r="GS57" i="1" s="1"/>
  <c r="GW57" i="1" s="1"/>
  <c r="GX57" i="1" s="1"/>
  <c r="GY57" i="1" s="1"/>
  <c r="GZ57" i="1" s="1"/>
  <c r="GF204" i="1"/>
  <c r="GG204" i="1" s="1"/>
  <c r="GN109" i="1"/>
  <c r="GO109" i="1" s="1"/>
  <c r="GP109" i="1" s="1"/>
  <c r="GS109" i="1" s="1"/>
  <c r="GW109" i="1" s="1"/>
  <c r="GX109" i="1" s="1"/>
  <c r="GY109" i="1" s="1"/>
  <c r="GZ109" i="1" s="1"/>
  <c r="GP11" i="1"/>
  <c r="GS11" i="1" s="1"/>
  <c r="GW11" i="1" s="1"/>
  <c r="GX11" i="1" s="1"/>
  <c r="GY11" i="1" s="1"/>
  <c r="GZ11" i="1" s="1"/>
  <c r="GN204" i="1"/>
  <c r="GO204" i="1" s="1"/>
  <c r="GQ204" i="1"/>
  <c r="GN294" i="1"/>
  <c r="GO294" i="1" s="1"/>
  <c r="GP294" i="1" s="1"/>
  <c r="GS294" i="1" s="1"/>
  <c r="GW294" i="1" s="1"/>
  <c r="GX294" i="1" s="1"/>
  <c r="GY294" i="1" s="1"/>
  <c r="GZ294" i="1" s="1"/>
  <c r="GL204" i="1"/>
  <c r="GM204" i="1" s="1"/>
  <c r="GN288" i="1"/>
  <c r="GO288" i="1" s="1"/>
  <c r="GP288" i="1" s="1"/>
  <c r="GS288" i="1" s="1"/>
  <c r="GW288" i="1" s="1"/>
  <c r="GX288" i="1" s="1"/>
  <c r="GY288" i="1" s="1"/>
  <c r="GZ288" i="1" s="1"/>
  <c r="GN31" i="1"/>
  <c r="GO31" i="1" s="1"/>
  <c r="GP31" i="1" s="1"/>
  <c r="GS31" i="1" s="1"/>
  <c r="GW31" i="1" s="1"/>
  <c r="GX31" i="1" s="1"/>
  <c r="GY31" i="1" s="1"/>
  <c r="GZ31" i="1" s="1"/>
  <c r="GN115" i="1"/>
  <c r="GO115" i="1" s="1"/>
  <c r="GP115" i="1" s="1"/>
  <c r="GS115" i="1" s="1"/>
  <c r="GW115" i="1" s="1"/>
  <c r="GX115" i="1" s="1"/>
  <c r="GY115" i="1" s="1"/>
  <c r="GZ115" i="1" s="1"/>
  <c r="GN303" i="1"/>
  <c r="GO303" i="1" s="1"/>
  <c r="GP303" i="1" s="1"/>
  <c r="GS303" i="1" s="1"/>
  <c r="GW303" i="1" s="1"/>
  <c r="GX303" i="1" s="1"/>
  <c r="GY303" i="1" s="1"/>
  <c r="GZ303" i="1" s="1"/>
  <c r="GL40" i="1"/>
  <c r="GM40" i="1" s="1"/>
  <c r="GN170" i="1"/>
  <c r="GO170" i="1" s="1"/>
  <c r="GP170" i="1" s="1"/>
  <c r="GS170" i="1" s="1"/>
  <c r="GW170" i="1" s="1"/>
  <c r="GX170" i="1" s="1"/>
  <c r="GY170" i="1" s="1"/>
  <c r="GZ170" i="1" s="1"/>
  <c r="GN98" i="1"/>
  <c r="GO98" i="1" s="1"/>
  <c r="GP98" i="1" s="1"/>
  <c r="GS98" i="1" s="1"/>
  <c r="GW98" i="1" s="1"/>
  <c r="GX98" i="1" s="1"/>
  <c r="GY98" i="1" s="1"/>
  <c r="GZ98" i="1" s="1"/>
  <c r="GP171" i="1"/>
  <c r="GS171" i="1" s="1"/>
  <c r="GW171" i="1" s="1"/>
  <c r="GX171" i="1" s="1"/>
  <c r="GY171" i="1" s="1"/>
  <c r="GZ171" i="1" s="1"/>
  <c r="GN86" i="1"/>
  <c r="GO86" i="1" s="1"/>
  <c r="GP86" i="1" s="1"/>
  <c r="GS86" i="1" s="1"/>
  <c r="GW86" i="1" s="1"/>
  <c r="GX86" i="1" s="1"/>
  <c r="GY86" i="1" s="1"/>
  <c r="GZ86" i="1" s="1"/>
  <c r="GN28" i="1"/>
  <c r="GO28" i="1" s="1"/>
  <c r="GP28" i="1" s="1"/>
  <c r="GS28" i="1" s="1"/>
  <c r="GW28" i="1" s="1"/>
  <c r="GX28" i="1" s="1"/>
  <c r="GY28" i="1" s="1"/>
  <c r="GZ28" i="1" s="1"/>
  <c r="GN63" i="1"/>
  <c r="GO63" i="1" s="1"/>
  <c r="GP63" i="1" s="1"/>
  <c r="GS63" i="1" s="1"/>
  <c r="GW63" i="1" s="1"/>
  <c r="GX63" i="1" s="1"/>
  <c r="GY63" i="1" s="1"/>
  <c r="GZ63" i="1" s="1"/>
  <c r="GD206" i="1"/>
  <c r="GE206" i="1" s="1"/>
  <c r="GR206" i="1"/>
  <c r="GF206" i="1"/>
  <c r="GG206" i="1" s="1"/>
  <c r="GJ206" i="1"/>
  <c r="GK206" i="1" s="1"/>
  <c r="GQ206" i="1"/>
  <c r="GH206" i="1"/>
  <c r="GI206" i="1" s="1"/>
  <c r="GT206" i="1"/>
  <c r="GU206" i="1" s="1"/>
  <c r="GV206" i="1" s="1"/>
  <c r="GN246" i="1"/>
  <c r="GO246" i="1" s="1"/>
  <c r="GP246" i="1" s="1"/>
  <c r="GS246" i="1" s="1"/>
  <c r="GW246" i="1" s="1"/>
  <c r="GX246" i="1" s="1"/>
  <c r="GY246" i="1" s="1"/>
  <c r="GZ246" i="1" s="1"/>
  <c r="GN200" i="1"/>
  <c r="GO200" i="1" s="1"/>
  <c r="GP200" i="1" s="1"/>
  <c r="GS200" i="1" s="1"/>
  <c r="GW200" i="1" s="1"/>
  <c r="GX200" i="1" s="1"/>
  <c r="GY200" i="1" s="1"/>
  <c r="GZ200" i="1" s="1"/>
  <c r="GP104" i="1"/>
  <c r="GS104" i="1" s="1"/>
  <c r="GW104" i="1" s="1"/>
  <c r="GX104" i="1" s="1"/>
  <c r="GY104" i="1" s="1"/>
  <c r="GZ104" i="1" s="1"/>
  <c r="GP183" i="1"/>
  <c r="GS183" i="1" s="1"/>
  <c r="GW183" i="1" s="1"/>
  <c r="GX183" i="1" s="1"/>
  <c r="GY183" i="1" s="1"/>
  <c r="GZ183" i="1" s="1"/>
  <c r="GP96" i="1"/>
  <c r="GS96" i="1" s="1"/>
  <c r="GW96" i="1" s="1"/>
  <c r="GX96" i="1" s="1"/>
  <c r="GY96" i="1" s="1"/>
  <c r="GZ96" i="1" s="1"/>
  <c r="GN188" i="1"/>
  <c r="GO188" i="1" s="1"/>
  <c r="GP188" i="1" s="1"/>
  <c r="GS188" i="1" s="1"/>
  <c r="GW188" i="1" s="1"/>
  <c r="GX188" i="1" s="1"/>
  <c r="GY188" i="1" s="1"/>
  <c r="GZ188" i="1" s="1"/>
  <c r="GN185" i="1"/>
  <c r="GO185" i="1" s="1"/>
  <c r="GP185" i="1" s="1"/>
  <c r="GS185" i="1" s="1"/>
  <c r="GW185" i="1" s="1"/>
  <c r="GX185" i="1" s="1"/>
  <c r="GY185" i="1" s="1"/>
  <c r="GZ185" i="1" s="1"/>
  <c r="GN154" i="1"/>
  <c r="GO154" i="1" s="1"/>
  <c r="GP154" i="1" s="1"/>
  <c r="GS154" i="1" s="1"/>
  <c r="GW154" i="1" s="1"/>
  <c r="GX154" i="1" s="1"/>
  <c r="GY154" i="1" s="1"/>
  <c r="GZ154" i="1" s="1"/>
  <c r="GN9" i="1"/>
  <c r="GO9" i="1" s="1"/>
  <c r="GP9" i="1" s="1"/>
  <c r="GS9" i="1" s="1"/>
  <c r="GW9" i="1" s="1"/>
  <c r="GX9" i="1" s="1"/>
  <c r="GY9" i="1" s="1"/>
  <c r="GZ9" i="1" s="1"/>
  <c r="GN29" i="1"/>
  <c r="GO29" i="1" s="1"/>
  <c r="GP29" i="1" s="1"/>
  <c r="GS29" i="1" s="1"/>
  <c r="GW29" i="1" s="1"/>
  <c r="GX29" i="1" s="1"/>
  <c r="GY29" i="1" s="1"/>
  <c r="GZ29" i="1" s="1"/>
  <c r="GN256" i="1"/>
  <c r="GO256" i="1" s="1"/>
  <c r="GP256" i="1" s="1"/>
  <c r="GS256" i="1" s="1"/>
  <c r="GW256" i="1" s="1"/>
  <c r="GX256" i="1" s="1"/>
  <c r="GY256" i="1" s="1"/>
  <c r="GZ256" i="1" s="1"/>
  <c r="GN287" i="1"/>
  <c r="GO287" i="1" s="1"/>
  <c r="GP287" i="1" s="1"/>
  <c r="GS287" i="1" s="1"/>
  <c r="GW287" i="1" s="1"/>
  <c r="GX287" i="1" s="1"/>
  <c r="GY287" i="1" s="1"/>
  <c r="GZ287" i="1" s="1"/>
  <c r="GN186" i="1"/>
  <c r="GO186" i="1" s="1"/>
  <c r="GP186" i="1" s="1"/>
  <c r="GS186" i="1" s="1"/>
  <c r="GW186" i="1" s="1"/>
  <c r="GX186" i="1" s="1"/>
  <c r="GY186" i="1" s="1"/>
  <c r="GZ186" i="1" s="1"/>
  <c r="GP193" i="1"/>
  <c r="GS193" i="1" s="1"/>
  <c r="GW193" i="1" s="1"/>
  <c r="GX193" i="1" s="1"/>
  <c r="GY193" i="1" s="1"/>
  <c r="GZ193" i="1" s="1"/>
  <c r="GN281" i="1"/>
  <c r="GO281" i="1" s="1"/>
  <c r="GP281" i="1" s="1"/>
  <c r="GS281" i="1" s="1"/>
  <c r="GW281" i="1" s="1"/>
  <c r="GX281" i="1" s="1"/>
  <c r="GY281" i="1" s="1"/>
  <c r="GZ281" i="1" s="1"/>
  <c r="GN228" i="1"/>
  <c r="GO228" i="1" s="1"/>
  <c r="GP228" i="1" s="1"/>
  <c r="GS228" i="1" s="1"/>
  <c r="GW228" i="1" s="1"/>
  <c r="GX228" i="1" s="1"/>
  <c r="GY228" i="1" s="1"/>
  <c r="GZ228" i="1" s="1"/>
  <c r="GP236" i="1"/>
  <c r="GS236" i="1" s="1"/>
  <c r="GW236" i="1" s="1"/>
  <c r="GX236" i="1" s="1"/>
  <c r="GY236" i="1" s="1"/>
  <c r="GZ236" i="1" s="1"/>
  <c r="GN101" i="1"/>
  <c r="GO101" i="1" s="1"/>
  <c r="GP101" i="1" s="1"/>
  <c r="GS101" i="1" s="1"/>
  <c r="GW101" i="1" s="1"/>
  <c r="GX101" i="1" s="1"/>
  <c r="GY101" i="1" s="1"/>
  <c r="GZ101" i="1" s="1"/>
  <c r="GP68" i="1"/>
  <c r="GS68" i="1" s="1"/>
  <c r="GW68" i="1" s="1"/>
  <c r="GX68" i="1" s="1"/>
  <c r="GY68" i="1" s="1"/>
  <c r="GZ68" i="1" s="1"/>
  <c r="GP5" i="1"/>
  <c r="GS5" i="1" s="1"/>
  <c r="GW5" i="1" s="1"/>
  <c r="GX5" i="1" s="1"/>
  <c r="GY5" i="1" s="1"/>
  <c r="GZ5" i="1" s="1"/>
  <c r="GP36" i="1"/>
  <c r="GS36" i="1" s="1"/>
  <c r="GW36" i="1" s="1"/>
  <c r="GX36" i="1" s="1"/>
  <c r="GY36" i="1" s="1"/>
  <c r="GZ36" i="1" s="1"/>
  <c r="GN33" i="1"/>
  <c r="GO33" i="1" s="1"/>
  <c r="GP33" i="1" s="1"/>
  <c r="GS33" i="1" s="1"/>
  <c r="GW33" i="1" s="1"/>
  <c r="GX33" i="1" s="1"/>
  <c r="GY33" i="1" s="1"/>
  <c r="GZ33" i="1" s="1"/>
  <c r="GN285" i="1"/>
  <c r="GO285" i="1" s="1"/>
  <c r="GP285" i="1" s="1"/>
  <c r="GS285" i="1" s="1"/>
  <c r="GW285" i="1" s="1"/>
  <c r="GX285" i="1" s="1"/>
  <c r="GY285" i="1" s="1"/>
  <c r="GZ285" i="1" s="1"/>
  <c r="GN187" i="1"/>
  <c r="GO187" i="1" s="1"/>
  <c r="GP187" i="1" s="1"/>
  <c r="GS187" i="1" s="1"/>
  <c r="GW187" i="1" s="1"/>
  <c r="GX187" i="1" s="1"/>
  <c r="GY187" i="1" s="1"/>
  <c r="GZ187" i="1" s="1"/>
  <c r="GP282" i="1"/>
  <c r="GS282" i="1" s="1"/>
  <c r="GW282" i="1" s="1"/>
  <c r="GX282" i="1" s="1"/>
  <c r="GY282" i="1" s="1"/>
  <c r="GZ282" i="1" s="1"/>
  <c r="FS178" i="1"/>
  <c r="FT178" i="1" s="1"/>
  <c r="FU178" i="1" s="1"/>
  <c r="FV178" i="1" s="1"/>
  <c r="FX178" i="1" s="1"/>
  <c r="GN113" i="1"/>
  <c r="GO113" i="1" s="1"/>
  <c r="GP113" i="1" s="1"/>
  <c r="GS113" i="1" s="1"/>
  <c r="GW113" i="1" s="1"/>
  <c r="GX113" i="1" s="1"/>
  <c r="GY113" i="1" s="1"/>
  <c r="GZ113" i="1" s="1"/>
  <c r="GN213" i="1"/>
  <c r="GO213" i="1" s="1"/>
  <c r="GP213" i="1" s="1"/>
  <c r="GS213" i="1" s="1"/>
  <c r="GW213" i="1" s="1"/>
  <c r="GX213" i="1" s="1"/>
  <c r="GY213" i="1" s="1"/>
  <c r="GZ213" i="1" s="1"/>
  <c r="GT61" i="1"/>
  <c r="GU61" i="1" s="1"/>
  <c r="GV61" i="1" s="1"/>
  <c r="GN279" i="1"/>
  <c r="GO279" i="1" s="1"/>
  <c r="GP279" i="1" s="1"/>
  <c r="GS279" i="1" s="1"/>
  <c r="GW279" i="1" s="1"/>
  <c r="GX279" i="1" s="1"/>
  <c r="GY279" i="1" s="1"/>
  <c r="GZ279" i="1" s="1"/>
  <c r="GN111" i="1"/>
  <c r="GO111" i="1" s="1"/>
  <c r="GP111" i="1" s="1"/>
  <c r="GS111" i="1" s="1"/>
  <c r="GW111" i="1" s="1"/>
  <c r="GX111" i="1" s="1"/>
  <c r="GY111" i="1" s="1"/>
  <c r="GZ111" i="1" s="1"/>
  <c r="GN177" i="1"/>
  <c r="GO177" i="1" s="1"/>
  <c r="GP177" i="1" s="1"/>
  <c r="GS177" i="1" s="1"/>
  <c r="GW177" i="1" s="1"/>
  <c r="GX177" i="1" s="1"/>
  <c r="GY177" i="1" s="1"/>
  <c r="GZ177" i="1" s="1"/>
  <c r="GN26" i="1"/>
  <c r="GO26" i="1" s="1"/>
  <c r="GP26" i="1" s="1"/>
  <c r="GS26" i="1" s="1"/>
  <c r="GW26" i="1" s="1"/>
  <c r="GX26" i="1" s="1"/>
  <c r="GY26" i="1" s="1"/>
  <c r="GZ26" i="1" s="1"/>
  <c r="GN158" i="1"/>
  <c r="GO158" i="1" s="1"/>
  <c r="GP158" i="1" s="1"/>
  <c r="GS158" i="1" s="1"/>
  <c r="GW158" i="1" s="1"/>
  <c r="GX158" i="1" s="1"/>
  <c r="GY158" i="1" s="1"/>
  <c r="GZ158" i="1" s="1"/>
  <c r="GL89" i="1"/>
  <c r="GM89" i="1" s="1"/>
  <c r="GN103" i="1"/>
  <c r="GO103" i="1" s="1"/>
  <c r="GP103" i="1" s="1"/>
  <c r="GS103" i="1" s="1"/>
  <c r="GW103" i="1" s="1"/>
  <c r="GX103" i="1" s="1"/>
  <c r="GY103" i="1" s="1"/>
  <c r="GZ103" i="1" s="1"/>
  <c r="GN198" i="1"/>
  <c r="GO198" i="1" s="1"/>
  <c r="GP198" i="1" s="1"/>
  <c r="GS198" i="1" s="1"/>
  <c r="GW198" i="1" s="1"/>
  <c r="GX198" i="1" s="1"/>
  <c r="GY198" i="1" s="1"/>
  <c r="GZ198" i="1" s="1"/>
  <c r="GN165" i="1"/>
  <c r="GO165" i="1" s="1"/>
  <c r="GP165" i="1" s="1"/>
  <c r="GS165" i="1" s="1"/>
  <c r="GW165" i="1" s="1"/>
  <c r="GX165" i="1" s="1"/>
  <c r="GY165" i="1" s="1"/>
  <c r="GZ165" i="1" s="1"/>
  <c r="GN163" i="1"/>
  <c r="GO163" i="1" s="1"/>
  <c r="GP163" i="1" s="1"/>
  <c r="GS163" i="1" s="1"/>
  <c r="GW163" i="1" s="1"/>
  <c r="GX163" i="1" s="1"/>
  <c r="GY163" i="1" s="1"/>
  <c r="GZ163" i="1" s="1"/>
  <c r="GE265" i="1"/>
  <c r="GN265" i="1"/>
  <c r="GO265" i="1" s="1"/>
  <c r="GN46" i="1"/>
  <c r="GO46" i="1" s="1"/>
  <c r="GP46" i="1" s="1"/>
  <c r="GS46" i="1" s="1"/>
  <c r="GW46" i="1" s="1"/>
  <c r="GX46" i="1" s="1"/>
  <c r="GY46" i="1" s="1"/>
  <c r="GZ46" i="1" s="1"/>
  <c r="GF61" i="1"/>
  <c r="GG61" i="1" s="1"/>
  <c r="GN280" i="1"/>
  <c r="GO280" i="1" s="1"/>
  <c r="GP280" i="1" s="1"/>
  <c r="GS280" i="1" s="1"/>
  <c r="GW280" i="1" s="1"/>
  <c r="GX280" i="1" s="1"/>
  <c r="GY280" i="1" s="1"/>
  <c r="GZ280" i="1" s="1"/>
  <c r="GN35" i="1"/>
  <c r="GO35" i="1" s="1"/>
  <c r="GP35" i="1" s="1"/>
  <c r="GS35" i="1" s="1"/>
  <c r="GW35" i="1" s="1"/>
  <c r="GX35" i="1" s="1"/>
  <c r="GY35" i="1" s="1"/>
  <c r="GZ35" i="1" s="1"/>
  <c r="GN290" i="1"/>
  <c r="GO290" i="1" s="1"/>
  <c r="GP290" i="1" s="1"/>
  <c r="GS290" i="1" s="1"/>
  <c r="GW290" i="1" s="1"/>
  <c r="GX290" i="1" s="1"/>
  <c r="GY290" i="1" s="1"/>
  <c r="GZ290" i="1" s="1"/>
  <c r="GN277" i="1"/>
  <c r="GO277" i="1" s="1"/>
  <c r="GP277" i="1" s="1"/>
  <c r="GS277" i="1" s="1"/>
  <c r="GW277" i="1" s="1"/>
  <c r="GX277" i="1" s="1"/>
  <c r="GY277" i="1" s="1"/>
  <c r="GZ277" i="1" s="1"/>
  <c r="GN223" i="1"/>
  <c r="GO223" i="1" s="1"/>
  <c r="GP223" i="1" s="1"/>
  <c r="GS223" i="1" s="1"/>
  <c r="GW223" i="1" s="1"/>
  <c r="GX223" i="1" s="1"/>
  <c r="GY223" i="1" s="1"/>
  <c r="GZ223" i="1" s="1"/>
  <c r="GN251" i="1"/>
  <c r="GO251" i="1" s="1"/>
  <c r="GP251" i="1" s="1"/>
  <c r="GS251" i="1" s="1"/>
  <c r="GW251" i="1" s="1"/>
  <c r="GX251" i="1" s="1"/>
  <c r="GY251" i="1" s="1"/>
  <c r="GZ251" i="1" s="1"/>
  <c r="GN19" i="1"/>
  <c r="GO19" i="1" s="1"/>
  <c r="GP19" i="1" s="1"/>
  <c r="GS19" i="1" s="1"/>
  <c r="GW19" i="1" s="1"/>
  <c r="GX19" i="1" s="1"/>
  <c r="GY19" i="1" s="1"/>
  <c r="GZ19" i="1" s="1"/>
  <c r="GN247" i="1"/>
  <c r="GO247" i="1" s="1"/>
  <c r="GP247" i="1" s="1"/>
  <c r="GS247" i="1" s="1"/>
  <c r="GW247" i="1" s="1"/>
  <c r="GX247" i="1" s="1"/>
  <c r="GY247" i="1" s="1"/>
  <c r="GZ247" i="1" s="1"/>
  <c r="GN174" i="1"/>
  <c r="GO174" i="1" s="1"/>
  <c r="GP174" i="1" s="1"/>
  <c r="GS174" i="1" s="1"/>
  <c r="GW174" i="1" s="1"/>
  <c r="GX174" i="1" s="1"/>
  <c r="GY174" i="1" s="1"/>
  <c r="GZ174" i="1" s="1"/>
  <c r="GN241" i="1"/>
  <c r="GO241" i="1" s="1"/>
  <c r="GP241" i="1" s="1"/>
  <c r="GS241" i="1" s="1"/>
  <c r="GW241" i="1" s="1"/>
  <c r="GX241" i="1" s="1"/>
  <c r="GY241" i="1" s="1"/>
  <c r="GZ241" i="1" s="1"/>
  <c r="GJ61" i="1"/>
  <c r="GK61" i="1" s="1"/>
  <c r="GN23" i="1"/>
  <c r="GO23" i="1" s="1"/>
  <c r="GP23" i="1" s="1"/>
  <c r="GS23" i="1" s="1"/>
  <c r="GW23" i="1" s="1"/>
  <c r="GX23" i="1" s="1"/>
  <c r="GY23" i="1" s="1"/>
  <c r="GZ23" i="1" s="1"/>
  <c r="GQ61" i="1"/>
  <c r="GN43" i="1"/>
  <c r="GO43" i="1" s="1"/>
  <c r="GP43" i="1" s="1"/>
  <c r="GS43" i="1" s="1"/>
  <c r="GW43" i="1" s="1"/>
  <c r="GX43" i="1" s="1"/>
  <c r="GY43" i="1" s="1"/>
  <c r="GZ43" i="1" s="1"/>
  <c r="GN202" i="1"/>
  <c r="GO202" i="1" s="1"/>
  <c r="GP202" i="1" s="1"/>
  <c r="GS202" i="1" s="1"/>
  <c r="GW202" i="1" s="1"/>
  <c r="GX202" i="1" s="1"/>
  <c r="GY202" i="1" s="1"/>
  <c r="GZ202" i="1" s="1"/>
  <c r="GN205" i="1"/>
  <c r="GO205" i="1" s="1"/>
  <c r="GP205" i="1" s="1"/>
  <c r="GS205" i="1" s="1"/>
  <c r="GW205" i="1" s="1"/>
  <c r="GX205" i="1" s="1"/>
  <c r="GY205" i="1" s="1"/>
  <c r="GZ205" i="1" s="1"/>
  <c r="GN124" i="1"/>
  <c r="GO124" i="1" s="1"/>
  <c r="GP124" i="1" s="1"/>
  <c r="GS124" i="1" s="1"/>
  <c r="GW124" i="1" s="1"/>
  <c r="GX124" i="1" s="1"/>
  <c r="GY124" i="1" s="1"/>
  <c r="GZ124" i="1" s="1"/>
  <c r="GN155" i="1"/>
  <c r="GO155" i="1" s="1"/>
  <c r="GP155" i="1" s="1"/>
  <c r="GS155" i="1" s="1"/>
  <c r="GW155" i="1" s="1"/>
  <c r="GX155" i="1" s="1"/>
  <c r="GY155" i="1" s="1"/>
  <c r="GZ155" i="1" s="1"/>
  <c r="GN255" i="1"/>
  <c r="GO255" i="1" s="1"/>
  <c r="GP255" i="1" s="1"/>
  <c r="GS255" i="1" s="1"/>
  <c r="GW255" i="1" s="1"/>
  <c r="GX255" i="1" s="1"/>
  <c r="GY255" i="1" s="1"/>
  <c r="GZ255" i="1" s="1"/>
  <c r="GP93" i="1"/>
  <c r="GS93" i="1" s="1"/>
  <c r="GW93" i="1" s="1"/>
  <c r="GX93" i="1" s="1"/>
  <c r="GY93" i="1" s="1"/>
  <c r="GZ93" i="1" s="1"/>
  <c r="GN195" i="1"/>
  <c r="GO195" i="1" s="1"/>
  <c r="GP195" i="1" s="1"/>
  <c r="GS195" i="1" s="1"/>
  <c r="GW195" i="1" s="1"/>
  <c r="GX195" i="1" s="1"/>
  <c r="GY195" i="1" s="1"/>
  <c r="GZ195" i="1" s="1"/>
  <c r="GN276" i="1"/>
  <c r="GO276" i="1" s="1"/>
  <c r="GP276" i="1" s="1"/>
  <c r="GS276" i="1" s="1"/>
  <c r="GW276" i="1" s="1"/>
  <c r="GX276" i="1" s="1"/>
  <c r="GY276" i="1" s="1"/>
  <c r="GZ276" i="1" s="1"/>
  <c r="FS204" i="1"/>
  <c r="FT204" i="1" s="1"/>
  <c r="FU204" i="1" s="1"/>
  <c r="FV204" i="1" s="1"/>
  <c r="FX204" i="1" s="1"/>
  <c r="GN84" i="1"/>
  <c r="GO84" i="1" s="1"/>
  <c r="GP84" i="1" s="1"/>
  <c r="GS84" i="1" s="1"/>
  <c r="GW84" i="1" s="1"/>
  <c r="GX84" i="1" s="1"/>
  <c r="GY84" i="1" s="1"/>
  <c r="GZ84" i="1" s="1"/>
  <c r="GN8" i="1"/>
  <c r="GO8" i="1" s="1"/>
  <c r="GP8" i="1" s="1"/>
  <c r="GS8" i="1" s="1"/>
  <c r="GW8" i="1" s="1"/>
  <c r="GX8" i="1" s="1"/>
  <c r="GY8" i="1" s="1"/>
  <c r="GZ8" i="1" s="1"/>
  <c r="GN71" i="1"/>
  <c r="GO71" i="1" s="1"/>
  <c r="GP71" i="1" s="1"/>
  <c r="GS71" i="1" s="1"/>
  <c r="GW71" i="1" s="1"/>
  <c r="GX71" i="1" s="1"/>
  <c r="GY71" i="1" s="1"/>
  <c r="GZ71" i="1" s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GN148" i="1"/>
  <c r="GO148" i="1" s="1"/>
  <c r="GP148" i="1" s="1"/>
  <c r="GS148" i="1" s="1"/>
  <c r="GW148" i="1" s="1"/>
  <c r="GX148" i="1" s="1"/>
  <c r="GY148" i="1" s="1"/>
  <c r="GZ148" i="1" s="1"/>
  <c r="GN257" i="1"/>
  <c r="GO257" i="1" s="1"/>
  <c r="GP257" i="1" s="1"/>
  <c r="GS257" i="1" s="1"/>
  <c r="GW257" i="1" s="1"/>
  <c r="GX257" i="1" s="1"/>
  <c r="GY257" i="1" s="1"/>
  <c r="GZ257" i="1" s="1"/>
  <c r="GN292" i="1"/>
  <c r="GO292" i="1" s="1"/>
  <c r="GP292" i="1" s="1"/>
  <c r="GS292" i="1" s="1"/>
  <c r="GW292" i="1" s="1"/>
  <c r="GX292" i="1" s="1"/>
  <c r="GY292" i="1" s="1"/>
  <c r="GZ292" i="1" s="1"/>
  <c r="GN150" i="1"/>
  <c r="GO150" i="1" s="1"/>
  <c r="GP150" i="1" s="1"/>
  <c r="GS150" i="1" s="1"/>
  <c r="GW150" i="1" s="1"/>
  <c r="GX150" i="1" s="1"/>
  <c r="GY150" i="1" s="1"/>
  <c r="GZ150" i="1" s="1"/>
  <c r="GN151" i="1"/>
  <c r="GO151" i="1" s="1"/>
  <c r="GP151" i="1" s="1"/>
  <c r="GS151" i="1" s="1"/>
  <c r="GW151" i="1" s="1"/>
  <c r="GX151" i="1" s="1"/>
  <c r="GY151" i="1" s="1"/>
  <c r="GZ151" i="1" s="1"/>
  <c r="GN30" i="1"/>
  <c r="GO30" i="1" s="1"/>
  <c r="GP30" i="1" s="1"/>
  <c r="GS30" i="1" s="1"/>
  <c r="GW30" i="1" s="1"/>
  <c r="GX30" i="1" s="1"/>
  <c r="GY30" i="1" s="1"/>
  <c r="GZ30" i="1" s="1"/>
  <c r="GN203" i="1"/>
  <c r="GO203" i="1" s="1"/>
  <c r="GP203" i="1" s="1"/>
  <c r="GS203" i="1" s="1"/>
  <c r="GW203" i="1" s="1"/>
  <c r="GX203" i="1" s="1"/>
  <c r="GY203" i="1" s="1"/>
  <c r="GZ203" i="1" s="1"/>
  <c r="GK88" i="1"/>
  <c r="GN88" i="1"/>
  <c r="GO88" i="1" s="1"/>
  <c r="FS173" i="1"/>
  <c r="FT173" i="1" s="1"/>
  <c r="FU173" i="1" s="1"/>
  <c r="FV173" i="1" s="1"/>
  <c r="FX173" i="1" s="1"/>
  <c r="FS252" i="1"/>
  <c r="FT252" i="1" s="1"/>
  <c r="FU252" i="1" s="1"/>
  <c r="FV252" i="1" s="1"/>
  <c r="FX252" i="1" s="1"/>
  <c r="FS182" i="1"/>
  <c r="FT182" i="1" s="1"/>
  <c r="FU182" i="1" s="1"/>
  <c r="FV182" i="1" s="1"/>
  <c r="FX182" i="1" s="1"/>
  <c r="FS179" i="1"/>
  <c r="FT179" i="1" s="1"/>
  <c r="FU179" i="1" s="1"/>
  <c r="FV179" i="1" s="1"/>
  <c r="FX179" i="1" s="1"/>
  <c r="FS7" i="1"/>
  <c r="FT7" i="1" s="1"/>
  <c r="FU7" i="1" s="1"/>
  <c r="FV7" i="1" s="1"/>
  <c r="FX7" i="1" s="1"/>
  <c r="GP76" i="1"/>
  <c r="GS76" i="1" s="1"/>
  <c r="GW76" i="1" s="1"/>
  <c r="GX76" i="1" s="1"/>
  <c r="GY76" i="1" s="1"/>
  <c r="GZ76" i="1" s="1"/>
  <c r="GN301" i="1"/>
  <c r="GO301" i="1" s="1"/>
  <c r="GP301" i="1" s="1"/>
  <c r="GS301" i="1" s="1"/>
  <c r="GW301" i="1" s="1"/>
  <c r="GX301" i="1" s="1"/>
  <c r="GY301" i="1" s="1"/>
  <c r="GZ301" i="1" s="1"/>
  <c r="GN138" i="1"/>
  <c r="GO138" i="1" s="1"/>
  <c r="GP138" i="1" s="1"/>
  <c r="GS138" i="1" s="1"/>
  <c r="GW138" i="1" s="1"/>
  <c r="GX138" i="1" s="1"/>
  <c r="GY138" i="1" s="1"/>
  <c r="GZ138" i="1" s="1"/>
  <c r="FS105" i="1"/>
  <c r="FT105" i="1" s="1"/>
  <c r="FU105" i="1" s="1"/>
  <c r="FV105" i="1" s="1"/>
  <c r="FX105" i="1" s="1"/>
  <c r="FS65" i="1"/>
  <c r="FT65" i="1" s="1"/>
  <c r="FU65" i="1" s="1"/>
  <c r="FV65" i="1" s="1"/>
  <c r="FX65" i="1" s="1"/>
  <c r="FS100" i="1"/>
  <c r="FT100" i="1" s="1"/>
  <c r="FU100" i="1" s="1"/>
  <c r="FV100" i="1" s="1"/>
  <c r="FX100" i="1" s="1"/>
  <c r="GN54" i="1"/>
  <c r="GO54" i="1" s="1"/>
  <c r="GP54" i="1" s="1"/>
  <c r="GS54" i="1" s="1"/>
  <c r="GW54" i="1" s="1"/>
  <c r="GX54" i="1" s="1"/>
  <c r="GY54" i="1" s="1"/>
  <c r="GZ54" i="1" s="1"/>
  <c r="GP145" i="1"/>
  <c r="GS145" i="1" s="1"/>
  <c r="GW145" i="1" s="1"/>
  <c r="GX145" i="1" s="1"/>
  <c r="GY145" i="1" s="1"/>
  <c r="GZ145" i="1" s="1"/>
  <c r="GN153" i="1"/>
  <c r="GO153" i="1" s="1"/>
  <c r="GP153" i="1" s="1"/>
  <c r="GS153" i="1" s="1"/>
  <c r="GW153" i="1" s="1"/>
  <c r="GX153" i="1" s="1"/>
  <c r="GY153" i="1" s="1"/>
  <c r="GZ153" i="1" s="1"/>
  <c r="GF4" i="1"/>
  <c r="GG4" i="1" s="1"/>
  <c r="GN179" i="1"/>
  <c r="GO179" i="1" s="1"/>
  <c r="GP179" i="1" s="1"/>
  <c r="GS179" i="1" s="1"/>
  <c r="GW179" i="1" s="1"/>
  <c r="GX179" i="1" s="1"/>
  <c r="GY179" i="1" s="1"/>
  <c r="GZ179" i="1" s="1"/>
  <c r="GT4" i="1"/>
  <c r="GU4" i="1" s="1"/>
  <c r="GV4" i="1" s="1"/>
  <c r="GL4" i="1"/>
  <c r="GM4" i="1" s="1"/>
  <c r="GN114" i="1"/>
  <c r="GO114" i="1" s="1"/>
  <c r="GP114" i="1" s="1"/>
  <c r="GS114" i="1" s="1"/>
  <c r="GW114" i="1" s="1"/>
  <c r="GX114" i="1" s="1"/>
  <c r="GY114" i="1" s="1"/>
  <c r="GZ114" i="1" s="1"/>
  <c r="GN227" i="1"/>
  <c r="GO227" i="1" s="1"/>
  <c r="GP227" i="1" s="1"/>
  <c r="GS227" i="1" s="1"/>
  <c r="GW227" i="1" s="1"/>
  <c r="GX227" i="1" s="1"/>
  <c r="GY227" i="1" s="1"/>
  <c r="GZ227" i="1" s="1"/>
  <c r="GN3" i="1"/>
  <c r="GO3" i="1" s="1"/>
  <c r="GP3" i="1" s="1"/>
  <c r="GS3" i="1" s="1"/>
  <c r="GW3" i="1" s="1"/>
  <c r="GX3" i="1" s="1"/>
  <c r="GY3" i="1" s="1"/>
  <c r="GZ3" i="1" s="1"/>
  <c r="GH4" i="1"/>
  <c r="GI4" i="1" s="1"/>
  <c r="FS221" i="1"/>
  <c r="FT221" i="1" s="1"/>
  <c r="FU221" i="1" s="1"/>
  <c r="FV221" i="1" s="1"/>
  <c r="FX221" i="1" s="1"/>
  <c r="GN299" i="1"/>
  <c r="GO299" i="1" s="1"/>
  <c r="GP299" i="1" s="1"/>
  <c r="GS299" i="1" s="1"/>
  <c r="GW299" i="1" s="1"/>
  <c r="GX299" i="1" s="1"/>
  <c r="GY299" i="1" s="1"/>
  <c r="GZ299" i="1" s="1"/>
  <c r="GD4" i="1"/>
  <c r="GE4" i="1" s="1"/>
  <c r="FS115" i="1"/>
  <c r="FT115" i="1" s="1"/>
  <c r="FU115" i="1" s="1"/>
  <c r="FV115" i="1" s="1"/>
  <c r="FX115" i="1" s="1"/>
  <c r="GN58" i="1"/>
  <c r="GO58" i="1" s="1"/>
  <c r="GP58" i="1" s="1"/>
  <c r="GS58" i="1" s="1"/>
  <c r="GW58" i="1" s="1"/>
  <c r="GX58" i="1" s="1"/>
  <c r="GY58" i="1" s="1"/>
  <c r="GZ58" i="1" s="1"/>
  <c r="FS37" i="1"/>
  <c r="FT37" i="1" s="1"/>
  <c r="FU37" i="1" s="1"/>
  <c r="FV37" i="1" s="1"/>
  <c r="FX37" i="1" s="1"/>
  <c r="GN135" i="1"/>
  <c r="GO135" i="1" s="1"/>
  <c r="GP135" i="1" s="1"/>
  <c r="GS135" i="1" s="1"/>
  <c r="GW135" i="1" s="1"/>
  <c r="GX135" i="1" s="1"/>
  <c r="GY135" i="1" s="1"/>
  <c r="GZ135" i="1" s="1"/>
  <c r="GN197" i="1"/>
  <c r="GO197" i="1" s="1"/>
  <c r="GP197" i="1" s="1"/>
  <c r="GS197" i="1" s="1"/>
  <c r="GW197" i="1" s="1"/>
  <c r="GX197" i="1" s="1"/>
  <c r="GY197" i="1" s="1"/>
  <c r="GZ197" i="1" s="1"/>
  <c r="GN157" i="1"/>
  <c r="GO157" i="1" s="1"/>
  <c r="GP157" i="1" s="1"/>
  <c r="GS157" i="1" s="1"/>
  <c r="GW157" i="1" s="1"/>
  <c r="GX157" i="1" s="1"/>
  <c r="GY157" i="1" s="1"/>
  <c r="GZ157" i="1" s="1"/>
  <c r="GN261" i="1"/>
  <c r="GO261" i="1" s="1"/>
  <c r="GP261" i="1" s="1"/>
  <c r="GS261" i="1" s="1"/>
  <c r="GW261" i="1" s="1"/>
  <c r="GX261" i="1" s="1"/>
  <c r="GY261" i="1" s="1"/>
  <c r="GZ261" i="1" s="1"/>
  <c r="GP217" i="1"/>
  <c r="GS217" i="1" s="1"/>
  <c r="GW217" i="1" s="1"/>
  <c r="GX217" i="1" s="1"/>
  <c r="GY217" i="1" s="1"/>
  <c r="GZ217" i="1" s="1"/>
  <c r="GN120" i="1"/>
  <c r="GO120" i="1" s="1"/>
  <c r="GP120" i="1" s="1"/>
  <c r="GS120" i="1" s="1"/>
  <c r="GW120" i="1" s="1"/>
  <c r="GX120" i="1" s="1"/>
  <c r="GY120" i="1" s="1"/>
  <c r="GZ120" i="1" s="1"/>
  <c r="GN116" i="1"/>
  <c r="GO116" i="1" s="1"/>
  <c r="GP116" i="1" s="1"/>
  <c r="GS116" i="1" s="1"/>
  <c r="GW116" i="1" s="1"/>
  <c r="GX116" i="1" s="1"/>
  <c r="GY116" i="1" s="1"/>
  <c r="GZ116" i="1" s="1"/>
  <c r="GN6" i="1"/>
  <c r="GO6" i="1" s="1"/>
  <c r="GP6" i="1" s="1"/>
  <c r="GS6" i="1" s="1"/>
  <c r="GW6" i="1" s="1"/>
  <c r="GX6" i="1" s="1"/>
  <c r="GY6" i="1" s="1"/>
  <c r="GZ6" i="1" s="1"/>
  <c r="GN272" i="1"/>
  <c r="GO272" i="1" s="1"/>
  <c r="GP272" i="1" s="1"/>
  <c r="GS272" i="1" s="1"/>
  <c r="GW272" i="1" s="1"/>
  <c r="GX272" i="1" s="1"/>
  <c r="GY272" i="1" s="1"/>
  <c r="GZ272" i="1" s="1"/>
  <c r="GN207" i="1"/>
  <c r="GO207" i="1" s="1"/>
  <c r="GP207" i="1" s="1"/>
  <c r="GS207" i="1" s="1"/>
  <c r="GW207" i="1" s="1"/>
  <c r="GX207" i="1" s="1"/>
  <c r="GY207" i="1" s="1"/>
  <c r="GZ207" i="1" s="1"/>
  <c r="GN230" i="1"/>
  <c r="GO230" i="1" s="1"/>
  <c r="GP230" i="1" s="1"/>
  <c r="GS230" i="1" s="1"/>
  <c r="GW230" i="1" s="1"/>
  <c r="GX230" i="1" s="1"/>
  <c r="GY230" i="1" s="1"/>
  <c r="GZ230" i="1" s="1"/>
  <c r="GN273" i="1"/>
  <c r="GO273" i="1" s="1"/>
  <c r="GP273" i="1" s="1"/>
  <c r="GS273" i="1" s="1"/>
  <c r="GW273" i="1" s="1"/>
  <c r="GX273" i="1" s="1"/>
  <c r="GY273" i="1" s="1"/>
  <c r="GZ273" i="1" s="1"/>
  <c r="GN278" i="1"/>
  <c r="GO278" i="1" s="1"/>
  <c r="GP278" i="1" s="1"/>
  <c r="GS278" i="1" s="1"/>
  <c r="GW278" i="1" s="1"/>
  <c r="GX278" i="1" s="1"/>
  <c r="GY278" i="1" s="1"/>
  <c r="GZ278" i="1" s="1"/>
  <c r="GN130" i="1"/>
  <c r="GO130" i="1" s="1"/>
  <c r="GP130" i="1" s="1"/>
  <c r="GS130" i="1" s="1"/>
  <c r="GW130" i="1" s="1"/>
  <c r="GX130" i="1" s="1"/>
  <c r="GY130" i="1" s="1"/>
  <c r="GZ130" i="1" s="1"/>
  <c r="GN74" i="1"/>
  <c r="GO74" i="1" s="1"/>
  <c r="GP74" i="1" s="1"/>
  <c r="GS74" i="1" s="1"/>
  <c r="GW74" i="1" s="1"/>
  <c r="GX74" i="1" s="1"/>
  <c r="GY74" i="1" s="1"/>
  <c r="GZ74" i="1" s="1"/>
  <c r="GN167" i="1"/>
  <c r="GO167" i="1" s="1"/>
  <c r="GP167" i="1" s="1"/>
  <c r="GS167" i="1" s="1"/>
  <c r="GW167" i="1" s="1"/>
  <c r="GX167" i="1" s="1"/>
  <c r="GY167" i="1" s="1"/>
  <c r="GZ167" i="1" s="1"/>
  <c r="GP250" i="1"/>
  <c r="GS250" i="1" s="1"/>
  <c r="GW250" i="1" s="1"/>
  <c r="GX250" i="1" s="1"/>
  <c r="GY250" i="1" s="1"/>
  <c r="GZ250" i="1" s="1"/>
  <c r="GN60" i="1"/>
  <c r="GO60" i="1" s="1"/>
  <c r="GP60" i="1" s="1"/>
  <c r="GS60" i="1" s="1"/>
  <c r="GW60" i="1" s="1"/>
  <c r="GX60" i="1" s="1"/>
  <c r="GY60" i="1" s="1"/>
  <c r="GZ60" i="1" s="1"/>
  <c r="GN283" i="1"/>
  <c r="GO283" i="1" s="1"/>
  <c r="GP283" i="1" s="1"/>
  <c r="GS283" i="1" s="1"/>
  <c r="GW283" i="1" s="1"/>
  <c r="GX283" i="1" s="1"/>
  <c r="GY283" i="1" s="1"/>
  <c r="GZ283" i="1" s="1"/>
  <c r="GN274" i="1"/>
  <c r="GO274" i="1" s="1"/>
  <c r="GP274" i="1" s="1"/>
  <c r="GS274" i="1" s="1"/>
  <c r="GW274" i="1" s="1"/>
  <c r="GX274" i="1" s="1"/>
  <c r="GY274" i="1" s="1"/>
  <c r="GZ274" i="1" s="1"/>
  <c r="GP42" i="1"/>
  <c r="GS42" i="1" s="1"/>
  <c r="GW42" i="1" s="1"/>
  <c r="GX42" i="1" s="1"/>
  <c r="GY42" i="1" s="1"/>
  <c r="GZ42" i="1" s="1"/>
  <c r="GN243" i="1"/>
  <c r="GO243" i="1" s="1"/>
  <c r="GP243" i="1" s="1"/>
  <c r="GS243" i="1" s="1"/>
  <c r="GW243" i="1" s="1"/>
  <c r="GX243" i="1" s="1"/>
  <c r="GY243" i="1" s="1"/>
  <c r="GZ243" i="1" s="1"/>
  <c r="GN222" i="1"/>
  <c r="GO222" i="1" s="1"/>
  <c r="GP222" i="1" s="1"/>
  <c r="GS222" i="1" s="1"/>
  <c r="GW222" i="1" s="1"/>
  <c r="GX222" i="1" s="1"/>
  <c r="GY222" i="1" s="1"/>
  <c r="GZ222" i="1" s="1"/>
  <c r="GN156" i="1"/>
  <c r="GO156" i="1" s="1"/>
  <c r="GP156" i="1" s="1"/>
  <c r="GS156" i="1" s="1"/>
  <c r="GW156" i="1" s="1"/>
  <c r="GX156" i="1" s="1"/>
  <c r="GY156" i="1" s="1"/>
  <c r="GZ156" i="1" s="1"/>
  <c r="GN102" i="1"/>
  <c r="GO102" i="1" s="1"/>
  <c r="GP102" i="1" s="1"/>
  <c r="GS102" i="1" s="1"/>
  <c r="GW102" i="1" s="1"/>
  <c r="GX102" i="1" s="1"/>
  <c r="GY102" i="1" s="1"/>
  <c r="GZ102" i="1" s="1"/>
  <c r="GN235" i="1"/>
  <c r="GO235" i="1" s="1"/>
  <c r="GP235" i="1" s="1"/>
  <c r="GS235" i="1" s="1"/>
  <c r="GW235" i="1" s="1"/>
  <c r="GX235" i="1" s="1"/>
  <c r="GY235" i="1" s="1"/>
  <c r="GZ235" i="1" s="1"/>
  <c r="GN16" i="1"/>
  <c r="GO16" i="1" s="1"/>
  <c r="GP16" i="1" s="1"/>
  <c r="GS16" i="1" s="1"/>
  <c r="GW16" i="1" s="1"/>
  <c r="GX16" i="1" s="1"/>
  <c r="GY16" i="1" s="1"/>
  <c r="GZ16" i="1" s="1"/>
  <c r="GN295" i="1"/>
  <c r="GO295" i="1" s="1"/>
  <c r="GP295" i="1" s="1"/>
  <c r="GS295" i="1" s="1"/>
  <c r="GW295" i="1" s="1"/>
  <c r="GX295" i="1" s="1"/>
  <c r="GY295" i="1" s="1"/>
  <c r="GZ295" i="1" s="1"/>
  <c r="GP136" i="1"/>
  <c r="GS136" i="1" s="1"/>
  <c r="GW136" i="1" s="1"/>
  <c r="GX136" i="1" s="1"/>
  <c r="GY136" i="1" s="1"/>
  <c r="GZ136" i="1" s="1"/>
  <c r="GN12" i="1"/>
  <c r="GO12" i="1" s="1"/>
  <c r="GP12" i="1" s="1"/>
  <c r="GS12" i="1" s="1"/>
  <c r="GW12" i="1" s="1"/>
  <c r="GX12" i="1" s="1"/>
  <c r="GY12" i="1" s="1"/>
  <c r="GZ12" i="1" s="1"/>
  <c r="GN291" i="1"/>
  <c r="GO291" i="1" s="1"/>
  <c r="GP291" i="1" s="1"/>
  <c r="GS291" i="1" s="1"/>
  <c r="GW291" i="1" s="1"/>
  <c r="GX291" i="1" s="1"/>
  <c r="GY291" i="1" s="1"/>
  <c r="GZ291" i="1" s="1"/>
  <c r="GN191" i="1"/>
  <c r="GO191" i="1" s="1"/>
  <c r="GP191" i="1" s="1"/>
  <c r="GS191" i="1" s="1"/>
  <c r="GW191" i="1" s="1"/>
  <c r="GX191" i="1" s="1"/>
  <c r="GY191" i="1" s="1"/>
  <c r="GZ191" i="1" s="1"/>
  <c r="GN56" i="1"/>
  <c r="GO56" i="1" s="1"/>
  <c r="GP56" i="1" s="1"/>
  <c r="GS56" i="1" s="1"/>
  <c r="GW56" i="1" s="1"/>
  <c r="GX56" i="1" s="1"/>
  <c r="GY56" i="1" s="1"/>
  <c r="GZ56" i="1" s="1"/>
  <c r="GP190" i="1"/>
  <c r="GS190" i="1" s="1"/>
  <c r="GW190" i="1" s="1"/>
  <c r="GX190" i="1" s="1"/>
  <c r="GY190" i="1" s="1"/>
  <c r="GZ190" i="1" s="1"/>
  <c r="GP142" i="1"/>
  <c r="GS142" i="1" s="1"/>
  <c r="GW142" i="1" s="1"/>
  <c r="GX142" i="1" s="1"/>
  <c r="GY142" i="1" s="1"/>
  <c r="GZ142" i="1" s="1"/>
  <c r="GN112" i="1"/>
  <c r="GO112" i="1" s="1"/>
  <c r="GP112" i="1" s="1"/>
  <c r="GS112" i="1" s="1"/>
  <c r="GW112" i="1" s="1"/>
  <c r="GX112" i="1" s="1"/>
  <c r="GY112" i="1" s="1"/>
  <c r="GZ112" i="1" s="1"/>
  <c r="GN248" i="1"/>
  <c r="GO248" i="1" s="1"/>
  <c r="GP248" i="1" s="1"/>
  <c r="GS248" i="1" s="1"/>
  <c r="GW248" i="1" s="1"/>
  <c r="GX248" i="1" s="1"/>
  <c r="GY248" i="1" s="1"/>
  <c r="GZ248" i="1" s="1"/>
  <c r="GH196" i="1"/>
  <c r="GI196" i="1" s="1"/>
  <c r="GL196" i="1"/>
  <c r="GM196" i="1" s="1"/>
  <c r="GT196" i="1"/>
  <c r="GU196" i="1" s="1"/>
  <c r="GV196" i="1" s="1"/>
  <c r="GD196" i="1"/>
  <c r="GE196" i="1" s="1"/>
  <c r="GQ196" i="1"/>
  <c r="GF196" i="1"/>
  <c r="GG196" i="1" s="1"/>
  <c r="GR196" i="1"/>
  <c r="GJ196" i="1"/>
  <c r="GK196" i="1" s="1"/>
  <c r="GN122" i="1"/>
  <c r="GO122" i="1" s="1"/>
  <c r="GP122" i="1" s="1"/>
  <c r="GS122" i="1" s="1"/>
  <c r="GW122" i="1" s="1"/>
  <c r="GX122" i="1" s="1"/>
  <c r="GY122" i="1" s="1"/>
  <c r="GZ122" i="1" s="1"/>
  <c r="GN210" i="1"/>
  <c r="GO210" i="1" s="1"/>
  <c r="GP210" i="1" s="1"/>
  <c r="GS210" i="1" s="1"/>
  <c r="GW210" i="1" s="1"/>
  <c r="GX210" i="1" s="1"/>
  <c r="GY210" i="1" s="1"/>
  <c r="GZ210" i="1" s="1"/>
  <c r="GN237" i="1"/>
  <c r="GO237" i="1" s="1"/>
  <c r="GP237" i="1" s="1"/>
  <c r="GS237" i="1" s="1"/>
  <c r="GW237" i="1" s="1"/>
  <c r="GX237" i="1" s="1"/>
  <c r="GY237" i="1" s="1"/>
  <c r="GZ237" i="1" s="1"/>
  <c r="GN34" i="1"/>
  <c r="GO34" i="1" s="1"/>
  <c r="GP34" i="1" s="1"/>
  <c r="GS34" i="1" s="1"/>
  <c r="GW34" i="1" s="1"/>
  <c r="GX34" i="1" s="1"/>
  <c r="GY34" i="1" s="1"/>
  <c r="GZ34" i="1" s="1"/>
  <c r="GN253" i="1"/>
  <c r="GO253" i="1" s="1"/>
  <c r="GP253" i="1" s="1"/>
  <c r="GS253" i="1" s="1"/>
  <c r="GW253" i="1" s="1"/>
  <c r="GX253" i="1" s="1"/>
  <c r="GY253" i="1" s="1"/>
  <c r="GZ253" i="1" s="1"/>
  <c r="GN218" i="1"/>
  <c r="GO218" i="1" s="1"/>
  <c r="GP218" i="1" s="1"/>
  <c r="GS218" i="1" s="1"/>
  <c r="GW218" i="1" s="1"/>
  <c r="GX218" i="1" s="1"/>
  <c r="GY218" i="1" s="1"/>
  <c r="GZ218" i="1" s="1"/>
  <c r="GN260" i="1"/>
  <c r="GO260" i="1" s="1"/>
  <c r="GP260" i="1" s="1"/>
  <c r="GS260" i="1" s="1"/>
  <c r="GW260" i="1" s="1"/>
  <c r="GX260" i="1" s="1"/>
  <c r="GY260" i="1" s="1"/>
  <c r="GZ260" i="1" s="1"/>
  <c r="GN172" i="1"/>
  <c r="GO172" i="1" s="1"/>
  <c r="GP172" i="1" s="1"/>
  <c r="GS172" i="1" s="1"/>
  <c r="GW172" i="1" s="1"/>
  <c r="GX172" i="1" s="1"/>
  <c r="GY172" i="1" s="1"/>
  <c r="GZ172" i="1" s="1"/>
  <c r="GP245" i="1"/>
  <c r="GS245" i="1" s="1"/>
  <c r="GW245" i="1" s="1"/>
  <c r="GX245" i="1" s="1"/>
  <c r="GY245" i="1" s="1"/>
  <c r="GZ245" i="1" s="1"/>
  <c r="GN133" i="1"/>
  <c r="GO133" i="1" s="1"/>
  <c r="GP133" i="1" s="1"/>
  <c r="GS133" i="1" s="1"/>
  <c r="GW133" i="1" s="1"/>
  <c r="GX133" i="1" s="1"/>
  <c r="GY133" i="1" s="1"/>
  <c r="GZ133" i="1" s="1"/>
  <c r="GN67" i="1"/>
  <c r="GO67" i="1" s="1"/>
  <c r="GP67" i="1" s="1"/>
  <c r="GS67" i="1" s="1"/>
  <c r="GW67" i="1" s="1"/>
  <c r="GX67" i="1" s="1"/>
  <c r="GY67" i="1" s="1"/>
  <c r="GZ67" i="1" s="1"/>
  <c r="GP270" i="1"/>
  <c r="GS270" i="1" s="1"/>
  <c r="GW270" i="1" s="1"/>
  <c r="GX270" i="1" s="1"/>
  <c r="GN214" i="1"/>
  <c r="GO214" i="1" s="1"/>
  <c r="GP214" i="1" s="1"/>
  <c r="GS214" i="1" s="1"/>
  <c r="GW214" i="1" s="1"/>
  <c r="GX214" i="1" s="1"/>
  <c r="GY214" i="1" s="1"/>
  <c r="GZ214" i="1" s="1"/>
  <c r="FS57" i="1"/>
  <c r="FT57" i="1" s="1"/>
  <c r="FU57" i="1" s="1"/>
  <c r="FV57" i="1" s="1"/>
  <c r="FX57" i="1" s="1"/>
  <c r="GN20" i="1"/>
  <c r="GO20" i="1" s="1"/>
  <c r="GP20" i="1" s="1"/>
  <c r="GS20" i="1" s="1"/>
  <c r="GW20" i="1" s="1"/>
  <c r="GX20" i="1" s="1"/>
  <c r="GY20" i="1" s="1"/>
  <c r="GZ20" i="1" s="1"/>
  <c r="GN59" i="1"/>
  <c r="GO59" i="1" s="1"/>
  <c r="GP59" i="1" s="1"/>
  <c r="GS59" i="1" s="1"/>
  <c r="GW59" i="1" s="1"/>
  <c r="GX59" i="1" s="1"/>
  <c r="GY59" i="1" s="1"/>
  <c r="GZ59" i="1" s="1"/>
  <c r="GN15" i="1"/>
  <c r="GO15" i="1" s="1"/>
  <c r="GP15" i="1" s="1"/>
  <c r="GS15" i="1" s="1"/>
  <c r="GW15" i="1" s="1"/>
  <c r="GX15" i="1" s="1"/>
  <c r="GY15" i="1" s="1"/>
  <c r="GZ15" i="1" s="1"/>
  <c r="GN125" i="1"/>
  <c r="GO125" i="1" s="1"/>
  <c r="GP125" i="1" s="1"/>
  <c r="GS125" i="1" s="1"/>
  <c r="GW125" i="1" s="1"/>
  <c r="GX125" i="1" s="1"/>
  <c r="GY125" i="1" s="1"/>
  <c r="GZ125" i="1" s="1"/>
  <c r="FS280" i="1"/>
  <c r="FT280" i="1" s="1"/>
  <c r="FU280" i="1" s="1"/>
  <c r="FV280" i="1" s="1"/>
  <c r="FX280" i="1" s="1"/>
  <c r="FS254" i="1"/>
  <c r="FT254" i="1" s="1"/>
  <c r="FU254" i="1" s="1"/>
  <c r="FV254" i="1" s="1"/>
  <c r="FX254" i="1" s="1"/>
  <c r="FS82" i="1"/>
  <c r="FT82" i="1" s="1"/>
  <c r="FU82" i="1" s="1"/>
  <c r="FV82" i="1" s="1"/>
  <c r="FX82" i="1" s="1"/>
  <c r="FS128" i="1"/>
  <c r="FT128" i="1" s="1"/>
  <c r="FU128" i="1" s="1"/>
  <c r="FV128" i="1" s="1"/>
  <c r="FX128" i="1" s="1"/>
  <c r="GN296" i="1"/>
  <c r="GO296" i="1" s="1"/>
  <c r="GP296" i="1" s="1"/>
  <c r="GS296" i="1" s="1"/>
  <c r="GW296" i="1" s="1"/>
  <c r="GX296" i="1" s="1"/>
  <c r="GY296" i="1" s="1"/>
  <c r="GZ296" i="1" s="1"/>
  <c r="GN219" i="1"/>
  <c r="GO219" i="1" s="1"/>
  <c r="GP219" i="1" s="1"/>
  <c r="GS219" i="1" s="1"/>
  <c r="GW219" i="1" s="1"/>
  <c r="GX219" i="1" s="1"/>
  <c r="GY219" i="1" s="1"/>
  <c r="GZ219" i="1" s="1"/>
  <c r="GP21" i="1"/>
  <c r="GS21" i="1" s="1"/>
  <c r="GW21" i="1" s="1"/>
  <c r="GX21" i="1" s="1"/>
  <c r="GY21" i="1" s="1"/>
  <c r="GZ21" i="1" s="1"/>
  <c r="FS141" i="1"/>
  <c r="FT141" i="1" s="1"/>
  <c r="FU141" i="1" s="1"/>
  <c r="FV141" i="1" s="1"/>
  <c r="FX141" i="1" s="1"/>
  <c r="GN192" i="1"/>
  <c r="GO192" i="1" s="1"/>
  <c r="GP192" i="1" s="1"/>
  <c r="GS192" i="1" s="1"/>
  <c r="GW192" i="1" s="1"/>
  <c r="GX192" i="1" s="1"/>
  <c r="GY192" i="1" s="1"/>
  <c r="GZ192" i="1" s="1"/>
  <c r="FS271" i="1"/>
  <c r="FT271" i="1" s="1"/>
  <c r="FU271" i="1" s="1"/>
  <c r="FV271" i="1" s="1"/>
  <c r="FX271" i="1" s="1"/>
  <c r="GN90" i="1"/>
  <c r="GO90" i="1" s="1"/>
  <c r="GP90" i="1" s="1"/>
  <c r="GS90" i="1" s="1"/>
  <c r="GW90" i="1" s="1"/>
  <c r="GX90" i="1" s="1"/>
  <c r="GY90" i="1" s="1"/>
  <c r="GZ90" i="1" s="1"/>
  <c r="FS227" i="1"/>
  <c r="FT227" i="1" s="1"/>
  <c r="FU227" i="1" s="1"/>
  <c r="FV227" i="1" s="1"/>
  <c r="FX227" i="1" s="1"/>
  <c r="FS289" i="1"/>
  <c r="FT289" i="1" s="1"/>
  <c r="FU289" i="1" s="1"/>
  <c r="FV289" i="1" s="1"/>
  <c r="FX289" i="1" s="1"/>
  <c r="FS10" i="1"/>
  <c r="FT10" i="1" s="1"/>
  <c r="FU10" i="1" s="1"/>
  <c r="FV10" i="1" s="1"/>
  <c r="FX10" i="1" s="1"/>
  <c r="GN27" i="1"/>
  <c r="GO27" i="1" s="1"/>
  <c r="GP27" i="1" s="1"/>
  <c r="GS27" i="1" s="1"/>
  <c r="GW27" i="1" s="1"/>
  <c r="GX27" i="1" s="1"/>
  <c r="GY27" i="1" s="1"/>
  <c r="GZ27" i="1" s="1"/>
  <c r="GL242" i="1"/>
  <c r="GM242" i="1" s="1"/>
  <c r="GN87" i="1"/>
  <c r="GO87" i="1" s="1"/>
  <c r="GP87" i="1" s="1"/>
  <c r="GS87" i="1" s="1"/>
  <c r="GW87" i="1" s="1"/>
  <c r="GX87" i="1" s="1"/>
  <c r="GY87" i="1" s="1"/>
  <c r="GZ87" i="1" s="1"/>
  <c r="GN147" i="1"/>
  <c r="GO147" i="1" s="1"/>
  <c r="GP147" i="1" s="1"/>
  <c r="GS147" i="1" s="1"/>
  <c r="GW147" i="1" s="1"/>
  <c r="GX147" i="1" s="1"/>
  <c r="GY147" i="1" s="1"/>
  <c r="GZ147" i="1" s="1"/>
  <c r="FS17" i="1"/>
  <c r="FT17" i="1" s="1"/>
  <c r="FU17" i="1" s="1"/>
  <c r="FV17" i="1" s="1"/>
  <c r="FX17" i="1" s="1"/>
  <c r="FS14" i="1"/>
  <c r="FT14" i="1" s="1"/>
  <c r="FU14" i="1" s="1"/>
  <c r="FV14" i="1" s="1"/>
  <c r="FX14" i="1" s="1"/>
  <c r="FS220" i="1"/>
  <c r="FT220" i="1" s="1"/>
  <c r="FU220" i="1" s="1"/>
  <c r="FV220" i="1" s="1"/>
  <c r="FX220" i="1" s="1"/>
  <c r="GP99" i="1"/>
  <c r="GS99" i="1" s="1"/>
  <c r="GW99" i="1" s="1"/>
  <c r="GX99" i="1" s="1"/>
  <c r="GY99" i="1" s="1"/>
  <c r="GZ99" i="1" s="1"/>
  <c r="GN140" i="1"/>
  <c r="GO140" i="1" s="1"/>
  <c r="GP140" i="1" s="1"/>
  <c r="GS140" i="1" s="1"/>
  <c r="GW140" i="1" s="1"/>
  <c r="GX140" i="1" s="1"/>
  <c r="GY140" i="1" s="1"/>
  <c r="GZ140" i="1" s="1"/>
  <c r="GP38" i="1"/>
  <c r="GS38" i="1" s="1"/>
  <c r="GW38" i="1" s="1"/>
  <c r="GX38" i="1" s="1"/>
  <c r="GY38" i="1" s="1"/>
  <c r="GZ38" i="1" s="1"/>
  <c r="GP225" i="1"/>
  <c r="GS225" i="1" s="1"/>
  <c r="GW225" i="1" s="1"/>
  <c r="GX225" i="1" s="1"/>
  <c r="GY225" i="1" s="1"/>
  <c r="GZ225" i="1" s="1"/>
  <c r="GP201" i="1"/>
  <c r="GS201" i="1" s="1"/>
  <c r="GW201" i="1" s="1"/>
  <c r="GX201" i="1" s="1"/>
  <c r="GY201" i="1" s="1"/>
  <c r="GZ201" i="1" s="1"/>
  <c r="GN62" i="1"/>
  <c r="GO62" i="1" s="1"/>
  <c r="GP62" i="1" s="1"/>
  <c r="GS62" i="1" s="1"/>
  <c r="GW62" i="1" s="1"/>
  <c r="GX62" i="1" s="1"/>
  <c r="GY62" i="1" s="1"/>
  <c r="GZ62" i="1" s="1"/>
  <c r="GN300" i="1"/>
  <c r="GO300" i="1" s="1"/>
  <c r="GP300" i="1" s="1"/>
  <c r="GS300" i="1" s="1"/>
  <c r="GW300" i="1" s="1"/>
  <c r="GX300" i="1" s="1"/>
  <c r="GY300" i="1" s="1"/>
  <c r="GZ300" i="1" s="1"/>
  <c r="GN118" i="1"/>
  <c r="GO118" i="1" s="1"/>
  <c r="GP118" i="1" s="1"/>
  <c r="GS118" i="1" s="1"/>
  <c r="GW118" i="1" s="1"/>
  <c r="GX118" i="1" s="1"/>
  <c r="GY118" i="1" s="1"/>
  <c r="GZ118" i="1" s="1"/>
  <c r="FS183" i="1"/>
  <c r="FT183" i="1" s="1"/>
  <c r="FU183" i="1" s="1"/>
  <c r="FV183" i="1" s="1"/>
  <c r="FX183" i="1" s="1"/>
  <c r="GN271" i="1"/>
  <c r="GO271" i="1" s="1"/>
  <c r="GP271" i="1" s="1"/>
  <c r="GS271" i="1" s="1"/>
  <c r="GW271" i="1" s="1"/>
  <c r="GX271" i="1" s="1"/>
  <c r="GY271" i="1" s="1"/>
  <c r="GZ271" i="1" s="1"/>
  <c r="GN44" i="1"/>
  <c r="GO44" i="1" s="1"/>
  <c r="GP44" i="1" s="1"/>
  <c r="GS44" i="1" s="1"/>
  <c r="GW44" i="1" s="1"/>
  <c r="GX44" i="1" s="1"/>
  <c r="GY44" i="1" s="1"/>
  <c r="GZ44" i="1" s="1"/>
  <c r="GN252" i="1"/>
  <c r="GO252" i="1" s="1"/>
  <c r="GP252" i="1" s="1"/>
  <c r="GS252" i="1" s="1"/>
  <c r="GW252" i="1" s="1"/>
  <c r="GX252" i="1" s="1"/>
  <c r="GY252" i="1" s="1"/>
  <c r="GZ252" i="1" s="1"/>
  <c r="GP160" i="1"/>
  <c r="GS160" i="1" s="1"/>
  <c r="GW160" i="1" s="1"/>
  <c r="GX160" i="1" s="1"/>
  <c r="GY160" i="1" s="1"/>
  <c r="GZ160" i="1" s="1"/>
  <c r="GN211" i="1"/>
  <c r="GO211" i="1" s="1"/>
  <c r="GP211" i="1" s="1"/>
  <c r="GS211" i="1" s="1"/>
  <c r="GW211" i="1" s="1"/>
  <c r="GX211" i="1" s="1"/>
  <c r="GY211" i="1" s="1"/>
  <c r="GZ211" i="1" s="1"/>
  <c r="GN224" i="1"/>
  <c r="GO224" i="1" s="1"/>
  <c r="GP224" i="1" s="1"/>
  <c r="GS224" i="1" s="1"/>
  <c r="GW224" i="1" s="1"/>
  <c r="GX224" i="1" s="1"/>
  <c r="GY224" i="1" s="1"/>
  <c r="GZ224" i="1" s="1"/>
  <c r="GN293" i="1"/>
  <c r="GO293" i="1" s="1"/>
  <c r="GP293" i="1" s="1"/>
  <c r="GS293" i="1" s="1"/>
  <c r="GW293" i="1" s="1"/>
  <c r="GX293" i="1" s="1"/>
  <c r="GY293" i="1" s="1"/>
  <c r="GZ293" i="1" s="1"/>
  <c r="GN51" i="1"/>
  <c r="GO51" i="1" s="1"/>
  <c r="GP51" i="1" s="1"/>
  <c r="GS51" i="1" s="1"/>
  <c r="GW51" i="1" s="1"/>
  <c r="GX51" i="1" s="1"/>
  <c r="GN77" i="1"/>
  <c r="GO77" i="1" s="1"/>
  <c r="GP77" i="1" s="1"/>
  <c r="GS77" i="1" s="1"/>
  <c r="GW77" i="1" s="1"/>
  <c r="GX77" i="1" s="1"/>
  <c r="GY77" i="1" s="1"/>
  <c r="GZ77" i="1" s="1"/>
  <c r="GN166" i="1"/>
  <c r="GO166" i="1" s="1"/>
  <c r="GP166" i="1" s="1"/>
  <c r="GS166" i="1" s="1"/>
  <c r="GW166" i="1" s="1"/>
  <c r="GX166" i="1" s="1"/>
  <c r="GY166" i="1" s="1"/>
  <c r="GZ166" i="1" s="1"/>
  <c r="GN226" i="1"/>
  <c r="GO226" i="1" s="1"/>
  <c r="GP226" i="1" s="1"/>
  <c r="GS226" i="1" s="1"/>
  <c r="GW226" i="1" s="1"/>
  <c r="GX226" i="1" s="1"/>
  <c r="GY226" i="1" s="1"/>
  <c r="GZ226" i="1" s="1"/>
  <c r="GN169" i="1"/>
  <c r="GO169" i="1" s="1"/>
  <c r="GP169" i="1" s="1"/>
  <c r="GS169" i="1" s="1"/>
  <c r="GW169" i="1" s="1"/>
  <c r="GX169" i="1" s="1"/>
  <c r="GY169" i="1" s="1"/>
  <c r="GZ169" i="1" s="1"/>
  <c r="GP129" i="1"/>
  <c r="GS129" i="1" s="1"/>
  <c r="GW129" i="1" s="1"/>
  <c r="GX129" i="1" s="1"/>
  <c r="GY129" i="1" s="1"/>
  <c r="GZ129" i="1" s="1"/>
  <c r="GN139" i="1"/>
  <c r="GO139" i="1" s="1"/>
  <c r="GP139" i="1" s="1"/>
  <c r="GS139" i="1" s="1"/>
  <c r="GW139" i="1" s="1"/>
  <c r="GX139" i="1" s="1"/>
  <c r="GY139" i="1" s="1"/>
  <c r="GZ139" i="1" s="1"/>
  <c r="FS244" i="1"/>
  <c r="FT244" i="1" s="1"/>
  <c r="FU244" i="1" s="1"/>
  <c r="FV244" i="1" s="1"/>
  <c r="FX244" i="1" s="1"/>
  <c r="GL66" i="1"/>
  <c r="GM66" i="1" s="1"/>
  <c r="GR66" i="1"/>
  <c r="GQ66" i="1"/>
  <c r="GH66" i="1"/>
  <c r="GI66" i="1" s="1"/>
  <c r="GD66" i="1"/>
  <c r="GE66" i="1" s="1"/>
  <c r="GJ66" i="1"/>
  <c r="GK66" i="1" s="1"/>
  <c r="GF66" i="1"/>
  <c r="GG66" i="1" s="1"/>
  <c r="GT66" i="1"/>
  <c r="GU66" i="1" s="1"/>
  <c r="GV66" i="1" s="1"/>
  <c r="GN159" i="1"/>
  <c r="GO159" i="1" s="1"/>
  <c r="GP159" i="1" s="1"/>
  <c r="GS159" i="1" s="1"/>
  <c r="GW159" i="1" s="1"/>
  <c r="GX159" i="1" s="1"/>
  <c r="GY159" i="1" s="1"/>
  <c r="GZ159" i="1" s="1"/>
  <c r="GN215" i="1"/>
  <c r="GO215" i="1" s="1"/>
  <c r="GP215" i="1" s="1"/>
  <c r="GS215" i="1" s="1"/>
  <c r="GW215" i="1" s="1"/>
  <c r="GX215" i="1" s="1"/>
  <c r="GY215" i="1" s="1"/>
  <c r="GZ215" i="1" s="1"/>
  <c r="FS61" i="1"/>
  <c r="FT61" i="1" s="1"/>
  <c r="FU61" i="1" s="1"/>
  <c r="FV61" i="1" s="1"/>
  <c r="FX61" i="1" s="1"/>
  <c r="FS48" i="1"/>
  <c r="FT48" i="1" s="1"/>
  <c r="FU48" i="1" s="1"/>
  <c r="FV48" i="1" s="1"/>
  <c r="FX48" i="1" s="1"/>
  <c r="GN149" i="1"/>
  <c r="GO149" i="1" s="1"/>
  <c r="GP149" i="1" s="1"/>
  <c r="GS149" i="1" s="1"/>
  <c r="GW149" i="1" s="1"/>
  <c r="GX149" i="1" s="1"/>
  <c r="GY149" i="1" s="1"/>
  <c r="GZ149" i="1" s="1"/>
  <c r="GN262" i="1"/>
  <c r="GO262" i="1" s="1"/>
  <c r="GP262" i="1" s="1"/>
  <c r="GS262" i="1" s="1"/>
  <c r="GW262" i="1" s="1"/>
  <c r="GX262" i="1" s="1"/>
  <c r="GY262" i="1" s="1"/>
  <c r="GZ262" i="1" s="1"/>
  <c r="FS102" i="1"/>
  <c r="FT102" i="1" s="1"/>
  <c r="FU102" i="1" s="1"/>
  <c r="FV102" i="1" s="1"/>
  <c r="FX102" i="1" s="1"/>
  <c r="GN304" i="1"/>
  <c r="GO304" i="1" s="1"/>
  <c r="GP304" i="1" s="1"/>
  <c r="GS304" i="1" s="1"/>
  <c r="GW304" i="1" s="1"/>
  <c r="GX304" i="1" s="1"/>
  <c r="GY304" i="1" s="1"/>
  <c r="GZ304" i="1" s="1"/>
  <c r="GN240" i="1"/>
  <c r="GO240" i="1" s="1"/>
  <c r="GP240" i="1" s="1"/>
  <c r="GS240" i="1" s="1"/>
  <c r="GW240" i="1" s="1"/>
  <c r="GX240" i="1" s="1"/>
  <c r="GY240" i="1" s="1"/>
  <c r="GZ240" i="1" s="1"/>
  <c r="FS73" i="1"/>
  <c r="FT73" i="1" s="1"/>
  <c r="FU73" i="1" s="1"/>
  <c r="FV73" i="1" s="1"/>
  <c r="FX73" i="1" s="1"/>
  <c r="GL45" i="1"/>
  <c r="GM45" i="1" s="1"/>
  <c r="GJ45" i="1"/>
  <c r="GK45" i="1" s="1"/>
  <c r="GD45" i="1"/>
  <c r="GE45" i="1" s="1"/>
  <c r="GT45" i="1"/>
  <c r="GU45" i="1" s="1"/>
  <c r="GV45" i="1" s="1"/>
  <c r="GQ45" i="1"/>
  <c r="GR45" i="1"/>
  <c r="GF45" i="1"/>
  <c r="GG45" i="1" s="1"/>
  <c r="GH45" i="1"/>
  <c r="GI45" i="1" s="1"/>
  <c r="FS296" i="1"/>
  <c r="FT296" i="1" s="1"/>
  <c r="FU296" i="1" s="1"/>
  <c r="FV296" i="1" s="1"/>
  <c r="FX296" i="1" s="1"/>
  <c r="GN298" i="1"/>
  <c r="GO298" i="1" s="1"/>
  <c r="GP298" i="1" s="1"/>
  <c r="GS298" i="1" s="1"/>
  <c r="GW298" i="1" s="1"/>
  <c r="GX298" i="1" s="1"/>
  <c r="GY298" i="1" s="1"/>
  <c r="GZ298" i="1" s="1"/>
  <c r="GN221" i="1"/>
  <c r="GO221" i="1" s="1"/>
  <c r="GP221" i="1" s="1"/>
  <c r="GS221" i="1" s="1"/>
  <c r="GW221" i="1" s="1"/>
  <c r="GX221" i="1" s="1"/>
  <c r="GY221" i="1" s="1"/>
  <c r="GZ221" i="1" s="1"/>
  <c r="GN302" i="1"/>
  <c r="GO302" i="1" s="1"/>
  <c r="GP302" i="1" s="1"/>
  <c r="GS302" i="1" s="1"/>
  <c r="GW302" i="1" s="1"/>
  <c r="GX302" i="1" s="1"/>
  <c r="GY302" i="1" s="1"/>
  <c r="GZ302" i="1" s="1"/>
  <c r="GE242" i="1"/>
  <c r="GN50" i="1"/>
  <c r="GO50" i="1" s="1"/>
  <c r="GP50" i="1" s="1"/>
  <c r="GS50" i="1" s="1"/>
  <c r="GW50" i="1" s="1"/>
  <c r="GX50" i="1" s="1"/>
  <c r="GY50" i="1" s="1"/>
  <c r="GZ50" i="1" s="1"/>
  <c r="GP132" i="1"/>
  <c r="GS132" i="1" s="1"/>
  <c r="GW132" i="1" s="1"/>
  <c r="GX132" i="1" s="1"/>
  <c r="GY132" i="1" s="1"/>
  <c r="GZ132" i="1" s="1"/>
  <c r="GN47" i="1"/>
  <c r="GO47" i="1" s="1"/>
  <c r="GP47" i="1" s="1"/>
  <c r="GS47" i="1" s="1"/>
  <c r="GW47" i="1" s="1"/>
  <c r="GX47" i="1" s="1"/>
  <c r="GY47" i="1" s="1"/>
  <c r="GZ47" i="1" s="1"/>
  <c r="FS238" i="1"/>
  <c r="FT238" i="1" s="1"/>
  <c r="FU238" i="1" s="1"/>
  <c r="FV238" i="1" s="1"/>
  <c r="FX238" i="1" s="1"/>
  <c r="FS257" i="1"/>
  <c r="FT257" i="1" s="1"/>
  <c r="FU257" i="1" s="1"/>
  <c r="FV257" i="1" s="1"/>
  <c r="FX257" i="1" s="1"/>
  <c r="FS117" i="1"/>
  <c r="FT117" i="1" s="1"/>
  <c r="FU117" i="1" s="1"/>
  <c r="FV117" i="1" s="1"/>
  <c r="FX117" i="1" s="1"/>
  <c r="FS55" i="1"/>
  <c r="FT55" i="1" s="1"/>
  <c r="FU55" i="1" s="1"/>
  <c r="FV55" i="1" s="1"/>
  <c r="FX55" i="1" s="1"/>
  <c r="GN184" i="1"/>
  <c r="GO184" i="1" s="1"/>
  <c r="GP184" i="1" s="1"/>
  <c r="GS184" i="1" s="1"/>
  <c r="GW184" i="1" s="1"/>
  <c r="GX184" i="1" s="1"/>
  <c r="GY184" i="1" s="1"/>
  <c r="GZ184" i="1" s="1"/>
  <c r="GN229" i="1"/>
  <c r="GO229" i="1" s="1"/>
  <c r="GP229" i="1" s="1"/>
  <c r="GS229" i="1" s="1"/>
  <c r="GW229" i="1" s="1"/>
  <c r="GX229" i="1" s="1"/>
  <c r="GY229" i="1" s="1"/>
  <c r="GZ229" i="1" s="1"/>
  <c r="FS83" i="1"/>
  <c r="FT83" i="1" s="1"/>
  <c r="FU83" i="1" s="1"/>
  <c r="FV83" i="1" s="1"/>
  <c r="FX83" i="1" s="1"/>
  <c r="FS53" i="1"/>
  <c r="FT53" i="1" s="1"/>
  <c r="FU53" i="1" s="1"/>
  <c r="FV53" i="1" s="1"/>
  <c r="FX53" i="1" s="1"/>
  <c r="FS4" i="1"/>
  <c r="FT4" i="1" s="1"/>
  <c r="FU4" i="1" s="1"/>
  <c r="FV4" i="1" s="1"/>
  <c r="FX4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GN244" i="1" l="1"/>
  <c r="GO244" i="1" s="1"/>
  <c r="GN259" i="1"/>
  <c r="GO259" i="1" s="1"/>
  <c r="GP259" i="1" s="1"/>
  <c r="GS259" i="1" s="1"/>
  <c r="GW259" i="1" s="1"/>
  <c r="GX259" i="1" s="1"/>
  <c r="GY259" i="1" s="1"/>
  <c r="GZ259" i="1" s="1"/>
  <c r="GN141" i="1"/>
  <c r="GO141" i="1" s="1"/>
  <c r="GP141" i="1" s="1"/>
  <c r="GS141" i="1" s="1"/>
  <c r="GW141" i="1" s="1"/>
  <c r="GX141" i="1" s="1"/>
  <c r="GY141" i="1" s="1"/>
  <c r="GZ141" i="1" s="1"/>
  <c r="GN18" i="1"/>
  <c r="GO18" i="1" s="1"/>
  <c r="GP18" i="1" s="1"/>
  <c r="GS18" i="1" s="1"/>
  <c r="GW18" i="1" s="1"/>
  <c r="GX18" i="1" s="1"/>
  <c r="GY18" i="1" s="1"/>
  <c r="GZ18" i="1" s="1"/>
  <c r="GN161" i="1"/>
  <c r="GO161" i="1" s="1"/>
  <c r="GN14" i="1"/>
  <c r="GO14" i="1" s="1"/>
  <c r="GP14" i="1" s="1"/>
  <c r="GS14" i="1" s="1"/>
  <c r="GW14" i="1" s="1"/>
  <c r="GX14" i="1" s="1"/>
  <c r="GY14" i="1" s="1"/>
  <c r="GZ14" i="1" s="1"/>
  <c r="GN269" i="1"/>
  <c r="GO269" i="1" s="1"/>
  <c r="GP269" i="1" s="1"/>
  <c r="GS269" i="1" s="1"/>
  <c r="GW269" i="1" s="1"/>
  <c r="GX269" i="1" s="1"/>
  <c r="GY269" i="1" s="1"/>
  <c r="GZ269" i="1" s="1"/>
  <c r="GN233" i="1"/>
  <c r="GO233" i="1" s="1"/>
  <c r="GP233" i="1" s="1"/>
  <c r="GS233" i="1" s="1"/>
  <c r="GW233" i="1" s="1"/>
  <c r="GX233" i="1" s="1"/>
  <c r="GY233" i="1" s="1"/>
  <c r="GZ233" i="1" s="1"/>
  <c r="GN189" i="1"/>
  <c r="GO189" i="1" s="1"/>
  <c r="GP189" i="1" s="1"/>
  <c r="GS189" i="1" s="1"/>
  <c r="GW189" i="1" s="1"/>
  <c r="GX189" i="1" s="1"/>
  <c r="GY189" i="1" s="1"/>
  <c r="GZ189" i="1" s="1"/>
  <c r="GN41" i="1"/>
  <c r="GO41" i="1" s="1"/>
  <c r="GP41" i="1" s="1"/>
  <c r="GS41" i="1" s="1"/>
  <c r="GW41" i="1" s="1"/>
  <c r="GX41" i="1" s="1"/>
  <c r="GY41" i="1" s="1"/>
  <c r="GZ41" i="1" s="1"/>
  <c r="GN209" i="1"/>
  <c r="GO209" i="1" s="1"/>
  <c r="GP209" i="1" s="1"/>
  <c r="GS209" i="1" s="1"/>
  <c r="GW209" i="1" s="1"/>
  <c r="GX209" i="1" s="1"/>
  <c r="GY209" i="1" s="1"/>
  <c r="GZ209" i="1" s="1"/>
  <c r="GN234" i="1"/>
  <c r="GO234" i="1" s="1"/>
  <c r="GP234" i="1" s="1"/>
  <c r="GS234" i="1" s="1"/>
  <c r="GW234" i="1" s="1"/>
  <c r="GX234" i="1" s="1"/>
  <c r="GY234" i="1" s="1"/>
  <c r="GZ234" i="1" s="1"/>
  <c r="GN178" i="1"/>
  <c r="GO178" i="1" s="1"/>
  <c r="GP178" i="1" s="1"/>
  <c r="GS178" i="1" s="1"/>
  <c r="GW178" i="1" s="1"/>
  <c r="GX178" i="1" s="1"/>
  <c r="GY178" i="1" s="1"/>
  <c r="GZ178" i="1" s="1"/>
  <c r="GN53" i="1"/>
  <c r="GO53" i="1" s="1"/>
  <c r="GP53" i="1" s="1"/>
  <c r="GS53" i="1" s="1"/>
  <c r="GW53" i="1" s="1"/>
  <c r="GX53" i="1" s="1"/>
  <c r="GY53" i="1" s="1"/>
  <c r="GZ53" i="1" s="1"/>
  <c r="GN231" i="1"/>
  <c r="GO231" i="1" s="1"/>
  <c r="GP231" i="1" s="1"/>
  <c r="GS231" i="1" s="1"/>
  <c r="GW231" i="1" s="1"/>
  <c r="GX231" i="1" s="1"/>
  <c r="GY231" i="1" s="1"/>
  <c r="GZ231" i="1" s="1"/>
  <c r="GN305" i="1"/>
  <c r="GO305" i="1" s="1"/>
  <c r="GP305" i="1" s="1"/>
  <c r="GS305" i="1" s="1"/>
  <c r="GW305" i="1" s="1"/>
  <c r="GX305" i="1" s="1"/>
  <c r="GY305" i="1" s="1"/>
  <c r="GZ305" i="1" s="1"/>
  <c r="GY123" i="1"/>
  <c r="GZ123" i="1" s="1"/>
  <c r="GN48" i="1"/>
  <c r="GO48" i="1" s="1"/>
  <c r="GP48" i="1" s="1"/>
  <c r="GS48" i="1" s="1"/>
  <c r="GW48" i="1" s="1"/>
  <c r="GX48" i="1" s="1"/>
  <c r="GY48" i="1" s="1"/>
  <c r="GZ48" i="1" s="1"/>
  <c r="GN80" i="1"/>
  <c r="GO80" i="1" s="1"/>
  <c r="GP80" i="1" s="1"/>
  <c r="GS80" i="1" s="1"/>
  <c r="GW80" i="1" s="1"/>
  <c r="GX80" i="1" s="1"/>
  <c r="GY80" i="1" s="1"/>
  <c r="GZ80" i="1" s="1"/>
  <c r="GN143" i="1"/>
  <c r="GO143" i="1" s="1"/>
  <c r="GP143" i="1" s="1"/>
  <c r="GS143" i="1" s="1"/>
  <c r="GW143" i="1" s="1"/>
  <c r="GX143" i="1" s="1"/>
  <c r="GY143" i="1" s="1"/>
  <c r="GZ143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119" i="1"/>
  <c r="GO119" i="1" s="1"/>
  <c r="GP119" i="1" s="1"/>
  <c r="GS119" i="1" s="1"/>
  <c r="GW119" i="1" s="1"/>
  <c r="GX119" i="1" s="1"/>
  <c r="GY119" i="1" s="1"/>
  <c r="GZ119" i="1" s="1"/>
  <c r="GN117" i="1"/>
  <c r="GO117" i="1" s="1"/>
  <c r="GP117" i="1" s="1"/>
  <c r="GS117" i="1" s="1"/>
  <c r="GW117" i="1" s="1"/>
  <c r="GX117" i="1" s="1"/>
  <c r="GY117" i="1" s="1"/>
  <c r="GZ117" i="1" s="1"/>
  <c r="GN175" i="1"/>
  <c r="GO175" i="1" s="1"/>
  <c r="GP175" i="1" s="1"/>
  <c r="GS175" i="1" s="1"/>
  <c r="GW175" i="1" s="1"/>
  <c r="GX175" i="1" s="1"/>
  <c r="GY175" i="1" s="1"/>
  <c r="GZ175" i="1" s="1"/>
  <c r="GN199" i="1"/>
  <c r="GO199" i="1" s="1"/>
  <c r="GP199" i="1" s="1"/>
  <c r="GS199" i="1" s="1"/>
  <c r="GW199" i="1" s="1"/>
  <c r="GX199" i="1" s="1"/>
  <c r="GY199" i="1" s="1"/>
  <c r="GZ199" i="1" s="1"/>
  <c r="GN275" i="1"/>
  <c r="GO275" i="1" s="1"/>
  <c r="GP275" i="1" s="1"/>
  <c r="GS275" i="1" s="1"/>
  <c r="GW275" i="1" s="1"/>
  <c r="GX275" i="1" s="1"/>
  <c r="GY275" i="1" s="1"/>
  <c r="GZ275" i="1" s="1"/>
  <c r="GN106" i="1"/>
  <c r="GO106" i="1" s="1"/>
  <c r="GP106" i="1" s="1"/>
  <c r="GS106" i="1" s="1"/>
  <c r="GW106" i="1" s="1"/>
  <c r="GX106" i="1" s="1"/>
  <c r="GY106" i="1" s="1"/>
  <c r="GZ106" i="1" s="1"/>
  <c r="GN100" i="1"/>
  <c r="GO100" i="1" s="1"/>
  <c r="GP100" i="1" s="1"/>
  <c r="GS100" i="1" s="1"/>
  <c r="GW100" i="1" s="1"/>
  <c r="GX100" i="1" s="1"/>
  <c r="GY100" i="1" s="1"/>
  <c r="GZ100" i="1" s="1"/>
  <c r="GY263" i="1"/>
  <c r="GZ263" i="1" s="1"/>
  <c r="GN264" i="1"/>
  <c r="GO264" i="1" s="1"/>
  <c r="GP264" i="1" s="1"/>
  <c r="GS264" i="1" s="1"/>
  <c r="GW264" i="1" s="1"/>
  <c r="GX264" i="1" s="1"/>
  <c r="GY264" i="1" s="1"/>
  <c r="GZ264" i="1" s="1"/>
  <c r="GN126" i="1"/>
  <c r="GO126" i="1" s="1"/>
  <c r="GP126" i="1" s="1"/>
  <c r="GS126" i="1" s="1"/>
  <c r="GW126" i="1" s="1"/>
  <c r="GX126" i="1" s="1"/>
  <c r="GY126" i="1" s="1"/>
  <c r="GZ126" i="1" s="1"/>
  <c r="GN238" i="1"/>
  <c r="GO238" i="1" s="1"/>
  <c r="GP238" i="1" s="1"/>
  <c r="GS238" i="1" s="1"/>
  <c r="GW238" i="1" s="1"/>
  <c r="GX238" i="1" s="1"/>
  <c r="GY238" i="1" s="1"/>
  <c r="GZ238" i="1" s="1"/>
  <c r="GN37" i="1"/>
  <c r="GO37" i="1" s="1"/>
  <c r="GP37" i="1" s="1"/>
  <c r="GS37" i="1" s="1"/>
  <c r="GW37" i="1" s="1"/>
  <c r="GX37" i="1" s="1"/>
  <c r="GY37" i="1" s="1"/>
  <c r="GZ37" i="1" s="1"/>
  <c r="GP95" i="1"/>
  <c r="GS95" i="1" s="1"/>
  <c r="GW95" i="1" s="1"/>
  <c r="GX95" i="1" s="1"/>
  <c r="GY95" i="1" s="1"/>
  <c r="GZ95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68" i="1"/>
  <c r="GO268" i="1" s="1"/>
  <c r="GP268" i="1" s="1"/>
  <c r="GS268" i="1" s="1"/>
  <c r="GW268" i="1" s="1"/>
  <c r="GX268" i="1" s="1"/>
  <c r="GY268" i="1" s="1"/>
  <c r="GZ268" i="1" s="1"/>
  <c r="GN55" i="1"/>
  <c r="GO55" i="1" s="1"/>
  <c r="GP55" i="1" s="1"/>
  <c r="GS55" i="1" s="1"/>
  <c r="GW55" i="1" s="1"/>
  <c r="GX55" i="1" s="1"/>
  <c r="GY55" i="1" s="1"/>
  <c r="GZ55" i="1" s="1"/>
  <c r="GN168" i="1"/>
  <c r="GO168" i="1" s="1"/>
  <c r="GP168" i="1" s="1"/>
  <c r="GS168" i="1" s="1"/>
  <c r="GW168" i="1" s="1"/>
  <c r="GX168" i="1" s="1"/>
  <c r="GY168" i="1" s="1"/>
  <c r="GZ168" i="1" s="1"/>
  <c r="GN52" i="1"/>
  <c r="GO52" i="1" s="1"/>
  <c r="GP52" i="1" s="1"/>
  <c r="GS52" i="1" s="1"/>
  <c r="GW52" i="1" s="1"/>
  <c r="GX52" i="1" s="1"/>
  <c r="GY52" i="1" s="1"/>
  <c r="GZ52" i="1" s="1"/>
  <c r="GS134" i="1"/>
  <c r="GW134" i="1" s="1"/>
  <c r="GX134" i="1" s="1"/>
  <c r="GN91" i="1"/>
  <c r="GO91" i="1" s="1"/>
  <c r="GP91" i="1" s="1"/>
  <c r="GS91" i="1" s="1"/>
  <c r="GW91" i="1" s="1"/>
  <c r="GX91" i="1" s="1"/>
  <c r="GY91" i="1" s="1"/>
  <c r="GZ91" i="1" s="1"/>
  <c r="GN10" i="1"/>
  <c r="GO10" i="1" s="1"/>
  <c r="GP10" i="1" s="1"/>
  <c r="GS10" i="1" s="1"/>
  <c r="GW10" i="1" s="1"/>
  <c r="GX10" i="1" s="1"/>
  <c r="GY10" i="1" s="1"/>
  <c r="GZ10" i="1" s="1"/>
  <c r="GN65" i="1"/>
  <c r="GO65" i="1" s="1"/>
  <c r="GP65" i="1" s="1"/>
  <c r="GS65" i="1" s="1"/>
  <c r="GW65" i="1" s="1"/>
  <c r="GX65" i="1" s="1"/>
  <c r="GY65" i="1" s="1"/>
  <c r="GZ65" i="1" s="1"/>
  <c r="GN107" i="1"/>
  <c r="GO107" i="1" s="1"/>
  <c r="GP107" i="1" s="1"/>
  <c r="GS107" i="1" s="1"/>
  <c r="GW107" i="1" s="1"/>
  <c r="GX107" i="1" s="1"/>
  <c r="GY107" i="1" s="1"/>
  <c r="GZ107" i="1" s="1"/>
  <c r="GN289" i="1"/>
  <c r="GO289" i="1" s="1"/>
  <c r="GP289" i="1" s="1"/>
  <c r="GS289" i="1" s="1"/>
  <c r="GW289" i="1" s="1"/>
  <c r="GX289" i="1" s="1"/>
  <c r="GY289" i="1" s="1"/>
  <c r="GZ289" i="1" s="1"/>
  <c r="GN249" i="1"/>
  <c r="GO249" i="1" s="1"/>
  <c r="GP249" i="1" s="1"/>
  <c r="GS249" i="1" s="1"/>
  <c r="GW249" i="1" s="1"/>
  <c r="GX249" i="1" s="1"/>
  <c r="GY249" i="1" s="1"/>
  <c r="GZ249" i="1" s="1"/>
  <c r="GN94" i="1"/>
  <c r="GO94" i="1" s="1"/>
  <c r="GP94" i="1" s="1"/>
  <c r="GS94" i="1" s="1"/>
  <c r="GW94" i="1" s="1"/>
  <c r="GX94" i="1" s="1"/>
  <c r="GY94" i="1" s="1"/>
  <c r="GZ94" i="1" s="1"/>
  <c r="GP137" i="1"/>
  <c r="GS137" i="1" s="1"/>
  <c r="GW137" i="1" s="1"/>
  <c r="GX137" i="1" s="1"/>
  <c r="GY137" i="1" s="1"/>
  <c r="GZ137" i="1" s="1"/>
  <c r="GP17" i="1"/>
  <c r="GS17" i="1" s="1"/>
  <c r="GW17" i="1" s="1"/>
  <c r="GX17" i="1" s="1"/>
  <c r="GY17" i="1" s="1"/>
  <c r="GZ17" i="1" s="1"/>
  <c r="GN220" i="1"/>
  <c r="GO220" i="1" s="1"/>
  <c r="GP220" i="1" s="1"/>
  <c r="GS220" i="1" s="1"/>
  <c r="GW220" i="1" s="1"/>
  <c r="GX220" i="1" s="1"/>
  <c r="GY220" i="1" s="1"/>
  <c r="GZ220" i="1" s="1"/>
  <c r="GN131" i="1"/>
  <c r="GO131" i="1" s="1"/>
  <c r="GP131" i="1" s="1"/>
  <c r="GS131" i="1" s="1"/>
  <c r="GW131" i="1" s="1"/>
  <c r="GX131" i="1" s="1"/>
  <c r="GY131" i="1" s="1"/>
  <c r="GZ131" i="1" s="1"/>
  <c r="GN110" i="1"/>
  <c r="GO110" i="1" s="1"/>
  <c r="GP110" i="1" s="1"/>
  <c r="GS110" i="1" s="1"/>
  <c r="GW110" i="1" s="1"/>
  <c r="GX110" i="1" s="1"/>
  <c r="GY110" i="1" s="1"/>
  <c r="GZ110" i="1" s="1"/>
  <c r="GN194" i="1"/>
  <c r="GO194" i="1" s="1"/>
  <c r="GP194" i="1" s="1"/>
  <c r="GS194" i="1" s="1"/>
  <c r="GW194" i="1" s="1"/>
  <c r="GX194" i="1" s="1"/>
  <c r="GY194" i="1" s="1"/>
  <c r="GZ194" i="1" s="1"/>
  <c r="GN267" i="1"/>
  <c r="GO267" i="1" s="1"/>
  <c r="GP267" i="1" s="1"/>
  <c r="GS267" i="1" s="1"/>
  <c r="GW267" i="1" s="1"/>
  <c r="GX267" i="1" s="1"/>
  <c r="GY267" i="1" s="1"/>
  <c r="GZ267" i="1" s="1"/>
  <c r="GP81" i="1"/>
  <c r="GS81" i="1" s="1"/>
  <c r="GW81" i="1" s="1"/>
  <c r="GX81" i="1" s="1"/>
  <c r="GY81" i="1" s="1"/>
  <c r="GZ81" i="1" s="1"/>
  <c r="GN69" i="1"/>
  <c r="GO69" i="1" s="1"/>
  <c r="GP69" i="1" s="1"/>
  <c r="GS69" i="1" s="1"/>
  <c r="GW69" i="1" s="1"/>
  <c r="GX69" i="1" s="1"/>
  <c r="GY69" i="1" s="1"/>
  <c r="GZ69" i="1" s="1"/>
  <c r="GN75" i="1"/>
  <c r="GO75" i="1" s="1"/>
  <c r="GP75" i="1" s="1"/>
  <c r="GS75" i="1" s="1"/>
  <c r="GW75" i="1" s="1"/>
  <c r="GX75" i="1" s="1"/>
  <c r="GY75" i="1" s="1"/>
  <c r="GZ75" i="1" s="1"/>
  <c r="GP161" i="1"/>
  <c r="GS161" i="1" s="1"/>
  <c r="GW161" i="1" s="1"/>
  <c r="GX161" i="1" s="1"/>
  <c r="GY161" i="1" s="1"/>
  <c r="GZ161" i="1" s="1"/>
  <c r="GN121" i="1"/>
  <c r="GO121" i="1" s="1"/>
  <c r="GP121" i="1" s="1"/>
  <c r="GS121" i="1" s="1"/>
  <c r="GW121" i="1" s="1"/>
  <c r="GX121" i="1" s="1"/>
  <c r="GY121" i="1" s="1"/>
  <c r="GZ121" i="1" s="1"/>
  <c r="GP182" i="1"/>
  <c r="GS182" i="1" s="1"/>
  <c r="GW182" i="1" s="1"/>
  <c r="GX182" i="1" s="1"/>
  <c r="GY182" i="1" s="1"/>
  <c r="GZ182" i="1" s="1"/>
  <c r="GN144" i="1"/>
  <c r="GO144" i="1" s="1"/>
  <c r="GP144" i="1" s="1"/>
  <c r="GS144" i="1" s="1"/>
  <c r="GW144" i="1" s="1"/>
  <c r="GX144" i="1" s="1"/>
  <c r="GY144" i="1" s="1"/>
  <c r="GZ144" i="1" s="1"/>
  <c r="GN284" i="1"/>
  <c r="GO284" i="1" s="1"/>
  <c r="GP284" i="1" s="1"/>
  <c r="GS284" i="1" s="1"/>
  <c r="GW284" i="1" s="1"/>
  <c r="GX284" i="1" s="1"/>
  <c r="GY284" i="1" s="1"/>
  <c r="GZ284" i="1" s="1"/>
  <c r="GN258" i="1"/>
  <c r="GO258" i="1" s="1"/>
  <c r="GP258" i="1" s="1"/>
  <c r="GS258" i="1" s="1"/>
  <c r="GW258" i="1" s="1"/>
  <c r="GX258" i="1" s="1"/>
  <c r="GY258" i="1" s="1"/>
  <c r="GZ258" i="1" s="1"/>
  <c r="GN105" i="1"/>
  <c r="GO105" i="1" s="1"/>
  <c r="GP105" i="1" s="1"/>
  <c r="GS105" i="1" s="1"/>
  <c r="GW105" i="1" s="1"/>
  <c r="GX105" i="1" s="1"/>
  <c r="GY105" i="1" s="1"/>
  <c r="GZ105" i="1" s="1"/>
  <c r="GP244" i="1"/>
  <c r="GS244" i="1" s="1"/>
  <c r="GW244" i="1" s="1"/>
  <c r="GX244" i="1" s="1"/>
  <c r="GY244" i="1" s="1"/>
  <c r="GZ244" i="1" s="1"/>
  <c r="GP297" i="1"/>
  <c r="GS297" i="1" s="1"/>
  <c r="GW297" i="1" s="1"/>
  <c r="GX297" i="1" s="1"/>
  <c r="GY297" i="1" s="1"/>
  <c r="GZ297" i="1" s="1"/>
  <c r="GN89" i="1"/>
  <c r="GO89" i="1" s="1"/>
  <c r="GP89" i="1" s="1"/>
  <c r="GS89" i="1" s="1"/>
  <c r="GW89" i="1" s="1"/>
  <c r="GX89" i="1" s="1"/>
  <c r="GY89" i="1" s="1"/>
  <c r="GZ89" i="1" s="1"/>
  <c r="GN180" i="1"/>
  <c r="GO180" i="1" s="1"/>
  <c r="GP180" i="1" s="1"/>
  <c r="GS180" i="1" s="1"/>
  <c r="GW180" i="1" s="1"/>
  <c r="GX180" i="1" s="1"/>
  <c r="GY180" i="1" s="1"/>
  <c r="GZ180" i="1" s="1"/>
  <c r="GN49" i="1"/>
  <c r="GO49" i="1" s="1"/>
  <c r="GP49" i="1" s="1"/>
  <c r="GS49" i="1" s="1"/>
  <c r="GW49" i="1" s="1"/>
  <c r="GX49" i="1" s="1"/>
  <c r="GY49" i="1" s="1"/>
  <c r="GZ49" i="1" s="1"/>
  <c r="GN40" i="1"/>
  <c r="GO40" i="1" s="1"/>
  <c r="GP40" i="1" s="1"/>
  <c r="GS40" i="1" s="1"/>
  <c r="GW40" i="1" s="1"/>
  <c r="GX40" i="1" s="1"/>
  <c r="GY40" i="1" s="1"/>
  <c r="GZ40" i="1" s="1"/>
  <c r="GP204" i="1"/>
  <c r="GS204" i="1" s="1"/>
  <c r="GW204" i="1" s="1"/>
  <c r="GX204" i="1" s="1"/>
  <c r="GY204" i="1" s="1"/>
  <c r="GZ204" i="1" s="1"/>
  <c r="GN181" i="1"/>
  <c r="GO181" i="1" s="1"/>
  <c r="GP181" i="1" s="1"/>
  <c r="GS181" i="1" s="1"/>
  <c r="GW181" i="1" s="1"/>
  <c r="GX181" i="1" s="1"/>
  <c r="GY181" i="1" s="1"/>
  <c r="GZ181" i="1" s="1"/>
  <c r="GN61" i="1"/>
  <c r="GO61" i="1" s="1"/>
  <c r="GP61" i="1" s="1"/>
  <c r="GS61" i="1" s="1"/>
  <c r="GW61" i="1" s="1"/>
  <c r="GX61" i="1" s="1"/>
  <c r="GY61" i="1" s="1"/>
  <c r="GZ61" i="1" s="1"/>
  <c r="GN206" i="1"/>
  <c r="GO206" i="1" s="1"/>
  <c r="GP206" i="1" s="1"/>
  <c r="GS206" i="1" s="1"/>
  <c r="GW206" i="1" s="1"/>
  <c r="GX206" i="1" s="1"/>
  <c r="GY206" i="1" s="1"/>
  <c r="GZ206" i="1" s="1"/>
  <c r="GP265" i="1"/>
  <c r="GS265" i="1" s="1"/>
  <c r="GW265" i="1" s="1"/>
  <c r="GX265" i="1" s="1"/>
  <c r="GY265" i="1" s="1"/>
  <c r="GZ265" i="1" s="1"/>
  <c r="GN242" i="1"/>
  <c r="GO242" i="1" s="1"/>
  <c r="GP242" i="1" s="1"/>
  <c r="GS242" i="1" s="1"/>
  <c r="GW242" i="1" s="1"/>
  <c r="GX242" i="1" s="1"/>
  <c r="GY242" i="1" s="1"/>
  <c r="GZ242" i="1" s="1"/>
  <c r="GP88" i="1"/>
  <c r="GS88" i="1" s="1"/>
  <c r="GW88" i="1" s="1"/>
  <c r="GX88" i="1" s="1"/>
  <c r="GY88" i="1" s="1"/>
  <c r="GZ88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Y270" i="1"/>
  <c r="GZ270" i="1" s="1"/>
  <c r="GN45" i="1"/>
  <c r="GO45" i="1" s="1"/>
  <c r="GP45" i="1" s="1"/>
  <c r="GS45" i="1" s="1"/>
  <c r="GW45" i="1" s="1"/>
  <c r="GX45" i="1" s="1"/>
  <c r="GY45" i="1" s="1"/>
  <c r="GZ45" i="1" s="1"/>
  <c r="GN66" i="1"/>
  <c r="GO66" i="1" s="1"/>
  <c r="GP66" i="1" s="1"/>
  <c r="GS66" i="1" s="1"/>
  <c r="GW66" i="1" s="1"/>
  <c r="GX66" i="1" s="1"/>
  <c r="GY66" i="1" s="1"/>
  <c r="GZ66" i="1" s="1"/>
  <c r="GY51" i="1"/>
  <c r="GZ51" i="1" s="1"/>
  <c r="GN196" i="1"/>
  <c r="GO196" i="1" s="1"/>
  <c r="GP196" i="1" s="1"/>
  <c r="GS196" i="1" s="1"/>
  <c r="GW196" i="1" s="1"/>
  <c r="GX196" i="1" s="1"/>
  <c r="GY196" i="1" s="1"/>
  <c r="GZ196" i="1" s="1"/>
  <c r="GN2" i="1"/>
  <c r="GO2" i="1" s="1"/>
  <c r="GP2" i="1" s="1"/>
  <c r="GS2" i="1" s="1"/>
  <c r="GY134" i="1" l="1"/>
  <c r="GZ134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</calcChain>
</file>

<file path=xl/sharedStrings.xml><?xml version="1.0" encoding="utf-8"?>
<sst xmlns="http://schemas.openxmlformats.org/spreadsheetml/2006/main" count="2028" uniqueCount="990">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</sst>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7405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5072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5072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17084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41373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60294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71100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34471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34471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34471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  <cell r="J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  <cell r="J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  <cell r="J122">
            <v>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  <cell r="J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  <cell r="J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  <cell r="J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61490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28934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60490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34471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60294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35425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60294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68886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  <cell r="J17">
            <v>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  <cell r="J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  <cell r="J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  <cell r="J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  <cell r="J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  <cell r="J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  <cell r="J23">
            <v>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  <cell r="J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  <cell r="J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  <cell r="J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  <cell r="J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  <cell r="J28">
            <v>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  <cell r="J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  <cell r="J30">
            <v>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  <cell r="J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  <cell r="J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  <cell r="J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  <cell r="J34">
            <v>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  <cell r="J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  <cell r="J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  <cell r="J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  <cell r="J40">
            <v>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  <cell r="J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  <cell r="J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  <cell r="J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  <cell r="J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  <cell r="J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  <cell r="J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  <cell r="J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  <cell r="J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  <cell r="J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  <cell r="J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  <cell r="J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  <cell r="J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  <cell r="J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  <cell r="J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  <cell r="J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  <cell r="J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  <cell r="J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  <cell r="J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  <cell r="J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  <cell r="J66">
            <v>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  <cell r="J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  <cell r="J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  <cell r="J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  <cell r="J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  <cell r="J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  <cell r="J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  <cell r="J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  <cell r="J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  <cell r="J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  <cell r="J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  <cell r="J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  <cell r="J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  <cell r="J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  <cell r="J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  <cell r="J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  <cell r="J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  <cell r="J87">
            <v>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  <cell r="J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  <cell r="J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  <cell r="J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  <cell r="J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  <cell r="J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  <cell r="J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  <cell r="J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  <cell r="J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  <cell r="J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  <cell r="J99">
            <v>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  <cell r="J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  <cell r="J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  <cell r="J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  <cell r="J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  <cell r="J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  <cell r="J109">
            <v>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  <cell r="J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  <cell r="J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  <cell r="J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  <cell r="J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  <cell r="J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  <cell r="J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  <cell r="J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  <cell r="J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  <cell r="J120">
            <v>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  <cell r="J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  <cell r="J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  <cell r="J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  <cell r="J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  <cell r="J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  <cell r="J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  <cell r="J131">
            <v>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  <cell r="J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  <cell r="J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  <cell r="J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  <cell r="J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  <cell r="J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  <cell r="J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  <cell r="J142">
            <v>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  <cell r="J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  <cell r="J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  <cell r="J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  <cell r="J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  <cell r="J150">
            <v>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  <cell r="J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  <cell r="J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  <cell r="J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  <cell r="J155">
            <v>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  <cell r="J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  <cell r="J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  <cell r="J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  <cell r="J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  <cell r="J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  <cell r="J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  <cell r="J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  <cell r="J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  <cell r="J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  <cell r="J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  <cell r="J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  <cell r="J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  <cell r="J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  <cell r="J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  <cell r="J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  <cell r="J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  <cell r="J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  <cell r="J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  <cell r="J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  <cell r="J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  <cell r="J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  <cell r="J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  <cell r="J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  <cell r="J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  <cell r="J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  <cell r="J203">
            <v>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  <cell r="J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  <cell r="J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  <cell r="J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  <cell r="J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  <cell r="J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  <cell r="J211">
            <v>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  <cell r="J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  <cell r="J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  <cell r="J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  <cell r="J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  <cell r="J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  <cell r="J225">
            <v>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  <cell r="J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  <cell r="J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  <cell r="J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  <cell r="J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  <cell r="J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  <cell r="J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  <cell r="J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  <cell r="J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  <cell r="J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  <cell r="J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  <cell r="J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  <cell r="J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  <cell r="J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  <cell r="J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  <cell r="J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  <cell r="J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  <cell r="J257">
            <v>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  <cell r="J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  <cell r="J260">
            <v>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  <cell r="J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  <cell r="J262">
            <v>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  <cell r="J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  <cell r="J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  <cell r="J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  <cell r="J266">
            <v>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  <cell r="J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  <cell r="J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  <cell r="J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  <cell r="J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  <cell r="J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  <cell r="J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  <cell r="J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  <cell r="J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  <cell r="J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  <cell r="J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  <cell r="J284">
            <v>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  <cell r="J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  <cell r="J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  <cell r="J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  <cell r="J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  <cell r="J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  <cell r="J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  <cell r="J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  <cell r="J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  <cell r="J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05"/>
  <sheetViews>
    <sheetView tabSelected="1" topLeftCell="ED1" workbookViewId="0">
      <pane ySplit="1" topLeftCell="A2" activePane="bottomLeft" state="frozen"/>
      <selection pane="bottomLeft" activeCell="ET17" sqref="ET17"/>
    </sheetView>
  </sheetViews>
  <sheetFormatPr defaultRowHeight="15" x14ac:dyDescent="0.25"/>
  <cols>
    <col min="1" max="1" width="4" bestFit="1" customWidth="1"/>
    <col min="2" max="2" width="21" bestFit="1" customWidth="1"/>
    <col min="3" max="3" width="33" bestFit="1" customWidth="1"/>
    <col min="4" max="4" width="48.42578125" bestFit="1" customWidth="1"/>
    <col min="5" max="5" width="12.7109375" bestFit="1" customWidth="1"/>
    <col min="6" max="6" width="4.140625" bestFit="1" customWidth="1"/>
    <col min="7" max="7" width="10.42578125" bestFit="1" customWidth="1"/>
    <col min="8" max="8" width="6.42578125" bestFit="1" customWidth="1"/>
    <col min="9" max="9" width="6.28515625" bestFit="1" customWidth="1"/>
    <col min="10" max="10" width="10.85546875" bestFit="1" customWidth="1"/>
    <col min="11" max="11" width="9" bestFit="1" customWidth="1"/>
    <col min="12" max="12" width="10.140625" bestFit="1" customWidth="1"/>
    <col min="13" max="13" width="10.5703125" bestFit="1" customWidth="1"/>
    <col min="14" max="14" width="9.42578125" bestFit="1" customWidth="1"/>
    <col min="15" max="15" width="11.28515625" bestFit="1" customWidth="1"/>
    <col min="16" max="16" width="9.85546875" bestFit="1" customWidth="1"/>
    <col min="17" max="17" width="10.140625" bestFit="1" customWidth="1"/>
    <col min="18" max="18" width="11" bestFit="1" customWidth="1"/>
    <col min="19" max="19" width="12.85546875" bestFit="1" customWidth="1"/>
    <col min="20" max="20" width="9.42578125" bestFit="1" customWidth="1"/>
    <col min="21" max="21" width="7.5703125" bestFit="1" customWidth="1"/>
    <col min="22" max="22" width="8.7109375" bestFit="1" customWidth="1"/>
    <col min="23" max="23" width="9.140625" bestFit="1" customWidth="1"/>
    <col min="24" max="24" width="8" bestFit="1" customWidth="1"/>
    <col min="25" max="25" width="9.85546875" bestFit="1" customWidth="1"/>
    <col min="26" max="26" width="8.42578125" bestFit="1" customWidth="1"/>
    <col min="27" max="27" width="8.7109375" bestFit="1" customWidth="1"/>
    <col min="28" max="28" width="9.5703125" bestFit="1" customWidth="1"/>
    <col min="29" max="29" width="11.42578125" bestFit="1" customWidth="1"/>
    <col min="30" max="30" width="9.140625" bestFit="1" customWidth="1"/>
    <col min="31" max="31" width="7.28515625" bestFit="1" customWidth="1"/>
    <col min="32" max="32" width="8.42578125" bestFit="1" customWidth="1"/>
    <col min="33" max="33" width="8.85546875" bestFit="1" customWidth="1"/>
    <col min="34" max="34" width="7.7109375" bestFit="1" customWidth="1"/>
    <col min="35" max="35" width="9.5703125" bestFit="1" customWidth="1"/>
    <col min="36" max="36" width="8.140625" bestFit="1" customWidth="1"/>
    <col min="37" max="37" width="8.42578125" bestFit="1" customWidth="1"/>
    <col min="38" max="38" width="9.28515625" bestFit="1" customWidth="1"/>
    <col min="39" max="39" width="11.140625" bestFit="1" customWidth="1"/>
    <col min="40" max="40" width="9.42578125" bestFit="1" customWidth="1"/>
    <col min="41" max="41" width="7.5703125" bestFit="1" customWidth="1"/>
    <col min="42" max="42" width="8.7109375" bestFit="1" customWidth="1"/>
    <col min="43" max="43" width="9.140625" bestFit="1" customWidth="1"/>
    <col min="44" max="44" width="8" bestFit="1" customWidth="1"/>
    <col min="45" max="45" width="9.85546875" bestFit="1" customWidth="1"/>
    <col min="46" max="46" width="8.42578125" bestFit="1" customWidth="1"/>
    <col min="47" max="47" width="8.7109375" bestFit="1" customWidth="1"/>
    <col min="48" max="48" width="9.5703125" bestFit="1" customWidth="1"/>
    <col min="49" max="49" width="11.42578125" bestFit="1" customWidth="1"/>
    <col min="50" max="50" width="8.7109375" bestFit="1" customWidth="1"/>
    <col min="51" max="51" width="6.85546875" bestFit="1" customWidth="1"/>
    <col min="52" max="52" width="6.7109375" bestFit="1" customWidth="1"/>
    <col min="53" max="53" width="8" bestFit="1" customWidth="1"/>
    <col min="54" max="54" width="8.42578125" bestFit="1" customWidth="1"/>
    <col min="55" max="55" width="7.28515625" bestFit="1" customWidth="1"/>
    <col min="56" max="56" width="9.140625" bestFit="1" customWidth="1"/>
    <col min="57" max="57" width="7.7109375" bestFit="1" customWidth="1"/>
    <col min="58" max="58" width="8" bestFit="1" customWidth="1"/>
    <col min="59" max="59" width="8.85546875" bestFit="1" customWidth="1"/>
    <col min="60" max="60" width="10.7109375" bestFit="1" customWidth="1"/>
    <col min="61" max="61" width="11.28515625" bestFit="1" customWidth="1"/>
    <col min="62" max="62" width="9.42578125" bestFit="1" customWidth="1"/>
    <col min="63" max="63" width="10.5703125" bestFit="1" customWidth="1"/>
    <col min="64" max="64" width="11" bestFit="1" customWidth="1"/>
    <col min="65" max="65" width="9.85546875" bestFit="1" customWidth="1"/>
    <col min="66" max="66" width="11.7109375" bestFit="1" customWidth="1"/>
    <col min="67" max="67" width="10.28515625" bestFit="1" customWidth="1"/>
    <col min="68" max="68" width="10.5703125" bestFit="1" customWidth="1"/>
    <col min="69" max="69" width="11.42578125" bestFit="1" customWidth="1"/>
    <col min="70" max="70" width="13.42578125" bestFit="1" customWidth="1"/>
    <col min="71" max="71" width="15.28515625" bestFit="1" customWidth="1"/>
    <col min="72" max="72" width="13.42578125" bestFit="1" customWidth="1"/>
    <col min="73" max="73" width="14.5703125" bestFit="1" customWidth="1"/>
    <col min="74" max="74" width="15" bestFit="1" customWidth="1"/>
    <col min="75" max="75" width="13.85546875" bestFit="1" customWidth="1"/>
    <col min="76" max="76" width="15.7109375" bestFit="1" customWidth="1"/>
    <col min="77" max="77" width="14.28515625" bestFit="1" customWidth="1"/>
    <col min="78" max="78" width="14.5703125" bestFit="1" customWidth="1"/>
    <col min="79" max="79" width="15.42578125" bestFit="1" customWidth="1"/>
    <col min="80" max="80" width="17.42578125" bestFit="1" customWidth="1"/>
    <col min="81" max="81" width="12.28515625" bestFit="1" customWidth="1"/>
    <col min="82" max="82" width="10.42578125" bestFit="1" customWidth="1"/>
    <col min="83" max="83" width="11.5703125" bestFit="1" customWidth="1"/>
    <col min="84" max="84" width="12" bestFit="1" customWidth="1"/>
    <col min="85" max="85" width="10.85546875" bestFit="1" customWidth="1"/>
    <col min="86" max="86" width="12.7109375" bestFit="1" customWidth="1"/>
    <col min="87" max="87" width="11.28515625" bestFit="1" customWidth="1"/>
    <col min="88" max="88" width="11.5703125" bestFit="1" customWidth="1"/>
    <col min="89" max="89" width="12.42578125" bestFit="1" customWidth="1"/>
    <col min="90" max="90" width="14.42578125" bestFit="1" customWidth="1"/>
    <col min="91" max="91" width="14.7109375" bestFit="1" customWidth="1"/>
    <col min="92" max="92" width="12.7109375" bestFit="1" customWidth="1"/>
    <col min="93" max="93" width="14" bestFit="1" customWidth="1"/>
    <col min="94" max="94" width="14.42578125" bestFit="1" customWidth="1"/>
    <col min="95" max="95" width="13.28515625" bestFit="1" customWidth="1"/>
    <col min="96" max="96" width="15.140625" bestFit="1" customWidth="1"/>
    <col min="97" max="97" width="13.7109375" bestFit="1" customWidth="1"/>
    <col min="98" max="98" width="14" bestFit="1" customWidth="1"/>
    <col min="99" max="99" width="14.85546875" bestFit="1" customWidth="1"/>
    <col min="100" max="100" width="16.7109375" bestFit="1" customWidth="1"/>
    <col min="101" max="101" width="14.5703125" bestFit="1" customWidth="1"/>
    <col min="102" max="102" width="12.5703125" bestFit="1" customWidth="1"/>
    <col min="103" max="103" width="13.85546875" bestFit="1" customWidth="1"/>
    <col min="104" max="104" width="14.28515625" bestFit="1" customWidth="1"/>
    <col min="105" max="105" width="13.140625" bestFit="1" customWidth="1"/>
    <col min="106" max="106" width="15" bestFit="1" customWidth="1"/>
    <col min="107" max="107" width="13.5703125" bestFit="1" customWidth="1"/>
    <col min="108" max="108" width="13.85546875" bestFit="1" customWidth="1"/>
    <col min="109" max="109" width="14.7109375" bestFit="1" customWidth="1"/>
    <col min="110" max="110" width="16.5703125" bestFit="1" customWidth="1"/>
    <col min="111" max="111" width="12" bestFit="1" customWidth="1"/>
    <col min="112" max="112" width="10.140625" bestFit="1" customWidth="1"/>
    <col min="113" max="113" width="11.28515625" bestFit="1" customWidth="1"/>
    <col min="114" max="114" width="11.7109375" bestFit="1" customWidth="1"/>
    <col min="115" max="115" width="10.5703125" bestFit="1" customWidth="1"/>
    <col min="116" max="116" width="12.42578125" bestFit="1" customWidth="1"/>
    <col min="117" max="117" width="11" bestFit="1" customWidth="1"/>
    <col min="118" max="118" width="11.28515625" bestFit="1" customWidth="1"/>
    <col min="119" max="119" width="12.140625" bestFit="1" customWidth="1"/>
    <col min="120" max="120" width="14.140625" bestFit="1" customWidth="1"/>
    <col min="121" max="121" width="13.140625" bestFit="1" customWidth="1"/>
    <col min="122" max="122" width="11.140625" bestFit="1" customWidth="1"/>
    <col min="123" max="123" width="12.28515625" bestFit="1" customWidth="1"/>
    <col min="124" max="124" width="12.7109375" bestFit="1" customWidth="1"/>
    <col min="125" max="125" width="11.5703125" bestFit="1" customWidth="1"/>
    <col min="126" max="126" width="13.5703125" bestFit="1" customWidth="1"/>
    <col min="127" max="127" width="12" bestFit="1" customWidth="1"/>
    <col min="128" max="128" width="12.28515625" bestFit="1" customWidth="1"/>
    <col min="129" max="129" width="13.28515625" bestFit="1" customWidth="1"/>
    <col min="130" max="130" width="15.140625" bestFit="1" customWidth="1"/>
    <col min="131" max="131" width="12" bestFit="1" customWidth="1"/>
    <col min="132" max="134" width="10.5703125" bestFit="1" customWidth="1"/>
    <col min="135" max="135" width="7.28515625" customWidth="1"/>
    <col min="136" max="136" width="11.7109375" customWidth="1"/>
    <col min="137" max="137" width="13.85546875" customWidth="1"/>
    <col min="138" max="138" width="10.85546875" customWidth="1"/>
    <col min="139" max="139" width="13.28515625" customWidth="1"/>
    <col min="140" max="140" width="13.140625" customWidth="1"/>
    <col min="141" max="141" width="10.5703125" customWidth="1"/>
    <col min="142" max="143" width="11.5703125" customWidth="1"/>
    <col min="144" max="144" width="8.28515625" bestFit="1" customWidth="1"/>
    <col min="145" max="145" width="10.42578125" bestFit="1" customWidth="1"/>
    <col min="146" max="146" width="18.28515625" bestFit="1" customWidth="1"/>
    <col min="147" max="147" width="14.5703125" bestFit="1" customWidth="1"/>
    <col min="148" max="148" width="12.42578125" bestFit="1" customWidth="1"/>
    <col min="149" max="149" width="9.28515625" bestFit="1" customWidth="1"/>
    <col min="150" max="150" width="9.5703125" bestFit="1" customWidth="1"/>
    <col min="151" max="151" width="15.28515625" bestFit="1" customWidth="1"/>
    <col min="152" max="152" width="3" bestFit="1" customWidth="1"/>
    <col min="153" max="153" width="2.85546875" bestFit="1" customWidth="1"/>
    <col min="154" max="154" width="4.42578125" bestFit="1" customWidth="1"/>
    <col min="155" max="155" width="4" bestFit="1" customWidth="1"/>
    <col min="156" max="156" width="3.85546875" bestFit="1" customWidth="1"/>
    <col min="157" max="157" width="10.85546875" bestFit="1" customWidth="1"/>
    <col min="158" max="158" width="9.7109375" bestFit="1" customWidth="1"/>
    <col min="159" max="159" width="8.140625" bestFit="1" customWidth="1"/>
    <col min="160" max="160" width="10.5703125" bestFit="1" customWidth="1"/>
    <col min="161" max="161" width="9" bestFit="1" customWidth="1"/>
    <col min="162" max="162" width="8.28515625" bestFit="1" customWidth="1"/>
    <col min="163" max="163" width="18.140625" bestFit="1" customWidth="1"/>
    <col min="164" max="164" width="10.28515625" bestFit="1" customWidth="1"/>
    <col min="165" max="165" width="15.5703125" bestFit="1" customWidth="1"/>
    <col min="166" max="166" width="18.5703125" bestFit="1" customWidth="1"/>
    <col min="167" max="167" width="14.140625" bestFit="1" customWidth="1"/>
    <col min="168" max="168" width="7" bestFit="1" customWidth="1"/>
    <col min="169" max="169" width="8.42578125" bestFit="1" customWidth="1"/>
    <col min="170" max="170" width="12.42578125" bestFit="1" customWidth="1"/>
    <col min="171" max="171" width="9.140625" bestFit="1" customWidth="1"/>
    <col min="172" max="172" width="14.5703125" bestFit="1" customWidth="1"/>
    <col min="173" max="173" width="17.7109375" bestFit="1" customWidth="1"/>
    <col min="174" max="175" width="18.5703125" bestFit="1" customWidth="1"/>
    <col min="176" max="176" width="7.28515625" bestFit="1" customWidth="1"/>
    <col min="177" max="177" width="8.28515625" bestFit="1" customWidth="1"/>
    <col min="178" max="178" width="11.5703125" bestFit="1" customWidth="1"/>
    <col min="179" max="179" width="3.7109375" bestFit="1" customWidth="1"/>
    <col min="180" max="180" width="7.28515625" bestFit="1" customWidth="1"/>
    <col min="181" max="181" width="11.42578125" bestFit="1" customWidth="1"/>
    <col min="182" max="182" width="12.28515625" bestFit="1" customWidth="1"/>
    <col min="183" max="183" width="17" bestFit="1" customWidth="1"/>
    <col min="184" max="184" width="22.42578125" bestFit="1" customWidth="1"/>
    <col min="185" max="185" width="16.7109375" bestFit="1" customWidth="1"/>
    <col min="186" max="186" width="7.7109375" bestFit="1" customWidth="1"/>
    <col min="187" max="187" width="10.7109375" bestFit="1" customWidth="1"/>
    <col min="188" max="188" width="12.85546875" bestFit="1" customWidth="1"/>
    <col min="189" max="189" width="16" bestFit="1" customWidth="1"/>
    <col min="190" max="190" width="9.140625" bestFit="1" customWidth="1"/>
    <col min="191" max="191" width="12.140625" bestFit="1" customWidth="1"/>
    <col min="192" max="192" width="9" bestFit="1" customWidth="1"/>
    <col min="193" max="193" width="12" bestFit="1" customWidth="1"/>
    <col min="194" max="194" width="6" bestFit="1" customWidth="1"/>
    <col min="195" max="195" width="8.85546875" bestFit="1" customWidth="1"/>
    <col min="196" max="196" width="7" bestFit="1" customWidth="1"/>
    <col min="197" max="197" width="9.28515625" bestFit="1" customWidth="1"/>
    <col min="198" max="198" width="11.85546875" bestFit="1" customWidth="1"/>
    <col min="199" max="200" width="4.42578125" bestFit="1" customWidth="1"/>
    <col min="201" max="201" width="6" bestFit="1" customWidth="1"/>
    <col min="202" max="202" width="4.42578125" bestFit="1" customWidth="1"/>
    <col min="203" max="203" width="6.140625" bestFit="1" customWidth="1"/>
    <col min="204" max="204" width="4.42578125" bestFit="1" customWidth="1"/>
    <col min="205" max="205" width="11.140625" bestFit="1" customWidth="1"/>
    <col min="206" max="206" width="20.7109375" bestFit="1" customWidth="1"/>
    <col min="207" max="207" width="8.42578125" bestFit="1" customWidth="1"/>
    <col min="208" max="208" width="14.28515625" bestFit="1" customWidth="1"/>
  </cols>
  <sheetData>
    <row r="1" spans="1:208" x14ac:dyDescent="0.25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960</v>
      </c>
      <c r="G1" t="s">
        <v>873</v>
      </c>
      <c r="H1" t="s">
        <v>707</v>
      </c>
      <c r="I1" t="s">
        <v>961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977</v>
      </c>
      <c r="EB1" t="s">
        <v>978</v>
      </c>
      <c r="EC1" t="s">
        <v>979</v>
      </c>
      <c r="ED1" t="s">
        <v>980</v>
      </c>
      <c r="EE1" t="s">
        <v>981</v>
      </c>
      <c r="EF1" t="s">
        <v>982</v>
      </c>
      <c r="EG1" t="s">
        <v>983</v>
      </c>
      <c r="EH1" t="s">
        <v>984</v>
      </c>
      <c r="EI1" t="s">
        <v>985</v>
      </c>
      <c r="EJ1" t="s">
        <v>986</v>
      </c>
      <c r="EK1" t="s">
        <v>987</v>
      </c>
      <c r="EL1" t="s">
        <v>988</v>
      </c>
      <c r="EM1" t="s">
        <v>989</v>
      </c>
      <c r="EN1" t="s">
        <v>123</v>
      </c>
      <c r="EO1" t="s">
        <v>711</v>
      </c>
      <c r="EP1" t="s">
        <v>712</v>
      </c>
      <c r="EQ1" t="s">
        <v>714</v>
      </c>
      <c r="ER1" t="s">
        <v>732</v>
      </c>
      <c r="ES1" t="s">
        <v>709</v>
      </c>
      <c r="ET1" t="s">
        <v>710</v>
      </c>
      <c r="EU1" t="s">
        <v>713</v>
      </c>
      <c r="EV1" t="s">
        <v>715</v>
      </c>
      <c r="EW1" t="s">
        <v>730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722</v>
      </c>
      <c r="FE1" t="s">
        <v>733</v>
      </c>
      <c r="FF1" t="s">
        <v>735</v>
      </c>
      <c r="FG1" t="s">
        <v>734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729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741</v>
      </c>
      <c r="FU1" t="s">
        <v>743</v>
      </c>
      <c r="FV1" t="s">
        <v>742</v>
      </c>
      <c r="FW1" t="s">
        <v>731</v>
      </c>
      <c r="FX1" t="s">
        <v>744</v>
      </c>
      <c r="FY1" t="s">
        <v>745</v>
      </c>
      <c r="FZ1" t="s">
        <v>859</v>
      </c>
      <c r="GA1" t="s">
        <v>858</v>
      </c>
      <c r="GB1" t="s">
        <v>835</v>
      </c>
      <c r="GC1" t="s">
        <v>836</v>
      </c>
      <c r="GD1" t="s">
        <v>837</v>
      </c>
      <c r="GE1" t="s">
        <v>838</v>
      </c>
      <c r="GF1" t="s">
        <v>962</v>
      </c>
      <c r="GG1" t="s">
        <v>963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846</v>
      </c>
      <c r="GP1" t="s">
        <v>850</v>
      </c>
      <c r="GQ1" t="s">
        <v>847</v>
      </c>
      <c r="GR1" t="s">
        <v>848</v>
      </c>
      <c r="GS1" t="s">
        <v>849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  <c r="GZ1" t="s">
        <v>857</v>
      </c>
    </row>
    <row r="2" spans="1:208" x14ac:dyDescent="0.25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957</v>
      </c>
      <c r="G2" t="s">
        <v>874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>O2-P2-Q2-R2</f>
        <v>38116</v>
      </c>
      <c r="T2">
        <f>_xlfn.XLOOKUP(B2,'[2]april-2025'!$A:$A,'[2]april-2025'!$C:$C,0,0)</f>
        <v>31600</v>
      </c>
      <c r="U2">
        <f t="shared" ref="U2:U66" si="3">T2*0.18</f>
        <v>5688</v>
      </c>
      <c r="V2">
        <f t="shared" ref="V2:V66" si="4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5">IF($F2="YES",0,IF(Y2&gt;40000,200,IF(Y2&gt;25000,150,IF(Y2&gt;15000,130,IF(Y2&gt;10000,110,0)))))</f>
        <v>200</v>
      </c>
      <c r="AC2">
        <f t="shared" ref="AC2:AC66" si="6">Y2-Z2-AA2-AB2</f>
        <v>39380</v>
      </c>
      <c r="AD2">
        <f>_xlfn.XLOOKUP(B2,'[3]may-2025'!$A:$A,'[3]may-2025'!$C:$C,0,0)</f>
        <v>31600</v>
      </c>
      <c r="AE2">
        <f t="shared" ref="AE2:AE66" si="7">AD2*0.18</f>
        <v>5688</v>
      </c>
      <c r="AF2">
        <f t="shared" ref="AF2:AF66" si="8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9">IF($F2="YES",0,IF(AI2&gt;40000,200,IF(AI2&gt;25000,150,IF(AI2&gt;15000,130,IF(AI2&gt;10000,110,0)))))</f>
        <v>200</v>
      </c>
      <c r="AM2">
        <f t="shared" ref="AM2:AM66" si="10">AI2-AJ2-AK2-AL2</f>
        <v>39380</v>
      </c>
      <c r="AN2">
        <f>_xlfn.XLOOKUP(B2,'[4]june-2025'!$A:$A,'[4]june-2025'!$C:$C,0,0)</f>
        <v>31600</v>
      </c>
      <c r="AO2">
        <f t="shared" ref="AO2:AO66" si="11">AN2*0.18</f>
        <v>5688</v>
      </c>
      <c r="AP2">
        <f t="shared" ref="AP2:AP66" si="12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3">IF($F2="YES",0,IF(AS2&gt;40000,200,IF(AS2&gt;25000,150,IF(AS2&gt;15000,130,IF(AS2&gt;10000,110,0)))))</f>
        <v>200</v>
      </c>
      <c r="AW2">
        <f t="shared" ref="AW2:AW66" si="14">AS2-AT2-AU2-AV2</f>
        <v>39380</v>
      </c>
      <c r="AX2">
        <f>_xlfn.XLOOKUP(B2,'[5]july-2025'!$A:$A,'[5]july-2025'!$C:$C,0,0)</f>
        <v>32500</v>
      </c>
      <c r="AY2">
        <f t="shared" ref="AY2:AY66" si="15">AX2*0.18</f>
        <v>5850</v>
      </c>
      <c r="AZ2">
        <v>0</v>
      </c>
      <c r="BA2">
        <f t="shared" ref="BA2:BA66" si="16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17">IF($F2="YES",0,IF(BD2&gt;40000,200,IF(BD2&gt;25000,150,IF(BD2&gt;15000,130,IF(BD2&gt;10000,110,0)))))</f>
        <v>200</v>
      </c>
      <c r="BH2">
        <f t="shared" ref="BH2:BH66" si="18">BD2-BE2-BF2-BG2</f>
        <v>40550</v>
      </c>
      <c r="BI2">
        <f>_xlfn.XLOOKUP(B2,'[6]august-2025'!$A:$A,'[6]august-2025'!$C:$C,0,0)</f>
        <v>32500</v>
      </c>
      <c r="BJ2">
        <f t="shared" ref="BJ2:BJ66" si="19">BI2*0.18</f>
        <v>5850</v>
      </c>
      <c r="BK2">
        <f t="shared" ref="BK2:BK66" si="20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1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>IF($F2="YES",0,IF(BN2&gt;40000,200,IF(BN2&gt;25000,150,IF(BN2&gt;15000,130,IF(BN2&gt;10000,110,0)))))</f>
        <v>200</v>
      </c>
      <c r="BR2">
        <f>BN2-BO2-BP2-BQ2</f>
        <v>40550</v>
      </c>
      <c r="BS2">
        <f>_xlfn.XLOOKUP(B2,'[7]september-2025'!$A:$A,'[7]september-2025'!$C:$C,0,0)</f>
        <v>32500</v>
      </c>
      <c r="BT2">
        <f t="shared" ref="BT2:BT66" si="22">BS2*0.18</f>
        <v>5850</v>
      </c>
      <c r="BU2">
        <f t="shared" ref="BU2:BU66" si="23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24">IF($F2="YES",0,IF(BX2&gt;40000,200,IF(BX2&gt;25000,150,IF(BX2&gt;15000,130,IF(BX2&gt;10000,110,0)))))</f>
        <v>200</v>
      </c>
      <c r="CB2">
        <f t="shared" ref="CB2:CB66" si="25">BX2-BY2-BZ2-CA2</f>
        <v>40550</v>
      </c>
      <c r="CC2">
        <f>_xlfn.XLOOKUP(B2,'[8]october-2025'!$A:$A,'[8]october-2025'!$C:$C,0,0)</f>
        <v>32500</v>
      </c>
      <c r="CD2">
        <f t="shared" ref="CD2:CD66" si="26">CC2*0.18</f>
        <v>5850</v>
      </c>
      <c r="CE2">
        <f t="shared" ref="CE2:CE66" si="27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28">IF($F2="YES",0,IF(CH2&gt;40000,200,IF(CH2&gt;25000,150,IF(CH2&gt;15000,130,IF(CH2&gt;10000,110,0)))))</f>
        <v>200</v>
      </c>
      <c r="CL2">
        <f t="shared" ref="CL2:CL66" si="29">CH2-CI2-CJ2-CK2</f>
        <v>40550</v>
      </c>
      <c r="CM2">
        <f>_xlfn.XLOOKUP(B2,'[9]november-2025'!$A:$A,'[9]november-2025'!$C:$C,0,0)</f>
        <v>32500</v>
      </c>
      <c r="CN2">
        <f t="shared" ref="CN2:CN66" si="30">CM2*0.18</f>
        <v>5850</v>
      </c>
      <c r="CO2">
        <f t="shared" ref="CO2:CO66" si="31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32">IF($F2="YES",0,IF(CR2&gt;40000,200,IF(CR2&gt;25000,150,IF(CR2&gt;15000,130,IF(CR2&gt;10000,110,0)))))</f>
        <v>200</v>
      </c>
      <c r="CV2">
        <f t="shared" ref="CV2:CV66" si="33">CR2-CS2-CT2-CU2</f>
        <v>40550</v>
      </c>
      <c r="CW2">
        <f>_xlfn.XLOOKUP(B2,'[10]december-2025'!$A:$A,'[10]december-2025'!$C:$C,0,0)</f>
        <v>32500</v>
      </c>
      <c r="CX2">
        <f t="shared" ref="CX2:CX66" si="34">ROUND(CW2*0.18,0)</f>
        <v>5850</v>
      </c>
      <c r="CY2">
        <f t="shared" ref="CY2:CY66" si="35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36">IF($F2="YES",0,IF(DB2&gt;40000,200,IF(DB2&gt;25000,150,IF(DB2&gt;15000,130,IF(DB2&gt;10000,110,0)))))</f>
        <v>200</v>
      </c>
      <c r="DF2">
        <f t="shared" ref="DF2:DF66" si="37">DB2-DC2-DD2-DE2</f>
        <v>40550</v>
      </c>
      <c r="DG2">
        <f>_xlfn.XLOOKUP(B2,'[11]january-2026'!$A:$A,'[11]january-2026'!$C:$C,0,0)</f>
        <v>32500</v>
      </c>
      <c r="DH2">
        <f t="shared" ref="DH2:DH66" si="38">DG2*0.18</f>
        <v>5850</v>
      </c>
      <c r="DI2">
        <f t="shared" ref="DI2:DI66" si="39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40">IF($F2="YES",0,IF(DL2&gt;40000,200,IF(DL2&gt;25000,150,IF(DL2&gt;15000,130,IF(DL2&gt;10000,110,0)))))</f>
        <v>200</v>
      </c>
      <c r="DP2">
        <f t="shared" ref="DP2:DP66" si="41">DL2-DM2-DN2-DO2</f>
        <v>40550</v>
      </c>
      <c r="DQ2">
        <f>_xlfn.XLOOKUP(B2,'[12]february-2026'!$A:$A,'[12]february-2026'!$C:$C,0,0)</f>
        <v>32500</v>
      </c>
      <c r="DR2">
        <f t="shared" ref="DR2:DR66" si="42">DQ2*0.18</f>
        <v>5850</v>
      </c>
      <c r="DS2">
        <f t="shared" ref="DS2:DS66" si="43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44">IF($F2="YES",0,IF(DV2&gt;40000,200,IF(DV2&gt;25000,150,IF(DV2&gt;15000,130,IF(DV2&gt;10000,110,0)))))</f>
        <v>200</v>
      </c>
      <c r="DZ2">
        <f t="shared" ref="DZ2:DZ66" si="45">DV2-DW2-DX2-DY2</f>
        <v>40550</v>
      </c>
      <c r="EA2">
        <f>_xlfn.XLOOKUP(B2,'[1]march-2025'!$A:$A,'[1]march-2025'!$J:$J,0,0)</f>
        <v>0</v>
      </c>
      <c r="EB2">
        <f>_xlfn.XLOOKUP(B2,'[2]april-2025'!$A:$A,'[2]april-2025'!$J:$J,0,0)</f>
        <v>0</v>
      </c>
      <c r="EC2">
        <f>_xlfn.XLOOKUP(B2,'[3]may-2025'!$A:$A,'[3]may-2025'!$J:$J,0,0)</f>
        <v>0</v>
      </c>
      <c r="ED2">
        <f>_xlfn.XLOOKUP(B2,'[4]june-2025'!$A:$A,'[4]june-2025'!$J:$J,0,0)</f>
        <v>0</v>
      </c>
      <c r="EE2">
        <f>_xlfn.XLOOKUP(B2,'[5]july-2025'!$A:$A,'[5]july-2025'!$J:$J,0,0)</f>
        <v>0</v>
      </c>
      <c r="EF2">
        <f>_xlfn.XLOOKUP(B2,'[6]august-2025'!$A:$A,'[6]august-2025'!$J:$J,0,0)</f>
        <v>0</v>
      </c>
      <c r="EG2">
        <f>_xlfn.XLOOKUP(B2,'[7]september-2025'!$A:$A,'[7]september-2025'!$J:$J,0,0)</f>
        <v>0</v>
      </c>
      <c r="EH2">
        <f>_xlfn.XLOOKUP(B2,'[8]october-2025'!$A:$A,'[8]october-2025'!$J:$J,0,0)</f>
        <v>0</v>
      </c>
      <c r="EI2">
        <f>_xlfn.XLOOKUP(C2,'[9]november-2025'!$A:$A,'[9]november-2025'!$J:$J,0,0)</f>
        <v>0</v>
      </c>
      <c r="EJ2">
        <f>_xlfn.XLOOKUP(B2,'[10]december-2025'!$A:$A,'[10]december-2025'!$J:$J,0,0)</f>
        <v>0</v>
      </c>
      <c r="EK2">
        <f>_xlfn.XLOOKUP(B2,'[11]january-2026'!$A:$A,'[11]january-2026'!$J:$J,0,0)</f>
        <v>0</v>
      </c>
      <c r="EL2">
        <f>_xlfn.XLOOKUP(B2,'[12]february-2026'!$A:$A,'[12]february-2026'!$J:$J,0,0)</f>
        <v>0</v>
      </c>
      <c r="EM2">
        <f>SUM(EA2:EL2)</f>
        <v>0</v>
      </c>
      <c r="EN2">
        <f>DV2+DL2+DB2+CR2+CH2+BX2+BN2+BD2+AS2+AI2+Y2+O2+H2+I2</f>
        <v>513856</v>
      </c>
      <c r="EO2">
        <f>DY2+DO2+DE2+CU2+CK2+CA2+BQ2+BG2+AV2+AL2+AB2+R2</f>
        <v>2400</v>
      </c>
      <c r="EP2">
        <f t="shared" ref="EP2:EP66" si="46">IF(EN2&gt;0,50000,0)</f>
        <v>50000</v>
      </c>
      <c r="EQ2">
        <v>0</v>
      </c>
      <c r="ER2">
        <f>EN2-EO2-EP2+EM2</f>
        <v>461456</v>
      </c>
      <c r="ES2">
        <f>DW2+DM2+DC2+CS2+CI2+BY2+BO2+BE2+AT2+AJ2+Z2+P2</f>
        <v>24000</v>
      </c>
      <c r="ET2">
        <f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6" si="47">SUM(ES2:FD2)</f>
        <v>24000</v>
      </c>
      <c r="FF2">
        <f t="shared" ref="FF2:FF66" si="48">IF(FE2&gt;=150000,150000,FE2)</f>
        <v>24000</v>
      </c>
      <c r="FG2">
        <f t="shared" ref="FG2:FG66" si="49">ER2-FF2</f>
        <v>437456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>SUM(FH2:FN2)+(IF(F2="YES",50000,0))</f>
        <v>0</v>
      </c>
      <c r="FP2">
        <f t="shared" ref="FP2:FP66" si="50">FG2-FO2</f>
        <v>437456</v>
      </c>
      <c r="FQ2">
        <f t="shared" ref="FQ2:FQ66" si="51">ROUND(IF(FP2&gt;0,IF(FP2&gt;500000,12500,(FP2-250000)*0.05),0),0)</f>
        <v>9373</v>
      </c>
      <c r="FR2">
        <f t="shared" ref="FR2:FR66" si="52">IF(ROUND(IF(FP2&gt;0,IF(FP2&gt;1000000,25000,(FP2-500000)*0.2),0),0)&lt;0,0,ROUND(IF(FP2&gt;0,IF(FP2&gt;1000000,25000,(FP2-500000)*0.2),0),0))</f>
        <v>0</v>
      </c>
      <c r="FS2">
        <f t="shared" ref="FS2:FS66" si="53">FQ2+FR2</f>
        <v>9373</v>
      </c>
      <c r="FT2">
        <f t="shared" ref="FT2:FT66" si="54">IF(FS2&lt;12500,0,FS2)</f>
        <v>0</v>
      </c>
      <c r="FU2">
        <f t="shared" ref="FU2:FU66" si="55">FT2*0.04</f>
        <v>0</v>
      </c>
      <c r="FV2">
        <f t="shared" ref="FV2:FV66" si="56">ROUND(FU2+FT2,0)</f>
        <v>0</v>
      </c>
      <c r="FW2">
        <v>0</v>
      </c>
      <c r="FX2">
        <f t="shared" ref="FX2:FX66" si="57">FV2-FW2</f>
        <v>0</v>
      </c>
      <c r="FY2" t="b">
        <f t="shared" ref="FY2:FY66" si="58">IF(EN2&gt;500000,TRUE,FALSE)</f>
        <v>1</v>
      </c>
      <c r="FZ2">
        <f t="shared" ref="FZ2:FZ66" ca="1" si="59">IF(FY2,RANDBETWEEN(500,1000),RANDBETWEEN(1000,3000))</f>
        <v>627</v>
      </c>
      <c r="GA2">
        <f t="shared" ref="GA2:GA66" ca="1" si="60">EN2+FZ2</f>
        <v>514483</v>
      </c>
      <c r="GB2">
        <f t="shared" ref="GB2:GB66" si="61">IF(EN2&gt;0,75000,0)</f>
        <v>75000</v>
      </c>
      <c r="GC2">
        <f t="shared" ref="GC2:GC66" ca="1" si="62">GA2-GB2</f>
        <v>439483</v>
      </c>
      <c r="GD2">
        <f t="shared" ref="GD2:GD66" ca="1" si="63">IF(GC2&gt;2400000,GC2-2400000,0)</f>
        <v>0</v>
      </c>
      <c r="GE2">
        <f t="shared" ref="GE2:GE66" ca="1" si="64">GD2*0.3</f>
        <v>0</v>
      </c>
      <c r="GF2">
        <f t="shared" ref="GF2:GF66" ca="1" si="65">IF(GC2&gt;2000000,GC2-2000000,0)</f>
        <v>0</v>
      </c>
      <c r="GG2">
        <f t="shared" ref="GG2:GG66" ca="1" si="66">GF2*0.25</f>
        <v>0</v>
      </c>
      <c r="GH2">
        <f t="shared" ref="GH2:GH66" ca="1" si="67">IF(GC2&gt;1600000,GC2-1600000-GD2,0)</f>
        <v>0</v>
      </c>
      <c r="GI2">
        <f t="shared" ref="GI2:GI66" ca="1" si="68">GH2*0.2</f>
        <v>0</v>
      </c>
      <c r="GJ2">
        <f ca="1">IF(GC2&gt;1200000,GC2-1200000-IF(F2="YES",50000,0)-GH2,0)</f>
        <v>0</v>
      </c>
      <c r="GK2">
        <f t="shared" ref="GK2:GK66" ca="1" si="69">GJ2*0.15</f>
        <v>0</v>
      </c>
      <c r="GL2">
        <f t="shared" ref="GL2:GL66" ca="1" si="70">IF(GC2&gt;800000,GC2-800000-GD2-GH2-GJ2,0)</f>
        <v>0</v>
      </c>
      <c r="GM2">
        <f t="shared" ref="GM2:GM66" ca="1" si="71">GL2*0.1</f>
        <v>0</v>
      </c>
      <c r="GN2">
        <f t="shared" ref="GN2:GN66" ca="1" si="72">IF(GC2&gt;400000,GC2-400000-GD2-GH2-GJ2-GL2,0)</f>
        <v>39483</v>
      </c>
      <c r="GO2">
        <f t="shared" ref="GO2:GO66" ca="1" si="73">GN2*0.05</f>
        <v>1974.15</v>
      </c>
      <c r="GP2">
        <f t="shared" ref="GP2:GP66" ca="1" si="74">ROUND(GE2+GG2+GI2+GK2+GM2+GO2,0)</f>
        <v>1974</v>
      </c>
      <c r="GQ2">
        <f t="shared" ref="GQ2:GQ66" ca="1" si="75">IF(GC2&gt;1200000,GC2,0)</f>
        <v>0</v>
      </c>
      <c r="GR2">
        <f t="shared" ref="GR2:GR66" ca="1" si="76">IF(GC2&gt;1200000,GQ2-1200000,0)</f>
        <v>0</v>
      </c>
      <c r="GS2">
        <f t="shared" ref="GS2:GS66" ca="1" si="77">IF(GC2&lt;1200001,MIN(GP2,60000),0)</f>
        <v>1974</v>
      </c>
      <c r="GT2">
        <f t="shared" ref="GT2:GT66" ca="1" si="78">IF(GC2&gt;1200000,GP2-GR2,0)</f>
        <v>0</v>
      </c>
      <c r="GU2" t="b">
        <f t="shared" ref="GU2:GU66" ca="1" si="79">IF(GT2&gt;0,TRUE,FALSE)</f>
        <v>0</v>
      </c>
      <c r="GV2">
        <f t="shared" ref="GV2:GV66" ca="1" si="80">IF(GU2,GT2,0)</f>
        <v>0</v>
      </c>
      <c r="GW2">
        <f t="shared" ref="GW2:GW66" ca="1" si="81">GS2+GV2</f>
        <v>1974</v>
      </c>
      <c r="GX2">
        <f t="shared" ref="GX2:GX66" ca="1" si="82">ROUND(GP2-GW2,0)</f>
        <v>0</v>
      </c>
      <c r="GY2">
        <f t="shared" ref="GY2:GY66" ca="1" si="83">GX2*0.04</f>
        <v>0</v>
      </c>
      <c r="GZ2">
        <f t="shared" ref="GZ2:GZ66" ca="1" si="84">ROUNDUP(GX2+GY2,0)</f>
        <v>0</v>
      </c>
    </row>
    <row r="3" spans="1:208" x14ac:dyDescent="0.25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957</v>
      </c>
      <c r="G3" t="s">
        <v>875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>IF(J3&gt;0,SUM(J3:N3),0)</f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85">IF($F3="YES",0,IF(O3&gt;40000,200,IF(O3&gt;25000,150,IF(O3&gt;15000,130,IF(O3&gt;10000,110,0)))))</f>
        <v>150</v>
      </c>
      <c r="S3">
        <f t="shared" ref="S3:S66" si="86">O3-P3-Q3-R3</f>
        <v>36532</v>
      </c>
      <c r="T3">
        <f>_xlfn.XLOOKUP(B3,'[2]april-2025'!$A:$A,'[2]april-2025'!$C:$C,0,0)</f>
        <v>30700</v>
      </c>
      <c r="U3">
        <f t="shared" si="3"/>
        <v>5526</v>
      </c>
      <c r="V3">
        <f t="shared" si="4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ref="Y3:Y66" si="87">IF(T3&gt;0,SUM(T3:X3),0)</f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5"/>
        <v>150</v>
      </c>
      <c r="AC3">
        <f t="shared" si="6"/>
        <v>37760</v>
      </c>
      <c r="AD3">
        <f>_xlfn.XLOOKUP(B3,'[3]may-2025'!$A:$A,'[3]may-2025'!$C:$C,0,0)</f>
        <v>30700</v>
      </c>
      <c r="AE3">
        <f t="shared" si="7"/>
        <v>5526</v>
      </c>
      <c r="AF3">
        <f t="shared" si="8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ref="AI3:AI66" si="88">IF(AD3&gt;0,SUM(AD3:AH3),0)</f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9"/>
        <v>150</v>
      </c>
      <c r="AM3">
        <f t="shared" si="10"/>
        <v>37760</v>
      </c>
      <c r="AN3">
        <f>_xlfn.XLOOKUP(B3,'[4]june-2025'!$A:$A,'[4]june-2025'!$C:$C,0,0)</f>
        <v>30700</v>
      </c>
      <c r="AO3">
        <f t="shared" si="11"/>
        <v>5526</v>
      </c>
      <c r="AP3">
        <f t="shared" si="12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ref="AS3:AS66" si="89">IF(AN3&gt;0,SUM(AN3:AR3),0)</f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3"/>
        <v>150</v>
      </c>
      <c r="AW3">
        <f t="shared" si="14"/>
        <v>37760</v>
      </c>
      <c r="AX3">
        <f>_xlfn.XLOOKUP(B3,'[5]july-2025'!$A:$A,'[5]july-2025'!$C:$C,0,0)</f>
        <v>31600</v>
      </c>
      <c r="AY3">
        <f t="shared" si="15"/>
        <v>5688</v>
      </c>
      <c r="AZ3">
        <v>0</v>
      </c>
      <c r="BA3">
        <f t="shared" si="16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>IF(AX3&gt;0,SUM(AX3:BC3),0)</f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17"/>
        <v>200</v>
      </c>
      <c r="BH3">
        <f t="shared" si="18"/>
        <v>38880</v>
      </c>
      <c r="BI3">
        <f>_xlfn.XLOOKUP(B3,'[6]august-2025'!$A:$A,'[6]august-2025'!$C:$C,0,0)</f>
        <v>31600</v>
      </c>
      <c r="BJ3">
        <f t="shared" si="19"/>
        <v>5688</v>
      </c>
      <c r="BK3">
        <f t="shared" si="20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1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>IF($F3="YES",0,IF(BN3&gt;40000,200,IF(BN3&gt;25000,150,IF(BN3&gt;15000,130,IF(BN3&gt;10000,110,0)))))</f>
        <v>200</v>
      </c>
      <c r="BR3">
        <f>BN3-BO3-BP3-BQ3</f>
        <v>38880</v>
      </c>
      <c r="BS3">
        <f>_xlfn.XLOOKUP(B3,'[7]september-2025'!$A:$A,'[7]september-2025'!$C:$C,0,0)</f>
        <v>31600</v>
      </c>
      <c r="BT3">
        <f t="shared" si="22"/>
        <v>5688</v>
      </c>
      <c r="BU3">
        <f t="shared" si="23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>IF(BS3&gt;0,SUM(BS3:BW3),0)</f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24"/>
        <v>200</v>
      </c>
      <c r="CB3">
        <f t="shared" si="25"/>
        <v>38880</v>
      </c>
      <c r="CC3">
        <f>_xlfn.XLOOKUP(B3,'[8]october-2025'!$A:$A,'[8]october-2025'!$C:$C,0,0)</f>
        <v>31600</v>
      </c>
      <c r="CD3">
        <f t="shared" si="26"/>
        <v>5688</v>
      </c>
      <c r="CE3">
        <f t="shared" si="27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>IF(CC3&gt;0,SUM(CC3:CG3),0)</f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28"/>
        <v>200</v>
      </c>
      <c r="CL3">
        <f t="shared" si="29"/>
        <v>38880</v>
      </c>
      <c r="CM3">
        <f>_xlfn.XLOOKUP(B3,'[9]november-2025'!$A:$A,'[9]november-2025'!$C:$C,0,0)</f>
        <v>31600</v>
      </c>
      <c r="CN3">
        <f t="shared" si="30"/>
        <v>5688</v>
      </c>
      <c r="CO3">
        <f t="shared" si="31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>IF(CM3&gt;0,SUM(CM3:CQ3),0)</f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32"/>
        <v>200</v>
      </c>
      <c r="CV3">
        <f t="shared" si="33"/>
        <v>38880</v>
      </c>
      <c r="CW3">
        <f>_xlfn.XLOOKUP(B3,'[10]december-2025'!$A:$A,'[10]december-2025'!$C:$C,0,0)</f>
        <v>31600</v>
      </c>
      <c r="CX3">
        <f t="shared" si="34"/>
        <v>5688</v>
      </c>
      <c r="CY3">
        <f t="shared" si="35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>IF(CW3&gt;0,SUM(CW3:DA3),0)</f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36"/>
        <v>200</v>
      </c>
      <c r="DF3">
        <f t="shared" si="37"/>
        <v>38880</v>
      </c>
      <c r="DG3">
        <f>_xlfn.XLOOKUP(B3,'[11]january-2026'!$A:$A,'[11]january-2026'!$C:$C,0,0)</f>
        <v>31600</v>
      </c>
      <c r="DH3">
        <f t="shared" si="38"/>
        <v>5688</v>
      </c>
      <c r="DI3">
        <f t="shared" si="39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>IF(DG3&gt;0,SUM(DG3:DK3),0)</f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40"/>
        <v>200</v>
      </c>
      <c r="DP3">
        <f t="shared" si="41"/>
        <v>38880</v>
      </c>
      <c r="DQ3">
        <f>_xlfn.XLOOKUP(B3,'[12]february-2026'!$A:$A,'[12]february-2026'!$C:$C,0,0)</f>
        <v>31600</v>
      </c>
      <c r="DR3">
        <f t="shared" si="42"/>
        <v>5688</v>
      </c>
      <c r="DS3">
        <f t="shared" si="43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>IF(DQ3&gt;0,SUM(DQ3:DU3),0)</f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44"/>
        <v>200</v>
      </c>
      <c r="DZ3">
        <f t="shared" si="45"/>
        <v>38880</v>
      </c>
      <c r="EA3">
        <f>_xlfn.XLOOKUP(B3,'[1]march-2025'!$A:$A,'[1]march-2025'!$J:$J,0,0)</f>
        <v>0</v>
      </c>
      <c r="EB3">
        <f>_xlfn.XLOOKUP(B3,'[2]april-2025'!$A:$A,'[2]april-2025'!$J:$J,0,0)</f>
        <v>0</v>
      </c>
      <c r="EC3">
        <f>_xlfn.XLOOKUP(B3,'[3]may-2025'!$A:$A,'[3]may-2025'!$J:$J,0,0)</f>
        <v>0</v>
      </c>
      <c r="ED3">
        <f>_xlfn.XLOOKUP(B3,'[4]june-2025'!$A:$A,'[4]june-2025'!$J:$J,0,0)</f>
        <v>0</v>
      </c>
      <c r="EE3">
        <f>_xlfn.XLOOKUP(B3,'[5]july-2025'!$A:$A,'[5]july-2025'!$J:$J,0,0)</f>
        <v>0</v>
      </c>
      <c r="EF3">
        <f>_xlfn.XLOOKUP(B3,'[6]august-2025'!$A:$A,'[6]august-2025'!$J:$J,0,0)</f>
        <v>0</v>
      </c>
      <c r="EG3">
        <f>_xlfn.XLOOKUP(B3,'[7]september-2025'!$A:$A,'[7]september-2025'!$J:$J,0,0)</f>
        <v>0</v>
      </c>
      <c r="EH3">
        <f>_xlfn.XLOOKUP(B3,'[8]october-2025'!$A:$A,'[8]october-2025'!$J:$J,0,0)</f>
        <v>0</v>
      </c>
      <c r="EI3">
        <f>_xlfn.XLOOKUP(C3,'[9]november-2025'!$A:$A,'[9]november-2025'!$J:$J,0,0)</f>
        <v>0</v>
      </c>
      <c r="EJ3">
        <f>_xlfn.XLOOKUP(B3,'[10]december-2025'!$A:$A,'[10]december-2025'!$J:$J,0,0)</f>
        <v>0</v>
      </c>
      <c r="EK3">
        <f>_xlfn.XLOOKUP(B3,'[11]january-2026'!$A:$A,'[11]january-2026'!$J:$J,0,0)</f>
        <v>0</v>
      </c>
      <c r="EL3">
        <f>_xlfn.XLOOKUP(B3,'[12]february-2026'!$A:$A,'[12]february-2026'!$J:$J,0,0)</f>
        <v>0</v>
      </c>
      <c r="EM3">
        <f t="shared" ref="EM3:EM66" si="90">SUM(EA3:EL3)</f>
        <v>0</v>
      </c>
      <c r="EN3">
        <f>DV3+DL3+DB3+CR3+CH3+BX3+BN3+BD3+AS3+AI3+Y3+O3+H3+I3</f>
        <v>493852</v>
      </c>
      <c r="EO3">
        <f>DY3+DO3+DE3+CU3+CK3+CA3+BQ3+BG3+AV3+AL3+AB3+R3</f>
        <v>2200</v>
      </c>
      <c r="EP3">
        <f t="shared" si="46"/>
        <v>50000</v>
      </c>
      <c r="EQ3">
        <v>0</v>
      </c>
      <c r="ER3">
        <f t="shared" ref="ER3:ER66" si="91">EN3-EO3-EP3+EM3</f>
        <v>441652</v>
      </c>
      <c r="ES3">
        <f>DW3+DM3+DC3+CS3+CI3+BY3+BO3+BE3+AT3+AJ3+Z3+P3</f>
        <v>24000</v>
      </c>
      <c r="ET3">
        <f>DX3+DN3+DD3+CT3+CJ3+BZ3+BP3+BF3+AU3+AK3+AA3+Q3</f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47"/>
        <v>24000</v>
      </c>
      <c r="FF3">
        <f t="shared" si="48"/>
        <v>24000</v>
      </c>
      <c r="FG3">
        <f t="shared" si="49"/>
        <v>417652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>SUM(FH3:FN3)+(IF(F3="YES",50000,0))</f>
        <v>0</v>
      </c>
      <c r="FP3">
        <f t="shared" si="50"/>
        <v>417652</v>
      </c>
      <c r="FQ3">
        <f t="shared" si="51"/>
        <v>8383</v>
      </c>
      <c r="FR3">
        <f t="shared" si="52"/>
        <v>0</v>
      </c>
      <c r="FS3">
        <f t="shared" si="53"/>
        <v>8383</v>
      </c>
      <c r="FT3">
        <f t="shared" si="54"/>
        <v>0</v>
      </c>
      <c r="FU3">
        <f t="shared" si="55"/>
        <v>0</v>
      </c>
      <c r="FV3">
        <f t="shared" si="56"/>
        <v>0</v>
      </c>
      <c r="FW3">
        <v>0</v>
      </c>
      <c r="FX3">
        <f t="shared" si="57"/>
        <v>0</v>
      </c>
      <c r="FY3" t="b">
        <f t="shared" si="58"/>
        <v>0</v>
      </c>
      <c r="FZ3">
        <f t="shared" ca="1" si="59"/>
        <v>2640</v>
      </c>
      <c r="GA3">
        <f t="shared" ca="1" si="60"/>
        <v>496492</v>
      </c>
      <c r="GB3">
        <f t="shared" si="61"/>
        <v>75000</v>
      </c>
      <c r="GC3">
        <f t="shared" ca="1" si="62"/>
        <v>421492</v>
      </c>
      <c r="GD3">
        <f t="shared" ca="1" si="63"/>
        <v>0</v>
      </c>
      <c r="GE3">
        <f t="shared" ca="1" si="64"/>
        <v>0</v>
      </c>
      <c r="GF3">
        <f t="shared" ca="1" si="65"/>
        <v>0</v>
      </c>
      <c r="GG3">
        <f t="shared" ca="1" si="66"/>
        <v>0</v>
      </c>
      <c r="GH3">
        <f t="shared" ca="1" si="67"/>
        <v>0</v>
      </c>
      <c r="GI3">
        <f t="shared" ca="1" si="68"/>
        <v>0</v>
      </c>
      <c r="GJ3">
        <f ca="1">IF(GC3&gt;1200000,GC3-1200000-IF(F3="YES",50000,0)-GH3,0)</f>
        <v>0</v>
      </c>
      <c r="GK3">
        <f t="shared" ca="1" si="69"/>
        <v>0</v>
      </c>
      <c r="GL3">
        <f t="shared" ca="1" si="70"/>
        <v>0</v>
      </c>
      <c r="GM3">
        <f t="shared" ca="1" si="71"/>
        <v>0</v>
      </c>
      <c r="GN3">
        <f t="shared" ca="1" si="72"/>
        <v>21492</v>
      </c>
      <c r="GO3">
        <f t="shared" ca="1" si="73"/>
        <v>1074.6000000000001</v>
      </c>
      <c r="GP3">
        <f t="shared" ca="1" si="74"/>
        <v>1075</v>
      </c>
      <c r="GQ3">
        <f t="shared" ca="1" si="75"/>
        <v>0</v>
      </c>
      <c r="GR3">
        <f t="shared" ca="1" si="76"/>
        <v>0</v>
      </c>
      <c r="GS3">
        <f t="shared" ca="1" si="77"/>
        <v>1075</v>
      </c>
      <c r="GT3">
        <f t="shared" ca="1" si="78"/>
        <v>0</v>
      </c>
      <c r="GU3" t="b">
        <f t="shared" ca="1" si="79"/>
        <v>0</v>
      </c>
      <c r="GV3">
        <f t="shared" ca="1" si="80"/>
        <v>0</v>
      </c>
      <c r="GW3">
        <f t="shared" ca="1" si="81"/>
        <v>1075</v>
      </c>
      <c r="GX3">
        <f t="shared" ca="1" si="82"/>
        <v>0</v>
      </c>
      <c r="GY3">
        <f t="shared" ca="1" si="83"/>
        <v>0</v>
      </c>
      <c r="GZ3">
        <f t="shared" ca="1" si="84"/>
        <v>0</v>
      </c>
    </row>
    <row r="4" spans="1:208" x14ac:dyDescent="0.25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958</v>
      </c>
      <c r="G4" t="s">
        <v>876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>IF(J4&gt;0,SUM(J4:N4),0)</f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85"/>
        <v>0</v>
      </c>
      <c r="S4">
        <f t="shared" si="86"/>
        <v>57098</v>
      </c>
      <c r="T4">
        <f>_xlfn.XLOOKUP(B4,'[2]april-2025'!$A:$A,'[2]april-2025'!$C:$C,0,0)</f>
        <v>47300</v>
      </c>
      <c r="U4">
        <f t="shared" si="3"/>
        <v>8514</v>
      </c>
      <c r="V4">
        <f t="shared" si="4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87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5"/>
        <v>0</v>
      </c>
      <c r="AC4">
        <f t="shared" si="6"/>
        <v>58990</v>
      </c>
      <c r="AD4">
        <f>_xlfn.XLOOKUP(B4,'[3]may-2025'!$A:$A,'[3]may-2025'!$C:$C,0,0)</f>
        <v>47300</v>
      </c>
      <c r="AE4">
        <f t="shared" si="7"/>
        <v>8514</v>
      </c>
      <c r="AF4">
        <f t="shared" si="8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88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9"/>
        <v>0</v>
      </c>
      <c r="AM4">
        <f t="shared" si="10"/>
        <v>58990</v>
      </c>
      <c r="AN4">
        <f>_xlfn.XLOOKUP(B4,'[4]june-2025'!$A:$A,'[4]june-2025'!$C:$C,0,0)</f>
        <v>47300</v>
      </c>
      <c r="AO4">
        <f t="shared" si="11"/>
        <v>8514</v>
      </c>
      <c r="AP4">
        <f t="shared" si="12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89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3"/>
        <v>0</v>
      </c>
      <c r="AW4">
        <f t="shared" si="14"/>
        <v>58990</v>
      </c>
      <c r="AX4">
        <f>_xlfn.XLOOKUP(B4,'[5]july-2025'!$A:$A,'[5]july-2025'!$C:$C,0,0)</f>
        <v>48700</v>
      </c>
      <c r="AY4">
        <f t="shared" si="15"/>
        <v>8766</v>
      </c>
      <c r="AZ4">
        <v>0</v>
      </c>
      <c r="BA4">
        <f t="shared" si="16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>IF(AX4&gt;0,SUM(AX4:BC4),0)</f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17"/>
        <v>0</v>
      </c>
      <c r="BH4">
        <f t="shared" si="18"/>
        <v>60810</v>
      </c>
      <c r="BI4">
        <f>_xlfn.XLOOKUP(B4,'[6]august-2025'!$A:$A,'[6]august-2025'!$C:$C,0,0)</f>
        <v>48700</v>
      </c>
      <c r="BJ4">
        <f t="shared" si="19"/>
        <v>8766</v>
      </c>
      <c r="BK4">
        <f t="shared" si="20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1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>IF($F4="YES",0,IF(BN4&gt;40000,200,IF(BN4&gt;25000,150,IF(BN4&gt;15000,130,IF(BN4&gt;10000,110,0)))))</f>
        <v>0</v>
      </c>
      <c r="BR4">
        <f>BN4-BO4-BP4-BQ4</f>
        <v>60810</v>
      </c>
      <c r="BS4">
        <f>_xlfn.XLOOKUP(B4,'[7]september-2025'!$A:$A,'[7]september-2025'!$C:$C,0,0)</f>
        <v>48700</v>
      </c>
      <c r="BT4">
        <f t="shared" si="22"/>
        <v>8766</v>
      </c>
      <c r="BU4">
        <f t="shared" si="23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>IF(BS4&gt;0,SUM(BS4:BW4),0)</f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24"/>
        <v>0</v>
      </c>
      <c r="CB4">
        <f t="shared" si="25"/>
        <v>60810</v>
      </c>
      <c r="CC4">
        <f>_xlfn.XLOOKUP(B4,'[8]october-2025'!$A:$A,'[8]october-2025'!$C:$C,0,0)</f>
        <v>48700</v>
      </c>
      <c r="CD4">
        <f t="shared" si="26"/>
        <v>8766</v>
      </c>
      <c r="CE4">
        <f t="shared" si="27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>IF(CC4&gt;0,SUM(CC4:CG4),0)</f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28"/>
        <v>0</v>
      </c>
      <c r="CL4">
        <f t="shared" si="29"/>
        <v>60810</v>
      </c>
      <c r="CM4">
        <f>_xlfn.XLOOKUP(B4,'[9]november-2025'!$A:$A,'[9]november-2025'!$C:$C,0,0)</f>
        <v>48700</v>
      </c>
      <c r="CN4">
        <f t="shared" si="30"/>
        <v>8766</v>
      </c>
      <c r="CO4">
        <f t="shared" si="31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>IF(CM4&gt;0,SUM(CM4:CQ4),0)</f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32"/>
        <v>0</v>
      </c>
      <c r="CV4">
        <f t="shared" si="33"/>
        <v>60810</v>
      </c>
      <c r="CW4">
        <f>_xlfn.XLOOKUP(B4,'[10]december-2025'!$A:$A,'[10]december-2025'!$C:$C,0,0)</f>
        <v>48700</v>
      </c>
      <c r="CX4">
        <f t="shared" si="34"/>
        <v>8766</v>
      </c>
      <c r="CY4">
        <f t="shared" si="35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>IF(CW4&gt;0,SUM(CW4:DA4),0)</f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36"/>
        <v>0</v>
      </c>
      <c r="DF4">
        <f t="shared" si="37"/>
        <v>60810</v>
      </c>
      <c r="DG4">
        <f>_xlfn.XLOOKUP(B4,'[11]january-2026'!$A:$A,'[11]january-2026'!$C:$C,0,0)</f>
        <v>48700</v>
      </c>
      <c r="DH4">
        <f t="shared" si="38"/>
        <v>8766</v>
      </c>
      <c r="DI4">
        <f t="shared" si="39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>IF(DG4&gt;0,SUM(DG4:DK4),0)</f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40"/>
        <v>0</v>
      </c>
      <c r="DP4">
        <f t="shared" si="41"/>
        <v>60810</v>
      </c>
      <c r="DQ4">
        <f>_xlfn.XLOOKUP(B4,'[12]february-2026'!$A:$A,'[12]february-2026'!$C:$C,0,0)</f>
        <v>48700</v>
      </c>
      <c r="DR4">
        <f t="shared" si="42"/>
        <v>8766</v>
      </c>
      <c r="DS4">
        <f t="shared" si="43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>IF(DQ4&gt;0,SUM(DQ4:DU4),0)</f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44"/>
        <v>0</v>
      </c>
      <c r="DZ4">
        <f t="shared" si="45"/>
        <v>60810</v>
      </c>
      <c r="EA4">
        <f>_xlfn.XLOOKUP(B4,'[1]march-2025'!$A:$A,'[1]march-2025'!$J:$J,0,0)</f>
        <v>0</v>
      </c>
      <c r="EB4">
        <f>_xlfn.XLOOKUP(B4,'[2]april-2025'!$A:$A,'[2]april-2025'!$J:$J,0,0)</f>
        <v>0</v>
      </c>
      <c r="EC4">
        <f>_xlfn.XLOOKUP(B4,'[3]may-2025'!$A:$A,'[3]may-2025'!$J:$J,0,0)</f>
        <v>0</v>
      </c>
      <c r="ED4">
        <f>_xlfn.XLOOKUP(B4,'[4]june-2025'!$A:$A,'[4]june-2025'!$J:$J,0,0)</f>
        <v>0</v>
      </c>
      <c r="EE4">
        <f>_xlfn.XLOOKUP(B4,'[5]july-2025'!$A:$A,'[5]july-2025'!$J:$J,0,0)</f>
        <v>0</v>
      </c>
      <c r="EF4">
        <f>_xlfn.XLOOKUP(B4,'[6]august-2025'!$A:$A,'[6]august-2025'!$J:$J,0,0)</f>
        <v>0</v>
      </c>
      <c r="EG4">
        <f>_xlfn.XLOOKUP(B4,'[7]september-2025'!$A:$A,'[7]september-2025'!$J:$J,0,0)</f>
        <v>0</v>
      </c>
      <c r="EH4">
        <f>_xlfn.XLOOKUP(B4,'[8]october-2025'!$A:$A,'[8]october-2025'!$J:$J,0,0)</f>
        <v>0</v>
      </c>
      <c r="EI4">
        <f>_xlfn.XLOOKUP(C4,'[9]november-2025'!$A:$A,'[9]november-2025'!$J:$J,0,0)</f>
        <v>0</v>
      </c>
      <c r="EJ4">
        <f>_xlfn.XLOOKUP(B4,'[10]december-2025'!$A:$A,'[10]december-2025'!$J:$J,0,0)</f>
        <v>0</v>
      </c>
      <c r="EK4">
        <f>_xlfn.XLOOKUP(B4,'[11]january-2026'!$A:$A,'[11]january-2026'!$J:$J,0,0)</f>
        <v>0</v>
      </c>
      <c r="EL4">
        <f>_xlfn.XLOOKUP(B4,'[12]february-2026'!$A:$A,'[12]february-2026'!$J:$J,0,0)</f>
        <v>0</v>
      </c>
      <c r="EM4">
        <f t="shared" si="90"/>
        <v>0</v>
      </c>
      <c r="EN4">
        <f>DV4+DL4+DB4+CR4+CH4+BX4+BN4+BD4+AS4+AI4+Y4+O4+H4+I4</f>
        <v>763348</v>
      </c>
      <c r="EO4">
        <f>DY4+DO4+DE4+CU4+CK4+CA4+BQ4+BG4+AV4+AL4+AB4+R4</f>
        <v>0</v>
      </c>
      <c r="EP4">
        <f t="shared" si="46"/>
        <v>50000</v>
      </c>
      <c r="EQ4">
        <v>0</v>
      </c>
      <c r="ER4">
        <f t="shared" si="91"/>
        <v>713348</v>
      </c>
      <c r="ES4">
        <f>DW4+DM4+DC4+CS4+CI4+BY4+BO4+BE4+AT4+AJ4+Z4+P4</f>
        <v>36000</v>
      </c>
      <c r="ET4">
        <f>DX4+DN4+DD4+CT4+CJ4+BZ4+BP4+BF4+AU4+AK4+AA4+Q4</f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47"/>
        <v>36000</v>
      </c>
      <c r="FF4">
        <f t="shared" si="48"/>
        <v>36000</v>
      </c>
      <c r="FG4">
        <f t="shared" si="49"/>
        <v>677348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>SUM(FH4:FN4)+(IF(F4="YES",50000,0))</f>
        <v>50000</v>
      </c>
      <c r="FP4">
        <f t="shared" si="50"/>
        <v>627348</v>
      </c>
      <c r="FQ4">
        <f t="shared" si="51"/>
        <v>12500</v>
      </c>
      <c r="FR4">
        <f t="shared" si="52"/>
        <v>25470</v>
      </c>
      <c r="FS4">
        <f t="shared" si="53"/>
        <v>37970</v>
      </c>
      <c r="FT4">
        <f t="shared" si="54"/>
        <v>37970</v>
      </c>
      <c r="FU4">
        <f t="shared" si="55"/>
        <v>1518.8</v>
      </c>
      <c r="FV4">
        <f t="shared" si="56"/>
        <v>39489</v>
      </c>
      <c r="FW4">
        <v>0</v>
      </c>
      <c r="FX4">
        <f t="shared" si="57"/>
        <v>39489</v>
      </c>
      <c r="FY4" t="b">
        <f t="shared" si="58"/>
        <v>1</v>
      </c>
      <c r="FZ4">
        <f t="shared" ca="1" si="59"/>
        <v>556</v>
      </c>
      <c r="GA4">
        <f t="shared" ca="1" si="60"/>
        <v>763904</v>
      </c>
      <c r="GB4">
        <f t="shared" si="61"/>
        <v>75000</v>
      </c>
      <c r="GC4">
        <f t="shared" ca="1" si="62"/>
        <v>688904</v>
      </c>
      <c r="GD4">
        <f t="shared" ca="1" si="63"/>
        <v>0</v>
      </c>
      <c r="GE4">
        <f t="shared" ca="1" si="64"/>
        <v>0</v>
      </c>
      <c r="GF4">
        <f t="shared" ca="1" si="65"/>
        <v>0</v>
      </c>
      <c r="GG4">
        <f t="shared" ca="1" si="66"/>
        <v>0</v>
      </c>
      <c r="GH4">
        <f t="shared" ca="1" si="67"/>
        <v>0</v>
      </c>
      <c r="GI4">
        <f t="shared" ca="1" si="68"/>
        <v>0</v>
      </c>
      <c r="GJ4">
        <f ca="1">IF(GC4&gt;1200000,GC4-1200000-IF(F4="YES",50000,0)-GH4,0)</f>
        <v>0</v>
      </c>
      <c r="GK4">
        <f t="shared" ca="1" si="69"/>
        <v>0</v>
      </c>
      <c r="GL4">
        <f t="shared" ca="1" si="70"/>
        <v>0</v>
      </c>
      <c r="GM4">
        <f t="shared" ca="1" si="71"/>
        <v>0</v>
      </c>
      <c r="GN4">
        <f t="shared" ca="1" si="72"/>
        <v>288904</v>
      </c>
      <c r="GO4">
        <f t="shared" ca="1" si="73"/>
        <v>14445.2</v>
      </c>
      <c r="GP4">
        <f t="shared" ca="1" si="74"/>
        <v>14445</v>
      </c>
      <c r="GQ4">
        <f t="shared" ca="1" si="75"/>
        <v>0</v>
      </c>
      <c r="GR4">
        <f t="shared" ca="1" si="76"/>
        <v>0</v>
      </c>
      <c r="GS4">
        <f t="shared" ca="1" si="77"/>
        <v>14445</v>
      </c>
      <c r="GT4">
        <f t="shared" ca="1" si="78"/>
        <v>0</v>
      </c>
      <c r="GU4" t="b">
        <f t="shared" ca="1" si="79"/>
        <v>0</v>
      </c>
      <c r="GV4">
        <f t="shared" ca="1" si="80"/>
        <v>0</v>
      </c>
      <c r="GW4">
        <f t="shared" ca="1" si="81"/>
        <v>14445</v>
      </c>
      <c r="GX4">
        <f t="shared" ca="1" si="82"/>
        <v>0</v>
      </c>
      <c r="GY4">
        <f t="shared" ca="1" si="83"/>
        <v>0</v>
      </c>
      <c r="GZ4">
        <f t="shared" ca="1" si="84"/>
        <v>0</v>
      </c>
    </row>
    <row r="5" spans="1:208" x14ac:dyDescent="0.25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957</v>
      </c>
      <c r="G5" t="s">
        <v>877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>IF(J5&gt;0,SUM(J5:N5),0)</f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85"/>
        <v>150</v>
      </c>
      <c r="S5">
        <f t="shared" si="86"/>
        <v>30354</v>
      </c>
      <c r="T5">
        <f>_xlfn.XLOOKUP(B5,'[2]april-2025'!$A:$A,'[2]april-2025'!$C:$C,0,0)</f>
        <v>25400</v>
      </c>
      <c r="U5">
        <f t="shared" si="3"/>
        <v>4572</v>
      </c>
      <c r="V5">
        <f t="shared" si="4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87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5"/>
        <v>150</v>
      </c>
      <c r="AC5">
        <f t="shared" si="6"/>
        <v>31370</v>
      </c>
      <c r="AD5">
        <f>_xlfn.XLOOKUP(B5,'[3]may-2025'!$A:$A,'[3]may-2025'!$C:$C,0,0)</f>
        <v>25400</v>
      </c>
      <c r="AE5">
        <f t="shared" si="7"/>
        <v>4572</v>
      </c>
      <c r="AF5">
        <f t="shared" si="8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88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9"/>
        <v>150</v>
      </c>
      <c r="AM5">
        <f t="shared" si="10"/>
        <v>31370</v>
      </c>
      <c r="AN5">
        <f>_xlfn.XLOOKUP(B5,'[4]june-2025'!$A:$A,'[4]june-2025'!$C:$C,0,0)</f>
        <v>25400</v>
      </c>
      <c r="AO5">
        <f t="shared" si="11"/>
        <v>4572</v>
      </c>
      <c r="AP5">
        <f t="shared" si="12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89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3"/>
        <v>150</v>
      </c>
      <c r="AW5">
        <f t="shared" si="14"/>
        <v>31370</v>
      </c>
      <c r="AX5">
        <f>_xlfn.XLOOKUP(B5,'[5]july-2025'!$A:$A,'[5]july-2025'!$C:$C,0,0)</f>
        <v>26200</v>
      </c>
      <c r="AY5">
        <f t="shared" si="15"/>
        <v>4716</v>
      </c>
      <c r="AZ5">
        <v>0</v>
      </c>
      <c r="BA5">
        <f t="shared" si="16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>IF(AX5&gt;0,SUM(AX5:BC5),0)</f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17"/>
        <v>150</v>
      </c>
      <c r="BH5">
        <f t="shared" si="18"/>
        <v>32410</v>
      </c>
      <c r="BI5">
        <f>_xlfn.XLOOKUP(B5,'[6]august-2025'!$A:$A,'[6]august-2025'!$C:$C,0,0)</f>
        <v>26200</v>
      </c>
      <c r="BJ5">
        <f t="shared" si="19"/>
        <v>4716</v>
      </c>
      <c r="BK5">
        <f t="shared" si="20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1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>IF($F5="YES",0,IF(BN5&gt;40000,200,IF(BN5&gt;25000,150,IF(BN5&gt;15000,130,IF(BN5&gt;10000,110,0)))))</f>
        <v>150</v>
      </c>
      <c r="BR5">
        <f>BN5-BO5-BP5-BQ5</f>
        <v>32410</v>
      </c>
      <c r="BS5">
        <f>_xlfn.XLOOKUP(B5,'[7]september-2025'!$A:$A,'[7]september-2025'!$C:$C,0,0)</f>
        <v>26200</v>
      </c>
      <c r="BT5">
        <f t="shared" si="22"/>
        <v>4716</v>
      </c>
      <c r="BU5">
        <f t="shared" si="23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>IF(BS5&gt;0,SUM(BS5:BW5),0)</f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24"/>
        <v>150</v>
      </c>
      <c r="CB5">
        <f t="shared" si="25"/>
        <v>32410</v>
      </c>
      <c r="CC5">
        <f>_xlfn.XLOOKUP(B5,'[8]october-2025'!$A:$A,'[8]october-2025'!$C:$C,0,0)</f>
        <v>26200</v>
      </c>
      <c r="CD5">
        <f t="shared" si="26"/>
        <v>4716</v>
      </c>
      <c r="CE5">
        <f t="shared" si="27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>IF(CC5&gt;0,SUM(CC5:CG5),0)</f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28"/>
        <v>150</v>
      </c>
      <c r="CL5">
        <f t="shared" si="29"/>
        <v>32410</v>
      </c>
      <c r="CM5">
        <f>_xlfn.XLOOKUP(B5,'[9]november-2025'!$A:$A,'[9]november-2025'!$C:$C,0,0)</f>
        <v>26200</v>
      </c>
      <c r="CN5">
        <f t="shared" si="30"/>
        <v>4716</v>
      </c>
      <c r="CO5">
        <f t="shared" si="31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>IF(CM5&gt;0,SUM(CM5:CQ5),0)</f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32"/>
        <v>150</v>
      </c>
      <c r="CV5">
        <f t="shared" si="33"/>
        <v>32410</v>
      </c>
      <c r="CW5">
        <f>_xlfn.XLOOKUP(B5,'[10]december-2025'!$A:$A,'[10]december-2025'!$C:$C,0,0)</f>
        <v>26200</v>
      </c>
      <c r="CX5">
        <f t="shared" si="34"/>
        <v>4716</v>
      </c>
      <c r="CY5">
        <f t="shared" si="35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>IF(CW5&gt;0,SUM(CW5:DA5),0)</f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36"/>
        <v>150</v>
      </c>
      <c r="DF5">
        <f t="shared" si="37"/>
        <v>32410</v>
      </c>
      <c r="DG5">
        <f>_xlfn.XLOOKUP(B5,'[11]january-2026'!$A:$A,'[11]january-2026'!$C:$C,0,0)</f>
        <v>26200</v>
      </c>
      <c r="DH5">
        <f t="shared" si="38"/>
        <v>4716</v>
      </c>
      <c r="DI5">
        <f t="shared" si="39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>IF(DG5&gt;0,SUM(DG5:DK5),0)</f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40"/>
        <v>150</v>
      </c>
      <c r="DP5">
        <f t="shared" si="41"/>
        <v>32410</v>
      </c>
      <c r="DQ5">
        <f>_xlfn.XLOOKUP(B5,'[12]february-2026'!$A:$A,'[12]february-2026'!$C:$C,0,0)</f>
        <v>26200</v>
      </c>
      <c r="DR5">
        <f t="shared" si="42"/>
        <v>4716</v>
      </c>
      <c r="DS5">
        <f t="shared" si="43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>IF(DQ5&gt;0,SUM(DQ5:DU5),0)</f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44"/>
        <v>150</v>
      </c>
      <c r="DZ5">
        <f t="shared" si="45"/>
        <v>32410</v>
      </c>
      <c r="EA5">
        <f>_xlfn.XLOOKUP(B5,'[1]march-2025'!$A:$A,'[1]march-2025'!$J:$J,0,0)</f>
        <v>0</v>
      </c>
      <c r="EB5">
        <f>_xlfn.XLOOKUP(B5,'[2]april-2025'!$A:$A,'[2]april-2025'!$J:$J,0,0)</f>
        <v>0</v>
      </c>
      <c r="EC5">
        <f>_xlfn.XLOOKUP(B5,'[3]may-2025'!$A:$A,'[3]may-2025'!$J:$J,0,0)</f>
        <v>0</v>
      </c>
      <c r="ED5">
        <f>_xlfn.XLOOKUP(B5,'[4]june-2025'!$A:$A,'[4]june-2025'!$J:$J,0,0)</f>
        <v>35425</v>
      </c>
      <c r="EE5">
        <f>_xlfn.XLOOKUP(B5,'[5]july-2025'!$A:$A,'[5]july-2025'!$J:$J,0,0)</f>
        <v>0</v>
      </c>
      <c r="EF5">
        <f>_xlfn.XLOOKUP(B5,'[6]august-2025'!$A:$A,'[6]august-2025'!$J:$J,0,0)</f>
        <v>0</v>
      </c>
      <c r="EG5">
        <f>_xlfn.XLOOKUP(B5,'[7]september-2025'!$A:$A,'[7]september-2025'!$J:$J,0,0)</f>
        <v>0</v>
      </c>
      <c r="EH5">
        <f>_xlfn.XLOOKUP(B5,'[8]october-2025'!$A:$A,'[8]october-2025'!$J:$J,0,0)</f>
        <v>0</v>
      </c>
      <c r="EI5">
        <f>_xlfn.XLOOKUP(C5,'[9]november-2025'!$A:$A,'[9]november-2025'!$J:$J,0,0)</f>
        <v>0</v>
      </c>
      <c r="EJ5">
        <f>_xlfn.XLOOKUP(B5,'[10]december-2025'!$A:$A,'[10]december-2025'!$J:$J,0,0)</f>
        <v>0</v>
      </c>
      <c r="EK5">
        <f>_xlfn.XLOOKUP(B5,'[11]january-2026'!$A:$A,'[11]january-2026'!$J:$J,0,0)</f>
        <v>0</v>
      </c>
      <c r="EL5">
        <f>_xlfn.XLOOKUP(B5,'[12]february-2026'!$A:$A,'[12]february-2026'!$J:$J,0,0)</f>
        <v>0</v>
      </c>
      <c r="EM5">
        <f t="shared" si="90"/>
        <v>35425</v>
      </c>
      <c r="EN5">
        <f>DV5+DL5+DB5+CR5+CH5+BX5+BN5+BD5+AS5+AI5+Y5+O5+H5+I5</f>
        <v>416344</v>
      </c>
      <c r="EO5">
        <f>DY5+DO5+DE5+CU5+CK5+CA5+BQ5+BG5+AV5+AL5+AB5+R5</f>
        <v>1800</v>
      </c>
      <c r="EP5">
        <f t="shared" si="46"/>
        <v>50000</v>
      </c>
      <c r="EQ5">
        <v>0</v>
      </c>
      <c r="ER5">
        <f t="shared" si="91"/>
        <v>399969</v>
      </c>
      <c r="ES5">
        <f>DW5+DM5+DC5+CS5+CI5+BY5+BO5+BE5+AT5+AJ5+Z5+P5</f>
        <v>24000</v>
      </c>
      <c r="ET5">
        <f>DX5+DN5+DD5+CT5+CJ5+BZ5+BP5+BF5+AU5+AK5+AA5+Q5</f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47"/>
        <v>24000</v>
      </c>
      <c r="FF5">
        <f t="shared" si="48"/>
        <v>24000</v>
      </c>
      <c r="FG5">
        <f t="shared" si="49"/>
        <v>375969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>SUM(FH5:FN5)+(IF(F5="YES",50000,0))</f>
        <v>0</v>
      </c>
      <c r="FP5">
        <f t="shared" si="50"/>
        <v>375969</v>
      </c>
      <c r="FQ5">
        <f t="shared" si="51"/>
        <v>6298</v>
      </c>
      <c r="FR5">
        <f t="shared" si="52"/>
        <v>0</v>
      </c>
      <c r="FS5">
        <f t="shared" si="53"/>
        <v>6298</v>
      </c>
      <c r="FT5">
        <f t="shared" si="54"/>
        <v>0</v>
      </c>
      <c r="FU5">
        <f t="shared" si="55"/>
        <v>0</v>
      </c>
      <c r="FV5">
        <f t="shared" si="56"/>
        <v>0</v>
      </c>
      <c r="FW5">
        <v>0</v>
      </c>
      <c r="FX5">
        <f t="shared" si="57"/>
        <v>0</v>
      </c>
      <c r="FY5" t="b">
        <f t="shared" si="58"/>
        <v>0</v>
      </c>
      <c r="FZ5">
        <f t="shared" ca="1" si="59"/>
        <v>1140</v>
      </c>
      <c r="GA5">
        <f t="shared" ca="1" si="60"/>
        <v>417484</v>
      </c>
      <c r="GB5">
        <f t="shared" si="61"/>
        <v>75000</v>
      </c>
      <c r="GC5">
        <f t="shared" ca="1" si="62"/>
        <v>342484</v>
      </c>
      <c r="GD5">
        <f t="shared" ca="1" si="63"/>
        <v>0</v>
      </c>
      <c r="GE5">
        <f t="shared" ca="1" si="64"/>
        <v>0</v>
      </c>
      <c r="GF5">
        <f t="shared" ca="1" si="65"/>
        <v>0</v>
      </c>
      <c r="GG5">
        <f t="shared" ca="1" si="66"/>
        <v>0</v>
      </c>
      <c r="GH5">
        <f t="shared" ca="1" si="67"/>
        <v>0</v>
      </c>
      <c r="GI5">
        <f t="shared" ca="1" si="68"/>
        <v>0</v>
      </c>
      <c r="GJ5">
        <f ca="1">IF(GC5&gt;1200000,GC5-1200000-IF(F5="YES",50000,0)-GH5,0)</f>
        <v>0</v>
      </c>
      <c r="GK5">
        <f t="shared" ca="1" si="69"/>
        <v>0</v>
      </c>
      <c r="GL5">
        <f t="shared" ca="1" si="70"/>
        <v>0</v>
      </c>
      <c r="GM5">
        <f t="shared" ca="1" si="71"/>
        <v>0</v>
      </c>
      <c r="GN5">
        <f t="shared" ca="1" si="72"/>
        <v>0</v>
      </c>
      <c r="GO5">
        <f t="shared" ca="1" si="73"/>
        <v>0</v>
      </c>
      <c r="GP5">
        <f t="shared" ca="1" si="74"/>
        <v>0</v>
      </c>
      <c r="GQ5">
        <f t="shared" ca="1" si="75"/>
        <v>0</v>
      </c>
      <c r="GR5">
        <f t="shared" ca="1" si="76"/>
        <v>0</v>
      </c>
      <c r="GS5">
        <f t="shared" ca="1" si="77"/>
        <v>0</v>
      </c>
      <c r="GT5">
        <f t="shared" ca="1" si="78"/>
        <v>0</v>
      </c>
      <c r="GU5" t="b">
        <f t="shared" ca="1" si="79"/>
        <v>0</v>
      </c>
      <c r="GV5">
        <f t="shared" ca="1" si="80"/>
        <v>0</v>
      </c>
      <c r="GW5">
        <f t="shared" ca="1" si="81"/>
        <v>0</v>
      </c>
      <c r="GX5">
        <f t="shared" ca="1" si="82"/>
        <v>0</v>
      </c>
      <c r="GY5">
        <f t="shared" ca="1" si="83"/>
        <v>0</v>
      </c>
      <c r="GZ5">
        <f t="shared" ca="1" si="84"/>
        <v>0</v>
      </c>
    </row>
    <row r="6" spans="1:208" x14ac:dyDescent="0.25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957</v>
      </c>
      <c r="G6" t="s">
        <v>878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>IF(J6&gt;0,SUM(J6:N6),0)</f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85"/>
        <v>200</v>
      </c>
      <c r="S6">
        <f t="shared" si="86"/>
        <v>40170</v>
      </c>
      <c r="T6">
        <f>_xlfn.XLOOKUP(B6,'[2]april-2025'!$A:$A,'[2]april-2025'!$C:$C,0,0)</f>
        <v>34500</v>
      </c>
      <c r="U6">
        <f t="shared" si="3"/>
        <v>6210</v>
      </c>
      <c r="V6">
        <f t="shared" si="4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87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5"/>
        <v>200</v>
      </c>
      <c r="AC6">
        <f t="shared" si="6"/>
        <v>41550</v>
      </c>
      <c r="AD6">
        <f>_xlfn.XLOOKUP(B6,'[3]may-2025'!$A:$A,'[3]may-2025'!$C:$C,0,0)</f>
        <v>34500</v>
      </c>
      <c r="AE6">
        <f t="shared" si="7"/>
        <v>6210</v>
      </c>
      <c r="AF6">
        <f t="shared" si="8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88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9"/>
        <v>200</v>
      </c>
      <c r="AM6">
        <f t="shared" si="10"/>
        <v>41550</v>
      </c>
      <c r="AN6">
        <f>_xlfn.XLOOKUP(B6,'[4]june-2025'!$A:$A,'[4]june-2025'!$C:$C,0,0)</f>
        <v>34500</v>
      </c>
      <c r="AO6">
        <f t="shared" si="11"/>
        <v>6210</v>
      </c>
      <c r="AP6">
        <f t="shared" si="12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89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3"/>
        <v>200</v>
      </c>
      <c r="AW6">
        <f t="shared" si="14"/>
        <v>41550</v>
      </c>
      <c r="AX6">
        <f>_xlfn.XLOOKUP(B6,'[5]july-2025'!$A:$A,'[5]july-2025'!$C:$C,0,0)</f>
        <v>35500</v>
      </c>
      <c r="AY6">
        <f t="shared" si="15"/>
        <v>6390</v>
      </c>
      <c r="AZ6">
        <v>0</v>
      </c>
      <c r="BA6">
        <f t="shared" si="16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>IF(AX6&gt;0,SUM(AX6:BC6),0)</f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17"/>
        <v>200</v>
      </c>
      <c r="BH6">
        <f t="shared" si="18"/>
        <v>42850</v>
      </c>
      <c r="BI6">
        <f>_xlfn.XLOOKUP(B6,'[6]august-2025'!$A:$A,'[6]august-2025'!$C:$C,0,0)</f>
        <v>35500</v>
      </c>
      <c r="BJ6">
        <f t="shared" si="19"/>
        <v>6390</v>
      </c>
      <c r="BK6">
        <f t="shared" si="20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1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>IF($F6="YES",0,IF(BN6&gt;40000,200,IF(BN6&gt;25000,150,IF(BN6&gt;15000,130,IF(BN6&gt;10000,110,0)))))</f>
        <v>200</v>
      </c>
      <c r="BR6">
        <f>BN6-BO6-BP6-BQ6</f>
        <v>42850</v>
      </c>
      <c r="BS6">
        <f>_xlfn.XLOOKUP(B6,'[7]september-2025'!$A:$A,'[7]september-2025'!$C:$C,0,0)</f>
        <v>35500</v>
      </c>
      <c r="BT6">
        <f t="shared" si="22"/>
        <v>6390</v>
      </c>
      <c r="BU6">
        <f t="shared" si="23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>IF(BS6&gt;0,SUM(BS6:BW6),0)</f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24"/>
        <v>200</v>
      </c>
      <c r="CB6">
        <f t="shared" si="25"/>
        <v>42850</v>
      </c>
      <c r="CC6">
        <f>_xlfn.XLOOKUP(B6,'[8]october-2025'!$A:$A,'[8]october-2025'!$C:$C,0,0)</f>
        <v>35500</v>
      </c>
      <c r="CD6">
        <f t="shared" si="26"/>
        <v>6390</v>
      </c>
      <c r="CE6">
        <f t="shared" si="27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>IF(CC6&gt;0,SUM(CC6:CG6),0)</f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28"/>
        <v>200</v>
      </c>
      <c r="CL6">
        <f t="shared" si="29"/>
        <v>42850</v>
      </c>
      <c r="CM6">
        <f>_xlfn.XLOOKUP(B6,'[9]november-2025'!$A:$A,'[9]november-2025'!$C:$C,0,0)</f>
        <v>35500</v>
      </c>
      <c r="CN6">
        <f t="shared" si="30"/>
        <v>6390</v>
      </c>
      <c r="CO6">
        <f t="shared" si="31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>IF(CM6&gt;0,SUM(CM6:CQ6),0)</f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32"/>
        <v>200</v>
      </c>
      <c r="CV6">
        <f t="shared" si="33"/>
        <v>42850</v>
      </c>
      <c r="CW6">
        <f>_xlfn.XLOOKUP(B6,'[10]december-2025'!$A:$A,'[10]december-2025'!$C:$C,0,0)</f>
        <v>35500</v>
      </c>
      <c r="CX6">
        <f t="shared" si="34"/>
        <v>6390</v>
      </c>
      <c r="CY6">
        <f t="shared" si="35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>IF(CW6&gt;0,SUM(CW6:DA6),0)</f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36"/>
        <v>200</v>
      </c>
      <c r="DF6">
        <f t="shared" si="37"/>
        <v>42850</v>
      </c>
      <c r="DG6">
        <f>_xlfn.XLOOKUP(B6,'[11]january-2026'!$A:$A,'[11]january-2026'!$C:$C,0,0)</f>
        <v>35500</v>
      </c>
      <c r="DH6">
        <f t="shared" si="38"/>
        <v>6390</v>
      </c>
      <c r="DI6">
        <f t="shared" si="39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>IF(DG6&gt;0,SUM(DG6:DK6),0)</f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40"/>
        <v>200</v>
      </c>
      <c r="DP6">
        <f t="shared" si="41"/>
        <v>42850</v>
      </c>
      <c r="DQ6">
        <f>_xlfn.XLOOKUP(B6,'[12]february-2026'!$A:$A,'[12]february-2026'!$C:$C,0,0)</f>
        <v>35500</v>
      </c>
      <c r="DR6">
        <f t="shared" si="42"/>
        <v>6390</v>
      </c>
      <c r="DS6">
        <f t="shared" si="43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>IF(DQ6&gt;0,SUM(DQ6:DU6),0)</f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44"/>
        <v>200</v>
      </c>
      <c r="DZ6">
        <f t="shared" si="45"/>
        <v>42850</v>
      </c>
      <c r="EA6">
        <f>_xlfn.XLOOKUP(B6,'[1]march-2025'!$A:$A,'[1]march-2025'!$J:$J,0,0)</f>
        <v>0</v>
      </c>
      <c r="EB6">
        <f>_xlfn.XLOOKUP(B6,'[2]april-2025'!$A:$A,'[2]april-2025'!$J:$J,0,0)</f>
        <v>0</v>
      </c>
      <c r="EC6">
        <f>_xlfn.XLOOKUP(B6,'[3]may-2025'!$A:$A,'[3]may-2025'!$J:$J,0,0)</f>
        <v>0</v>
      </c>
      <c r="ED6">
        <f>_xlfn.XLOOKUP(B6,'[4]june-2025'!$A:$A,'[4]june-2025'!$J:$J,0,0)</f>
        <v>0</v>
      </c>
      <c r="EE6">
        <f>_xlfn.XLOOKUP(B6,'[5]july-2025'!$A:$A,'[5]july-2025'!$J:$J,0,0)</f>
        <v>0</v>
      </c>
      <c r="EF6">
        <f>_xlfn.XLOOKUP(B6,'[6]august-2025'!$A:$A,'[6]august-2025'!$J:$J,0,0)</f>
        <v>0</v>
      </c>
      <c r="EG6">
        <f>_xlfn.XLOOKUP(B6,'[7]september-2025'!$A:$A,'[7]september-2025'!$J:$J,0,0)</f>
        <v>0</v>
      </c>
      <c r="EH6">
        <f>_xlfn.XLOOKUP(B6,'[8]october-2025'!$A:$A,'[8]october-2025'!$J:$J,0,0)</f>
        <v>0</v>
      </c>
      <c r="EI6">
        <f>_xlfn.XLOOKUP(C6,'[9]november-2025'!$A:$A,'[9]november-2025'!$J:$J,0,0)</f>
        <v>0</v>
      </c>
      <c r="EJ6">
        <f>_xlfn.XLOOKUP(B6,'[10]december-2025'!$A:$A,'[10]december-2025'!$J:$J,0,0)</f>
        <v>0</v>
      </c>
      <c r="EK6">
        <f>_xlfn.XLOOKUP(B6,'[11]january-2026'!$A:$A,'[11]january-2026'!$J:$J,0,0)</f>
        <v>0</v>
      </c>
      <c r="EL6">
        <f>_xlfn.XLOOKUP(B6,'[12]february-2026'!$A:$A,'[12]february-2026'!$J:$J,0,0)</f>
        <v>0</v>
      </c>
      <c r="EM6">
        <f t="shared" si="90"/>
        <v>0</v>
      </c>
      <c r="EN6">
        <f>DV6+DL6+DB6+CR6+CH6+BX6+BN6+BD6+AS6+AI6+Y6+O6+H6+I6</f>
        <v>564820</v>
      </c>
      <c r="EO6">
        <f>DY6+DO6+DE6+CU6+CK6+CA6+BQ6+BG6+AV6+AL6+AB6+R6</f>
        <v>2400</v>
      </c>
      <c r="EP6">
        <f t="shared" si="46"/>
        <v>50000</v>
      </c>
      <c r="EQ6">
        <v>0</v>
      </c>
      <c r="ER6">
        <f t="shared" si="91"/>
        <v>512420</v>
      </c>
      <c r="ES6">
        <f>DW6+DM6+DC6+CS6+CI6+BY6+BO6+BE6+AT6+AJ6+Z6+P6</f>
        <v>48000</v>
      </c>
      <c r="ET6">
        <f>DX6+DN6+DD6+CT6+CJ6+BZ6+BP6+BF6+AU6+AK6+AA6+Q6</f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47"/>
        <v>48000</v>
      </c>
      <c r="FF6">
        <f t="shared" si="48"/>
        <v>48000</v>
      </c>
      <c r="FG6">
        <f t="shared" si="49"/>
        <v>464420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>SUM(FH6:FN6)+(IF(F6="YES",50000,0))</f>
        <v>0</v>
      </c>
      <c r="FP6">
        <f t="shared" si="50"/>
        <v>464420</v>
      </c>
      <c r="FQ6">
        <f t="shared" si="51"/>
        <v>10721</v>
      </c>
      <c r="FR6">
        <f t="shared" si="52"/>
        <v>0</v>
      </c>
      <c r="FS6">
        <f t="shared" si="53"/>
        <v>10721</v>
      </c>
      <c r="FT6">
        <f t="shared" si="54"/>
        <v>0</v>
      </c>
      <c r="FU6">
        <f t="shared" si="55"/>
        <v>0</v>
      </c>
      <c r="FV6">
        <f t="shared" si="56"/>
        <v>0</v>
      </c>
      <c r="FW6">
        <v>0</v>
      </c>
      <c r="FX6">
        <f t="shared" si="57"/>
        <v>0</v>
      </c>
      <c r="FY6" t="b">
        <f t="shared" si="58"/>
        <v>1</v>
      </c>
      <c r="FZ6">
        <f t="shared" ca="1" si="59"/>
        <v>500</v>
      </c>
      <c r="GA6">
        <f t="shared" ca="1" si="60"/>
        <v>565320</v>
      </c>
      <c r="GB6">
        <f t="shared" si="61"/>
        <v>75000</v>
      </c>
      <c r="GC6">
        <f t="shared" ca="1" si="62"/>
        <v>490320</v>
      </c>
      <c r="GD6">
        <f t="shared" ca="1" si="63"/>
        <v>0</v>
      </c>
      <c r="GE6">
        <f t="shared" ca="1" si="64"/>
        <v>0</v>
      </c>
      <c r="GF6">
        <f t="shared" ca="1" si="65"/>
        <v>0</v>
      </c>
      <c r="GG6">
        <f t="shared" ca="1" si="66"/>
        <v>0</v>
      </c>
      <c r="GH6">
        <f t="shared" ca="1" si="67"/>
        <v>0</v>
      </c>
      <c r="GI6">
        <f t="shared" ca="1" si="68"/>
        <v>0</v>
      </c>
      <c r="GJ6">
        <f ca="1">IF(GC6&gt;1200000,GC6-1200000-IF(F6="YES",50000,0)-GH6,0)</f>
        <v>0</v>
      </c>
      <c r="GK6">
        <f t="shared" ca="1" si="69"/>
        <v>0</v>
      </c>
      <c r="GL6">
        <f t="shared" ca="1" si="70"/>
        <v>0</v>
      </c>
      <c r="GM6">
        <f t="shared" ca="1" si="71"/>
        <v>0</v>
      </c>
      <c r="GN6">
        <f t="shared" ca="1" si="72"/>
        <v>90320</v>
      </c>
      <c r="GO6">
        <f t="shared" ca="1" si="73"/>
        <v>4516</v>
      </c>
      <c r="GP6">
        <f t="shared" ca="1" si="74"/>
        <v>4516</v>
      </c>
      <c r="GQ6">
        <f t="shared" ca="1" si="75"/>
        <v>0</v>
      </c>
      <c r="GR6">
        <f t="shared" ca="1" si="76"/>
        <v>0</v>
      </c>
      <c r="GS6">
        <f t="shared" ca="1" si="77"/>
        <v>4516</v>
      </c>
      <c r="GT6">
        <f t="shared" ca="1" si="78"/>
        <v>0</v>
      </c>
      <c r="GU6" t="b">
        <f t="shared" ca="1" si="79"/>
        <v>0</v>
      </c>
      <c r="GV6">
        <f t="shared" ca="1" si="80"/>
        <v>0</v>
      </c>
      <c r="GW6">
        <f t="shared" ca="1" si="81"/>
        <v>4516</v>
      </c>
      <c r="GX6">
        <f t="shared" ca="1" si="82"/>
        <v>0</v>
      </c>
      <c r="GY6">
        <f t="shared" ca="1" si="83"/>
        <v>0</v>
      </c>
      <c r="GZ6">
        <f t="shared" ca="1" si="84"/>
        <v>0</v>
      </c>
    </row>
    <row r="7" spans="1:208" x14ac:dyDescent="0.25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957</v>
      </c>
      <c r="G7" t="s">
        <v>879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>IF(J7&gt;0,SUM(J7:N7),0)</f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85"/>
        <v>200</v>
      </c>
      <c r="S7">
        <f t="shared" si="86"/>
        <v>38116</v>
      </c>
      <c r="T7">
        <f>_xlfn.XLOOKUP(B7,'[2]april-2025'!$A:$A,'[2]april-2025'!$C:$C,0,0)</f>
        <v>31600</v>
      </c>
      <c r="U7">
        <f t="shared" si="3"/>
        <v>5688</v>
      </c>
      <c r="V7">
        <f t="shared" si="4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87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5"/>
        <v>200</v>
      </c>
      <c r="AC7">
        <f t="shared" si="6"/>
        <v>39380</v>
      </c>
      <c r="AD7">
        <f>_xlfn.XLOOKUP(B7,'[3]may-2025'!$A:$A,'[3]may-2025'!$C:$C,0,0)</f>
        <v>31600</v>
      </c>
      <c r="AE7">
        <f t="shared" si="7"/>
        <v>5688</v>
      </c>
      <c r="AF7">
        <f t="shared" si="8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88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9"/>
        <v>200</v>
      </c>
      <c r="AM7">
        <f t="shared" si="10"/>
        <v>39380</v>
      </c>
      <c r="AN7">
        <f>_xlfn.XLOOKUP(B7,'[4]june-2025'!$A:$A,'[4]june-2025'!$C:$C,0,0)</f>
        <v>31600</v>
      </c>
      <c r="AO7">
        <f t="shared" si="11"/>
        <v>5688</v>
      </c>
      <c r="AP7">
        <f t="shared" si="12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89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3"/>
        <v>200</v>
      </c>
      <c r="AW7">
        <f t="shared" si="14"/>
        <v>39380</v>
      </c>
      <c r="AX7">
        <f>_xlfn.XLOOKUP(B7,'[5]july-2025'!$A:$A,'[5]july-2025'!$C:$C,0,0)</f>
        <v>32500</v>
      </c>
      <c r="AY7">
        <f t="shared" si="15"/>
        <v>5850</v>
      </c>
      <c r="AZ7">
        <v>0</v>
      </c>
      <c r="BA7">
        <f t="shared" si="16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>IF(AX7&gt;0,SUM(AX7:BC7),0)</f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17"/>
        <v>200</v>
      </c>
      <c r="BH7">
        <f t="shared" si="18"/>
        <v>40550</v>
      </c>
      <c r="BI7">
        <f>_xlfn.XLOOKUP(B7,'[6]august-2025'!$A:$A,'[6]august-2025'!$C:$C,0,0)</f>
        <v>32500</v>
      </c>
      <c r="BJ7">
        <f t="shared" si="19"/>
        <v>5850</v>
      </c>
      <c r="BK7">
        <f t="shared" si="20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1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>IF($F7="YES",0,IF(BN7&gt;40000,200,IF(BN7&gt;25000,150,IF(BN7&gt;15000,130,IF(BN7&gt;10000,110,0)))))</f>
        <v>200</v>
      </c>
      <c r="BR7">
        <f>BN7-BO7-BP7-BQ7</f>
        <v>40550</v>
      </c>
      <c r="BS7">
        <f>_xlfn.XLOOKUP(B7,'[7]september-2025'!$A:$A,'[7]september-2025'!$C:$C,0,0)</f>
        <v>32500</v>
      </c>
      <c r="BT7">
        <f t="shared" si="22"/>
        <v>5850</v>
      </c>
      <c r="BU7">
        <f t="shared" si="23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>IF(BS7&gt;0,SUM(BS7:BW7),0)</f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24"/>
        <v>200</v>
      </c>
      <c r="CB7">
        <f t="shared" si="25"/>
        <v>40550</v>
      </c>
      <c r="CC7">
        <f>_xlfn.XLOOKUP(B7,'[8]october-2025'!$A:$A,'[8]october-2025'!$C:$C,0,0)</f>
        <v>32500</v>
      </c>
      <c r="CD7">
        <f t="shared" si="26"/>
        <v>5850</v>
      </c>
      <c r="CE7">
        <f t="shared" si="27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>IF(CC7&gt;0,SUM(CC7:CG7),0)</f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28"/>
        <v>200</v>
      </c>
      <c r="CL7">
        <f t="shared" si="29"/>
        <v>40550</v>
      </c>
      <c r="CM7">
        <f>_xlfn.XLOOKUP(B7,'[9]november-2025'!$A:$A,'[9]november-2025'!$C:$C,0,0)</f>
        <v>32500</v>
      </c>
      <c r="CN7">
        <f t="shared" si="30"/>
        <v>5850</v>
      </c>
      <c r="CO7">
        <f t="shared" si="31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>IF(CM7&gt;0,SUM(CM7:CQ7),0)</f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32"/>
        <v>200</v>
      </c>
      <c r="CV7">
        <f t="shared" si="33"/>
        <v>40550</v>
      </c>
      <c r="CW7">
        <f>_xlfn.XLOOKUP(B7,'[10]december-2025'!$A:$A,'[10]december-2025'!$C:$C,0,0)</f>
        <v>32500</v>
      </c>
      <c r="CX7">
        <f t="shared" si="34"/>
        <v>5850</v>
      </c>
      <c r="CY7">
        <f t="shared" si="35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>IF(CW7&gt;0,SUM(CW7:DA7),0)</f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36"/>
        <v>200</v>
      </c>
      <c r="DF7">
        <f t="shared" si="37"/>
        <v>40550</v>
      </c>
      <c r="DG7">
        <f>_xlfn.XLOOKUP(B7,'[11]january-2026'!$A:$A,'[11]january-2026'!$C:$C,0,0)</f>
        <v>32500</v>
      </c>
      <c r="DH7">
        <f t="shared" si="38"/>
        <v>5850</v>
      </c>
      <c r="DI7">
        <f t="shared" si="39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>IF(DG7&gt;0,SUM(DG7:DK7),0)</f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40"/>
        <v>200</v>
      </c>
      <c r="DP7">
        <f t="shared" si="41"/>
        <v>40550</v>
      </c>
      <c r="DQ7">
        <f>_xlfn.XLOOKUP(B7,'[12]february-2026'!$A:$A,'[12]february-2026'!$C:$C,0,0)</f>
        <v>32500</v>
      </c>
      <c r="DR7">
        <f t="shared" si="42"/>
        <v>5850</v>
      </c>
      <c r="DS7">
        <f t="shared" si="43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>IF(DQ7&gt;0,SUM(DQ7:DU7),0)</f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44"/>
        <v>200</v>
      </c>
      <c r="DZ7">
        <f t="shared" si="45"/>
        <v>40550</v>
      </c>
      <c r="EA7">
        <f>_xlfn.XLOOKUP(B7,'[1]march-2025'!$A:$A,'[1]march-2025'!$J:$J,0,0)</f>
        <v>0</v>
      </c>
      <c r="EB7">
        <f>_xlfn.XLOOKUP(B7,'[2]april-2025'!$A:$A,'[2]april-2025'!$J:$J,0,0)</f>
        <v>0</v>
      </c>
      <c r="EC7">
        <f>_xlfn.XLOOKUP(B7,'[3]may-2025'!$A:$A,'[3]may-2025'!$J:$J,0,0)</f>
        <v>0</v>
      </c>
      <c r="ED7">
        <f>_xlfn.XLOOKUP(B7,'[4]june-2025'!$A:$A,'[4]june-2025'!$J:$J,0,0)</f>
        <v>0</v>
      </c>
      <c r="EE7">
        <f>_xlfn.XLOOKUP(B7,'[5]july-2025'!$A:$A,'[5]july-2025'!$J:$J,0,0)</f>
        <v>0</v>
      </c>
      <c r="EF7">
        <f>_xlfn.XLOOKUP(B7,'[6]august-2025'!$A:$A,'[6]august-2025'!$J:$J,0,0)</f>
        <v>0</v>
      </c>
      <c r="EG7">
        <f>_xlfn.XLOOKUP(B7,'[7]september-2025'!$A:$A,'[7]september-2025'!$J:$J,0,0)</f>
        <v>0</v>
      </c>
      <c r="EH7">
        <f>_xlfn.XLOOKUP(B7,'[8]october-2025'!$A:$A,'[8]october-2025'!$J:$J,0,0)</f>
        <v>0</v>
      </c>
      <c r="EI7">
        <f>_xlfn.XLOOKUP(C7,'[9]november-2025'!$A:$A,'[9]november-2025'!$J:$J,0,0)</f>
        <v>0</v>
      </c>
      <c r="EJ7">
        <f>_xlfn.XLOOKUP(B7,'[10]december-2025'!$A:$A,'[10]december-2025'!$J:$J,0,0)</f>
        <v>0</v>
      </c>
      <c r="EK7">
        <f>_xlfn.XLOOKUP(B7,'[11]january-2026'!$A:$A,'[11]january-2026'!$J:$J,0,0)</f>
        <v>0</v>
      </c>
      <c r="EL7">
        <f>_xlfn.XLOOKUP(B7,'[12]february-2026'!$A:$A,'[12]february-2026'!$J:$J,0,0)</f>
        <v>0</v>
      </c>
      <c r="EM7">
        <f t="shared" si="90"/>
        <v>0</v>
      </c>
      <c r="EN7">
        <f>DV7+DL7+DB7+CR7+CH7+BX7+BN7+BD7+AS7+AI7+Y7+O7+H7+I7</f>
        <v>513856</v>
      </c>
      <c r="EO7">
        <f>DY7+DO7+DE7+CU7+CK7+CA7+BQ7+BG7+AV7+AL7+AB7+R7</f>
        <v>2400</v>
      </c>
      <c r="EP7">
        <f t="shared" si="46"/>
        <v>50000</v>
      </c>
      <c r="EQ7">
        <v>0</v>
      </c>
      <c r="ER7">
        <f t="shared" si="91"/>
        <v>461456</v>
      </c>
      <c r="ES7">
        <f>DW7+DM7+DC7+CS7+CI7+BY7+BO7+BE7+AT7+AJ7+Z7+P7</f>
        <v>24000</v>
      </c>
      <c r="ET7">
        <f>DX7+DN7+DD7+CT7+CJ7+BZ7+BP7+BF7+AU7+AK7+AA7+Q7</f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47"/>
        <v>24000</v>
      </c>
      <c r="FF7">
        <f t="shared" si="48"/>
        <v>24000</v>
      </c>
      <c r="FG7">
        <f t="shared" si="49"/>
        <v>437456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>SUM(FH7:FN7)+(IF(F7="YES",50000,0))</f>
        <v>0</v>
      </c>
      <c r="FP7">
        <f t="shared" si="50"/>
        <v>437456</v>
      </c>
      <c r="FQ7">
        <f t="shared" si="51"/>
        <v>9373</v>
      </c>
      <c r="FR7">
        <f t="shared" si="52"/>
        <v>0</v>
      </c>
      <c r="FS7">
        <f t="shared" si="53"/>
        <v>9373</v>
      </c>
      <c r="FT7">
        <f t="shared" si="54"/>
        <v>0</v>
      </c>
      <c r="FU7">
        <f t="shared" si="55"/>
        <v>0</v>
      </c>
      <c r="FV7">
        <f t="shared" si="56"/>
        <v>0</v>
      </c>
      <c r="FW7">
        <v>0</v>
      </c>
      <c r="FX7">
        <f t="shared" si="57"/>
        <v>0</v>
      </c>
      <c r="FY7" t="b">
        <f t="shared" si="58"/>
        <v>1</v>
      </c>
      <c r="FZ7">
        <f t="shared" ca="1" si="59"/>
        <v>645</v>
      </c>
      <c r="GA7">
        <f t="shared" ca="1" si="60"/>
        <v>514501</v>
      </c>
      <c r="GB7">
        <f t="shared" si="61"/>
        <v>75000</v>
      </c>
      <c r="GC7">
        <f t="shared" ca="1" si="62"/>
        <v>439501</v>
      </c>
      <c r="GD7">
        <f t="shared" ca="1" si="63"/>
        <v>0</v>
      </c>
      <c r="GE7">
        <f t="shared" ca="1" si="64"/>
        <v>0</v>
      </c>
      <c r="GF7">
        <f t="shared" ca="1" si="65"/>
        <v>0</v>
      </c>
      <c r="GG7">
        <f t="shared" ca="1" si="66"/>
        <v>0</v>
      </c>
      <c r="GH7">
        <f t="shared" ca="1" si="67"/>
        <v>0</v>
      </c>
      <c r="GI7">
        <f t="shared" ca="1" si="68"/>
        <v>0</v>
      </c>
      <c r="GJ7">
        <f ca="1">IF(GC7&gt;1200000,GC7-1200000-IF(F7="YES",50000,0)-GH7,0)</f>
        <v>0</v>
      </c>
      <c r="GK7">
        <f t="shared" ca="1" si="69"/>
        <v>0</v>
      </c>
      <c r="GL7">
        <f t="shared" ca="1" si="70"/>
        <v>0</v>
      </c>
      <c r="GM7">
        <f t="shared" ca="1" si="71"/>
        <v>0</v>
      </c>
      <c r="GN7">
        <f t="shared" ca="1" si="72"/>
        <v>39501</v>
      </c>
      <c r="GO7">
        <f t="shared" ca="1" si="73"/>
        <v>1975.0500000000002</v>
      </c>
      <c r="GP7">
        <f t="shared" ca="1" si="74"/>
        <v>1975</v>
      </c>
      <c r="GQ7">
        <f t="shared" ca="1" si="75"/>
        <v>0</v>
      </c>
      <c r="GR7">
        <f t="shared" ca="1" si="76"/>
        <v>0</v>
      </c>
      <c r="GS7">
        <f t="shared" ca="1" si="77"/>
        <v>1975</v>
      </c>
      <c r="GT7">
        <f t="shared" ca="1" si="78"/>
        <v>0</v>
      </c>
      <c r="GU7" t="b">
        <f t="shared" ca="1" si="79"/>
        <v>0</v>
      </c>
      <c r="GV7">
        <f t="shared" ca="1" si="80"/>
        <v>0</v>
      </c>
      <c r="GW7">
        <f t="shared" ca="1" si="81"/>
        <v>1975</v>
      </c>
      <c r="GX7">
        <f t="shared" ca="1" si="82"/>
        <v>0</v>
      </c>
      <c r="GY7">
        <f t="shared" ca="1" si="83"/>
        <v>0</v>
      </c>
      <c r="GZ7">
        <f t="shared" ca="1" si="84"/>
        <v>0</v>
      </c>
    </row>
    <row r="8" spans="1:208" x14ac:dyDescent="0.25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957</v>
      </c>
      <c r="G8" t="s">
        <v>880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>IF(J8&gt;0,SUM(J8:N8),0)</f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85"/>
        <v>200</v>
      </c>
      <c r="S8">
        <f t="shared" si="86"/>
        <v>55298</v>
      </c>
      <c r="T8">
        <f>_xlfn.XLOOKUP(B8,'[2]april-2025'!$A:$A,'[2]april-2025'!$C:$C,0,0)</f>
        <v>47300</v>
      </c>
      <c r="U8">
        <f t="shared" si="3"/>
        <v>8514</v>
      </c>
      <c r="V8">
        <f t="shared" si="4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87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5"/>
        <v>200</v>
      </c>
      <c r="AC8">
        <f t="shared" si="6"/>
        <v>57190</v>
      </c>
      <c r="AD8">
        <f>_xlfn.XLOOKUP(B8,'[3]may-2025'!$A:$A,'[3]may-2025'!$C:$C,0,0)</f>
        <v>47300</v>
      </c>
      <c r="AE8">
        <f t="shared" si="7"/>
        <v>8514</v>
      </c>
      <c r="AF8">
        <f t="shared" si="8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88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9"/>
        <v>200</v>
      </c>
      <c r="AM8">
        <f t="shared" si="10"/>
        <v>57190</v>
      </c>
      <c r="AN8">
        <f>_xlfn.XLOOKUP(B8,'[4]june-2025'!$A:$A,'[4]june-2025'!$C:$C,0,0)</f>
        <v>47300</v>
      </c>
      <c r="AO8">
        <f t="shared" si="11"/>
        <v>8514</v>
      </c>
      <c r="AP8">
        <f t="shared" si="12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89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3"/>
        <v>200</v>
      </c>
      <c r="AW8">
        <f t="shared" si="14"/>
        <v>57190</v>
      </c>
      <c r="AX8">
        <f>_xlfn.XLOOKUP(B8,'[5]july-2025'!$A:$A,'[5]july-2025'!$C:$C,0,0)</f>
        <v>48700</v>
      </c>
      <c r="AY8">
        <f t="shared" si="15"/>
        <v>8766</v>
      </c>
      <c r="AZ8">
        <v>0</v>
      </c>
      <c r="BA8">
        <f t="shared" si="16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>IF(AX8&gt;0,SUM(AX8:BC8),0)</f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17"/>
        <v>200</v>
      </c>
      <c r="BH8">
        <f t="shared" si="18"/>
        <v>59010</v>
      </c>
      <c r="BI8">
        <f>_xlfn.XLOOKUP(B8,'[6]august-2025'!$A:$A,'[6]august-2025'!$C:$C,0,0)</f>
        <v>48700</v>
      </c>
      <c r="BJ8">
        <f t="shared" si="19"/>
        <v>8766</v>
      </c>
      <c r="BK8">
        <f t="shared" si="20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1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>IF($F8="YES",0,IF(BN8&gt;40000,200,IF(BN8&gt;25000,150,IF(BN8&gt;15000,130,IF(BN8&gt;10000,110,0)))))</f>
        <v>200</v>
      </c>
      <c r="BR8">
        <f>BN8-BO8-BP8-BQ8</f>
        <v>59010</v>
      </c>
      <c r="BS8">
        <f>_xlfn.XLOOKUP(B8,'[7]september-2025'!$A:$A,'[7]september-2025'!$C:$C,0,0)</f>
        <v>48700</v>
      </c>
      <c r="BT8">
        <f t="shared" si="22"/>
        <v>8766</v>
      </c>
      <c r="BU8">
        <f t="shared" si="23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>IF(BS8&gt;0,SUM(BS8:BW8),0)</f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24"/>
        <v>200</v>
      </c>
      <c r="CB8">
        <f t="shared" si="25"/>
        <v>59010</v>
      </c>
      <c r="CC8">
        <f>_xlfn.XLOOKUP(B8,'[8]october-2025'!$A:$A,'[8]october-2025'!$C:$C,0,0)</f>
        <v>48700</v>
      </c>
      <c r="CD8">
        <f t="shared" si="26"/>
        <v>8766</v>
      </c>
      <c r="CE8">
        <f t="shared" si="27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>IF(CC8&gt;0,SUM(CC8:CG8),0)</f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28"/>
        <v>200</v>
      </c>
      <c r="CL8">
        <f t="shared" si="29"/>
        <v>59010</v>
      </c>
      <c r="CM8">
        <f>_xlfn.XLOOKUP(B8,'[9]november-2025'!$A:$A,'[9]november-2025'!$C:$C,0,0)</f>
        <v>48700</v>
      </c>
      <c r="CN8">
        <f t="shared" si="30"/>
        <v>8766</v>
      </c>
      <c r="CO8">
        <f t="shared" si="31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>IF(CM8&gt;0,SUM(CM8:CQ8),0)</f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32"/>
        <v>200</v>
      </c>
      <c r="CV8">
        <f t="shared" si="33"/>
        <v>59010</v>
      </c>
      <c r="CW8">
        <f>_xlfn.XLOOKUP(B8,'[10]december-2025'!$A:$A,'[10]december-2025'!$C:$C,0,0)</f>
        <v>48700</v>
      </c>
      <c r="CX8">
        <f t="shared" si="34"/>
        <v>8766</v>
      </c>
      <c r="CY8">
        <f t="shared" si="35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>IF(CW8&gt;0,SUM(CW8:DA8),0)</f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36"/>
        <v>200</v>
      </c>
      <c r="DF8">
        <f t="shared" si="37"/>
        <v>59010</v>
      </c>
      <c r="DG8">
        <f>_xlfn.XLOOKUP(B8,'[11]january-2026'!$A:$A,'[11]january-2026'!$C:$C,0,0)</f>
        <v>48700</v>
      </c>
      <c r="DH8">
        <f t="shared" si="38"/>
        <v>8766</v>
      </c>
      <c r="DI8">
        <f t="shared" si="39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>IF(DG8&gt;0,SUM(DG8:DK8),0)</f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40"/>
        <v>200</v>
      </c>
      <c r="DP8">
        <f t="shared" si="41"/>
        <v>59010</v>
      </c>
      <c r="DQ8">
        <f>_xlfn.XLOOKUP(B8,'[12]february-2026'!$A:$A,'[12]february-2026'!$C:$C,0,0)</f>
        <v>48700</v>
      </c>
      <c r="DR8">
        <f t="shared" si="42"/>
        <v>8766</v>
      </c>
      <c r="DS8">
        <f t="shared" si="43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>IF(DQ8&gt;0,SUM(DQ8:DU8),0)</f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44"/>
        <v>200</v>
      </c>
      <c r="DZ8">
        <f t="shared" si="45"/>
        <v>59010</v>
      </c>
      <c r="EA8">
        <f>_xlfn.XLOOKUP(B8,'[1]march-2025'!$A:$A,'[1]march-2025'!$J:$J,0,0)</f>
        <v>0</v>
      </c>
      <c r="EB8">
        <f>_xlfn.XLOOKUP(B8,'[2]april-2025'!$A:$A,'[2]april-2025'!$J:$J,0,0)</f>
        <v>0</v>
      </c>
      <c r="EC8">
        <f>_xlfn.XLOOKUP(B8,'[3]may-2025'!$A:$A,'[3]may-2025'!$J:$J,0,0)</f>
        <v>0</v>
      </c>
      <c r="ED8">
        <f>_xlfn.XLOOKUP(B8,'[4]june-2025'!$A:$A,'[4]june-2025'!$J:$J,0,0)</f>
        <v>0</v>
      </c>
      <c r="EE8">
        <f>_xlfn.XLOOKUP(B8,'[5]july-2025'!$A:$A,'[5]july-2025'!$J:$J,0,0)</f>
        <v>0</v>
      </c>
      <c r="EF8">
        <f>_xlfn.XLOOKUP(B8,'[6]august-2025'!$A:$A,'[6]august-2025'!$J:$J,0,0)</f>
        <v>0</v>
      </c>
      <c r="EG8">
        <f>_xlfn.XLOOKUP(B8,'[7]september-2025'!$A:$A,'[7]september-2025'!$J:$J,0,0)</f>
        <v>0</v>
      </c>
      <c r="EH8">
        <f>_xlfn.XLOOKUP(B8,'[8]october-2025'!$A:$A,'[8]october-2025'!$J:$J,0,0)</f>
        <v>0</v>
      </c>
      <c r="EI8">
        <f>_xlfn.XLOOKUP(C8,'[9]november-2025'!$A:$A,'[9]november-2025'!$J:$J,0,0)</f>
        <v>0</v>
      </c>
      <c r="EJ8">
        <f>_xlfn.XLOOKUP(B8,'[10]december-2025'!$A:$A,'[10]december-2025'!$J:$J,0,0)</f>
        <v>0</v>
      </c>
      <c r="EK8">
        <f>_xlfn.XLOOKUP(B8,'[11]january-2026'!$A:$A,'[11]january-2026'!$J:$J,0,0)</f>
        <v>0</v>
      </c>
      <c r="EL8">
        <f>_xlfn.XLOOKUP(B8,'[12]february-2026'!$A:$A,'[12]february-2026'!$J:$J,0,0)</f>
        <v>0</v>
      </c>
      <c r="EM8">
        <f t="shared" si="90"/>
        <v>0</v>
      </c>
      <c r="EN8">
        <f>DV8+DL8+DB8+CR8+CH8+BX8+BN8+BD8+AS8+AI8+Y8+O8+H8+I8</f>
        <v>768148</v>
      </c>
      <c r="EO8">
        <f>DY8+DO8+DE8+CU8+CK8+CA8+BQ8+BG8+AV8+AL8+AB8+R8</f>
        <v>2400</v>
      </c>
      <c r="EP8">
        <f t="shared" si="46"/>
        <v>50000</v>
      </c>
      <c r="EQ8">
        <v>0</v>
      </c>
      <c r="ER8">
        <f t="shared" si="91"/>
        <v>715748</v>
      </c>
      <c r="ES8">
        <f>DW8+DM8+DC8+CS8+CI8+BY8+BO8+BE8+AT8+AJ8+Z8+P8</f>
        <v>60000</v>
      </c>
      <c r="ET8">
        <f>DX8+DN8+DD8+CT8+CJ8+BZ8+BP8+BF8+AU8+AK8+AA8+Q8</f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47"/>
        <v>60000</v>
      </c>
      <c r="FF8">
        <f t="shared" si="48"/>
        <v>60000</v>
      </c>
      <c r="FG8">
        <f t="shared" si="49"/>
        <v>655748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>SUM(FH8:FN8)+(IF(F8="YES",50000,0))</f>
        <v>0</v>
      </c>
      <c r="FP8">
        <f t="shared" si="50"/>
        <v>655748</v>
      </c>
      <c r="FQ8">
        <f t="shared" si="51"/>
        <v>12500</v>
      </c>
      <c r="FR8">
        <f t="shared" si="52"/>
        <v>31150</v>
      </c>
      <c r="FS8">
        <f t="shared" si="53"/>
        <v>43650</v>
      </c>
      <c r="FT8">
        <f t="shared" si="54"/>
        <v>43650</v>
      </c>
      <c r="FU8">
        <f t="shared" si="55"/>
        <v>1746</v>
      </c>
      <c r="FV8">
        <f t="shared" si="56"/>
        <v>45396</v>
      </c>
      <c r="FW8">
        <v>0</v>
      </c>
      <c r="FX8">
        <f t="shared" si="57"/>
        <v>45396</v>
      </c>
      <c r="FY8" t="b">
        <f t="shared" si="58"/>
        <v>1</v>
      </c>
      <c r="FZ8">
        <f t="shared" ca="1" si="59"/>
        <v>629</v>
      </c>
      <c r="GA8">
        <f t="shared" ca="1" si="60"/>
        <v>768777</v>
      </c>
      <c r="GB8">
        <f t="shared" si="61"/>
        <v>75000</v>
      </c>
      <c r="GC8">
        <f t="shared" ca="1" si="62"/>
        <v>693777</v>
      </c>
      <c r="GD8">
        <f t="shared" ca="1" si="63"/>
        <v>0</v>
      </c>
      <c r="GE8">
        <f t="shared" ca="1" si="64"/>
        <v>0</v>
      </c>
      <c r="GF8">
        <f t="shared" ca="1" si="65"/>
        <v>0</v>
      </c>
      <c r="GG8">
        <f t="shared" ca="1" si="66"/>
        <v>0</v>
      </c>
      <c r="GH8">
        <f t="shared" ca="1" si="67"/>
        <v>0</v>
      </c>
      <c r="GI8">
        <f t="shared" ca="1" si="68"/>
        <v>0</v>
      </c>
      <c r="GJ8">
        <f ca="1">IF(GC8&gt;1200000,GC8-1200000-IF(F8="YES",50000,0)-GH8,0)</f>
        <v>0</v>
      </c>
      <c r="GK8">
        <f t="shared" ca="1" si="69"/>
        <v>0</v>
      </c>
      <c r="GL8">
        <f t="shared" ca="1" si="70"/>
        <v>0</v>
      </c>
      <c r="GM8">
        <f t="shared" ca="1" si="71"/>
        <v>0</v>
      </c>
      <c r="GN8">
        <f t="shared" ca="1" si="72"/>
        <v>293777</v>
      </c>
      <c r="GO8">
        <f t="shared" ca="1" si="73"/>
        <v>14688.85</v>
      </c>
      <c r="GP8">
        <f t="shared" ca="1" si="74"/>
        <v>14689</v>
      </c>
      <c r="GQ8">
        <f t="shared" ca="1" si="75"/>
        <v>0</v>
      </c>
      <c r="GR8">
        <f t="shared" ca="1" si="76"/>
        <v>0</v>
      </c>
      <c r="GS8">
        <f t="shared" ca="1" si="77"/>
        <v>14689</v>
      </c>
      <c r="GT8">
        <f t="shared" ca="1" si="78"/>
        <v>0</v>
      </c>
      <c r="GU8" t="b">
        <f t="shared" ca="1" si="79"/>
        <v>0</v>
      </c>
      <c r="GV8">
        <f t="shared" ca="1" si="80"/>
        <v>0</v>
      </c>
      <c r="GW8">
        <f t="shared" ca="1" si="81"/>
        <v>14689</v>
      </c>
      <c r="GX8">
        <f t="shared" ca="1" si="82"/>
        <v>0</v>
      </c>
      <c r="GY8">
        <f t="shared" ca="1" si="83"/>
        <v>0</v>
      </c>
      <c r="GZ8">
        <f t="shared" ca="1" si="84"/>
        <v>0</v>
      </c>
    </row>
    <row r="9" spans="1:208" x14ac:dyDescent="0.25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957</v>
      </c>
      <c r="G9" t="s">
        <v>878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>IF(J9&gt;0,SUM(J9:N9),0)</f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85"/>
        <v>200</v>
      </c>
      <c r="S9">
        <f t="shared" si="86"/>
        <v>38770</v>
      </c>
      <c r="T9">
        <f>_xlfn.XLOOKUP(B9,'[2]april-2025'!$A:$A,'[2]april-2025'!$C:$C,0,0)</f>
        <v>34500</v>
      </c>
      <c r="U9">
        <f t="shared" si="3"/>
        <v>6210</v>
      </c>
      <c r="V9">
        <f t="shared" si="4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87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5"/>
        <v>200</v>
      </c>
      <c r="AC9">
        <f t="shared" si="6"/>
        <v>40150</v>
      </c>
      <c r="AD9">
        <f>_xlfn.XLOOKUP(B9,'[3]may-2025'!$A:$A,'[3]may-2025'!$C:$C,0,0)</f>
        <v>34500</v>
      </c>
      <c r="AE9">
        <f t="shared" si="7"/>
        <v>6210</v>
      </c>
      <c r="AF9">
        <f t="shared" si="8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88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9"/>
        <v>200</v>
      </c>
      <c r="AM9">
        <f t="shared" si="10"/>
        <v>40150</v>
      </c>
      <c r="AN9">
        <f>_xlfn.XLOOKUP(B9,'[4]june-2025'!$A:$A,'[4]june-2025'!$C:$C,0,0)</f>
        <v>34500</v>
      </c>
      <c r="AO9">
        <f t="shared" si="11"/>
        <v>6210</v>
      </c>
      <c r="AP9">
        <f t="shared" si="12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89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3"/>
        <v>200</v>
      </c>
      <c r="AW9">
        <f t="shared" si="14"/>
        <v>40150</v>
      </c>
      <c r="AX9">
        <f>_xlfn.XLOOKUP(B9,'[5]july-2025'!$A:$A,'[5]july-2025'!$C:$C,0,0)</f>
        <v>35500</v>
      </c>
      <c r="AY9">
        <f t="shared" si="15"/>
        <v>6390</v>
      </c>
      <c r="AZ9">
        <v>0</v>
      </c>
      <c r="BA9">
        <f t="shared" si="16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>IF(AX9&gt;0,SUM(AX9:BC9),0)</f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17"/>
        <v>200</v>
      </c>
      <c r="BH9">
        <f t="shared" si="18"/>
        <v>41450</v>
      </c>
      <c r="BI9">
        <f>_xlfn.XLOOKUP(B9,'[6]august-2025'!$A:$A,'[6]august-2025'!$C:$C,0,0)</f>
        <v>35500</v>
      </c>
      <c r="BJ9">
        <f t="shared" si="19"/>
        <v>6390</v>
      </c>
      <c r="BK9">
        <f t="shared" si="20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1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>IF($F9="YES",0,IF(BN9&gt;40000,200,IF(BN9&gt;25000,150,IF(BN9&gt;15000,130,IF(BN9&gt;10000,110,0)))))</f>
        <v>200</v>
      </c>
      <c r="BR9">
        <f>BN9-BO9-BP9-BQ9</f>
        <v>41450</v>
      </c>
      <c r="BS9">
        <f>_xlfn.XLOOKUP(B9,'[7]september-2025'!$A:$A,'[7]september-2025'!$C:$C,0,0)</f>
        <v>35500</v>
      </c>
      <c r="BT9">
        <f t="shared" si="22"/>
        <v>6390</v>
      </c>
      <c r="BU9">
        <f t="shared" si="23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>IF(BS9&gt;0,SUM(BS9:BW9),0)</f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24"/>
        <v>200</v>
      </c>
      <c r="CB9">
        <f t="shared" si="25"/>
        <v>41450</v>
      </c>
      <c r="CC9">
        <f>_xlfn.XLOOKUP(B9,'[8]october-2025'!$A:$A,'[8]october-2025'!$C:$C,0,0)</f>
        <v>35500</v>
      </c>
      <c r="CD9">
        <f t="shared" si="26"/>
        <v>6390</v>
      </c>
      <c r="CE9">
        <f t="shared" si="27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>IF(CC9&gt;0,SUM(CC9:CG9),0)</f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28"/>
        <v>200</v>
      </c>
      <c r="CL9">
        <f t="shared" si="29"/>
        <v>41450</v>
      </c>
      <c r="CM9">
        <f>_xlfn.XLOOKUP(B9,'[9]november-2025'!$A:$A,'[9]november-2025'!$C:$C,0,0)</f>
        <v>35500</v>
      </c>
      <c r="CN9">
        <f t="shared" si="30"/>
        <v>6390</v>
      </c>
      <c r="CO9">
        <f t="shared" si="31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>IF(CM9&gt;0,SUM(CM9:CQ9),0)</f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32"/>
        <v>200</v>
      </c>
      <c r="CV9">
        <f t="shared" si="33"/>
        <v>41450</v>
      </c>
      <c r="CW9">
        <f>_xlfn.XLOOKUP(B9,'[10]december-2025'!$A:$A,'[10]december-2025'!$C:$C,0,0)</f>
        <v>35500</v>
      </c>
      <c r="CX9">
        <f t="shared" si="34"/>
        <v>6390</v>
      </c>
      <c r="CY9">
        <f t="shared" si="35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>IF(CW9&gt;0,SUM(CW9:DA9),0)</f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36"/>
        <v>200</v>
      </c>
      <c r="DF9">
        <f t="shared" si="37"/>
        <v>41450</v>
      </c>
      <c r="DG9">
        <f>_xlfn.XLOOKUP(B9,'[11]january-2026'!$A:$A,'[11]january-2026'!$C:$C,0,0)</f>
        <v>35500</v>
      </c>
      <c r="DH9">
        <f t="shared" si="38"/>
        <v>6390</v>
      </c>
      <c r="DI9">
        <f t="shared" si="39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>IF(DG9&gt;0,SUM(DG9:DK9),0)</f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40"/>
        <v>200</v>
      </c>
      <c r="DP9">
        <f t="shared" si="41"/>
        <v>41450</v>
      </c>
      <c r="DQ9">
        <f>_xlfn.XLOOKUP(B9,'[12]february-2026'!$A:$A,'[12]february-2026'!$C:$C,0,0)</f>
        <v>35500</v>
      </c>
      <c r="DR9">
        <f t="shared" si="42"/>
        <v>6390</v>
      </c>
      <c r="DS9">
        <f t="shared" si="43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>IF(DQ9&gt;0,SUM(DQ9:DU9),0)</f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44"/>
        <v>200</v>
      </c>
      <c r="DZ9">
        <f t="shared" si="45"/>
        <v>41450</v>
      </c>
      <c r="EA9">
        <f>_xlfn.XLOOKUP(B9,'[1]march-2025'!$A:$A,'[1]march-2025'!$J:$J,0,0)</f>
        <v>0</v>
      </c>
      <c r="EB9">
        <f>_xlfn.XLOOKUP(B9,'[2]april-2025'!$A:$A,'[2]april-2025'!$J:$J,0,0)</f>
        <v>0</v>
      </c>
      <c r="EC9">
        <f>_xlfn.XLOOKUP(B9,'[3]may-2025'!$A:$A,'[3]may-2025'!$J:$J,0,0)</f>
        <v>0</v>
      </c>
      <c r="ED9">
        <f>_xlfn.XLOOKUP(B9,'[4]june-2025'!$A:$A,'[4]june-2025'!$J:$J,0,0)</f>
        <v>0</v>
      </c>
      <c r="EE9">
        <f>_xlfn.XLOOKUP(B9,'[5]july-2025'!$A:$A,'[5]july-2025'!$J:$J,0,0)</f>
        <v>0</v>
      </c>
      <c r="EF9">
        <f>_xlfn.XLOOKUP(B9,'[6]august-2025'!$A:$A,'[6]august-2025'!$J:$J,0,0)</f>
        <v>0</v>
      </c>
      <c r="EG9">
        <f>_xlfn.XLOOKUP(B9,'[7]september-2025'!$A:$A,'[7]september-2025'!$J:$J,0,0)</f>
        <v>0</v>
      </c>
      <c r="EH9">
        <f>_xlfn.XLOOKUP(B9,'[8]october-2025'!$A:$A,'[8]october-2025'!$J:$J,0,0)</f>
        <v>0</v>
      </c>
      <c r="EI9">
        <f>_xlfn.XLOOKUP(C9,'[9]november-2025'!$A:$A,'[9]november-2025'!$J:$J,0,0)</f>
        <v>0</v>
      </c>
      <c r="EJ9">
        <f>_xlfn.XLOOKUP(B9,'[10]december-2025'!$A:$A,'[10]december-2025'!$J:$J,0,0)</f>
        <v>0</v>
      </c>
      <c r="EK9">
        <f>_xlfn.XLOOKUP(B9,'[11]january-2026'!$A:$A,'[11]january-2026'!$J:$J,0,0)</f>
        <v>0</v>
      </c>
      <c r="EL9">
        <f>_xlfn.XLOOKUP(B9,'[12]february-2026'!$A:$A,'[12]february-2026'!$J:$J,0,0)</f>
        <v>0</v>
      </c>
      <c r="EM9">
        <f t="shared" si="90"/>
        <v>0</v>
      </c>
      <c r="EN9">
        <f>DV9+DL9+DB9+CR9+CH9+BX9+BN9+BD9+AS9+AI9+Y9+O9+H9+I9</f>
        <v>560020</v>
      </c>
      <c r="EO9">
        <f>DY9+DO9+DE9+CU9+CK9+CA9+BQ9+BG9+AV9+AL9+AB9+R9</f>
        <v>2400</v>
      </c>
      <c r="EP9">
        <f t="shared" si="46"/>
        <v>50000</v>
      </c>
      <c r="EQ9">
        <v>0</v>
      </c>
      <c r="ER9">
        <f t="shared" si="91"/>
        <v>507620</v>
      </c>
      <c r="ES9">
        <f>DW9+DM9+DC9+CS9+CI9+BY9+BO9+BE9+AT9+AJ9+Z9+P9</f>
        <v>60000</v>
      </c>
      <c r="ET9">
        <f>DX9+DN9+DD9+CT9+CJ9+BZ9+BP9+BF9+AU9+AK9+AA9+Q9</f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47"/>
        <v>60000</v>
      </c>
      <c r="FF9">
        <f t="shared" si="48"/>
        <v>60000</v>
      </c>
      <c r="FG9">
        <f t="shared" si="49"/>
        <v>447620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>SUM(FH9:FN9)+(IF(F9="YES",50000,0))</f>
        <v>0</v>
      </c>
      <c r="FP9">
        <f t="shared" si="50"/>
        <v>447620</v>
      </c>
      <c r="FQ9">
        <f t="shared" si="51"/>
        <v>9881</v>
      </c>
      <c r="FR9">
        <f t="shared" si="52"/>
        <v>0</v>
      </c>
      <c r="FS9">
        <f t="shared" si="53"/>
        <v>9881</v>
      </c>
      <c r="FT9">
        <f t="shared" si="54"/>
        <v>0</v>
      </c>
      <c r="FU9">
        <f t="shared" si="55"/>
        <v>0</v>
      </c>
      <c r="FV9">
        <f t="shared" si="56"/>
        <v>0</v>
      </c>
      <c r="FW9">
        <v>0</v>
      </c>
      <c r="FX9">
        <f t="shared" si="57"/>
        <v>0</v>
      </c>
      <c r="FY9" t="b">
        <f t="shared" si="58"/>
        <v>1</v>
      </c>
      <c r="FZ9">
        <f t="shared" ca="1" si="59"/>
        <v>977</v>
      </c>
      <c r="GA9">
        <f t="shared" ca="1" si="60"/>
        <v>560997</v>
      </c>
      <c r="GB9">
        <f t="shared" si="61"/>
        <v>75000</v>
      </c>
      <c r="GC9">
        <f t="shared" ca="1" si="62"/>
        <v>485997</v>
      </c>
      <c r="GD9">
        <f t="shared" ca="1" si="63"/>
        <v>0</v>
      </c>
      <c r="GE9">
        <f t="shared" ca="1" si="64"/>
        <v>0</v>
      </c>
      <c r="GF9">
        <f t="shared" ca="1" si="65"/>
        <v>0</v>
      </c>
      <c r="GG9">
        <f t="shared" ca="1" si="66"/>
        <v>0</v>
      </c>
      <c r="GH9">
        <f t="shared" ca="1" si="67"/>
        <v>0</v>
      </c>
      <c r="GI9">
        <f t="shared" ca="1" si="68"/>
        <v>0</v>
      </c>
      <c r="GJ9">
        <f ca="1">IF(GC9&gt;1200000,GC9-1200000-IF(F9="YES",50000,0)-GH9,0)</f>
        <v>0</v>
      </c>
      <c r="GK9">
        <f t="shared" ca="1" si="69"/>
        <v>0</v>
      </c>
      <c r="GL9">
        <f t="shared" ca="1" si="70"/>
        <v>0</v>
      </c>
      <c r="GM9">
        <f t="shared" ca="1" si="71"/>
        <v>0</v>
      </c>
      <c r="GN9">
        <f t="shared" ca="1" si="72"/>
        <v>85997</v>
      </c>
      <c r="GO9">
        <f t="shared" ca="1" si="73"/>
        <v>4299.8500000000004</v>
      </c>
      <c r="GP9">
        <f t="shared" ca="1" si="74"/>
        <v>4300</v>
      </c>
      <c r="GQ9">
        <f t="shared" ca="1" si="75"/>
        <v>0</v>
      </c>
      <c r="GR9">
        <f t="shared" ca="1" si="76"/>
        <v>0</v>
      </c>
      <c r="GS9">
        <f t="shared" ca="1" si="77"/>
        <v>4300</v>
      </c>
      <c r="GT9">
        <f t="shared" ca="1" si="78"/>
        <v>0</v>
      </c>
      <c r="GU9" t="b">
        <f t="shared" ca="1" si="79"/>
        <v>0</v>
      </c>
      <c r="GV9">
        <f t="shared" ca="1" si="80"/>
        <v>0</v>
      </c>
      <c r="GW9">
        <f t="shared" ca="1" si="81"/>
        <v>4300</v>
      </c>
      <c r="GX9">
        <f t="shared" ca="1" si="82"/>
        <v>0</v>
      </c>
      <c r="GY9">
        <f t="shared" ca="1" si="83"/>
        <v>0</v>
      </c>
      <c r="GZ9">
        <f t="shared" ca="1" si="84"/>
        <v>0</v>
      </c>
    </row>
    <row r="10" spans="1:208" x14ac:dyDescent="0.25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957</v>
      </c>
      <c r="G10" t="s">
        <v>879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>IF(J10&gt;0,SUM(J10:N10),0)</f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85"/>
        <v>200</v>
      </c>
      <c r="S10">
        <f t="shared" si="86"/>
        <v>38116</v>
      </c>
      <c r="T10">
        <f>_xlfn.XLOOKUP(B10,'[2]april-2025'!$A:$A,'[2]april-2025'!$C:$C,0,0)</f>
        <v>31600</v>
      </c>
      <c r="U10">
        <f t="shared" si="3"/>
        <v>5688</v>
      </c>
      <c r="V10">
        <f t="shared" si="4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87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5"/>
        <v>200</v>
      </c>
      <c r="AC10">
        <f t="shared" si="6"/>
        <v>39380</v>
      </c>
      <c r="AD10">
        <f>_xlfn.XLOOKUP(B10,'[3]may-2025'!$A:$A,'[3]may-2025'!$C:$C,0,0)</f>
        <v>31600</v>
      </c>
      <c r="AE10">
        <f t="shared" si="7"/>
        <v>5688</v>
      </c>
      <c r="AF10">
        <f t="shared" si="8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88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9"/>
        <v>200</v>
      </c>
      <c r="AM10">
        <f t="shared" si="10"/>
        <v>39380</v>
      </c>
      <c r="AN10">
        <f>_xlfn.XLOOKUP(B10,'[4]june-2025'!$A:$A,'[4]june-2025'!$C:$C,0,0)</f>
        <v>31600</v>
      </c>
      <c r="AO10">
        <f t="shared" si="11"/>
        <v>5688</v>
      </c>
      <c r="AP10">
        <f t="shared" si="12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89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3"/>
        <v>200</v>
      </c>
      <c r="AW10">
        <f t="shared" si="14"/>
        <v>39380</v>
      </c>
      <c r="AX10">
        <f>_xlfn.XLOOKUP(B10,'[5]july-2025'!$A:$A,'[5]july-2025'!$C:$C,0,0)</f>
        <v>32500</v>
      </c>
      <c r="AY10">
        <f t="shared" si="15"/>
        <v>5850</v>
      </c>
      <c r="AZ10">
        <v>0</v>
      </c>
      <c r="BA10">
        <f t="shared" si="16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>IF(AX10&gt;0,SUM(AX10:BC10),0)</f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17"/>
        <v>200</v>
      </c>
      <c r="BH10">
        <f t="shared" si="18"/>
        <v>40550</v>
      </c>
      <c r="BI10">
        <f>_xlfn.XLOOKUP(B10,'[6]august-2025'!$A:$A,'[6]august-2025'!$C:$C,0,0)</f>
        <v>32500</v>
      </c>
      <c r="BJ10">
        <f t="shared" si="19"/>
        <v>5850</v>
      </c>
      <c r="BK10">
        <f t="shared" si="20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1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>IF($F10="YES",0,IF(BN10&gt;40000,200,IF(BN10&gt;25000,150,IF(BN10&gt;15000,130,IF(BN10&gt;10000,110,0)))))</f>
        <v>200</v>
      </c>
      <c r="BR10">
        <f>BN10-BO10-BP10-BQ10</f>
        <v>40550</v>
      </c>
      <c r="BS10">
        <f>_xlfn.XLOOKUP(B10,'[7]september-2025'!$A:$A,'[7]september-2025'!$C:$C,0,0)</f>
        <v>32500</v>
      </c>
      <c r="BT10">
        <f t="shared" si="22"/>
        <v>5850</v>
      </c>
      <c r="BU10">
        <f t="shared" si="23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>IF(BS10&gt;0,SUM(BS10:BW10),0)</f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24"/>
        <v>200</v>
      </c>
      <c r="CB10">
        <f t="shared" si="25"/>
        <v>40550</v>
      </c>
      <c r="CC10">
        <f>_xlfn.XLOOKUP(B10,'[8]october-2025'!$A:$A,'[8]october-2025'!$C:$C,0,0)</f>
        <v>32500</v>
      </c>
      <c r="CD10">
        <f t="shared" si="26"/>
        <v>5850</v>
      </c>
      <c r="CE10">
        <f t="shared" si="27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>IF(CC10&gt;0,SUM(CC10:CG10),0)</f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28"/>
        <v>200</v>
      </c>
      <c r="CL10">
        <f t="shared" si="29"/>
        <v>40550</v>
      </c>
      <c r="CM10">
        <f>_xlfn.XLOOKUP(B10,'[9]november-2025'!$A:$A,'[9]november-2025'!$C:$C,0,0)</f>
        <v>32500</v>
      </c>
      <c r="CN10">
        <f t="shared" si="30"/>
        <v>5850</v>
      </c>
      <c r="CO10">
        <f t="shared" si="31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>IF(CM10&gt;0,SUM(CM10:CQ10),0)</f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32"/>
        <v>200</v>
      </c>
      <c r="CV10">
        <f t="shared" si="33"/>
        <v>40550</v>
      </c>
      <c r="CW10">
        <f>_xlfn.XLOOKUP(B10,'[10]december-2025'!$A:$A,'[10]december-2025'!$C:$C,0,0)</f>
        <v>32500</v>
      </c>
      <c r="CX10">
        <f t="shared" si="34"/>
        <v>5850</v>
      </c>
      <c r="CY10">
        <f t="shared" si="35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>IF(CW10&gt;0,SUM(CW10:DA10),0)</f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36"/>
        <v>200</v>
      </c>
      <c r="DF10">
        <f t="shared" si="37"/>
        <v>40550</v>
      </c>
      <c r="DG10">
        <f>_xlfn.XLOOKUP(B10,'[11]january-2026'!$A:$A,'[11]january-2026'!$C:$C,0,0)</f>
        <v>32500</v>
      </c>
      <c r="DH10">
        <f t="shared" si="38"/>
        <v>5850</v>
      </c>
      <c r="DI10">
        <f t="shared" si="39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>IF(DG10&gt;0,SUM(DG10:DK10),0)</f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40"/>
        <v>200</v>
      </c>
      <c r="DP10">
        <f t="shared" si="41"/>
        <v>40550</v>
      </c>
      <c r="DQ10">
        <f>_xlfn.XLOOKUP(B10,'[12]february-2026'!$A:$A,'[12]february-2026'!$C:$C,0,0)</f>
        <v>32500</v>
      </c>
      <c r="DR10">
        <f t="shared" si="42"/>
        <v>5850</v>
      </c>
      <c r="DS10">
        <f t="shared" si="43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>IF(DQ10&gt;0,SUM(DQ10:DU10),0)</f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44"/>
        <v>200</v>
      </c>
      <c r="DZ10">
        <f t="shared" si="45"/>
        <v>40550</v>
      </c>
      <c r="EA10">
        <f>_xlfn.XLOOKUP(B10,'[1]march-2025'!$A:$A,'[1]march-2025'!$J:$J,0,0)</f>
        <v>0</v>
      </c>
      <c r="EB10">
        <f>_xlfn.XLOOKUP(B10,'[2]april-2025'!$A:$A,'[2]april-2025'!$J:$J,0,0)</f>
        <v>0</v>
      </c>
      <c r="EC10">
        <f>_xlfn.XLOOKUP(B10,'[3]may-2025'!$A:$A,'[3]may-2025'!$J:$J,0,0)</f>
        <v>0</v>
      </c>
      <c r="ED10">
        <f>_xlfn.XLOOKUP(B10,'[4]june-2025'!$A:$A,'[4]june-2025'!$J:$J,0,0)</f>
        <v>0</v>
      </c>
      <c r="EE10">
        <f>_xlfn.XLOOKUP(B10,'[5]july-2025'!$A:$A,'[5]july-2025'!$J:$J,0,0)</f>
        <v>0</v>
      </c>
      <c r="EF10">
        <f>_xlfn.XLOOKUP(B10,'[6]august-2025'!$A:$A,'[6]august-2025'!$J:$J,0,0)</f>
        <v>0</v>
      </c>
      <c r="EG10">
        <f>_xlfn.XLOOKUP(B10,'[7]september-2025'!$A:$A,'[7]september-2025'!$J:$J,0,0)</f>
        <v>0</v>
      </c>
      <c r="EH10">
        <f>_xlfn.XLOOKUP(B10,'[8]october-2025'!$A:$A,'[8]october-2025'!$J:$J,0,0)</f>
        <v>0</v>
      </c>
      <c r="EI10">
        <f>_xlfn.XLOOKUP(C10,'[9]november-2025'!$A:$A,'[9]november-2025'!$J:$J,0,0)</f>
        <v>0</v>
      </c>
      <c r="EJ10">
        <f>_xlfn.XLOOKUP(B10,'[10]december-2025'!$A:$A,'[10]december-2025'!$J:$J,0,0)</f>
        <v>0</v>
      </c>
      <c r="EK10">
        <f>_xlfn.XLOOKUP(B10,'[11]january-2026'!$A:$A,'[11]january-2026'!$J:$J,0,0)</f>
        <v>0</v>
      </c>
      <c r="EL10">
        <f>_xlfn.XLOOKUP(B10,'[12]february-2026'!$A:$A,'[12]february-2026'!$J:$J,0,0)</f>
        <v>0</v>
      </c>
      <c r="EM10">
        <f t="shared" si="90"/>
        <v>0</v>
      </c>
      <c r="EN10">
        <f>DV10+DL10+DB10+CR10+CH10+BX10+BN10+BD10+AS10+AI10+Y10+O10+H10+I10</f>
        <v>513856</v>
      </c>
      <c r="EO10">
        <f>DY10+DO10+DE10+CU10+CK10+CA10+BQ10+BG10+AV10+AL10+AB10+R10</f>
        <v>2400</v>
      </c>
      <c r="EP10">
        <f t="shared" si="46"/>
        <v>50000</v>
      </c>
      <c r="EQ10">
        <v>0</v>
      </c>
      <c r="ER10">
        <f t="shared" si="91"/>
        <v>461456</v>
      </c>
      <c r="ES10">
        <f>DW10+DM10+DC10+CS10+CI10+BY10+BO10+BE10+AT10+AJ10+Z10+P10</f>
        <v>24000</v>
      </c>
      <c r="ET10">
        <f>DX10+DN10+DD10+CT10+CJ10+BZ10+BP10+BF10+AU10+AK10+AA10+Q10</f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47"/>
        <v>24000</v>
      </c>
      <c r="FF10">
        <f t="shared" si="48"/>
        <v>24000</v>
      </c>
      <c r="FG10">
        <f t="shared" si="49"/>
        <v>437456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>SUM(FH10:FN10)+(IF(F10="YES",50000,0))</f>
        <v>0</v>
      </c>
      <c r="FP10">
        <f t="shared" si="50"/>
        <v>437456</v>
      </c>
      <c r="FQ10">
        <f t="shared" si="51"/>
        <v>9373</v>
      </c>
      <c r="FR10">
        <f t="shared" si="52"/>
        <v>0</v>
      </c>
      <c r="FS10">
        <f t="shared" si="53"/>
        <v>9373</v>
      </c>
      <c r="FT10">
        <f t="shared" si="54"/>
        <v>0</v>
      </c>
      <c r="FU10">
        <f t="shared" si="55"/>
        <v>0</v>
      </c>
      <c r="FV10">
        <f t="shared" si="56"/>
        <v>0</v>
      </c>
      <c r="FW10">
        <v>0</v>
      </c>
      <c r="FX10">
        <f t="shared" si="57"/>
        <v>0</v>
      </c>
      <c r="FY10" t="b">
        <f t="shared" si="58"/>
        <v>1</v>
      </c>
      <c r="FZ10">
        <f t="shared" ca="1" si="59"/>
        <v>779</v>
      </c>
      <c r="GA10">
        <f t="shared" ca="1" si="60"/>
        <v>514635</v>
      </c>
      <c r="GB10">
        <f t="shared" si="61"/>
        <v>75000</v>
      </c>
      <c r="GC10">
        <f t="shared" ca="1" si="62"/>
        <v>439635</v>
      </c>
      <c r="GD10">
        <f t="shared" ca="1" si="63"/>
        <v>0</v>
      </c>
      <c r="GE10">
        <f t="shared" ca="1" si="64"/>
        <v>0</v>
      </c>
      <c r="GF10">
        <f t="shared" ca="1" si="65"/>
        <v>0</v>
      </c>
      <c r="GG10">
        <f t="shared" ca="1" si="66"/>
        <v>0</v>
      </c>
      <c r="GH10">
        <f t="shared" ca="1" si="67"/>
        <v>0</v>
      </c>
      <c r="GI10">
        <f t="shared" ca="1" si="68"/>
        <v>0</v>
      </c>
      <c r="GJ10">
        <f ca="1">IF(GC10&gt;1200000,GC10-1200000-IF(F10="YES",50000,0)-GH10,0)</f>
        <v>0</v>
      </c>
      <c r="GK10">
        <f t="shared" ca="1" si="69"/>
        <v>0</v>
      </c>
      <c r="GL10">
        <f t="shared" ca="1" si="70"/>
        <v>0</v>
      </c>
      <c r="GM10">
        <f t="shared" ca="1" si="71"/>
        <v>0</v>
      </c>
      <c r="GN10">
        <f t="shared" ca="1" si="72"/>
        <v>39635</v>
      </c>
      <c r="GO10">
        <f t="shared" ca="1" si="73"/>
        <v>1981.75</v>
      </c>
      <c r="GP10">
        <f t="shared" ca="1" si="74"/>
        <v>1982</v>
      </c>
      <c r="GQ10">
        <f t="shared" ca="1" si="75"/>
        <v>0</v>
      </c>
      <c r="GR10">
        <f t="shared" ca="1" si="76"/>
        <v>0</v>
      </c>
      <c r="GS10">
        <f t="shared" ca="1" si="77"/>
        <v>1982</v>
      </c>
      <c r="GT10">
        <f t="shared" ca="1" si="78"/>
        <v>0</v>
      </c>
      <c r="GU10" t="b">
        <f t="shared" ca="1" si="79"/>
        <v>0</v>
      </c>
      <c r="GV10">
        <f t="shared" ca="1" si="80"/>
        <v>0</v>
      </c>
      <c r="GW10">
        <f t="shared" ca="1" si="81"/>
        <v>1982</v>
      </c>
      <c r="GX10">
        <f t="shared" ca="1" si="82"/>
        <v>0</v>
      </c>
      <c r="GY10">
        <f t="shared" ca="1" si="83"/>
        <v>0</v>
      </c>
      <c r="GZ10">
        <f t="shared" ca="1" si="84"/>
        <v>0</v>
      </c>
    </row>
    <row r="11" spans="1:208" x14ac:dyDescent="0.25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957</v>
      </c>
      <c r="G11" t="s">
        <v>881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>IF(J11&gt;0,SUM(J11:N11),0)</f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85"/>
        <v>150</v>
      </c>
      <c r="S11">
        <f t="shared" si="86"/>
        <v>34764</v>
      </c>
      <c r="T11">
        <f>_xlfn.XLOOKUP(B11,'[2]april-2025'!$A:$A,'[2]april-2025'!$C:$C,0,0)</f>
        <v>28900</v>
      </c>
      <c r="U11">
        <f t="shared" si="3"/>
        <v>5202</v>
      </c>
      <c r="V11">
        <f t="shared" si="4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87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5"/>
        <v>150</v>
      </c>
      <c r="AC11">
        <f t="shared" si="6"/>
        <v>35920</v>
      </c>
      <c r="AD11">
        <f>_xlfn.XLOOKUP(B11,'[3]may-2025'!$A:$A,'[3]may-2025'!$C:$C,0,0)</f>
        <v>28900</v>
      </c>
      <c r="AE11">
        <f t="shared" si="7"/>
        <v>5202</v>
      </c>
      <c r="AF11">
        <f t="shared" si="8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88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9"/>
        <v>150</v>
      </c>
      <c r="AM11">
        <f t="shared" si="10"/>
        <v>35920</v>
      </c>
      <c r="AN11">
        <f>_xlfn.XLOOKUP(B11,'[4]june-2025'!$A:$A,'[4]june-2025'!$C:$C,0,0)</f>
        <v>28900</v>
      </c>
      <c r="AO11">
        <f t="shared" si="11"/>
        <v>5202</v>
      </c>
      <c r="AP11">
        <f t="shared" si="12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89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3"/>
        <v>150</v>
      </c>
      <c r="AW11">
        <f t="shared" si="14"/>
        <v>35920</v>
      </c>
      <c r="AX11">
        <f>_xlfn.XLOOKUP(B11,'[5]july-2025'!$A:$A,'[5]july-2025'!$C:$C,0,0)</f>
        <v>29800</v>
      </c>
      <c r="AY11">
        <f t="shared" si="15"/>
        <v>5364</v>
      </c>
      <c r="AZ11">
        <v>0</v>
      </c>
      <c r="BA11">
        <f t="shared" si="16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>IF(AX11&gt;0,SUM(AX11:BC11),0)</f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17"/>
        <v>150</v>
      </c>
      <c r="BH11">
        <f t="shared" si="18"/>
        <v>37090</v>
      </c>
      <c r="BI11">
        <f>_xlfn.XLOOKUP(B11,'[6]august-2025'!$A:$A,'[6]august-2025'!$C:$C,0,0)</f>
        <v>29800</v>
      </c>
      <c r="BJ11">
        <f t="shared" si="19"/>
        <v>5364</v>
      </c>
      <c r="BK11">
        <f t="shared" si="20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1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>IF($F11="YES",0,IF(BN11&gt;40000,200,IF(BN11&gt;25000,150,IF(BN11&gt;15000,130,IF(BN11&gt;10000,110,0)))))</f>
        <v>150</v>
      </c>
      <c r="BR11">
        <f>BN11-BO11-BP11-BQ11</f>
        <v>37090</v>
      </c>
      <c r="BS11">
        <f>_xlfn.XLOOKUP(B11,'[7]september-2025'!$A:$A,'[7]september-2025'!$C:$C,0,0)</f>
        <v>29800</v>
      </c>
      <c r="BT11">
        <f t="shared" si="22"/>
        <v>5364</v>
      </c>
      <c r="BU11">
        <f t="shared" si="23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>IF(BS11&gt;0,SUM(BS11:BW11),0)</f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24"/>
        <v>150</v>
      </c>
      <c r="CB11">
        <f t="shared" si="25"/>
        <v>37090</v>
      </c>
      <c r="CC11">
        <f>_xlfn.XLOOKUP(B11,'[8]october-2025'!$A:$A,'[8]october-2025'!$C:$C,0,0)</f>
        <v>29800</v>
      </c>
      <c r="CD11">
        <f t="shared" si="26"/>
        <v>5364</v>
      </c>
      <c r="CE11">
        <f t="shared" si="27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>IF(CC11&gt;0,SUM(CC11:CG11),0)</f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28"/>
        <v>150</v>
      </c>
      <c r="CL11">
        <f t="shared" si="29"/>
        <v>37090</v>
      </c>
      <c r="CM11">
        <f>_xlfn.XLOOKUP(B11,'[9]november-2025'!$A:$A,'[9]november-2025'!$C:$C,0,0)</f>
        <v>29800</v>
      </c>
      <c r="CN11">
        <f t="shared" si="30"/>
        <v>5364</v>
      </c>
      <c r="CO11">
        <f t="shared" si="31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>IF(CM11&gt;0,SUM(CM11:CQ11),0)</f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32"/>
        <v>150</v>
      </c>
      <c r="CV11">
        <f t="shared" si="33"/>
        <v>37090</v>
      </c>
      <c r="CW11">
        <f>_xlfn.XLOOKUP(B11,'[10]december-2025'!$A:$A,'[10]december-2025'!$C:$C,0,0)</f>
        <v>29800</v>
      </c>
      <c r="CX11">
        <f t="shared" si="34"/>
        <v>5364</v>
      </c>
      <c r="CY11">
        <f t="shared" si="35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>IF(CW11&gt;0,SUM(CW11:DA11),0)</f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36"/>
        <v>150</v>
      </c>
      <c r="DF11">
        <f t="shared" si="37"/>
        <v>37090</v>
      </c>
      <c r="DG11">
        <f>_xlfn.XLOOKUP(B11,'[11]january-2026'!$A:$A,'[11]january-2026'!$C:$C,0,0)</f>
        <v>29800</v>
      </c>
      <c r="DH11">
        <f t="shared" si="38"/>
        <v>5364</v>
      </c>
      <c r="DI11">
        <f t="shared" si="39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>IF(DG11&gt;0,SUM(DG11:DK11),0)</f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40"/>
        <v>150</v>
      </c>
      <c r="DP11">
        <f t="shared" si="41"/>
        <v>37090</v>
      </c>
      <c r="DQ11">
        <f>_xlfn.XLOOKUP(B11,'[12]february-2026'!$A:$A,'[12]february-2026'!$C:$C,0,0)</f>
        <v>29800</v>
      </c>
      <c r="DR11">
        <f t="shared" si="42"/>
        <v>5364</v>
      </c>
      <c r="DS11">
        <f t="shared" si="43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>IF(DQ11&gt;0,SUM(DQ11:DU11),0)</f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44"/>
        <v>150</v>
      </c>
      <c r="DZ11">
        <f t="shared" si="45"/>
        <v>37090</v>
      </c>
      <c r="EA11">
        <f>_xlfn.XLOOKUP(B11,'[1]march-2025'!$A:$A,'[1]march-2025'!$J:$J,0,0)</f>
        <v>0</v>
      </c>
      <c r="EB11">
        <f>_xlfn.XLOOKUP(B11,'[2]april-2025'!$A:$A,'[2]april-2025'!$J:$J,0,0)</f>
        <v>0</v>
      </c>
      <c r="EC11">
        <f>_xlfn.XLOOKUP(B11,'[3]may-2025'!$A:$A,'[3]may-2025'!$J:$J,0,0)</f>
        <v>0</v>
      </c>
      <c r="ED11">
        <f>_xlfn.XLOOKUP(B11,'[4]june-2025'!$A:$A,'[4]june-2025'!$J:$J,0,0)</f>
        <v>0</v>
      </c>
      <c r="EE11">
        <f>_xlfn.XLOOKUP(B11,'[5]july-2025'!$A:$A,'[5]july-2025'!$J:$J,0,0)</f>
        <v>0</v>
      </c>
      <c r="EF11">
        <f>_xlfn.XLOOKUP(B11,'[6]august-2025'!$A:$A,'[6]august-2025'!$J:$J,0,0)</f>
        <v>0</v>
      </c>
      <c r="EG11">
        <f>_xlfn.XLOOKUP(B11,'[7]september-2025'!$A:$A,'[7]september-2025'!$J:$J,0,0)</f>
        <v>0</v>
      </c>
      <c r="EH11">
        <f>_xlfn.XLOOKUP(B11,'[8]october-2025'!$A:$A,'[8]october-2025'!$J:$J,0,0)</f>
        <v>0</v>
      </c>
      <c r="EI11">
        <f>_xlfn.XLOOKUP(C11,'[9]november-2025'!$A:$A,'[9]november-2025'!$J:$J,0,0)</f>
        <v>0</v>
      </c>
      <c r="EJ11">
        <f>_xlfn.XLOOKUP(B11,'[10]december-2025'!$A:$A,'[10]december-2025'!$J:$J,0,0)</f>
        <v>0</v>
      </c>
      <c r="EK11">
        <f>_xlfn.XLOOKUP(B11,'[11]january-2026'!$A:$A,'[11]january-2026'!$J:$J,0,0)</f>
        <v>0</v>
      </c>
      <c r="EL11">
        <f>_xlfn.XLOOKUP(B11,'[12]february-2026'!$A:$A,'[12]february-2026'!$J:$J,0,0)</f>
        <v>0</v>
      </c>
      <c r="EM11">
        <f t="shared" si="90"/>
        <v>0</v>
      </c>
      <c r="EN11">
        <f>DV11+DL11+DB11+CR11+CH11+BX11+BN11+BD11+AS11+AI11+Y11+O11+H11+I11</f>
        <v>471844</v>
      </c>
      <c r="EO11">
        <f>DY11+DO11+DE11+CU11+CK11+CA11+BQ11+BG11+AV11+AL11+AB11+R11</f>
        <v>1800</v>
      </c>
      <c r="EP11">
        <f t="shared" si="46"/>
        <v>50000</v>
      </c>
      <c r="EQ11">
        <v>0</v>
      </c>
      <c r="ER11">
        <f t="shared" si="91"/>
        <v>420044</v>
      </c>
      <c r="ES11">
        <f>DW11+DM11+DC11+CS11+CI11+BY11+BO11+BE11+AT11+AJ11+Z11+P11</f>
        <v>24000</v>
      </c>
      <c r="ET11">
        <f>DX11+DN11+DD11+CT11+CJ11+BZ11+BP11+BF11+AU11+AK11+AA11+Q11</f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47"/>
        <v>24000</v>
      </c>
      <c r="FF11">
        <f t="shared" si="48"/>
        <v>24000</v>
      </c>
      <c r="FG11">
        <f t="shared" si="49"/>
        <v>396044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>SUM(FH11:FN11)+(IF(F11="YES",50000,0))</f>
        <v>0</v>
      </c>
      <c r="FP11">
        <f t="shared" si="50"/>
        <v>396044</v>
      </c>
      <c r="FQ11">
        <f t="shared" si="51"/>
        <v>7302</v>
      </c>
      <c r="FR11">
        <f t="shared" si="52"/>
        <v>0</v>
      </c>
      <c r="FS11">
        <f t="shared" si="53"/>
        <v>7302</v>
      </c>
      <c r="FT11">
        <f t="shared" si="54"/>
        <v>0</v>
      </c>
      <c r="FU11">
        <f t="shared" si="55"/>
        <v>0</v>
      </c>
      <c r="FV11">
        <f t="shared" si="56"/>
        <v>0</v>
      </c>
      <c r="FW11">
        <v>0</v>
      </c>
      <c r="FX11">
        <f t="shared" si="57"/>
        <v>0</v>
      </c>
      <c r="FY11" t="b">
        <f t="shared" si="58"/>
        <v>0</v>
      </c>
      <c r="FZ11">
        <f t="shared" ca="1" si="59"/>
        <v>1504</v>
      </c>
      <c r="GA11">
        <f t="shared" ca="1" si="60"/>
        <v>473348</v>
      </c>
      <c r="GB11">
        <f t="shared" si="61"/>
        <v>75000</v>
      </c>
      <c r="GC11">
        <f t="shared" ca="1" si="62"/>
        <v>398348</v>
      </c>
      <c r="GD11">
        <f t="shared" ca="1" si="63"/>
        <v>0</v>
      </c>
      <c r="GE11">
        <f t="shared" ca="1" si="64"/>
        <v>0</v>
      </c>
      <c r="GF11">
        <f t="shared" ca="1" si="65"/>
        <v>0</v>
      </c>
      <c r="GG11">
        <f t="shared" ca="1" si="66"/>
        <v>0</v>
      </c>
      <c r="GH11">
        <f t="shared" ca="1" si="67"/>
        <v>0</v>
      </c>
      <c r="GI11">
        <f t="shared" ca="1" si="68"/>
        <v>0</v>
      </c>
      <c r="GJ11">
        <f ca="1">IF(GC11&gt;1200000,GC11-1200000-IF(F11="YES",50000,0)-GH11,0)</f>
        <v>0</v>
      </c>
      <c r="GK11">
        <f t="shared" ca="1" si="69"/>
        <v>0</v>
      </c>
      <c r="GL11">
        <f t="shared" ca="1" si="70"/>
        <v>0</v>
      </c>
      <c r="GM11">
        <f t="shared" ca="1" si="71"/>
        <v>0</v>
      </c>
      <c r="GN11">
        <f t="shared" ca="1" si="72"/>
        <v>0</v>
      </c>
      <c r="GO11">
        <f t="shared" ca="1" si="73"/>
        <v>0</v>
      </c>
      <c r="GP11">
        <f t="shared" ca="1" si="74"/>
        <v>0</v>
      </c>
      <c r="GQ11">
        <f t="shared" ca="1" si="75"/>
        <v>0</v>
      </c>
      <c r="GR11">
        <f t="shared" ca="1" si="76"/>
        <v>0</v>
      </c>
      <c r="GS11">
        <f t="shared" ca="1" si="77"/>
        <v>0</v>
      </c>
      <c r="GT11">
        <f t="shared" ca="1" si="78"/>
        <v>0</v>
      </c>
      <c r="GU11" t="b">
        <f t="shared" ca="1" si="79"/>
        <v>0</v>
      </c>
      <c r="GV11">
        <f t="shared" ca="1" si="80"/>
        <v>0</v>
      </c>
      <c r="GW11">
        <f t="shared" ca="1" si="81"/>
        <v>0</v>
      </c>
      <c r="GX11">
        <f t="shared" ca="1" si="82"/>
        <v>0</v>
      </c>
      <c r="GY11">
        <f t="shared" ca="1" si="83"/>
        <v>0</v>
      </c>
      <c r="GZ11">
        <f t="shared" ca="1" si="84"/>
        <v>0</v>
      </c>
    </row>
    <row r="12" spans="1:208" x14ac:dyDescent="0.25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957</v>
      </c>
      <c r="G12" t="s">
        <v>880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>IF(J12&gt;0,SUM(J12:N12),0)</f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85"/>
        <v>200</v>
      </c>
      <c r="S12">
        <f t="shared" si="86"/>
        <v>56798</v>
      </c>
      <c r="T12">
        <f>_xlfn.XLOOKUP(B12,'[2]april-2025'!$A:$A,'[2]april-2025'!$C:$C,0,0)</f>
        <v>47300</v>
      </c>
      <c r="U12">
        <f t="shared" si="3"/>
        <v>8514</v>
      </c>
      <c r="V12">
        <f t="shared" si="4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87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5"/>
        <v>200</v>
      </c>
      <c r="AC12">
        <f t="shared" si="6"/>
        <v>58690</v>
      </c>
      <c r="AD12">
        <f>_xlfn.XLOOKUP(B12,'[3]may-2025'!$A:$A,'[3]may-2025'!$C:$C,0,0)</f>
        <v>47300</v>
      </c>
      <c r="AE12">
        <f t="shared" si="7"/>
        <v>8514</v>
      </c>
      <c r="AF12">
        <f t="shared" si="8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88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9"/>
        <v>200</v>
      </c>
      <c r="AM12">
        <f t="shared" si="10"/>
        <v>58690</v>
      </c>
      <c r="AN12">
        <f>_xlfn.XLOOKUP(B12,'[4]june-2025'!$A:$A,'[4]june-2025'!$C:$C,0,0)</f>
        <v>47300</v>
      </c>
      <c r="AO12">
        <f t="shared" si="11"/>
        <v>8514</v>
      </c>
      <c r="AP12">
        <f t="shared" si="12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89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3"/>
        <v>200</v>
      </c>
      <c r="AW12">
        <f t="shared" si="14"/>
        <v>58690</v>
      </c>
      <c r="AX12">
        <f>_xlfn.XLOOKUP(B12,'[5]july-2025'!$A:$A,'[5]july-2025'!$C:$C,0,0)</f>
        <v>48700</v>
      </c>
      <c r="AY12">
        <f t="shared" si="15"/>
        <v>8766</v>
      </c>
      <c r="AZ12">
        <v>0</v>
      </c>
      <c r="BA12">
        <f t="shared" si="16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>IF(AX12&gt;0,SUM(AX12:BC12),0)</f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17"/>
        <v>200</v>
      </c>
      <c r="BH12">
        <f t="shared" si="18"/>
        <v>60510</v>
      </c>
      <c r="BI12">
        <f>_xlfn.XLOOKUP(B12,'[6]august-2025'!$A:$A,'[6]august-2025'!$C:$C,0,0)</f>
        <v>48700</v>
      </c>
      <c r="BJ12">
        <f t="shared" si="19"/>
        <v>8766</v>
      </c>
      <c r="BK12">
        <f t="shared" si="20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1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>IF($F12="YES",0,IF(BN12&gt;40000,200,IF(BN12&gt;25000,150,IF(BN12&gt;15000,130,IF(BN12&gt;10000,110,0)))))</f>
        <v>200</v>
      </c>
      <c r="BR12">
        <f>BN12-BO12-BP12-BQ12</f>
        <v>60510</v>
      </c>
      <c r="BS12">
        <f>_xlfn.XLOOKUP(B12,'[7]september-2025'!$A:$A,'[7]september-2025'!$C:$C,0,0)</f>
        <v>48700</v>
      </c>
      <c r="BT12">
        <f t="shared" si="22"/>
        <v>8766</v>
      </c>
      <c r="BU12">
        <f t="shared" si="23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>IF(BS12&gt;0,SUM(BS12:BW12),0)</f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24"/>
        <v>200</v>
      </c>
      <c r="CB12">
        <f t="shared" si="25"/>
        <v>60510</v>
      </c>
      <c r="CC12">
        <f>_xlfn.XLOOKUP(B12,'[8]october-2025'!$A:$A,'[8]october-2025'!$C:$C,0,0)</f>
        <v>48700</v>
      </c>
      <c r="CD12">
        <f t="shared" si="26"/>
        <v>8766</v>
      </c>
      <c r="CE12">
        <f t="shared" si="27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>IF(CC12&gt;0,SUM(CC12:CG12),0)</f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28"/>
        <v>200</v>
      </c>
      <c r="CL12">
        <f t="shared" si="29"/>
        <v>60510</v>
      </c>
      <c r="CM12">
        <f>_xlfn.XLOOKUP(B12,'[9]november-2025'!$A:$A,'[9]november-2025'!$C:$C,0,0)</f>
        <v>48700</v>
      </c>
      <c r="CN12">
        <f t="shared" si="30"/>
        <v>8766</v>
      </c>
      <c r="CO12">
        <f t="shared" si="31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>IF(CM12&gt;0,SUM(CM12:CQ12),0)</f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32"/>
        <v>200</v>
      </c>
      <c r="CV12">
        <f t="shared" si="33"/>
        <v>60510</v>
      </c>
      <c r="CW12">
        <f>_xlfn.XLOOKUP(B12,'[10]december-2025'!$A:$A,'[10]december-2025'!$C:$C,0,0)</f>
        <v>48700</v>
      </c>
      <c r="CX12">
        <f t="shared" si="34"/>
        <v>8766</v>
      </c>
      <c r="CY12">
        <f t="shared" si="35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>IF(CW12&gt;0,SUM(CW12:DA12),0)</f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36"/>
        <v>200</v>
      </c>
      <c r="DF12">
        <f t="shared" si="37"/>
        <v>60510</v>
      </c>
      <c r="DG12">
        <f>_xlfn.XLOOKUP(B12,'[11]january-2026'!$A:$A,'[11]january-2026'!$C:$C,0,0)</f>
        <v>48700</v>
      </c>
      <c r="DH12">
        <f t="shared" si="38"/>
        <v>8766</v>
      </c>
      <c r="DI12">
        <f t="shared" si="39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>IF(DG12&gt;0,SUM(DG12:DK12),0)</f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40"/>
        <v>200</v>
      </c>
      <c r="DP12">
        <f t="shared" si="41"/>
        <v>60510</v>
      </c>
      <c r="DQ12">
        <f>_xlfn.XLOOKUP(B12,'[12]february-2026'!$A:$A,'[12]february-2026'!$C:$C,0,0)</f>
        <v>48700</v>
      </c>
      <c r="DR12">
        <f t="shared" si="42"/>
        <v>8766</v>
      </c>
      <c r="DS12">
        <f t="shared" si="43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>IF(DQ12&gt;0,SUM(DQ12:DU12),0)</f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44"/>
        <v>200</v>
      </c>
      <c r="DZ12">
        <f t="shared" si="45"/>
        <v>60510</v>
      </c>
      <c r="EA12">
        <f>_xlfn.XLOOKUP(B12,'[1]march-2025'!$A:$A,'[1]march-2025'!$J:$J,0,0)</f>
        <v>0</v>
      </c>
      <c r="EB12">
        <f>_xlfn.XLOOKUP(B12,'[2]april-2025'!$A:$A,'[2]april-2025'!$J:$J,0,0)</f>
        <v>0</v>
      </c>
      <c r="EC12">
        <f>_xlfn.XLOOKUP(B12,'[3]may-2025'!$A:$A,'[3]may-2025'!$J:$J,0,0)</f>
        <v>0</v>
      </c>
      <c r="ED12">
        <f>_xlfn.XLOOKUP(B12,'[4]june-2025'!$A:$A,'[4]june-2025'!$J:$J,0,0)</f>
        <v>0</v>
      </c>
      <c r="EE12">
        <f>_xlfn.XLOOKUP(B12,'[5]july-2025'!$A:$A,'[5]july-2025'!$J:$J,0,0)</f>
        <v>0</v>
      </c>
      <c r="EF12">
        <f>_xlfn.XLOOKUP(B12,'[6]august-2025'!$A:$A,'[6]august-2025'!$J:$J,0,0)</f>
        <v>0</v>
      </c>
      <c r="EG12">
        <f>_xlfn.XLOOKUP(B12,'[7]september-2025'!$A:$A,'[7]september-2025'!$J:$J,0,0)</f>
        <v>0</v>
      </c>
      <c r="EH12">
        <f>_xlfn.XLOOKUP(B12,'[8]october-2025'!$A:$A,'[8]october-2025'!$J:$J,0,0)</f>
        <v>0</v>
      </c>
      <c r="EI12">
        <f>_xlfn.XLOOKUP(C12,'[9]november-2025'!$A:$A,'[9]november-2025'!$J:$J,0,0)</f>
        <v>0</v>
      </c>
      <c r="EJ12">
        <f>_xlfn.XLOOKUP(B12,'[10]december-2025'!$A:$A,'[10]december-2025'!$J:$J,0,0)</f>
        <v>0</v>
      </c>
      <c r="EK12">
        <f>_xlfn.XLOOKUP(B12,'[11]january-2026'!$A:$A,'[11]january-2026'!$J:$J,0,0)</f>
        <v>0</v>
      </c>
      <c r="EL12">
        <f>_xlfn.XLOOKUP(B12,'[12]february-2026'!$A:$A,'[12]february-2026'!$J:$J,0,0)</f>
        <v>0</v>
      </c>
      <c r="EM12">
        <f t="shared" si="90"/>
        <v>0</v>
      </c>
      <c r="EN12">
        <f>DV12+DL12+DB12+CR12+CH12+BX12+BN12+BD12+AS12+AI12+Y12+O12+H12+I12</f>
        <v>762148</v>
      </c>
      <c r="EO12">
        <f>DY12+DO12+DE12+CU12+CK12+CA12+BQ12+BG12+AV12+AL12+AB12+R12</f>
        <v>2400</v>
      </c>
      <c r="EP12">
        <f t="shared" si="46"/>
        <v>50000</v>
      </c>
      <c r="EQ12">
        <v>0</v>
      </c>
      <c r="ER12">
        <f t="shared" si="91"/>
        <v>709748</v>
      </c>
      <c r="ES12">
        <f>DW12+DM12+DC12+CS12+CI12+BY12+BO12+BE12+AT12+AJ12+Z12+P12</f>
        <v>36000</v>
      </c>
      <c r="ET12">
        <f>DX12+DN12+DD12+CT12+CJ12+BZ12+BP12+BF12+AU12+AK12+AA12+Q12</f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47"/>
        <v>36000</v>
      </c>
      <c r="FF12">
        <f t="shared" si="48"/>
        <v>36000</v>
      </c>
      <c r="FG12">
        <f t="shared" si="49"/>
        <v>673748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>SUM(FH12:FN12)+(IF(F12="YES",50000,0))</f>
        <v>0</v>
      </c>
      <c r="FP12">
        <f t="shared" si="50"/>
        <v>673748</v>
      </c>
      <c r="FQ12">
        <f t="shared" si="51"/>
        <v>12500</v>
      </c>
      <c r="FR12">
        <f t="shared" si="52"/>
        <v>34750</v>
      </c>
      <c r="FS12">
        <f t="shared" si="53"/>
        <v>47250</v>
      </c>
      <c r="FT12">
        <f t="shared" si="54"/>
        <v>47250</v>
      </c>
      <c r="FU12">
        <f t="shared" si="55"/>
        <v>1890</v>
      </c>
      <c r="FV12">
        <f t="shared" si="56"/>
        <v>49140</v>
      </c>
      <c r="FW12">
        <v>0</v>
      </c>
      <c r="FX12">
        <f t="shared" si="57"/>
        <v>49140</v>
      </c>
      <c r="FY12" t="b">
        <f t="shared" si="58"/>
        <v>1</v>
      </c>
      <c r="FZ12">
        <f t="shared" ca="1" si="59"/>
        <v>852</v>
      </c>
      <c r="GA12">
        <f t="shared" ca="1" si="60"/>
        <v>763000</v>
      </c>
      <c r="GB12">
        <f t="shared" si="61"/>
        <v>75000</v>
      </c>
      <c r="GC12">
        <f t="shared" ca="1" si="62"/>
        <v>688000</v>
      </c>
      <c r="GD12">
        <f t="shared" ca="1" si="63"/>
        <v>0</v>
      </c>
      <c r="GE12">
        <f t="shared" ca="1" si="64"/>
        <v>0</v>
      </c>
      <c r="GF12">
        <f t="shared" ca="1" si="65"/>
        <v>0</v>
      </c>
      <c r="GG12">
        <f t="shared" ca="1" si="66"/>
        <v>0</v>
      </c>
      <c r="GH12">
        <f t="shared" ca="1" si="67"/>
        <v>0</v>
      </c>
      <c r="GI12">
        <f t="shared" ca="1" si="68"/>
        <v>0</v>
      </c>
      <c r="GJ12">
        <f ca="1">IF(GC12&gt;1200000,GC12-1200000-IF(F12="YES",50000,0)-GH12,0)</f>
        <v>0</v>
      </c>
      <c r="GK12">
        <f t="shared" ca="1" si="69"/>
        <v>0</v>
      </c>
      <c r="GL12">
        <f t="shared" ca="1" si="70"/>
        <v>0</v>
      </c>
      <c r="GM12">
        <f t="shared" ca="1" si="71"/>
        <v>0</v>
      </c>
      <c r="GN12">
        <f t="shared" ca="1" si="72"/>
        <v>288000</v>
      </c>
      <c r="GO12">
        <f t="shared" ca="1" si="73"/>
        <v>14400</v>
      </c>
      <c r="GP12">
        <f t="shared" ca="1" si="74"/>
        <v>14400</v>
      </c>
      <c r="GQ12">
        <f t="shared" ca="1" si="75"/>
        <v>0</v>
      </c>
      <c r="GR12">
        <f t="shared" ca="1" si="76"/>
        <v>0</v>
      </c>
      <c r="GS12">
        <f t="shared" ca="1" si="77"/>
        <v>14400</v>
      </c>
      <c r="GT12">
        <f t="shared" ca="1" si="78"/>
        <v>0</v>
      </c>
      <c r="GU12" t="b">
        <f t="shared" ca="1" si="79"/>
        <v>0</v>
      </c>
      <c r="GV12">
        <f t="shared" ca="1" si="80"/>
        <v>0</v>
      </c>
      <c r="GW12">
        <f t="shared" ca="1" si="81"/>
        <v>14400</v>
      </c>
      <c r="GX12">
        <f t="shared" ca="1" si="82"/>
        <v>0</v>
      </c>
      <c r="GY12">
        <f t="shared" ca="1" si="83"/>
        <v>0</v>
      </c>
      <c r="GZ12">
        <f t="shared" ca="1" si="84"/>
        <v>0</v>
      </c>
    </row>
    <row r="13" spans="1:208" x14ac:dyDescent="0.25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957</v>
      </c>
      <c r="G13" t="s">
        <v>882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>IF(J13&gt;0,SUM(J13:N13),0)</f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85"/>
        <v>150</v>
      </c>
      <c r="S13">
        <f t="shared" si="86"/>
        <v>32370</v>
      </c>
      <c r="T13">
        <f>_xlfn.XLOOKUP(B13,'[2]april-2025'!$A:$A,'[2]april-2025'!$C:$C,0,0)</f>
        <v>27000</v>
      </c>
      <c r="U13">
        <f t="shared" si="3"/>
        <v>4860</v>
      </c>
      <c r="V13">
        <f t="shared" si="4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87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5"/>
        <v>150</v>
      </c>
      <c r="AC13">
        <f t="shared" si="6"/>
        <v>33450</v>
      </c>
      <c r="AD13">
        <f>_xlfn.XLOOKUP(B13,'[3]may-2025'!$A:$A,'[3]may-2025'!$C:$C,0,0)</f>
        <v>31600</v>
      </c>
      <c r="AE13">
        <f t="shared" si="7"/>
        <v>5688</v>
      </c>
      <c r="AF13">
        <f t="shared" si="8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88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9"/>
        <v>200</v>
      </c>
      <c r="AM13">
        <f t="shared" si="10"/>
        <v>39380</v>
      </c>
      <c r="AN13">
        <f>_xlfn.XLOOKUP(B13,'[4]june-2025'!$A:$A,'[4]june-2025'!$C:$C,0,0)</f>
        <v>31600</v>
      </c>
      <c r="AO13">
        <f t="shared" si="11"/>
        <v>5688</v>
      </c>
      <c r="AP13">
        <f t="shared" si="12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89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3"/>
        <v>200</v>
      </c>
      <c r="AW13">
        <f t="shared" si="14"/>
        <v>39380</v>
      </c>
      <c r="AX13">
        <f>_xlfn.XLOOKUP(B13,'[5]july-2025'!$A:$A,'[5]july-2025'!$C:$C,0,0)</f>
        <v>32500</v>
      </c>
      <c r="AY13">
        <f t="shared" si="15"/>
        <v>5850</v>
      </c>
      <c r="AZ13">
        <v>0</v>
      </c>
      <c r="BA13">
        <f t="shared" si="16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>IF(AX13&gt;0,SUM(AX13:BC13),0)</f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17"/>
        <v>200</v>
      </c>
      <c r="BH13">
        <f t="shared" si="18"/>
        <v>40550</v>
      </c>
      <c r="BI13">
        <f>_xlfn.XLOOKUP(B13,'[6]august-2025'!$A:$A,'[6]august-2025'!$C:$C,0,0)</f>
        <v>32500</v>
      </c>
      <c r="BJ13">
        <f t="shared" si="19"/>
        <v>5850</v>
      </c>
      <c r="BK13">
        <f t="shared" si="20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1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>IF($F13="YES",0,IF(BN13&gt;40000,200,IF(BN13&gt;25000,150,IF(BN13&gt;15000,130,IF(BN13&gt;10000,110,0)))))</f>
        <v>200</v>
      </c>
      <c r="BR13">
        <f>BN13-BO13-BP13-BQ13</f>
        <v>40550</v>
      </c>
      <c r="BS13">
        <f>_xlfn.XLOOKUP(B13,'[7]september-2025'!$A:$A,'[7]september-2025'!$C:$C,0,0)</f>
        <v>32500</v>
      </c>
      <c r="BT13">
        <f t="shared" si="22"/>
        <v>5850</v>
      </c>
      <c r="BU13">
        <f t="shared" si="23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>IF(BS13&gt;0,SUM(BS13:BW13),0)</f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24"/>
        <v>200</v>
      </c>
      <c r="CB13">
        <f t="shared" si="25"/>
        <v>40550</v>
      </c>
      <c r="CC13">
        <f>_xlfn.XLOOKUP(B13,'[8]october-2025'!$A:$A,'[8]october-2025'!$C:$C,0,0)</f>
        <v>32500</v>
      </c>
      <c r="CD13">
        <f t="shared" si="26"/>
        <v>5850</v>
      </c>
      <c r="CE13">
        <f t="shared" si="27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>IF(CC13&gt;0,SUM(CC13:CG13),0)</f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28"/>
        <v>200</v>
      </c>
      <c r="CL13">
        <f t="shared" si="29"/>
        <v>40550</v>
      </c>
      <c r="CM13">
        <f>_xlfn.XLOOKUP(B13,'[9]november-2025'!$A:$A,'[9]november-2025'!$C:$C,0,0)</f>
        <v>32500</v>
      </c>
      <c r="CN13">
        <f t="shared" si="30"/>
        <v>5850</v>
      </c>
      <c r="CO13">
        <f t="shared" si="31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>IF(CM13&gt;0,SUM(CM13:CQ13),0)</f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32"/>
        <v>200</v>
      </c>
      <c r="CV13">
        <f t="shared" si="33"/>
        <v>40550</v>
      </c>
      <c r="CW13">
        <f>_xlfn.XLOOKUP(B13,'[10]december-2025'!$A:$A,'[10]december-2025'!$C:$C,0,0)</f>
        <v>32500</v>
      </c>
      <c r="CX13">
        <f t="shared" si="34"/>
        <v>5850</v>
      </c>
      <c r="CY13">
        <f t="shared" si="35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>IF(CW13&gt;0,SUM(CW13:DA13),0)</f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36"/>
        <v>200</v>
      </c>
      <c r="DF13">
        <f t="shared" si="37"/>
        <v>40550</v>
      </c>
      <c r="DG13">
        <f>_xlfn.XLOOKUP(B13,'[11]january-2026'!$A:$A,'[11]january-2026'!$C:$C,0,0)</f>
        <v>32500</v>
      </c>
      <c r="DH13">
        <f t="shared" si="38"/>
        <v>5850</v>
      </c>
      <c r="DI13">
        <f t="shared" si="39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>IF(DG13&gt;0,SUM(DG13:DK13),0)</f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40"/>
        <v>200</v>
      </c>
      <c r="DP13">
        <f t="shared" si="41"/>
        <v>40550</v>
      </c>
      <c r="DQ13">
        <f>_xlfn.XLOOKUP(B13,'[12]february-2026'!$A:$A,'[12]february-2026'!$C:$C,0,0)</f>
        <v>32500</v>
      </c>
      <c r="DR13">
        <f t="shared" si="42"/>
        <v>5850</v>
      </c>
      <c r="DS13">
        <f t="shared" si="43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>IF(DQ13&gt;0,SUM(DQ13:DU13),0)</f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44"/>
        <v>200</v>
      </c>
      <c r="DZ13">
        <f t="shared" si="45"/>
        <v>40550</v>
      </c>
      <c r="EA13">
        <f>_xlfn.XLOOKUP(B13,'[1]march-2025'!$A:$A,'[1]march-2025'!$J:$J,0,0)</f>
        <v>0</v>
      </c>
      <c r="EB13">
        <f>_xlfn.XLOOKUP(B13,'[2]april-2025'!$A:$A,'[2]april-2025'!$J:$J,0,0)</f>
        <v>0</v>
      </c>
      <c r="EC13">
        <f>_xlfn.XLOOKUP(B13,'[3]may-2025'!$A:$A,'[3]may-2025'!$J:$J,0,0)</f>
        <v>0</v>
      </c>
      <c r="ED13">
        <f>_xlfn.XLOOKUP(B13,'[4]june-2025'!$A:$A,'[4]june-2025'!$J:$J,0,0)</f>
        <v>0</v>
      </c>
      <c r="EE13">
        <f>_xlfn.XLOOKUP(B13,'[5]july-2025'!$A:$A,'[5]july-2025'!$J:$J,0,0)</f>
        <v>0</v>
      </c>
      <c r="EF13">
        <f>_xlfn.XLOOKUP(B13,'[6]august-2025'!$A:$A,'[6]august-2025'!$J:$J,0,0)</f>
        <v>0</v>
      </c>
      <c r="EG13">
        <f>_xlfn.XLOOKUP(B13,'[7]september-2025'!$A:$A,'[7]september-2025'!$J:$J,0,0)</f>
        <v>0</v>
      </c>
      <c r="EH13">
        <f>_xlfn.XLOOKUP(B13,'[8]october-2025'!$A:$A,'[8]october-2025'!$J:$J,0,0)</f>
        <v>0</v>
      </c>
      <c r="EI13">
        <f>_xlfn.XLOOKUP(C13,'[9]november-2025'!$A:$A,'[9]november-2025'!$J:$J,0,0)</f>
        <v>0</v>
      </c>
      <c r="EJ13">
        <f>_xlfn.XLOOKUP(B13,'[10]december-2025'!$A:$A,'[10]december-2025'!$J:$J,0,0)</f>
        <v>0</v>
      </c>
      <c r="EK13">
        <f>_xlfn.XLOOKUP(B13,'[11]january-2026'!$A:$A,'[11]january-2026'!$J:$J,0,0)</f>
        <v>0</v>
      </c>
      <c r="EL13">
        <f>_xlfn.XLOOKUP(B13,'[12]february-2026'!$A:$A,'[12]february-2026'!$J:$J,0,0)</f>
        <v>0</v>
      </c>
      <c r="EM13">
        <f t="shared" si="90"/>
        <v>0</v>
      </c>
      <c r="EN13">
        <f>DV13+DL13+DB13+CR13+CH13+BX13+BN13+BD13+AS13+AI13+Y13+O13+H13+I13</f>
        <v>502080</v>
      </c>
      <c r="EO13">
        <f>DY13+DO13+DE13+CU13+CK13+CA13+BQ13+BG13+AV13+AL13+AB13+R13</f>
        <v>2300</v>
      </c>
      <c r="EP13">
        <f t="shared" si="46"/>
        <v>50000</v>
      </c>
      <c r="EQ13">
        <v>0</v>
      </c>
      <c r="ER13">
        <f t="shared" si="91"/>
        <v>449780</v>
      </c>
      <c r="ES13">
        <f>DW13+DM13+DC13+CS13+CI13+BY13+BO13+BE13+AT13+AJ13+Z13+P13</f>
        <v>24000</v>
      </c>
      <c r="ET13">
        <f>DX13+DN13+DD13+CT13+CJ13+BZ13+BP13+BF13+AU13+AK13+AA13+Q13</f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47"/>
        <v>24000</v>
      </c>
      <c r="FF13">
        <f t="shared" si="48"/>
        <v>24000</v>
      </c>
      <c r="FG13">
        <f t="shared" si="49"/>
        <v>425780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>SUM(FH13:FN13)+(IF(F13="YES",50000,0))</f>
        <v>0</v>
      </c>
      <c r="FP13">
        <f t="shared" si="50"/>
        <v>425780</v>
      </c>
      <c r="FQ13">
        <f t="shared" si="51"/>
        <v>8789</v>
      </c>
      <c r="FR13">
        <f t="shared" si="52"/>
        <v>0</v>
      </c>
      <c r="FS13">
        <f t="shared" si="53"/>
        <v>8789</v>
      </c>
      <c r="FT13">
        <f t="shared" si="54"/>
        <v>0</v>
      </c>
      <c r="FU13">
        <f t="shared" si="55"/>
        <v>0</v>
      </c>
      <c r="FV13">
        <f t="shared" si="56"/>
        <v>0</v>
      </c>
      <c r="FW13">
        <v>0</v>
      </c>
      <c r="FX13">
        <f t="shared" si="57"/>
        <v>0</v>
      </c>
      <c r="FY13" t="b">
        <f t="shared" si="58"/>
        <v>1</v>
      </c>
      <c r="FZ13">
        <f t="shared" ca="1" si="59"/>
        <v>829</v>
      </c>
      <c r="GA13">
        <f t="shared" ca="1" si="60"/>
        <v>502909</v>
      </c>
      <c r="GB13">
        <f t="shared" si="61"/>
        <v>75000</v>
      </c>
      <c r="GC13">
        <f t="shared" ca="1" si="62"/>
        <v>427909</v>
      </c>
      <c r="GD13">
        <f t="shared" ca="1" si="63"/>
        <v>0</v>
      </c>
      <c r="GE13">
        <f t="shared" ca="1" si="64"/>
        <v>0</v>
      </c>
      <c r="GF13">
        <f t="shared" ca="1" si="65"/>
        <v>0</v>
      </c>
      <c r="GG13">
        <f t="shared" ca="1" si="66"/>
        <v>0</v>
      </c>
      <c r="GH13">
        <f t="shared" ca="1" si="67"/>
        <v>0</v>
      </c>
      <c r="GI13">
        <f t="shared" ca="1" si="68"/>
        <v>0</v>
      </c>
      <c r="GJ13">
        <f ca="1">IF(GC13&gt;1200000,GC13-1200000-IF(F13="YES",50000,0)-GH13,0)</f>
        <v>0</v>
      </c>
      <c r="GK13">
        <f t="shared" ca="1" si="69"/>
        <v>0</v>
      </c>
      <c r="GL13">
        <f t="shared" ca="1" si="70"/>
        <v>0</v>
      </c>
      <c r="GM13">
        <f t="shared" ca="1" si="71"/>
        <v>0</v>
      </c>
      <c r="GN13">
        <f t="shared" ca="1" si="72"/>
        <v>27909</v>
      </c>
      <c r="GO13">
        <f t="shared" ca="1" si="73"/>
        <v>1395.45</v>
      </c>
      <c r="GP13">
        <f t="shared" ca="1" si="74"/>
        <v>1395</v>
      </c>
      <c r="GQ13">
        <f t="shared" ca="1" si="75"/>
        <v>0</v>
      </c>
      <c r="GR13">
        <f t="shared" ca="1" si="76"/>
        <v>0</v>
      </c>
      <c r="GS13">
        <f t="shared" ca="1" si="77"/>
        <v>1395</v>
      </c>
      <c r="GT13">
        <f t="shared" ca="1" si="78"/>
        <v>0</v>
      </c>
      <c r="GU13" t="b">
        <f t="shared" ca="1" si="79"/>
        <v>0</v>
      </c>
      <c r="GV13">
        <f t="shared" ca="1" si="80"/>
        <v>0</v>
      </c>
      <c r="GW13">
        <f t="shared" ca="1" si="81"/>
        <v>1395</v>
      </c>
      <c r="GX13">
        <f t="shared" ca="1" si="82"/>
        <v>0</v>
      </c>
      <c r="GY13">
        <f t="shared" ca="1" si="83"/>
        <v>0</v>
      </c>
      <c r="GZ13">
        <f t="shared" ca="1" si="84"/>
        <v>0</v>
      </c>
    </row>
    <row r="14" spans="1:208" x14ac:dyDescent="0.25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957</v>
      </c>
      <c r="G14" t="s">
        <v>883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>IF(J14&gt;0,SUM(J14:N14),0)</f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85"/>
        <v>150</v>
      </c>
      <c r="S14">
        <f t="shared" si="86"/>
        <v>36764</v>
      </c>
      <c r="T14">
        <f>_xlfn.XLOOKUP(B14,'[2]april-2025'!$A:$A,'[2]april-2025'!$C:$C,0,0)</f>
        <v>28900</v>
      </c>
      <c r="U14">
        <f t="shared" si="3"/>
        <v>5202</v>
      </c>
      <c r="V14">
        <f t="shared" si="4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87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5"/>
        <v>150</v>
      </c>
      <c r="AC14">
        <f t="shared" si="6"/>
        <v>37920</v>
      </c>
      <c r="AD14">
        <f>_xlfn.XLOOKUP(B14,'[3]may-2025'!$A:$A,'[3]may-2025'!$C:$C,0,0)</f>
        <v>28900</v>
      </c>
      <c r="AE14">
        <f t="shared" si="7"/>
        <v>5202</v>
      </c>
      <c r="AF14">
        <f t="shared" si="8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88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9"/>
        <v>150</v>
      </c>
      <c r="AM14">
        <f t="shared" si="10"/>
        <v>37920</v>
      </c>
      <c r="AN14">
        <f>_xlfn.XLOOKUP(B14,'[4]june-2025'!$A:$A,'[4]june-2025'!$C:$C,0,0)</f>
        <v>28900</v>
      </c>
      <c r="AO14">
        <f t="shared" si="11"/>
        <v>5202</v>
      </c>
      <c r="AP14">
        <f t="shared" si="12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89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3"/>
        <v>150</v>
      </c>
      <c r="AW14">
        <f t="shared" si="14"/>
        <v>37920</v>
      </c>
      <c r="AX14">
        <f>_xlfn.XLOOKUP(B14,'[5]july-2025'!$A:$A,'[5]july-2025'!$C:$C,0,0)</f>
        <v>29800</v>
      </c>
      <c r="AY14">
        <f t="shared" si="15"/>
        <v>5364</v>
      </c>
      <c r="AZ14">
        <v>0</v>
      </c>
      <c r="BA14">
        <f t="shared" si="16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>IF(AX14&gt;0,SUM(AX14:BC14),0)</f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17"/>
        <v>150</v>
      </c>
      <c r="BH14">
        <f t="shared" si="18"/>
        <v>39090</v>
      </c>
      <c r="BI14">
        <f>_xlfn.XLOOKUP(B14,'[6]august-2025'!$A:$A,'[6]august-2025'!$C:$C,0,0)</f>
        <v>29800</v>
      </c>
      <c r="BJ14">
        <f t="shared" si="19"/>
        <v>5364</v>
      </c>
      <c r="BK14">
        <f t="shared" si="20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1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>IF($F14="YES",0,IF(BN14&gt;40000,200,IF(BN14&gt;25000,150,IF(BN14&gt;15000,130,IF(BN14&gt;10000,110,0)))))</f>
        <v>150</v>
      </c>
      <c r="BR14">
        <f>BN14-BO14-BP14-BQ14</f>
        <v>39090</v>
      </c>
      <c r="BS14">
        <f>_xlfn.XLOOKUP(B14,'[7]september-2025'!$A:$A,'[7]september-2025'!$C:$C,0,0)</f>
        <v>29800</v>
      </c>
      <c r="BT14">
        <f t="shared" si="22"/>
        <v>5364</v>
      </c>
      <c r="BU14">
        <f t="shared" si="23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>IF(BS14&gt;0,SUM(BS14:BW14),0)</f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24"/>
        <v>150</v>
      </c>
      <c r="CB14">
        <f t="shared" si="25"/>
        <v>37090</v>
      </c>
      <c r="CC14">
        <f>_xlfn.XLOOKUP(B14,'[8]october-2025'!$A:$A,'[8]october-2025'!$C:$C,0,0)</f>
        <v>29800</v>
      </c>
      <c r="CD14">
        <f t="shared" si="26"/>
        <v>5364</v>
      </c>
      <c r="CE14">
        <f t="shared" si="27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>IF(CC14&gt;0,SUM(CC14:CG14),0)</f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28"/>
        <v>150</v>
      </c>
      <c r="CL14">
        <f t="shared" si="29"/>
        <v>37090</v>
      </c>
      <c r="CM14">
        <f>_xlfn.XLOOKUP(B14,'[9]november-2025'!$A:$A,'[9]november-2025'!$C:$C,0,0)</f>
        <v>29800</v>
      </c>
      <c r="CN14">
        <f t="shared" si="30"/>
        <v>5364</v>
      </c>
      <c r="CO14">
        <f t="shared" si="31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>IF(CM14&gt;0,SUM(CM14:CQ14),0)</f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32"/>
        <v>150</v>
      </c>
      <c r="CV14">
        <f t="shared" si="33"/>
        <v>37090</v>
      </c>
      <c r="CW14">
        <f>_xlfn.XLOOKUP(B14,'[10]december-2025'!$A:$A,'[10]december-2025'!$C:$C,0,0)</f>
        <v>29800</v>
      </c>
      <c r="CX14">
        <f t="shared" si="34"/>
        <v>5364</v>
      </c>
      <c r="CY14">
        <f t="shared" si="35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>IF(CW14&gt;0,SUM(CW14:DA14),0)</f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36"/>
        <v>150</v>
      </c>
      <c r="DF14">
        <f t="shared" si="37"/>
        <v>37090</v>
      </c>
      <c r="DG14">
        <f>_xlfn.XLOOKUP(B14,'[11]january-2026'!$A:$A,'[11]january-2026'!$C:$C,0,0)</f>
        <v>29800</v>
      </c>
      <c r="DH14">
        <f t="shared" si="38"/>
        <v>5364</v>
      </c>
      <c r="DI14">
        <f t="shared" si="39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>IF(DG14&gt;0,SUM(DG14:DK14),0)</f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40"/>
        <v>150</v>
      </c>
      <c r="DP14">
        <f t="shared" si="41"/>
        <v>37090</v>
      </c>
      <c r="DQ14">
        <f>_xlfn.XLOOKUP(B14,'[12]february-2026'!$A:$A,'[12]february-2026'!$C:$C,0,0)</f>
        <v>29800</v>
      </c>
      <c r="DR14">
        <f t="shared" si="42"/>
        <v>5364</v>
      </c>
      <c r="DS14">
        <f t="shared" si="43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>IF(DQ14&gt;0,SUM(DQ14:DU14),0)</f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44"/>
        <v>150</v>
      </c>
      <c r="DZ14">
        <f t="shared" si="45"/>
        <v>37090</v>
      </c>
      <c r="EA14">
        <f>_xlfn.XLOOKUP(B14,'[1]march-2025'!$A:$A,'[1]march-2025'!$J:$J,0,0)</f>
        <v>0</v>
      </c>
      <c r="EB14">
        <f>_xlfn.XLOOKUP(B14,'[2]april-2025'!$A:$A,'[2]april-2025'!$J:$J,0,0)</f>
        <v>0</v>
      </c>
      <c r="EC14">
        <f>_xlfn.XLOOKUP(B14,'[3]may-2025'!$A:$A,'[3]may-2025'!$J:$J,0,0)</f>
        <v>71100</v>
      </c>
      <c r="ED14">
        <f>_xlfn.XLOOKUP(B14,'[4]june-2025'!$A:$A,'[4]june-2025'!$J:$J,0,0)</f>
        <v>0</v>
      </c>
      <c r="EE14">
        <f>_xlfn.XLOOKUP(B14,'[5]july-2025'!$A:$A,'[5]july-2025'!$J:$J,0,0)</f>
        <v>0</v>
      </c>
      <c r="EF14">
        <f>_xlfn.XLOOKUP(B14,'[6]august-2025'!$A:$A,'[6]august-2025'!$J:$J,0,0)</f>
        <v>0</v>
      </c>
      <c r="EG14">
        <f>_xlfn.XLOOKUP(B14,'[7]september-2025'!$A:$A,'[7]september-2025'!$J:$J,0,0)</f>
        <v>0</v>
      </c>
      <c r="EH14">
        <f>_xlfn.XLOOKUP(B14,'[8]october-2025'!$A:$A,'[8]october-2025'!$J:$J,0,0)</f>
        <v>0</v>
      </c>
      <c r="EI14">
        <f>_xlfn.XLOOKUP(C14,'[9]november-2025'!$A:$A,'[9]november-2025'!$J:$J,0,0)</f>
        <v>0</v>
      </c>
      <c r="EJ14">
        <f>_xlfn.XLOOKUP(B14,'[10]december-2025'!$A:$A,'[10]december-2025'!$J:$J,0,0)</f>
        <v>0</v>
      </c>
      <c r="EK14">
        <f>_xlfn.XLOOKUP(B14,'[11]january-2026'!$A:$A,'[11]january-2026'!$J:$J,0,0)</f>
        <v>0</v>
      </c>
      <c r="EL14">
        <f>_xlfn.XLOOKUP(B14,'[12]february-2026'!$A:$A,'[12]february-2026'!$J:$J,0,0)</f>
        <v>0</v>
      </c>
      <c r="EM14">
        <f t="shared" si="90"/>
        <v>71100</v>
      </c>
      <c r="EN14">
        <f>DV14+DL14+DB14+CR14+CH14+BX14+BN14+BD14+AS14+AI14+Y14+O14+H14+I14</f>
        <v>471844</v>
      </c>
      <c r="EO14">
        <f>DY14+DO14+DE14+CU14+CK14+CA14+BQ14+BG14+AV14+AL14+AB14+R14</f>
        <v>1800</v>
      </c>
      <c r="EP14">
        <f t="shared" si="46"/>
        <v>50000</v>
      </c>
      <c r="EQ14">
        <v>0</v>
      </c>
      <c r="ER14">
        <f t="shared" si="91"/>
        <v>491144</v>
      </c>
      <c r="ES14">
        <f>DW14+DM14+DC14+CS14+CI14+BY14+BO14+BE14+AT14+AJ14+Z14+P14</f>
        <v>12000</v>
      </c>
      <c r="ET14">
        <f>DX14+DN14+DD14+CT14+CJ14+BZ14+BP14+BF14+AU14+AK14+AA14+Q14</f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47"/>
        <v>12000</v>
      </c>
      <c r="FF14">
        <f t="shared" si="48"/>
        <v>12000</v>
      </c>
      <c r="FG14">
        <f t="shared" si="49"/>
        <v>479144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>SUM(FH14:FN14)+(IF(F14="YES",50000,0))</f>
        <v>0</v>
      </c>
      <c r="FP14">
        <f t="shared" si="50"/>
        <v>479144</v>
      </c>
      <c r="FQ14">
        <f t="shared" si="51"/>
        <v>11457</v>
      </c>
      <c r="FR14">
        <f t="shared" si="52"/>
        <v>0</v>
      </c>
      <c r="FS14">
        <f t="shared" si="53"/>
        <v>11457</v>
      </c>
      <c r="FT14">
        <f t="shared" si="54"/>
        <v>0</v>
      </c>
      <c r="FU14">
        <f t="shared" si="55"/>
        <v>0</v>
      </c>
      <c r="FV14">
        <f t="shared" si="56"/>
        <v>0</v>
      </c>
      <c r="FW14">
        <v>0</v>
      </c>
      <c r="FX14">
        <f t="shared" si="57"/>
        <v>0</v>
      </c>
      <c r="FY14" t="b">
        <f t="shared" si="58"/>
        <v>0</v>
      </c>
      <c r="FZ14">
        <f t="shared" ca="1" si="59"/>
        <v>1807</v>
      </c>
      <c r="GA14">
        <f t="shared" ca="1" si="60"/>
        <v>473651</v>
      </c>
      <c r="GB14">
        <f t="shared" si="61"/>
        <v>75000</v>
      </c>
      <c r="GC14">
        <f t="shared" ca="1" si="62"/>
        <v>398651</v>
      </c>
      <c r="GD14">
        <f t="shared" ca="1" si="63"/>
        <v>0</v>
      </c>
      <c r="GE14">
        <f t="shared" ca="1" si="64"/>
        <v>0</v>
      </c>
      <c r="GF14">
        <f t="shared" ca="1" si="65"/>
        <v>0</v>
      </c>
      <c r="GG14">
        <f t="shared" ca="1" si="66"/>
        <v>0</v>
      </c>
      <c r="GH14">
        <f t="shared" ca="1" si="67"/>
        <v>0</v>
      </c>
      <c r="GI14">
        <f t="shared" ca="1" si="68"/>
        <v>0</v>
      </c>
      <c r="GJ14">
        <f ca="1">IF(GC14&gt;1200000,GC14-1200000-IF(F14="YES",50000,0)-GH14,0)</f>
        <v>0</v>
      </c>
      <c r="GK14">
        <f t="shared" ca="1" si="69"/>
        <v>0</v>
      </c>
      <c r="GL14">
        <f t="shared" ca="1" si="70"/>
        <v>0</v>
      </c>
      <c r="GM14">
        <f t="shared" ca="1" si="71"/>
        <v>0</v>
      </c>
      <c r="GN14">
        <f t="shared" ca="1" si="72"/>
        <v>0</v>
      </c>
      <c r="GO14">
        <f t="shared" ca="1" si="73"/>
        <v>0</v>
      </c>
      <c r="GP14">
        <f t="shared" ca="1" si="74"/>
        <v>0</v>
      </c>
      <c r="GQ14">
        <f t="shared" ca="1" si="75"/>
        <v>0</v>
      </c>
      <c r="GR14">
        <f t="shared" ca="1" si="76"/>
        <v>0</v>
      </c>
      <c r="GS14">
        <f t="shared" ca="1" si="77"/>
        <v>0</v>
      </c>
      <c r="GT14">
        <f t="shared" ca="1" si="78"/>
        <v>0</v>
      </c>
      <c r="GU14" t="b">
        <f t="shared" ca="1" si="79"/>
        <v>0</v>
      </c>
      <c r="GV14">
        <f t="shared" ca="1" si="80"/>
        <v>0</v>
      </c>
      <c r="GW14">
        <f t="shared" ca="1" si="81"/>
        <v>0</v>
      </c>
      <c r="GX14">
        <f t="shared" ca="1" si="82"/>
        <v>0</v>
      </c>
      <c r="GY14">
        <f t="shared" ca="1" si="83"/>
        <v>0</v>
      </c>
      <c r="GZ14">
        <f t="shared" ca="1" si="84"/>
        <v>0</v>
      </c>
    </row>
    <row r="15" spans="1:208" x14ac:dyDescent="0.25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957</v>
      </c>
      <c r="G15" t="s">
        <v>884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>IF(J15&gt;0,SUM(J15:N15),0)</f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85"/>
        <v>200</v>
      </c>
      <c r="S15">
        <f t="shared" si="86"/>
        <v>38116</v>
      </c>
      <c r="T15">
        <f>_xlfn.XLOOKUP(B15,'[2]april-2025'!$A:$A,'[2]april-2025'!$C:$C,0,0)</f>
        <v>31600</v>
      </c>
      <c r="U15">
        <f t="shared" si="3"/>
        <v>5688</v>
      </c>
      <c r="V15">
        <f t="shared" si="4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87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5"/>
        <v>200</v>
      </c>
      <c r="AC15">
        <f t="shared" si="6"/>
        <v>39380</v>
      </c>
      <c r="AD15">
        <f>_xlfn.XLOOKUP(B15,'[3]may-2025'!$A:$A,'[3]may-2025'!$C:$C,0,0)</f>
        <v>31600</v>
      </c>
      <c r="AE15">
        <f t="shared" si="7"/>
        <v>5688</v>
      </c>
      <c r="AF15">
        <f t="shared" si="8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88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9"/>
        <v>200</v>
      </c>
      <c r="AM15">
        <f t="shared" si="10"/>
        <v>39380</v>
      </c>
      <c r="AN15">
        <f>_xlfn.XLOOKUP(B15,'[4]june-2025'!$A:$A,'[4]june-2025'!$C:$C,0,0)</f>
        <v>31600</v>
      </c>
      <c r="AO15">
        <f t="shared" si="11"/>
        <v>5688</v>
      </c>
      <c r="AP15">
        <f t="shared" si="12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89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3"/>
        <v>200</v>
      </c>
      <c r="AW15">
        <f t="shared" si="14"/>
        <v>39380</v>
      </c>
      <c r="AX15">
        <f>_xlfn.XLOOKUP(B15,'[5]july-2025'!$A:$A,'[5]july-2025'!$C:$C,0,0)</f>
        <v>32500</v>
      </c>
      <c r="AY15">
        <f t="shared" si="15"/>
        <v>5850</v>
      </c>
      <c r="AZ15">
        <v>0</v>
      </c>
      <c r="BA15">
        <f t="shared" si="16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>IF(AX15&gt;0,SUM(AX15:BC15),0)</f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17"/>
        <v>200</v>
      </c>
      <c r="BH15">
        <f t="shared" si="18"/>
        <v>40550</v>
      </c>
      <c r="BI15">
        <f>_xlfn.XLOOKUP(B15,'[6]august-2025'!$A:$A,'[6]august-2025'!$C:$C,0,0)</f>
        <v>32500</v>
      </c>
      <c r="BJ15">
        <f t="shared" si="19"/>
        <v>5850</v>
      </c>
      <c r="BK15">
        <f t="shared" si="20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1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>IF($F15="YES",0,IF(BN15&gt;40000,200,IF(BN15&gt;25000,150,IF(BN15&gt;15000,130,IF(BN15&gt;10000,110,0)))))</f>
        <v>200</v>
      </c>
      <c r="BR15">
        <f>BN15-BO15-BP15-BQ15</f>
        <v>40550</v>
      </c>
      <c r="BS15">
        <f>_xlfn.XLOOKUP(B15,'[7]september-2025'!$A:$A,'[7]september-2025'!$C:$C,0,0)</f>
        <v>32500</v>
      </c>
      <c r="BT15">
        <f t="shared" si="22"/>
        <v>5850</v>
      </c>
      <c r="BU15">
        <f t="shared" si="23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>IF(BS15&gt;0,SUM(BS15:BW15),0)</f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24"/>
        <v>200</v>
      </c>
      <c r="CB15">
        <f t="shared" si="25"/>
        <v>40550</v>
      </c>
      <c r="CC15">
        <f>_xlfn.XLOOKUP(B15,'[8]october-2025'!$A:$A,'[8]october-2025'!$C:$C,0,0)</f>
        <v>32500</v>
      </c>
      <c r="CD15">
        <f t="shared" si="26"/>
        <v>5850</v>
      </c>
      <c r="CE15">
        <f t="shared" si="27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>IF(CC15&gt;0,SUM(CC15:CG15),0)</f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28"/>
        <v>200</v>
      </c>
      <c r="CL15">
        <f t="shared" si="29"/>
        <v>40550</v>
      </c>
      <c r="CM15">
        <f>_xlfn.XLOOKUP(B15,'[9]november-2025'!$A:$A,'[9]november-2025'!$C:$C,0,0)</f>
        <v>0</v>
      </c>
      <c r="CN15">
        <f t="shared" si="30"/>
        <v>0</v>
      </c>
      <c r="CO15">
        <f t="shared" si="31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>IF(CM15&gt;0,SUM(CM15:CQ15),0)</f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32"/>
        <v>0</v>
      </c>
      <c r="CV15">
        <f t="shared" si="33"/>
        <v>0</v>
      </c>
      <c r="CW15">
        <f>_xlfn.XLOOKUP(B15,'[10]december-2025'!$A:$A,'[10]december-2025'!$C:$C,0,0)</f>
        <v>32500</v>
      </c>
      <c r="CX15">
        <f t="shared" si="34"/>
        <v>5850</v>
      </c>
      <c r="CY15">
        <f t="shared" si="35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>IF(CW15&gt;0,SUM(CW15:DA15),0)</f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36"/>
        <v>200</v>
      </c>
      <c r="DF15">
        <f t="shared" si="37"/>
        <v>40550</v>
      </c>
      <c r="DG15">
        <f>_xlfn.XLOOKUP(B15,'[11]january-2026'!$A:$A,'[11]january-2026'!$C:$C,0,0)</f>
        <v>32500</v>
      </c>
      <c r="DH15">
        <f t="shared" si="38"/>
        <v>5850</v>
      </c>
      <c r="DI15">
        <f t="shared" si="39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>IF(DG15&gt;0,SUM(DG15:DK15),0)</f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40"/>
        <v>200</v>
      </c>
      <c r="DP15">
        <f t="shared" si="41"/>
        <v>40550</v>
      </c>
      <c r="DQ15">
        <f>_xlfn.XLOOKUP(B15,'[12]february-2026'!$A:$A,'[12]february-2026'!$C:$C,0,0)</f>
        <v>32500</v>
      </c>
      <c r="DR15">
        <f t="shared" si="42"/>
        <v>5850</v>
      </c>
      <c r="DS15">
        <f t="shared" si="43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>IF(DQ15&gt;0,SUM(DQ15:DU15),0)</f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44"/>
        <v>200</v>
      </c>
      <c r="DZ15">
        <f t="shared" si="45"/>
        <v>40550</v>
      </c>
      <c r="EA15">
        <f>_xlfn.XLOOKUP(B15,'[1]march-2025'!$A:$A,'[1]march-2025'!$J:$J,0,0)</f>
        <v>0</v>
      </c>
      <c r="EB15">
        <f>_xlfn.XLOOKUP(B15,'[2]april-2025'!$A:$A,'[2]april-2025'!$J:$J,0,0)</f>
        <v>0</v>
      </c>
      <c r="EC15">
        <f>_xlfn.XLOOKUP(B15,'[3]may-2025'!$A:$A,'[3]may-2025'!$J:$J,0,0)</f>
        <v>0</v>
      </c>
      <c r="ED15">
        <f>_xlfn.XLOOKUP(B15,'[4]june-2025'!$A:$A,'[4]june-2025'!$J:$J,0,0)</f>
        <v>0</v>
      </c>
      <c r="EE15">
        <f>_xlfn.XLOOKUP(B15,'[5]july-2025'!$A:$A,'[5]july-2025'!$J:$J,0,0)</f>
        <v>0</v>
      </c>
      <c r="EF15">
        <f>_xlfn.XLOOKUP(B15,'[6]august-2025'!$A:$A,'[6]august-2025'!$J:$J,0,0)</f>
        <v>0</v>
      </c>
      <c r="EG15">
        <f>_xlfn.XLOOKUP(B15,'[7]september-2025'!$A:$A,'[7]september-2025'!$J:$J,0,0)</f>
        <v>0</v>
      </c>
      <c r="EH15">
        <f>_xlfn.XLOOKUP(B15,'[8]october-2025'!$A:$A,'[8]october-2025'!$J:$J,0,0)</f>
        <v>0</v>
      </c>
      <c r="EI15">
        <f>_xlfn.XLOOKUP(C15,'[9]november-2025'!$A:$A,'[9]november-2025'!$J:$J,0,0)</f>
        <v>0</v>
      </c>
      <c r="EJ15">
        <f>_xlfn.XLOOKUP(B15,'[10]december-2025'!$A:$A,'[10]december-2025'!$J:$J,0,0)</f>
        <v>0</v>
      </c>
      <c r="EK15">
        <f>_xlfn.XLOOKUP(B15,'[11]january-2026'!$A:$A,'[11]january-2026'!$J:$J,0,0)</f>
        <v>0</v>
      </c>
      <c r="EL15">
        <f>_xlfn.XLOOKUP(B15,'[12]february-2026'!$A:$A,'[12]february-2026'!$J:$J,0,0)</f>
        <v>0</v>
      </c>
      <c r="EM15">
        <f t="shared" si="90"/>
        <v>0</v>
      </c>
      <c r="EN15">
        <f>DV15+DL15+DB15+CR15+CH15+BX15+BN15+BD15+AS15+AI15+Y15+O15+H15+I15</f>
        <v>471106</v>
      </c>
      <c r="EO15">
        <f>DY15+DO15+DE15+CU15+CK15+CA15+BQ15+BG15+AV15+AL15+AB15+R15</f>
        <v>2200</v>
      </c>
      <c r="EP15">
        <f t="shared" si="46"/>
        <v>50000</v>
      </c>
      <c r="EQ15">
        <v>0</v>
      </c>
      <c r="ER15">
        <f t="shared" si="91"/>
        <v>418906</v>
      </c>
      <c r="ES15">
        <f>DW15+DM15+DC15+CS15+CI15+BY15+BO15+BE15+AT15+AJ15+Z15+P15</f>
        <v>22000</v>
      </c>
      <c r="ET15">
        <f>DX15+DN15+DD15+CT15+CJ15+BZ15+BP15+BF15+AU15+AK15+AA15+Q15</f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47"/>
        <v>22000</v>
      </c>
      <c r="FF15">
        <f t="shared" si="48"/>
        <v>22000</v>
      </c>
      <c r="FG15">
        <f t="shared" si="49"/>
        <v>396906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>SUM(FH15:FN15)+(IF(F15="YES",50000,0))</f>
        <v>0</v>
      </c>
      <c r="FP15">
        <f t="shared" si="50"/>
        <v>396906</v>
      </c>
      <c r="FQ15">
        <f t="shared" si="51"/>
        <v>7345</v>
      </c>
      <c r="FR15">
        <f t="shared" si="52"/>
        <v>0</v>
      </c>
      <c r="FS15">
        <f t="shared" si="53"/>
        <v>7345</v>
      </c>
      <c r="FT15">
        <f t="shared" si="54"/>
        <v>0</v>
      </c>
      <c r="FU15">
        <f t="shared" si="55"/>
        <v>0</v>
      </c>
      <c r="FV15">
        <f t="shared" si="56"/>
        <v>0</v>
      </c>
      <c r="FW15">
        <v>0</v>
      </c>
      <c r="FX15">
        <f t="shared" si="57"/>
        <v>0</v>
      </c>
      <c r="FY15" t="b">
        <f t="shared" si="58"/>
        <v>0</v>
      </c>
      <c r="FZ15">
        <f t="shared" ca="1" si="59"/>
        <v>2330</v>
      </c>
      <c r="GA15">
        <f t="shared" ca="1" si="60"/>
        <v>473436</v>
      </c>
      <c r="GB15">
        <f t="shared" si="61"/>
        <v>75000</v>
      </c>
      <c r="GC15">
        <f t="shared" ca="1" si="62"/>
        <v>398436</v>
      </c>
      <c r="GD15">
        <f t="shared" ca="1" si="63"/>
        <v>0</v>
      </c>
      <c r="GE15">
        <f t="shared" ca="1" si="64"/>
        <v>0</v>
      </c>
      <c r="GF15">
        <f t="shared" ca="1" si="65"/>
        <v>0</v>
      </c>
      <c r="GG15">
        <f t="shared" ca="1" si="66"/>
        <v>0</v>
      </c>
      <c r="GH15">
        <f t="shared" ca="1" si="67"/>
        <v>0</v>
      </c>
      <c r="GI15">
        <f t="shared" ca="1" si="68"/>
        <v>0</v>
      </c>
      <c r="GJ15">
        <f ca="1">IF(GC15&gt;1200000,GC15-1200000-IF(F15="YES",50000,0)-GH15,0)</f>
        <v>0</v>
      </c>
      <c r="GK15">
        <f t="shared" ca="1" si="69"/>
        <v>0</v>
      </c>
      <c r="GL15">
        <f t="shared" ca="1" si="70"/>
        <v>0</v>
      </c>
      <c r="GM15">
        <f t="shared" ca="1" si="71"/>
        <v>0</v>
      </c>
      <c r="GN15">
        <f t="shared" ca="1" si="72"/>
        <v>0</v>
      </c>
      <c r="GO15">
        <f t="shared" ca="1" si="73"/>
        <v>0</v>
      </c>
      <c r="GP15">
        <f t="shared" ca="1" si="74"/>
        <v>0</v>
      </c>
      <c r="GQ15">
        <f t="shared" ca="1" si="75"/>
        <v>0</v>
      </c>
      <c r="GR15">
        <f t="shared" ca="1" si="76"/>
        <v>0</v>
      </c>
      <c r="GS15">
        <f t="shared" ca="1" si="77"/>
        <v>0</v>
      </c>
      <c r="GT15">
        <f t="shared" ca="1" si="78"/>
        <v>0</v>
      </c>
      <c r="GU15" t="b">
        <f t="shared" ca="1" si="79"/>
        <v>0</v>
      </c>
      <c r="GV15">
        <f t="shared" ca="1" si="80"/>
        <v>0</v>
      </c>
      <c r="GW15">
        <f t="shared" ca="1" si="81"/>
        <v>0</v>
      </c>
      <c r="GX15">
        <f t="shared" ca="1" si="82"/>
        <v>0</v>
      </c>
      <c r="GY15">
        <f t="shared" ca="1" si="83"/>
        <v>0</v>
      </c>
      <c r="GZ15">
        <f t="shared" ca="1" si="84"/>
        <v>0</v>
      </c>
    </row>
    <row r="16" spans="1:208" x14ac:dyDescent="0.25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957</v>
      </c>
      <c r="G16" t="s">
        <v>879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>IF(J16&gt;0,SUM(J16:N16),0)</f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85"/>
        <v>200</v>
      </c>
      <c r="S16">
        <f t="shared" si="86"/>
        <v>38116</v>
      </c>
      <c r="T16">
        <f>_xlfn.XLOOKUP(B16,'[2]april-2025'!$A:$A,'[2]april-2025'!$C:$C,0,0)</f>
        <v>31600</v>
      </c>
      <c r="U16">
        <f t="shared" si="3"/>
        <v>5688</v>
      </c>
      <c r="V16">
        <f t="shared" si="4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87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5"/>
        <v>200</v>
      </c>
      <c r="AC16">
        <f t="shared" si="6"/>
        <v>39380</v>
      </c>
      <c r="AD16">
        <f>_xlfn.XLOOKUP(B16,'[3]may-2025'!$A:$A,'[3]may-2025'!$C:$C,0,0)</f>
        <v>31600</v>
      </c>
      <c r="AE16">
        <f t="shared" si="7"/>
        <v>5688</v>
      </c>
      <c r="AF16">
        <f t="shared" si="8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88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9"/>
        <v>200</v>
      </c>
      <c r="AM16">
        <f t="shared" si="10"/>
        <v>39380</v>
      </c>
      <c r="AN16">
        <f>_xlfn.XLOOKUP(B16,'[4]june-2025'!$A:$A,'[4]june-2025'!$C:$C,0,0)</f>
        <v>31600</v>
      </c>
      <c r="AO16">
        <f t="shared" si="11"/>
        <v>5688</v>
      </c>
      <c r="AP16">
        <f t="shared" si="12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89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3"/>
        <v>200</v>
      </c>
      <c r="AW16">
        <f t="shared" si="14"/>
        <v>39380</v>
      </c>
      <c r="AX16">
        <f>_xlfn.XLOOKUP(B16,'[5]july-2025'!$A:$A,'[5]july-2025'!$C:$C,0,0)</f>
        <v>32500</v>
      </c>
      <c r="AY16">
        <f t="shared" si="15"/>
        <v>5850</v>
      </c>
      <c r="AZ16">
        <v>0</v>
      </c>
      <c r="BA16">
        <f t="shared" si="16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>IF(AX16&gt;0,SUM(AX16:BC16),0)</f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17"/>
        <v>200</v>
      </c>
      <c r="BH16">
        <f t="shared" si="18"/>
        <v>40550</v>
      </c>
      <c r="BI16">
        <f>_xlfn.XLOOKUP(B16,'[6]august-2025'!$A:$A,'[6]august-2025'!$C:$C,0,0)</f>
        <v>32500</v>
      </c>
      <c r="BJ16">
        <f t="shared" si="19"/>
        <v>5850</v>
      </c>
      <c r="BK16">
        <f t="shared" si="20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1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>IF($F16="YES",0,IF(BN16&gt;40000,200,IF(BN16&gt;25000,150,IF(BN16&gt;15000,130,IF(BN16&gt;10000,110,0)))))</f>
        <v>200</v>
      </c>
      <c r="BR16">
        <f>BN16-BO16-BP16-BQ16</f>
        <v>40550</v>
      </c>
      <c r="BS16">
        <f>_xlfn.XLOOKUP(B16,'[7]september-2025'!$A:$A,'[7]september-2025'!$C:$C,0,0)</f>
        <v>32500</v>
      </c>
      <c r="BT16">
        <f t="shared" si="22"/>
        <v>5850</v>
      </c>
      <c r="BU16">
        <f t="shared" si="23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>IF(BS16&gt;0,SUM(BS16:BW16),0)</f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24"/>
        <v>200</v>
      </c>
      <c r="CB16">
        <f t="shared" si="25"/>
        <v>40550</v>
      </c>
      <c r="CC16">
        <f>_xlfn.XLOOKUP(B16,'[8]october-2025'!$A:$A,'[8]october-2025'!$C:$C,0,0)</f>
        <v>32500</v>
      </c>
      <c r="CD16">
        <f t="shared" si="26"/>
        <v>5850</v>
      </c>
      <c r="CE16">
        <f t="shared" si="27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>IF(CC16&gt;0,SUM(CC16:CG16),0)</f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28"/>
        <v>200</v>
      </c>
      <c r="CL16">
        <f t="shared" si="29"/>
        <v>40550</v>
      </c>
      <c r="CM16">
        <f>_xlfn.XLOOKUP(B16,'[9]november-2025'!$A:$A,'[9]november-2025'!$C:$C,0,0)</f>
        <v>32500</v>
      </c>
      <c r="CN16">
        <f t="shared" si="30"/>
        <v>5850</v>
      </c>
      <c r="CO16">
        <f t="shared" si="31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>IF(CM16&gt;0,SUM(CM16:CQ16),0)</f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32"/>
        <v>200</v>
      </c>
      <c r="CV16">
        <f t="shared" si="33"/>
        <v>40550</v>
      </c>
      <c r="CW16">
        <f>_xlfn.XLOOKUP(B16,'[10]december-2025'!$A:$A,'[10]december-2025'!$C:$C,0,0)</f>
        <v>32500</v>
      </c>
      <c r="CX16">
        <f t="shared" si="34"/>
        <v>5850</v>
      </c>
      <c r="CY16">
        <f t="shared" si="35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>IF(CW16&gt;0,SUM(CW16:DA16),0)</f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36"/>
        <v>200</v>
      </c>
      <c r="DF16">
        <f t="shared" si="37"/>
        <v>40550</v>
      </c>
      <c r="DG16">
        <f>_xlfn.XLOOKUP(B16,'[11]january-2026'!$A:$A,'[11]january-2026'!$C:$C,0,0)</f>
        <v>32500</v>
      </c>
      <c r="DH16">
        <f t="shared" si="38"/>
        <v>5850</v>
      </c>
      <c r="DI16">
        <f t="shared" si="39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>IF(DG16&gt;0,SUM(DG16:DK16),0)</f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40"/>
        <v>200</v>
      </c>
      <c r="DP16">
        <f t="shared" si="41"/>
        <v>40550</v>
      </c>
      <c r="DQ16">
        <f>_xlfn.XLOOKUP(B16,'[12]february-2026'!$A:$A,'[12]february-2026'!$C:$C,0,0)</f>
        <v>32500</v>
      </c>
      <c r="DR16">
        <f t="shared" si="42"/>
        <v>5850</v>
      </c>
      <c r="DS16">
        <f t="shared" si="43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>IF(DQ16&gt;0,SUM(DQ16:DU16),0)</f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44"/>
        <v>200</v>
      </c>
      <c r="DZ16">
        <f t="shared" si="45"/>
        <v>40550</v>
      </c>
      <c r="EA16">
        <f>_xlfn.XLOOKUP(B16,'[1]march-2025'!$A:$A,'[1]march-2025'!$J:$J,0,0)</f>
        <v>0</v>
      </c>
      <c r="EB16">
        <f>_xlfn.XLOOKUP(B16,'[2]april-2025'!$A:$A,'[2]april-2025'!$J:$J,0,0)</f>
        <v>0</v>
      </c>
      <c r="EC16">
        <f>_xlfn.XLOOKUP(B16,'[3]may-2025'!$A:$A,'[3]may-2025'!$J:$J,0,0)</f>
        <v>0</v>
      </c>
      <c r="ED16">
        <f>_xlfn.XLOOKUP(B16,'[4]june-2025'!$A:$A,'[4]june-2025'!$J:$J,0,0)</f>
        <v>0</v>
      </c>
      <c r="EE16">
        <f>_xlfn.XLOOKUP(B16,'[5]july-2025'!$A:$A,'[5]july-2025'!$J:$J,0,0)</f>
        <v>0</v>
      </c>
      <c r="EF16">
        <f>_xlfn.XLOOKUP(B16,'[6]august-2025'!$A:$A,'[6]august-2025'!$J:$J,0,0)</f>
        <v>0</v>
      </c>
      <c r="EG16">
        <f>_xlfn.XLOOKUP(B16,'[7]september-2025'!$A:$A,'[7]september-2025'!$J:$J,0,0)</f>
        <v>0</v>
      </c>
      <c r="EH16">
        <f>_xlfn.XLOOKUP(B16,'[8]october-2025'!$A:$A,'[8]october-2025'!$J:$J,0,0)</f>
        <v>0</v>
      </c>
      <c r="EI16">
        <f>_xlfn.XLOOKUP(C16,'[9]november-2025'!$A:$A,'[9]november-2025'!$J:$J,0,0)</f>
        <v>0</v>
      </c>
      <c r="EJ16">
        <f>_xlfn.XLOOKUP(B16,'[10]december-2025'!$A:$A,'[10]december-2025'!$J:$J,0,0)</f>
        <v>0</v>
      </c>
      <c r="EK16">
        <f>_xlfn.XLOOKUP(B16,'[11]january-2026'!$A:$A,'[11]january-2026'!$J:$J,0,0)</f>
        <v>0</v>
      </c>
      <c r="EL16">
        <f>_xlfn.XLOOKUP(B16,'[12]february-2026'!$A:$A,'[12]february-2026'!$J:$J,0,0)</f>
        <v>0</v>
      </c>
      <c r="EM16">
        <f t="shared" si="90"/>
        <v>0</v>
      </c>
      <c r="EN16">
        <f>DV16+DL16+DB16+CR16+CH16+BX16+BN16+BD16+AS16+AI16+Y16+O16+H16+I16</f>
        <v>513856</v>
      </c>
      <c r="EO16">
        <f>DY16+DO16+DE16+CU16+CK16+CA16+BQ16+BG16+AV16+AL16+AB16+R16</f>
        <v>2400</v>
      </c>
      <c r="EP16">
        <f t="shared" si="46"/>
        <v>50000</v>
      </c>
      <c r="EQ16">
        <v>0</v>
      </c>
      <c r="ER16">
        <f t="shared" si="91"/>
        <v>461456</v>
      </c>
      <c r="ES16">
        <f>DW16+DM16+DC16+CS16+CI16+BY16+BO16+BE16+AT16+AJ16+Z16+P16</f>
        <v>24000</v>
      </c>
      <c r="ET16">
        <f>DX16+DN16+DD16+CT16+CJ16+BZ16+BP16+BF16+AU16+AK16+AA16+Q16</f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47"/>
        <v>24000</v>
      </c>
      <c r="FF16">
        <f t="shared" si="48"/>
        <v>24000</v>
      </c>
      <c r="FG16">
        <f t="shared" si="49"/>
        <v>437456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>SUM(FH16:FN16)+(IF(F16="YES",50000,0))</f>
        <v>0</v>
      </c>
      <c r="FP16">
        <f t="shared" si="50"/>
        <v>437456</v>
      </c>
      <c r="FQ16">
        <f t="shared" si="51"/>
        <v>9373</v>
      </c>
      <c r="FR16">
        <f t="shared" si="52"/>
        <v>0</v>
      </c>
      <c r="FS16">
        <f t="shared" si="53"/>
        <v>9373</v>
      </c>
      <c r="FT16">
        <f t="shared" si="54"/>
        <v>0</v>
      </c>
      <c r="FU16">
        <f t="shared" si="55"/>
        <v>0</v>
      </c>
      <c r="FV16">
        <f t="shared" si="56"/>
        <v>0</v>
      </c>
      <c r="FW16">
        <v>0</v>
      </c>
      <c r="FX16">
        <f t="shared" si="57"/>
        <v>0</v>
      </c>
      <c r="FY16" t="b">
        <f t="shared" si="58"/>
        <v>1</v>
      </c>
      <c r="FZ16">
        <f t="shared" ca="1" si="59"/>
        <v>591</v>
      </c>
      <c r="GA16">
        <f t="shared" ca="1" si="60"/>
        <v>514447</v>
      </c>
      <c r="GB16">
        <f t="shared" si="61"/>
        <v>75000</v>
      </c>
      <c r="GC16">
        <f t="shared" ca="1" si="62"/>
        <v>439447</v>
      </c>
      <c r="GD16">
        <f t="shared" ca="1" si="63"/>
        <v>0</v>
      </c>
      <c r="GE16">
        <f t="shared" ca="1" si="64"/>
        <v>0</v>
      </c>
      <c r="GF16">
        <f t="shared" ca="1" si="65"/>
        <v>0</v>
      </c>
      <c r="GG16">
        <f t="shared" ca="1" si="66"/>
        <v>0</v>
      </c>
      <c r="GH16">
        <f t="shared" ca="1" si="67"/>
        <v>0</v>
      </c>
      <c r="GI16">
        <f t="shared" ca="1" si="68"/>
        <v>0</v>
      </c>
      <c r="GJ16">
        <f ca="1">IF(GC16&gt;1200000,GC16-1200000-IF(F16="YES",50000,0)-GH16,0)</f>
        <v>0</v>
      </c>
      <c r="GK16">
        <f t="shared" ca="1" si="69"/>
        <v>0</v>
      </c>
      <c r="GL16">
        <f t="shared" ca="1" si="70"/>
        <v>0</v>
      </c>
      <c r="GM16">
        <f t="shared" ca="1" si="71"/>
        <v>0</v>
      </c>
      <c r="GN16">
        <f t="shared" ca="1" si="72"/>
        <v>39447</v>
      </c>
      <c r="GO16">
        <f t="shared" ca="1" si="73"/>
        <v>1972.3500000000001</v>
      </c>
      <c r="GP16">
        <f t="shared" ca="1" si="74"/>
        <v>1972</v>
      </c>
      <c r="GQ16">
        <f t="shared" ca="1" si="75"/>
        <v>0</v>
      </c>
      <c r="GR16">
        <f t="shared" ca="1" si="76"/>
        <v>0</v>
      </c>
      <c r="GS16">
        <f t="shared" ca="1" si="77"/>
        <v>1972</v>
      </c>
      <c r="GT16">
        <f t="shared" ca="1" si="78"/>
        <v>0</v>
      </c>
      <c r="GU16" t="b">
        <f t="shared" ca="1" si="79"/>
        <v>0</v>
      </c>
      <c r="GV16">
        <f t="shared" ca="1" si="80"/>
        <v>0</v>
      </c>
      <c r="GW16">
        <f t="shared" ca="1" si="81"/>
        <v>1972</v>
      </c>
      <c r="GX16">
        <f t="shared" ca="1" si="82"/>
        <v>0</v>
      </c>
      <c r="GY16">
        <f t="shared" ca="1" si="83"/>
        <v>0</v>
      </c>
      <c r="GZ16">
        <f t="shared" ca="1" si="84"/>
        <v>0</v>
      </c>
    </row>
    <row r="17" spans="1:208" x14ac:dyDescent="0.25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957</v>
      </c>
      <c r="G17" t="s">
        <v>881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>IF(J17&gt;0,SUM(J17:N17),0)</f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85"/>
        <v>150</v>
      </c>
      <c r="S17">
        <f t="shared" si="86"/>
        <v>34764</v>
      </c>
      <c r="T17">
        <f>_xlfn.XLOOKUP(B17,'[2]april-2025'!$A:$A,'[2]april-2025'!$C:$C,0,0)</f>
        <v>28900</v>
      </c>
      <c r="U17">
        <f t="shared" si="3"/>
        <v>5202</v>
      </c>
      <c r="V17">
        <f t="shared" si="4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87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5"/>
        <v>150</v>
      </c>
      <c r="AC17">
        <f t="shared" si="6"/>
        <v>35920</v>
      </c>
      <c r="AD17">
        <f>_xlfn.XLOOKUP(B17,'[3]may-2025'!$A:$A,'[3]may-2025'!$C:$C,0,0)</f>
        <v>28900</v>
      </c>
      <c r="AE17">
        <f t="shared" si="7"/>
        <v>5202</v>
      </c>
      <c r="AF17">
        <f t="shared" si="8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88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9"/>
        <v>150</v>
      </c>
      <c r="AM17">
        <f t="shared" si="10"/>
        <v>35920</v>
      </c>
      <c r="AN17">
        <f>_xlfn.XLOOKUP(B17,'[4]june-2025'!$A:$A,'[4]june-2025'!$C:$C,0,0)</f>
        <v>28900</v>
      </c>
      <c r="AO17">
        <f t="shared" si="11"/>
        <v>5202</v>
      </c>
      <c r="AP17">
        <f t="shared" si="12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89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3"/>
        <v>150</v>
      </c>
      <c r="AW17">
        <f t="shared" si="14"/>
        <v>35920</v>
      </c>
      <c r="AX17">
        <f>_xlfn.XLOOKUP(B17,'[5]july-2025'!$A:$A,'[5]july-2025'!$C:$C,0,0)</f>
        <v>29800</v>
      </c>
      <c r="AY17">
        <f t="shared" si="15"/>
        <v>5364</v>
      </c>
      <c r="AZ17">
        <v>0</v>
      </c>
      <c r="BA17">
        <f t="shared" si="16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>IF(AX17&gt;0,SUM(AX17:BC17),0)</f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17"/>
        <v>150</v>
      </c>
      <c r="BH17">
        <f t="shared" si="18"/>
        <v>37090</v>
      </c>
      <c r="BI17">
        <f>_xlfn.XLOOKUP(B17,'[6]august-2025'!$A:$A,'[6]august-2025'!$C:$C,0,0)</f>
        <v>29800</v>
      </c>
      <c r="BJ17">
        <f t="shared" si="19"/>
        <v>5364</v>
      </c>
      <c r="BK17">
        <f t="shared" si="20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1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>IF($F17="YES",0,IF(BN17&gt;40000,200,IF(BN17&gt;25000,150,IF(BN17&gt;15000,130,IF(BN17&gt;10000,110,0)))))</f>
        <v>150</v>
      </c>
      <c r="BR17">
        <f>BN17-BO17-BP17-BQ17</f>
        <v>37090</v>
      </c>
      <c r="BS17">
        <f>_xlfn.XLOOKUP(B17,'[7]september-2025'!$A:$A,'[7]september-2025'!$C:$C,0,0)</f>
        <v>29800</v>
      </c>
      <c r="BT17">
        <f t="shared" si="22"/>
        <v>5364</v>
      </c>
      <c r="BU17">
        <f t="shared" si="23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>IF(BS17&gt;0,SUM(BS17:BW17),0)</f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24"/>
        <v>150</v>
      </c>
      <c r="CB17">
        <f t="shared" si="25"/>
        <v>37090</v>
      </c>
      <c r="CC17">
        <f>_xlfn.XLOOKUP(B17,'[8]october-2025'!$A:$A,'[8]october-2025'!$C:$C,0,0)</f>
        <v>29800</v>
      </c>
      <c r="CD17">
        <f t="shared" si="26"/>
        <v>5364</v>
      </c>
      <c r="CE17">
        <f t="shared" si="27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>IF(CC17&gt;0,SUM(CC17:CG17),0)</f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28"/>
        <v>150</v>
      </c>
      <c r="CL17">
        <f t="shared" si="29"/>
        <v>37090</v>
      </c>
      <c r="CM17">
        <f>_xlfn.XLOOKUP(B17,'[9]november-2025'!$A:$A,'[9]november-2025'!$C:$C,0,0)</f>
        <v>29800</v>
      </c>
      <c r="CN17">
        <f t="shared" si="30"/>
        <v>5364</v>
      </c>
      <c r="CO17">
        <f t="shared" si="31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>IF(CM17&gt;0,SUM(CM17:CQ17),0)</f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32"/>
        <v>150</v>
      </c>
      <c r="CV17">
        <f t="shared" si="33"/>
        <v>37090</v>
      </c>
      <c r="CW17">
        <f>_xlfn.XLOOKUP(B17,'[10]december-2025'!$A:$A,'[10]december-2025'!$C:$C,0,0)</f>
        <v>29800</v>
      </c>
      <c r="CX17">
        <f t="shared" si="34"/>
        <v>5364</v>
      </c>
      <c r="CY17">
        <f t="shared" si="35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>IF(CW17&gt;0,SUM(CW17:DA17),0)</f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36"/>
        <v>150</v>
      </c>
      <c r="DF17">
        <f t="shared" si="37"/>
        <v>37090</v>
      </c>
      <c r="DG17">
        <f>_xlfn.XLOOKUP(B17,'[11]january-2026'!$A:$A,'[11]january-2026'!$C:$C,0,0)</f>
        <v>29800</v>
      </c>
      <c r="DH17">
        <f t="shared" si="38"/>
        <v>5364</v>
      </c>
      <c r="DI17">
        <f t="shared" si="39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>IF(DG17&gt;0,SUM(DG17:DK17),0)</f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40"/>
        <v>150</v>
      </c>
      <c r="DP17">
        <f t="shared" si="41"/>
        <v>37090</v>
      </c>
      <c r="DQ17">
        <f>_xlfn.XLOOKUP(B17,'[12]february-2026'!$A:$A,'[12]february-2026'!$C:$C,0,0)</f>
        <v>29800</v>
      </c>
      <c r="DR17">
        <f t="shared" si="42"/>
        <v>5364</v>
      </c>
      <c r="DS17">
        <f t="shared" si="43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>IF(DQ17&gt;0,SUM(DQ17:DU17),0)</f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44"/>
        <v>150</v>
      </c>
      <c r="DZ17">
        <f t="shared" si="45"/>
        <v>37090</v>
      </c>
      <c r="EA17">
        <f>_xlfn.XLOOKUP(B17,'[1]march-2025'!$A:$A,'[1]march-2025'!$J:$J,0,0)</f>
        <v>0</v>
      </c>
      <c r="EB17">
        <f>_xlfn.XLOOKUP(B17,'[2]april-2025'!$A:$A,'[2]april-2025'!$J:$J,0,0)</f>
        <v>0</v>
      </c>
      <c r="EC17">
        <f>_xlfn.XLOOKUP(B17,'[3]may-2025'!$A:$A,'[3]may-2025'!$J:$J,0,0)</f>
        <v>0</v>
      </c>
      <c r="ED17">
        <f>_xlfn.XLOOKUP(B17,'[4]june-2025'!$A:$A,'[4]june-2025'!$J:$J,0,0)</f>
        <v>0</v>
      </c>
      <c r="EE17">
        <f>_xlfn.XLOOKUP(B17,'[5]july-2025'!$A:$A,'[5]july-2025'!$J:$J,0,0)</f>
        <v>0</v>
      </c>
      <c r="EF17">
        <f>_xlfn.XLOOKUP(B17,'[6]august-2025'!$A:$A,'[6]august-2025'!$J:$J,0,0)</f>
        <v>0</v>
      </c>
      <c r="EG17">
        <f>_xlfn.XLOOKUP(B17,'[7]september-2025'!$A:$A,'[7]september-2025'!$J:$J,0,0)</f>
        <v>0</v>
      </c>
      <c r="EH17">
        <f>_xlfn.XLOOKUP(B17,'[8]october-2025'!$A:$A,'[8]october-2025'!$J:$J,0,0)</f>
        <v>0</v>
      </c>
      <c r="EI17">
        <f>_xlfn.XLOOKUP(C17,'[9]november-2025'!$A:$A,'[9]november-2025'!$J:$J,0,0)</f>
        <v>0</v>
      </c>
      <c r="EJ17">
        <f>_xlfn.XLOOKUP(B17,'[10]december-2025'!$A:$A,'[10]december-2025'!$J:$J,0,0)</f>
        <v>0</v>
      </c>
      <c r="EK17">
        <f>_xlfn.XLOOKUP(B17,'[11]january-2026'!$A:$A,'[11]january-2026'!$J:$J,0,0)</f>
        <v>0</v>
      </c>
      <c r="EL17">
        <f>_xlfn.XLOOKUP(B17,'[12]february-2026'!$A:$A,'[12]february-2026'!$J:$J,0,0)</f>
        <v>0</v>
      </c>
      <c r="EM17">
        <f t="shared" si="90"/>
        <v>0</v>
      </c>
      <c r="EN17">
        <f>DV17+DL17+DB17+CR17+CH17+BX17+BN17+BD17+AS17+AI17+Y17+O17+H17+I17</f>
        <v>471844</v>
      </c>
      <c r="EO17">
        <f>DY17+DO17+DE17+CU17+CK17+CA17+BQ17+BG17+AV17+AL17+AB17+R17</f>
        <v>1800</v>
      </c>
      <c r="EP17">
        <f t="shared" si="46"/>
        <v>50000</v>
      </c>
      <c r="EQ17">
        <v>0</v>
      </c>
      <c r="ER17">
        <f t="shared" si="91"/>
        <v>420044</v>
      </c>
      <c r="ES17">
        <f>DW17+DM17+DC17+CS17+CI17+BY17+BO17+BE17+AT17+AJ17+Z17+P17</f>
        <v>24000</v>
      </c>
      <c r="ET17">
        <f>DX17+DN17+DD17+CT17+CJ17+BZ17+BP17+BF17+AU17+AK17+AA17+Q17</f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47"/>
        <v>24000</v>
      </c>
      <c r="FF17">
        <f t="shared" si="48"/>
        <v>24000</v>
      </c>
      <c r="FG17">
        <f t="shared" si="49"/>
        <v>396044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>SUM(FH17:FN17)+(IF(F17="YES",50000,0))</f>
        <v>0</v>
      </c>
      <c r="FP17">
        <f t="shared" si="50"/>
        <v>396044</v>
      </c>
      <c r="FQ17">
        <f t="shared" si="51"/>
        <v>7302</v>
      </c>
      <c r="FR17">
        <f t="shared" si="52"/>
        <v>0</v>
      </c>
      <c r="FS17">
        <f t="shared" si="53"/>
        <v>7302</v>
      </c>
      <c r="FT17">
        <f t="shared" si="54"/>
        <v>0</v>
      </c>
      <c r="FU17">
        <f t="shared" si="55"/>
        <v>0</v>
      </c>
      <c r="FV17">
        <f t="shared" si="56"/>
        <v>0</v>
      </c>
      <c r="FW17">
        <v>0</v>
      </c>
      <c r="FX17">
        <f t="shared" si="57"/>
        <v>0</v>
      </c>
      <c r="FY17" t="b">
        <f t="shared" si="58"/>
        <v>0</v>
      </c>
      <c r="FZ17">
        <f t="shared" ca="1" si="59"/>
        <v>1803</v>
      </c>
      <c r="GA17">
        <f t="shared" ca="1" si="60"/>
        <v>473647</v>
      </c>
      <c r="GB17">
        <f t="shared" si="61"/>
        <v>75000</v>
      </c>
      <c r="GC17">
        <f t="shared" ca="1" si="62"/>
        <v>398647</v>
      </c>
      <c r="GD17">
        <f t="shared" ca="1" si="63"/>
        <v>0</v>
      </c>
      <c r="GE17">
        <f t="shared" ca="1" si="64"/>
        <v>0</v>
      </c>
      <c r="GF17">
        <f t="shared" ca="1" si="65"/>
        <v>0</v>
      </c>
      <c r="GG17">
        <f t="shared" ca="1" si="66"/>
        <v>0</v>
      </c>
      <c r="GH17">
        <f t="shared" ca="1" si="67"/>
        <v>0</v>
      </c>
      <c r="GI17">
        <f t="shared" ca="1" si="68"/>
        <v>0</v>
      </c>
      <c r="GJ17">
        <f ca="1">IF(GC17&gt;1200000,GC17-1200000-IF(F17="YES",50000,0)-GH17,0)</f>
        <v>0</v>
      </c>
      <c r="GK17">
        <f t="shared" ca="1" si="69"/>
        <v>0</v>
      </c>
      <c r="GL17">
        <f t="shared" ca="1" si="70"/>
        <v>0</v>
      </c>
      <c r="GM17">
        <f t="shared" ca="1" si="71"/>
        <v>0</v>
      </c>
      <c r="GN17">
        <f t="shared" ca="1" si="72"/>
        <v>0</v>
      </c>
      <c r="GO17">
        <f t="shared" ca="1" si="73"/>
        <v>0</v>
      </c>
      <c r="GP17">
        <f t="shared" ca="1" si="74"/>
        <v>0</v>
      </c>
      <c r="GQ17">
        <f t="shared" ca="1" si="75"/>
        <v>0</v>
      </c>
      <c r="GR17">
        <f t="shared" ca="1" si="76"/>
        <v>0</v>
      </c>
      <c r="GS17">
        <f t="shared" ca="1" si="77"/>
        <v>0</v>
      </c>
      <c r="GT17">
        <f t="shared" ca="1" si="78"/>
        <v>0</v>
      </c>
      <c r="GU17" t="b">
        <f t="shared" ca="1" si="79"/>
        <v>0</v>
      </c>
      <c r="GV17">
        <f t="shared" ca="1" si="80"/>
        <v>0</v>
      </c>
      <c r="GW17">
        <f t="shared" ca="1" si="81"/>
        <v>0</v>
      </c>
      <c r="GX17">
        <f t="shared" ca="1" si="82"/>
        <v>0</v>
      </c>
      <c r="GY17">
        <f t="shared" ca="1" si="83"/>
        <v>0</v>
      </c>
      <c r="GZ17">
        <f t="shared" ca="1" si="84"/>
        <v>0</v>
      </c>
    </row>
    <row r="18" spans="1:208" x14ac:dyDescent="0.25">
      <c r="A18">
        <f>_xlfn.AGGREGATE(3,5,$B$2:B18)</f>
        <v>17</v>
      </c>
      <c r="B18" t="s">
        <v>970</v>
      </c>
      <c r="C18" t="s">
        <v>971</v>
      </c>
      <c r="D18" t="s">
        <v>752</v>
      </c>
      <c r="E18" t="s">
        <v>832</v>
      </c>
      <c r="F18" t="s">
        <v>957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92">J18*0.14</f>
        <v>7098.0000000000009</v>
      </c>
      <c r="L18">
        <f t="shared" ref="L18" si="93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>IF(J18&gt;0,SUM(J18:N18),0)</f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94">IF($F18="YES",0,IF(O18&gt;40000,200,IF(O18&gt;25000,150,IF(O18&gt;15000,130,IF(O18&gt;10000,110,0)))))</f>
        <v>200</v>
      </c>
      <c r="S18">
        <f t="shared" si="86"/>
        <v>60682</v>
      </c>
      <c r="T18">
        <f>_xlfn.XLOOKUP(B18,'[2]april-2025'!$A:$A,'[2]april-2025'!$C:$C,0,0)</f>
        <v>50700</v>
      </c>
      <c r="U18">
        <f t="shared" ref="U18" si="95">T18*0.18</f>
        <v>9126</v>
      </c>
      <c r="V18">
        <f t="shared" ref="V18" si="96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si="87"/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97">IF($F18="YES",0,IF(Y18&gt;40000,200,IF(Y18&gt;25000,150,IF(Y18&gt;15000,130,IF(Y18&gt;10000,110,0)))))</f>
        <v>200</v>
      </c>
      <c r="AC18">
        <f t="shared" ref="AC18" si="98">Y18-Z18-AA18-AB18</f>
        <v>62710</v>
      </c>
      <c r="AD18">
        <f>_xlfn.XLOOKUP(B18,'[3]may-2025'!$A:$A,'[3]may-2025'!$C:$C,0,0)</f>
        <v>50700</v>
      </c>
      <c r="AE18">
        <f t="shared" ref="AE18" si="99">AD18*0.18</f>
        <v>9126</v>
      </c>
      <c r="AF18">
        <f t="shared" ref="AF18" si="100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si="88"/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01">IF($F18="YES",0,IF(AI18&gt;40000,200,IF(AI18&gt;25000,150,IF(AI18&gt;15000,130,IF(AI18&gt;10000,110,0)))))</f>
        <v>200</v>
      </c>
      <c r="AM18">
        <f t="shared" ref="AM18" si="102">AI18-AJ18-AK18-AL18</f>
        <v>62710</v>
      </c>
      <c r="AN18">
        <f>_xlfn.XLOOKUP(B18,'[4]june-2025'!$A:$A,'[4]june-2025'!$C:$C,0,0)</f>
        <v>50700</v>
      </c>
      <c r="AO18">
        <f t="shared" ref="AO18" si="103">AN18*0.18</f>
        <v>9126</v>
      </c>
      <c r="AP18">
        <f t="shared" ref="AP18" si="104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si="89"/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05">IF($F18="YES",0,IF(AS18&gt;40000,200,IF(AS18&gt;25000,150,IF(AS18&gt;15000,130,IF(AS18&gt;10000,110,0)))))</f>
        <v>200</v>
      </c>
      <c r="AW18">
        <f t="shared" ref="AW18" si="106">AS18-AT18-AU18-AV18</f>
        <v>62710</v>
      </c>
      <c r="AX18">
        <f>_xlfn.XLOOKUP(B18,'[5]july-2025'!$A:$A,'[5]july-2025'!$C:$C,0,0)</f>
        <v>51700</v>
      </c>
      <c r="AY18">
        <f t="shared" ref="AY18" si="107">AX18*0.18</f>
        <v>9306</v>
      </c>
      <c r="AZ18">
        <v>1</v>
      </c>
      <c r="BA18">
        <f t="shared" ref="BA18" si="108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>IF(AX18&gt;0,SUM(AX18:BC18),0)</f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09">IF($F18="YES",0,IF(BD18&gt;40000,200,IF(BD18&gt;25000,150,IF(BD18&gt;15000,130,IF(BD18&gt;10000,110,0)))))</f>
        <v>200</v>
      </c>
      <c r="BH18">
        <f t="shared" ref="BH18" si="110">BD18-BE18-BF18-BG18</f>
        <v>64011</v>
      </c>
      <c r="BI18">
        <f>_xlfn.XLOOKUP(B18,'[6]august-2025'!$A:$A,'[6]august-2025'!$C:$C,0,0)</f>
        <v>51700</v>
      </c>
      <c r="BJ18">
        <f t="shared" ref="BJ18" si="111">BI18*0.18</f>
        <v>9306</v>
      </c>
      <c r="BK18">
        <f t="shared" ref="BK18" si="112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13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>IF($F18="YES",0,IF(BN18&gt;40000,200,IF(BN18&gt;25000,150,IF(BN18&gt;15000,130,IF(BN18&gt;10000,110,0)))))</f>
        <v>200</v>
      </c>
      <c r="BR18">
        <f>BN18-BO18-BP18-BQ18</f>
        <v>64010</v>
      </c>
      <c r="BS18">
        <f>_xlfn.XLOOKUP(B18,'[7]september-2025'!$A:$A,'[7]september-2025'!$C:$C,0,0)</f>
        <v>51700</v>
      </c>
      <c r="BT18">
        <f t="shared" ref="BT18" si="114">BS18*0.18</f>
        <v>9306</v>
      </c>
      <c r="BU18">
        <f t="shared" ref="BU18" si="115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>IF(BS18&gt;0,SUM(BS18:BW18),0)</f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16">IF($F18="YES",0,IF(BX18&gt;40000,200,IF(BX18&gt;25000,150,IF(BX18&gt;15000,130,IF(BX18&gt;10000,110,0)))))</f>
        <v>200</v>
      </c>
      <c r="CB18">
        <f t="shared" ref="CB18" si="117">BX18-BY18-BZ18-CA18</f>
        <v>64010</v>
      </c>
      <c r="CC18">
        <f>_xlfn.XLOOKUP(B18,'[8]october-2025'!$A:$A,'[8]october-2025'!$C:$C,0,0)</f>
        <v>51700</v>
      </c>
      <c r="CD18">
        <f t="shared" ref="CD18" si="118">CC18*0.18</f>
        <v>9306</v>
      </c>
      <c r="CE18">
        <f t="shared" ref="CE18" si="119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>IF(CC18&gt;0,SUM(CC18:CG18),0)</f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20">IF($F18="YES",0,IF(CH18&gt;40000,200,IF(CH18&gt;25000,150,IF(CH18&gt;15000,130,IF(CH18&gt;10000,110,0)))))</f>
        <v>200</v>
      </c>
      <c r="CL18">
        <f t="shared" ref="CL18" si="121">CH18-CI18-CJ18-CK18</f>
        <v>64010</v>
      </c>
      <c r="CM18">
        <f>_xlfn.XLOOKUP(B18,'[9]november-2025'!$A:$A,'[9]november-2025'!$C:$C,0,0)</f>
        <v>51700</v>
      </c>
      <c r="CN18">
        <f t="shared" ref="CN18" si="122">CM18*0.18</f>
        <v>9306</v>
      </c>
      <c r="CO18">
        <f t="shared" ref="CO18" si="123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>IF(CM18&gt;0,SUM(CM18:CQ18),0)</f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24">IF($F18="YES",0,IF(CR18&gt;40000,200,IF(CR18&gt;25000,150,IF(CR18&gt;15000,130,IF(CR18&gt;10000,110,0)))))</f>
        <v>200</v>
      </c>
      <c r="CV18">
        <f t="shared" ref="CV18" si="125">CR18-CS18-CT18-CU18</f>
        <v>64010</v>
      </c>
      <c r="CW18">
        <f>_xlfn.XLOOKUP(B18,'[10]december-2025'!$A:$A,'[10]december-2025'!$C:$C,0,0)</f>
        <v>51700</v>
      </c>
      <c r="CX18">
        <f t="shared" ref="CX18" si="126">ROUND(CW18*0.18,0)</f>
        <v>9306</v>
      </c>
      <c r="CY18">
        <f t="shared" ref="CY18" si="127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>IF(CW18&gt;0,SUM(CW18:DA18),0)</f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28">IF($F18="YES",0,IF(DB18&gt;40000,200,IF(DB18&gt;25000,150,IF(DB18&gt;15000,130,IF(DB18&gt;10000,110,0)))))</f>
        <v>200</v>
      </c>
      <c r="DF18">
        <f t="shared" ref="DF18" si="129">DB18-DC18-DD18-DE18</f>
        <v>64010</v>
      </c>
      <c r="DG18">
        <f>_xlfn.XLOOKUP(B18,'[11]january-2026'!$A:$A,'[11]january-2026'!$C:$C,0,0)</f>
        <v>51700</v>
      </c>
      <c r="DH18">
        <f t="shared" ref="DH18" si="130">DG18*0.18</f>
        <v>9306</v>
      </c>
      <c r="DI18">
        <f t="shared" ref="DI18" si="131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>IF(DG18&gt;0,SUM(DG18:DK18),0)</f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32">IF($F18="YES",0,IF(DL18&gt;40000,200,IF(DL18&gt;25000,150,IF(DL18&gt;15000,130,IF(DL18&gt;10000,110,0)))))</f>
        <v>200</v>
      </c>
      <c r="DP18">
        <f t="shared" ref="DP18" si="133">DL18-DM18-DN18-DO18</f>
        <v>64010</v>
      </c>
      <c r="DQ18">
        <f>_xlfn.XLOOKUP(B18,'[12]february-2026'!$A:$A,'[12]february-2026'!$C:$C,0,0)</f>
        <v>51700</v>
      </c>
      <c r="DR18">
        <f t="shared" ref="DR18" si="134">DQ18*0.18</f>
        <v>9306</v>
      </c>
      <c r="DS18">
        <f t="shared" ref="DS18" si="135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>IF(DQ18&gt;0,SUM(DQ18:DU18),0)</f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36">IF($F18="YES",0,IF(DV18&gt;40000,200,IF(DV18&gt;25000,150,IF(DV18&gt;15000,130,IF(DV18&gt;10000,110,0)))))</f>
        <v>200</v>
      </c>
      <c r="DZ18">
        <f t="shared" ref="DZ18" si="137">DV18-DW18-DX18-DY18</f>
        <v>64010</v>
      </c>
      <c r="EA18">
        <f>_xlfn.XLOOKUP(B18,'[1]march-2025'!$A:$A,'[1]march-2025'!$J:$J,0,0)</f>
        <v>0</v>
      </c>
      <c r="EB18">
        <f>_xlfn.XLOOKUP(B18,'[2]april-2025'!$A:$A,'[2]april-2025'!$J:$J,0,0)</f>
        <v>0</v>
      </c>
      <c r="EC18">
        <f>_xlfn.XLOOKUP(B18,'[3]may-2025'!$A:$A,'[3]may-2025'!$J:$J,0,0)</f>
        <v>0</v>
      </c>
      <c r="ED18">
        <f>_xlfn.XLOOKUP(B18,'[4]june-2025'!$A:$A,'[4]june-2025'!$J:$J,0,0)</f>
        <v>0</v>
      </c>
      <c r="EE18">
        <f>_xlfn.XLOOKUP(B18,'[5]july-2025'!$A:$A,'[5]july-2025'!$J:$J,0,0)</f>
        <v>0</v>
      </c>
      <c r="EF18">
        <f>_xlfn.XLOOKUP(B18,'[6]august-2025'!$A:$A,'[6]august-2025'!$J:$J,0,0)</f>
        <v>0</v>
      </c>
      <c r="EG18">
        <f>_xlfn.XLOOKUP(B18,'[7]september-2025'!$A:$A,'[7]september-2025'!$J:$J,0,0)</f>
        <v>0</v>
      </c>
      <c r="EH18">
        <f>_xlfn.XLOOKUP(B18,'[8]october-2025'!$A:$A,'[8]october-2025'!$J:$J,0,0)</f>
        <v>0</v>
      </c>
      <c r="EI18">
        <f>_xlfn.XLOOKUP(C18,'[9]november-2025'!$A:$A,'[9]november-2025'!$J:$J,0,0)</f>
        <v>0</v>
      </c>
      <c r="EJ18">
        <f>_xlfn.XLOOKUP(B18,'[10]december-2025'!$A:$A,'[10]december-2025'!$J:$J,0,0)</f>
        <v>0</v>
      </c>
      <c r="EK18">
        <f>_xlfn.XLOOKUP(B18,'[11]january-2026'!$A:$A,'[11]january-2026'!$J:$J,0,0)</f>
        <v>0</v>
      </c>
      <c r="EL18">
        <f>_xlfn.XLOOKUP(B18,'[12]february-2026'!$A:$A,'[12]february-2026'!$J:$J,0,0)</f>
        <v>0</v>
      </c>
      <c r="EM18">
        <f t="shared" si="90"/>
        <v>0</v>
      </c>
      <c r="EN18">
        <f>DV18+DL18+DB18+CR18+CH18+BX18+BN18+BD18+AS18+AI18+Y18+O18+H18+I18</f>
        <v>805293</v>
      </c>
      <c r="EO18">
        <f>DY18+DO18+DE18+CU18+CK18+CA18+BQ18+BG18+AV18+AL18+AB18+R18</f>
        <v>2400</v>
      </c>
      <c r="EP18">
        <f t="shared" ref="EP18" si="138">IF(EN18&gt;0,50000,0)</f>
        <v>50000</v>
      </c>
      <c r="EQ18">
        <v>1</v>
      </c>
      <c r="ER18">
        <f t="shared" si="91"/>
        <v>752893</v>
      </c>
      <c r="ES18">
        <f>DW18+DM18+DC18+CS18+CI18+BY18+BO18+BE18+AT18+AJ18+Z18+P18</f>
        <v>42000</v>
      </c>
      <c r="ET18">
        <f>DX18+DN18+DD18+CT18+CJ18+BZ18+BP18+BF18+AU18+AK18+AA18+Q18</f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39">SUM(ES18:FD18)</f>
        <v>42000</v>
      </c>
      <c r="FF18">
        <f t="shared" ref="FF18" si="140">IF(FE18&gt;=150000,150000,FE18)</f>
        <v>42000</v>
      </c>
      <c r="FG18">
        <f t="shared" ref="FG18" si="141">ER18-FF18</f>
        <v>710893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>SUM(FH18:FN18)+(IF(F18="YES",50000,0))</f>
        <v>0</v>
      </c>
      <c r="FP18">
        <f t="shared" ref="FP18" si="142">FG18-FO18</f>
        <v>710893</v>
      </c>
      <c r="FQ18">
        <f t="shared" ref="FQ18" si="143">ROUND(IF(FP18&gt;0,IF(FP18&gt;500000,12500,(FP18-250000)*0.05),0),0)</f>
        <v>12500</v>
      </c>
      <c r="FR18">
        <f t="shared" ref="FR18" si="144">IF(ROUND(IF(FP18&gt;0,IF(FP18&gt;1000000,25000,(FP18-500000)*0.2),0),0)&lt;0,0,ROUND(IF(FP18&gt;0,IF(FP18&gt;1000000,25000,(FP18-500000)*0.2),0),0))</f>
        <v>42179</v>
      </c>
      <c r="FS18">
        <f t="shared" ref="FS18" si="145">FQ18+FR18</f>
        <v>54679</v>
      </c>
      <c r="FT18">
        <f t="shared" ref="FT18" si="146">IF(FS18&lt;12500,0,FS18)</f>
        <v>54679</v>
      </c>
      <c r="FU18">
        <f t="shared" ref="FU18" si="147">FT18*0.04</f>
        <v>2187.16</v>
      </c>
      <c r="FV18">
        <f t="shared" ref="FV18" si="148">ROUND(FU18+FT18,0)</f>
        <v>56866</v>
      </c>
      <c r="FW18">
        <v>1</v>
      </c>
      <c r="FX18">
        <f t="shared" ref="FX18" si="149">FV18-FW18</f>
        <v>56865</v>
      </c>
      <c r="FY18" t="b">
        <f t="shared" ref="FY18" si="150">IF(EN18&gt;500000,TRUE,FALSE)</f>
        <v>1</v>
      </c>
      <c r="FZ18">
        <f t="shared" ref="FZ18" ca="1" si="151">IF(FY18,RANDBETWEEN(500,1000),RANDBETWEEN(1000,3000))</f>
        <v>717</v>
      </c>
      <c r="GA18">
        <f t="shared" ref="GA18" ca="1" si="152">EN18+FZ18</f>
        <v>806010</v>
      </c>
      <c r="GB18">
        <f t="shared" ref="GB18" si="153">IF(EN18&gt;0,75000,0)</f>
        <v>75000</v>
      </c>
      <c r="GC18">
        <f t="shared" ref="GC18" ca="1" si="154">GA18-GB18</f>
        <v>731010</v>
      </c>
      <c r="GD18">
        <f t="shared" ref="GD18" ca="1" si="155">IF(GC18&gt;2400000,GC18-2400000,0)</f>
        <v>0</v>
      </c>
      <c r="GE18">
        <f t="shared" ref="GE18" ca="1" si="156">GD18*0.3</f>
        <v>0</v>
      </c>
      <c r="GF18">
        <f t="shared" ref="GF18" ca="1" si="157">IF(GC18&gt;2000000,GC18-2000000,0)</f>
        <v>0</v>
      </c>
      <c r="GG18">
        <f t="shared" ref="GG18" ca="1" si="158">GF18*0.25</f>
        <v>0</v>
      </c>
      <c r="GH18">
        <f t="shared" ref="GH18" ca="1" si="159">IF(GC18&gt;1600000,GC18-1600000-GD18,0)</f>
        <v>0</v>
      </c>
      <c r="GI18">
        <f t="shared" ref="GI18" ca="1" si="160">GH18*0.2</f>
        <v>0</v>
      </c>
      <c r="GJ18">
        <f ca="1">IF(GC18&gt;1200000,GC18-1200000-IF(F18="YES",50000,0)-GH18,0)</f>
        <v>0</v>
      </c>
      <c r="GK18">
        <f t="shared" ref="GK18" ca="1" si="161">GJ18*0.15</f>
        <v>0</v>
      </c>
      <c r="GL18">
        <f t="shared" ref="GL18" ca="1" si="162">IF(GC18&gt;800000,GC18-800000-GD18-GH18-GJ18,0)</f>
        <v>0</v>
      </c>
      <c r="GM18">
        <f t="shared" ref="GM18" ca="1" si="163">GL18*0.1</f>
        <v>0</v>
      </c>
      <c r="GN18">
        <f t="shared" ref="GN18" ca="1" si="164">IF(GC18&gt;400000,GC18-400000-GD18-GH18-GJ18-GL18,0)</f>
        <v>331010</v>
      </c>
      <c r="GO18">
        <f t="shared" ref="GO18" ca="1" si="165">GN18*0.05</f>
        <v>16550.5</v>
      </c>
      <c r="GP18">
        <f t="shared" ref="GP18" ca="1" si="166">ROUND(GE18+GG18+GI18+GK18+GM18+GO18,0)</f>
        <v>16551</v>
      </c>
      <c r="GQ18">
        <f t="shared" ref="GQ18" ca="1" si="167">IF(GC18&gt;1200000,GC18,0)</f>
        <v>0</v>
      </c>
      <c r="GR18">
        <f t="shared" ref="GR18" ca="1" si="168">IF(GC18&gt;1200000,GQ18-1200000,0)</f>
        <v>0</v>
      </c>
      <c r="GS18">
        <f t="shared" ref="GS18" ca="1" si="169">IF(GC18&lt;1200001,MIN(GP18,60000),0)</f>
        <v>16551</v>
      </c>
      <c r="GT18">
        <f t="shared" ref="GT18" ca="1" si="170">IF(GC18&gt;1200000,GP18-GR18,0)</f>
        <v>0</v>
      </c>
      <c r="GU18" t="b">
        <f t="shared" ref="GU18" ca="1" si="171">IF(GT18&gt;0,TRUE,FALSE)</f>
        <v>0</v>
      </c>
      <c r="GV18">
        <f t="shared" ref="GV18" ca="1" si="172">IF(GU18,GT18,0)</f>
        <v>0</v>
      </c>
      <c r="GW18">
        <f t="shared" ref="GW18" ca="1" si="173">GS18+GV18</f>
        <v>16551</v>
      </c>
      <c r="GX18">
        <f t="shared" ref="GX18" ca="1" si="174">ROUND(GP18-GW18,0)</f>
        <v>0</v>
      </c>
      <c r="GY18">
        <f t="shared" ref="GY18" ca="1" si="175">GX18*0.04</f>
        <v>0</v>
      </c>
      <c r="GZ18">
        <f t="shared" ref="GZ18" ca="1" si="176">ROUNDUP(GX18+GY18,0)</f>
        <v>0</v>
      </c>
    </row>
    <row r="19" spans="1:208" x14ac:dyDescent="0.25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957</v>
      </c>
      <c r="G19" t="s">
        <v>885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>IF(J19&gt;0,SUM(J19:N19),0)</f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85"/>
        <v>200</v>
      </c>
      <c r="S19">
        <f t="shared" si="86"/>
        <v>60782</v>
      </c>
      <c r="T19">
        <f>_xlfn.XLOOKUP(B19,'[2]april-2025'!$A:$A,'[2]april-2025'!$C:$C,0,0)</f>
        <v>51700</v>
      </c>
      <c r="U19">
        <f t="shared" si="3"/>
        <v>9306</v>
      </c>
      <c r="V19">
        <f t="shared" si="4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87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5"/>
        <v>200</v>
      </c>
      <c r="AC19">
        <f t="shared" si="6"/>
        <v>62850</v>
      </c>
      <c r="AD19">
        <f>_xlfn.XLOOKUP(B19,'[3]may-2025'!$A:$A,'[3]may-2025'!$C:$C,0,0)</f>
        <v>51700</v>
      </c>
      <c r="AE19">
        <f t="shared" si="7"/>
        <v>9306</v>
      </c>
      <c r="AF19">
        <f t="shared" si="8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88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9"/>
        <v>200</v>
      </c>
      <c r="AM19">
        <f t="shared" si="10"/>
        <v>62850</v>
      </c>
      <c r="AN19">
        <f>_xlfn.XLOOKUP(B19,'[4]june-2025'!$A:$A,'[4]june-2025'!$C:$C,0,0)</f>
        <v>51700</v>
      </c>
      <c r="AO19">
        <f t="shared" si="11"/>
        <v>9306</v>
      </c>
      <c r="AP19">
        <f t="shared" si="12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89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3"/>
        <v>200</v>
      </c>
      <c r="AW19">
        <f t="shared" si="14"/>
        <v>62850</v>
      </c>
      <c r="AX19">
        <f>_xlfn.XLOOKUP(B19,'[5]july-2025'!$A:$A,'[5]july-2025'!$C:$C,0,0)</f>
        <v>53300</v>
      </c>
      <c r="AY19">
        <f t="shared" si="15"/>
        <v>9594</v>
      </c>
      <c r="AZ19">
        <v>0</v>
      </c>
      <c r="BA19">
        <f t="shared" si="16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>IF(AX19&gt;0,SUM(AX19:BC19),0)</f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17"/>
        <v>200</v>
      </c>
      <c r="BH19">
        <f t="shared" si="18"/>
        <v>64930</v>
      </c>
      <c r="BI19">
        <f>_xlfn.XLOOKUP(B19,'[6]august-2025'!$A:$A,'[6]august-2025'!$C:$C,0,0)</f>
        <v>53300</v>
      </c>
      <c r="BJ19">
        <f t="shared" si="19"/>
        <v>9594</v>
      </c>
      <c r="BK19">
        <f t="shared" si="20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1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>IF($F19="YES",0,IF(BN19&gt;40000,200,IF(BN19&gt;25000,150,IF(BN19&gt;15000,130,IF(BN19&gt;10000,110,0)))))</f>
        <v>200</v>
      </c>
      <c r="BR19">
        <f>BN19-BO19-BP19-BQ19</f>
        <v>64930</v>
      </c>
      <c r="BS19">
        <f>_xlfn.XLOOKUP(B19,'[7]september-2025'!$A:$A,'[7]september-2025'!$C:$C,0,0)</f>
        <v>53300</v>
      </c>
      <c r="BT19">
        <f t="shared" si="22"/>
        <v>9594</v>
      </c>
      <c r="BU19">
        <f t="shared" si="23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>IF(BS19&gt;0,SUM(BS19:BW19),0)</f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24"/>
        <v>200</v>
      </c>
      <c r="CB19">
        <f t="shared" si="25"/>
        <v>64930</v>
      </c>
      <c r="CC19">
        <f>_xlfn.XLOOKUP(B19,'[8]october-2025'!$A:$A,'[8]october-2025'!$C:$C,0,0)</f>
        <v>53300</v>
      </c>
      <c r="CD19">
        <f t="shared" si="26"/>
        <v>9594</v>
      </c>
      <c r="CE19">
        <f t="shared" si="27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>IF(CC19&gt;0,SUM(CC19:CG19),0)</f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28"/>
        <v>200</v>
      </c>
      <c r="CL19">
        <f t="shared" si="29"/>
        <v>64930</v>
      </c>
      <c r="CM19">
        <f>_xlfn.XLOOKUP(B19,'[9]november-2025'!$A:$A,'[9]november-2025'!$C:$C,0,0)</f>
        <v>53300</v>
      </c>
      <c r="CN19">
        <f t="shared" si="30"/>
        <v>9594</v>
      </c>
      <c r="CO19">
        <f t="shared" si="31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>IF(CM19&gt;0,SUM(CM19:CQ19),0)</f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32"/>
        <v>200</v>
      </c>
      <c r="CV19">
        <f t="shared" si="33"/>
        <v>64930</v>
      </c>
      <c r="CW19">
        <f>_xlfn.XLOOKUP(B19,'[10]december-2025'!$A:$A,'[10]december-2025'!$C:$C,0,0)</f>
        <v>53300</v>
      </c>
      <c r="CX19">
        <f t="shared" si="34"/>
        <v>9594</v>
      </c>
      <c r="CY19">
        <f t="shared" si="35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>IF(CW19&gt;0,SUM(CW19:DA19),0)</f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36"/>
        <v>200</v>
      </c>
      <c r="DF19">
        <f t="shared" si="37"/>
        <v>64930</v>
      </c>
      <c r="DG19">
        <f>_xlfn.XLOOKUP(B19,'[11]january-2026'!$A:$A,'[11]january-2026'!$C:$C,0,0)</f>
        <v>53300</v>
      </c>
      <c r="DH19">
        <f t="shared" si="38"/>
        <v>9594</v>
      </c>
      <c r="DI19">
        <f t="shared" si="39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>IF(DG19&gt;0,SUM(DG19:DK19),0)</f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40"/>
        <v>200</v>
      </c>
      <c r="DP19">
        <f t="shared" si="41"/>
        <v>64930</v>
      </c>
      <c r="DQ19">
        <f>_xlfn.XLOOKUP(B19,'[12]february-2026'!$A:$A,'[12]february-2026'!$C:$C,0,0)</f>
        <v>53300</v>
      </c>
      <c r="DR19">
        <f t="shared" si="42"/>
        <v>9594</v>
      </c>
      <c r="DS19">
        <f t="shared" si="43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>IF(DQ19&gt;0,SUM(DQ19:DU19),0)</f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44"/>
        <v>200</v>
      </c>
      <c r="DZ19">
        <f t="shared" si="45"/>
        <v>64930</v>
      </c>
      <c r="EA19">
        <f>_xlfn.XLOOKUP(B19,'[1]march-2025'!$A:$A,'[1]march-2025'!$J:$J,0,0)</f>
        <v>0</v>
      </c>
      <c r="EB19">
        <f>_xlfn.XLOOKUP(B19,'[2]april-2025'!$A:$A,'[2]april-2025'!$J:$J,0,0)</f>
        <v>0</v>
      </c>
      <c r="EC19">
        <f>_xlfn.XLOOKUP(B19,'[3]may-2025'!$A:$A,'[3]may-2025'!$J:$J,0,0)</f>
        <v>0</v>
      </c>
      <c r="ED19">
        <f>_xlfn.XLOOKUP(B19,'[4]june-2025'!$A:$A,'[4]june-2025'!$J:$J,0,0)</f>
        <v>0</v>
      </c>
      <c r="EE19">
        <f>_xlfn.XLOOKUP(B19,'[5]july-2025'!$A:$A,'[5]july-2025'!$J:$J,0,0)</f>
        <v>0</v>
      </c>
      <c r="EF19">
        <f>_xlfn.XLOOKUP(B19,'[6]august-2025'!$A:$A,'[6]august-2025'!$J:$J,0,0)</f>
        <v>0</v>
      </c>
      <c r="EG19">
        <f>_xlfn.XLOOKUP(B19,'[7]september-2025'!$A:$A,'[7]september-2025'!$J:$J,0,0)</f>
        <v>0</v>
      </c>
      <c r="EH19">
        <f>_xlfn.XLOOKUP(B19,'[8]october-2025'!$A:$A,'[8]october-2025'!$J:$J,0,0)</f>
        <v>0</v>
      </c>
      <c r="EI19">
        <f>_xlfn.XLOOKUP(C19,'[9]november-2025'!$A:$A,'[9]november-2025'!$J:$J,0,0)</f>
        <v>0</v>
      </c>
      <c r="EJ19">
        <f>_xlfn.XLOOKUP(B19,'[10]december-2025'!$A:$A,'[10]december-2025'!$J:$J,0,0)</f>
        <v>0</v>
      </c>
      <c r="EK19">
        <f>_xlfn.XLOOKUP(B19,'[11]january-2026'!$A:$A,'[11]january-2026'!$J:$J,0,0)</f>
        <v>0</v>
      </c>
      <c r="EL19">
        <f>_xlfn.XLOOKUP(B19,'[12]february-2026'!$A:$A,'[12]february-2026'!$J:$J,0,0)</f>
        <v>0</v>
      </c>
      <c r="EM19">
        <f t="shared" si="90"/>
        <v>0</v>
      </c>
      <c r="EN19">
        <f>DV19+DL19+DB19+CR19+CH19+BX19+BN19+BD19+AS19+AI19+Y19+O19+H19+I19</f>
        <v>838692</v>
      </c>
      <c r="EO19">
        <f>DY19+DO19+DE19+CU19+CK19+CA19+BQ19+BG19+AV19+AL19+AB19+R19</f>
        <v>2400</v>
      </c>
      <c r="EP19">
        <f t="shared" si="46"/>
        <v>50000</v>
      </c>
      <c r="EQ19">
        <v>0</v>
      </c>
      <c r="ER19">
        <f t="shared" si="91"/>
        <v>786292</v>
      </c>
      <c r="ES19">
        <f>DW19+DM19+DC19+CS19+CI19+BY19+BO19+BE19+AT19+AJ19+Z19+P19</f>
        <v>60000</v>
      </c>
      <c r="ET19">
        <f>DX19+DN19+DD19+CT19+CJ19+BZ19+BP19+BF19+AU19+AK19+AA19+Q19</f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47"/>
        <v>60720</v>
      </c>
      <c r="FF19">
        <f t="shared" si="48"/>
        <v>60720</v>
      </c>
      <c r="FG19">
        <f t="shared" si="49"/>
        <v>725572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>SUM(FH19:FN19)+(IF(F19="YES",50000,0))</f>
        <v>0</v>
      </c>
      <c r="FP19">
        <f t="shared" si="50"/>
        <v>725572</v>
      </c>
      <c r="FQ19">
        <f t="shared" si="51"/>
        <v>12500</v>
      </c>
      <c r="FR19">
        <f t="shared" si="52"/>
        <v>45114</v>
      </c>
      <c r="FS19">
        <f t="shared" si="53"/>
        <v>57614</v>
      </c>
      <c r="FT19">
        <f t="shared" si="54"/>
        <v>57614</v>
      </c>
      <c r="FU19">
        <f t="shared" si="55"/>
        <v>2304.56</v>
      </c>
      <c r="FV19">
        <f t="shared" si="56"/>
        <v>59919</v>
      </c>
      <c r="FW19">
        <v>0</v>
      </c>
      <c r="FX19">
        <f t="shared" si="57"/>
        <v>59919</v>
      </c>
      <c r="FY19" t="b">
        <f t="shared" si="58"/>
        <v>1</v>
      </c>
      <c r="FZ19">
        <f t="shared" ca="1" si="59"/>
        <v>692</v>
      </c>
      <c r="GA19">
        <f t="shared" ca="1" si="60"/>
        <v>839384</v>
      </c>
      <c r="GB19">
        <f t="shared" si="61"/>
        <v>75000</v>
      </c>
      <c r="GC19">
        <f t="shared" ca="1" si="62"/>
        <v>764384</v>
      </c>
      <c r="GD19">
        <f t="shared" ca="1" si="63"/>
        <v>0</v>
      </c>
      <c r="GE19">
        <f t="shared" ca="1" si="64"/>
        <v>0</v>
      </c>
      <c r="GF19">
        <f t="shared" ca="1" si="65"/>
        <v>0</v>
      </c>
      <c r="GG19">
        <f t="shared" ca="1" si="66"/>
        <v>0</v>
      </c>
      <c r="GH19">
        <f t="shared" ca="1" si="67"/>
        <v>0</v>
      </c>
      <c r="GI19">
        <f t="shared" ca="1" si="68"/>
        <v>0</v>
      </c>
      <c r="GJ19">
        <f ca="1">IF(GC19&gt;1200000,GC19-1200000-IF(F19="YES",50000,0)-GH19,0)</f>
        <v>0</v>
      </c>
      <c r="GK19">
        <f t="shared" ca="1" si="69"/>
        <v>0</v>
      </c>
      <c r="GL19">
        <f t="shared" ca="1" si="70"/>
        <v>0</v>
      </c>
      <c r="GM19">
        <f t="shared" ca="1" si="71"/>
        <v>0</v>
      </c>
      <c r="GN19">
        <f t="shared" ca="1" si="72"/>
        <v>364384</v>
      </c>
      <c r="GO19">
        <f t="shared" ca="1" si="73"/>
        <v>18219.2</v>
      </c>
      <c r="GP19">
        <f t="shared" ca="1" si="74"/>
        <v>18219</v>
      </c>
      <c r="GQ19">
        <f t="shared" ca="1" si="75"/>
        <v>0</v>
      </c>
      <c r="GR19">
        <f t="shared" ca="1" si="76"/>
        <v>0</v>
      </c>
      <c r="GS19">
        <f t="shared" ca="1" si="77"/>
        <v>18219</v>
      </c>
      <c r="GT19">
        <f t="shared" ca="1" si="78"/>
        <v>0</v>
      </c>
      <c r="GU19" t="b">
        <f t="shared" ca="1" si="79"/>
        <v>0</v>
      </c>
      <c r="GV19">
        <f t="shared" ca="1" si="80"/>
        <v>0</v>
      </c>
      <c r="GW19">
        <f t="shared" ca="1" si="81"/>
        <v>18219</v>
      </c>
      <c r="GX19">
        <f t="shared" ca="1" si="82"/>
        <v>0</v>
      </c>
      <c r="GY19">
        <f t="shared" ca="1" si="83"/>
        <v>0</v>
      </c>
      <c r="GZ19">
        <f t="shared" ca="1" si="84"/>
        <v>0</v>
      </c>
    </row>
    <row r="20" spans="1:208" x14ac:dyDescent="0.25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957</v>
      </c>
      <c r="G20" t="s">
        <v>886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>IF(J20&gt;0,SUM(J20:N20),0)</f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85"/>
        <v>200</v>
      </c>
      <c r="S20">
        <f t="shared" si="86"/>
        <v>37510</v>
      </c>
      <c r="T20">
        <f>_xlfn.XLOOKUP(B20,'[2]april-2025'!$A:$A,'[2]april-2025'!$C:$C,0,0)</f>
        <v>33500</v>
      </c>
      <c r="U20">
        <f t="shared" si="3"/>
        <v>6030</v>
      </c>
      <c r="V20">
        <f t="shared" si="4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87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5"/>
        <v>200</v>
      </c>
      <c r="AC20">
        <f t="shared" si="6"/>
        <v>38850</v>
      </c>
      <c r="AD20">
        <f>_xlfn.XLOOKUP(B20,'[3]may-2025'!$A:$A,'[3]may-2025'!$C:$C,0,0)</f>
        <v>33500</v>
      </c>
      <c r="AE20">
        <f t="shared" si="7"/>
        <v>6030</v>
      </c>
      <c r="AF20">
        <f t="shared" si="8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88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9"/>
        <v>200</v>
      </c>
      <c r="AM20">
        <f t="shared" si="10"/>
        <v>38850</v>
      </c>
      <c r="AN20">
        <f>_xlfn.XLOOKUP(B20,'[4]june-2025'!$A:$A,'[4]june-2025'!$C:$C,0,0)</f>
        <v>33500</v>
      </c>
      <c r="AO20">
        <f t="shared" si="11"/>
        <v>6030</v>
      </c>
      <c r="AP20">
        <f t="shared" si="12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89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3"/>
        <v>200</v>
      </c>
      <c r="AW20">
        <f t="shared" si="14"/>
        <v>38850</v>
      </c>
      <c r="AX20">
        <f>_xlfn.XLOOKUP(B20,'[5]july-2025'!$A:$A,'[5]july-2025'!$C:$C,0,0)</f>
        <v>34500</v>
      </c>
      <c r="AY20">
        <f t="shared" si="15"/>
        <v>6210</v>
      </c>
      <c r="AZ20">
        <v>0</v>
      </c>
      <c r="BA20">
        <f t="shared" si="16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>IF(AX20&gt;0,SUM(AX20:BC20),0)</f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17"/>
        <v>200</v>
      </c>
      <c r="BH20">
        <f t="shared" si="18"/>
        <v>40150</v>
      </c>
      <c r="BI20">
        <f>_xlfn.XLOOKUP(B20,'[6]august-2025'!$A:$A,'[6]august-2025'!$C:$C,0,0)</f>
        <v>34500</v>
      </c>
      <c r="BJ20">
        <f t="shared" si="19"/>
        <v>6210</v>
      </c>
      <c r="BK20">
        <f t="shared" si="20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1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>IF($F20="YES",0,IF(BN20&gt;40000,200,IF(BN20&gt;25000,150,IF(BN20&gt;15000,130,IF(BN20&gt;10000,110,0)))))</f>
        <v>200</v>
      </c>
      <c r="BR20">
        <f>BN20-BO20-BP20-BQ20</f>
        <v>40150</v>
      </c>
      <c r="BS20">
        <f>_xlfn.XLOOKUP(B20,'[7]september-2025'!$A:$A,'[7]september-2025'!$C:$C,0,0)</f>
        <v>34500</v>
      </c>
      <c r="BT20">
        <f t="shared" si="22"/>
        <v>6210</v>
      </c>
      <c r="BU20">
        <f t="shared" si="23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>IF(BS20&gt;0,SUM(BS20:BW20),0)</f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24"/>
        <v>200</v>
      </c>
      <c r="CB20">
        <f t="shared" si="25"/>
        <v>40150</v>
      </c>
      <c r="CC20">
        <f>_xlfn.XLOOKUP(B20,'[8]october-2025'!$A:$A,'[8]october-2025'!$C:$C,0,0)</f>
        <v>34500</v>
      </c>
      <c r="CD20">
        <f t="shared" si="26"/>
        <v>6210</v>
      </c>
      <c r="CE20">
        <f t="shared" si="27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>IF(CC20&gt;0,SUM(CC20:CG20),0)</f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28"/>
        <v>200</v>
      </c>
      <c r="CL20">
        <f t="shared" si="29"/>
        <v>40150</v>
      </c>
      <c r="CM20">
        <f>_xlfn.XLOOKUP(B20,'[9]november-2025'!$A:$A,'[9]november-2025'!$C:$C,0,0)</f>
        <v>34500</v>
      </c>
      <c r="CN20">
        <f t="shared" si="30"/>
        <v>6210</v>
      </c>
      <c r="CO20">
        <f t="shared" si="31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>IF(CM20&gt;0,SUM(CM20:CQ20),0)</f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32"/>
        <v>200</v>
      </c>
      <c r="CV20">
        <f t="shared" si="33"/>
        <v>40150</v>
      </c>
      <c r="CW20">
        <f>_xlfn.XLOOKUP(B20,'[10]december-2025'!$A:$A,'[10]december-2025'!$C:$C,0,0)</f>
        <v>34500</v>
      </c>
      <c r="CX20">
        <f t="shared" si="34"/>
        <v>6210</v>
      </c>
      <c r="CY20">
        <f t="shared" si="35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>IF(CW20&gt;0,SUM(CW20:DA20),0)</f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36"/>
        <v>200</v>
      </c>
      <c r="DF20">
        <f t="shared" si="37"/>
        <v>40150</v>
      </c>
      <c r="DG20">
        <f>_xlfn.XLOOKUP(B20,'[11]january-2026'!$A:$A,'[11]january-2026'!$C:$C,0,0)</f>
        <v>34500</v>
      </c>
      <c r="DH20">
        <f t="shared" si="38"/>
        <v>6210</v>
      </c>
      <c r="DI20">
        <f t="shared" si="39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>IF(DG20&gt;0,SUM(DG20:DK20),0)</f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40"/>
        <v>200</v>
      </c>
      <c r="DP20">
        <f t="shared" si="41"/>
        <v>40150</v>
      </c>
      <c r="DQ20">
        <f>_xlfn.XLOOKUP(B20,'[12]february-2026'!$A:$A,'[12]february-2026'!$C:$C,0,0)</f>
        <v>34500</v>
      </c>
      <c r="DR20">
        <f t="shared" si="42"/>
        <v>6210</v>
      </c>
      <c r="DS20">
        <f t="shared" si="43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>IF(DQ20&gt;0,SUM(DQ20:DU20),0)</f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44"/>
        <v>200</v>
      </c>
      <c r="DZ20">
        <f t="shared" si="45"/>
        <v>40150</v>
      </c>
      <c r="EA20">
        <f>_xlfn.XLOOKUP(B20,'[1]march-2025'!$A:$A,'[1]march-2025'!$J:$J,0,0)</f>
        <v>0</v>
      </c>
      <c r="EB20">
        <f>_xlfn.XLOOKUP(B20,'[2]april-2025'!$A:$A,'[2]april-2025'!$J:$J,0,0)</f>
        <v>0</v>
      </c>
      <c r="EC20">
        <f>_xlfn.XLOOKUP(B20,'[3]may-2025'!$A:$A,'[3]may-2025'!$J:$J,0,0)</f>
        <v>0</v>
      </c>
      <c r="ED20">
        <f>_xlfn.XLOOKUP(B20,'[4]june-2025'!$A:$A,'[4]june-2025'!$J:$J,0,0)</f>
        <v>0</v>
      </c>
      <c r="EE20">
        <f>_xlfn.XLOOKUP(B20,'[5]july-2025'!$A:$A,'[5]july-2025'!$J:$J,0,0)</f>
        <v>0</v>
      </c>
      <c r="EF20">
        <f>_xlfn.XLOOKUP(B20,'[6]august-2025'!$A:$A,'[6]august-2025'!$J:$J,0,0)</f>
        <v>0</v>
      </c>
      <c r="EG20">
        <f>_xlfn.XLOOKUP(B20,'[7]september-2025'!$A:$A,'[7]september-2025'!$J:$J,0,0)</f>
        <v>0</v>
      </c>
      <c r="EH20">
        <f>_xlfn.XLOOKUP(B20,'[8]october-2025'!$A:$A,'[8]october-2025'!$J:$J,0,0)</f>
        <v>0</v>
      </c>
      <c r="EI20">
        <f>_xlfn.XLOOKUP(C20,'[9]november-2025'!$A:$A,'[9]november-2025'!$J:$J,0,0)</f>
        <v>0</v>
      </c>
      <c r="EJ20">
        <f>_xlfn.XLOOKUP(B20,'[10]december-2025'!$A:$A,'[10]december-2025'!$J:$J,0,0)</f>
        <v>0</v>
      </c>
      <c r="EK20">
        <f>_xlfn.XLOOKUP(B20,'[11]january-2026'!$A:$A,'[11]january-2026'!$J:$J,0,0)</f>
        <v>0</v>
      </c>
      <c r="EL20">
        <f>_xlfn.XLOOKUP(B20,'[12]february-2026'!$A:$A,'[12]february-2026'!$J:$J,0,0)</f>
        <v>0</v>
      </c>
      <c r="EM20">
        <f t="shared" si="90"/>
        <v>0</v>
      </c>
      <c r="EN20">
        <f>DV20+DL20+DB20+CR20+CH20+BX20+BN20+BD20+AS20+AI20+Y20+O20+H20+I20</f>
        <v>544460</v>
      </c>
      <c r="EO20">
        <f>DY20+DO20+DE20+CU20+CK20+CA20+BQ20+BG20+AV20+AL20+AB20+R20</f>
        <v>2400</v>
      </c>
      <c r="EP20">
        <f t="shared" si="46"/>
        <v>50000</v>
      </c>
      <c r="EQ20">
        <v>0</v>
      </c>
      <c r="ER20">
        <f t="shared" si="91"/>
        <v>492060</v>
      </c>
      <c r="ES20">
        <f>DW20+DM20+DC20+CS20+CI20+BY20+BO20+BE20+AT20+AJ20+Z20+P20</f>
        <v>60000</v>
      </c>
      <c r="ET20">
        <f>DX20+DN20+DD20+CT20+CJ20+BZ20+BP20+BF20+AU20+AK20+AA20+Q20</f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47"/>
        <v>60000</v>
      </c>
      <c r="FF20">
        <f t="shared" si="48"/>
        <v>60000</v>
      </c>
      <c r="FG20">
        <f t="shared" si="49"/>
        <v>432060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>SUM(FH20:FN20)+(IF(F20="YES",50000,0))</f>
        <v>0</v>
      </c>
      <c r="FP20">
        <f t="shared" si="50"/>
        <v>432060</v>
      </c>
      <c r="FQ20">
        <f t="shared" si="51"/>
        <v>9103</v>
      </c>
      <c r="FR20">
        <f t="shared" si="52"/>
        <v>0</v>
      </c>
      <c r="FS20">
        <f t="shared" si="53"/>
        <v>9103</v>
      </c>
      <c r="FT20">
        <f t="shared" si="54"/>
        <v>0</v>
      </c>
      <c r="FU20">
        <f t="shared" si="55"/>
        <v>0</v>
      </c>
      <c r="FV20">
        <f t="shared" si="56"/>
        <v>0</v>
      </c>
      <c r="FW20">
        <v>0</v>
      </c>
      <c r="FX20">
        <f t="shared" si="57"/>
        <v>0</v>
      </c>
      <c r="FY20" t="b">
        <f t="shared" si="58"/>
        <v>1</v>
      </c>
      <c r="FZ20">
        <f t="shared" ca="1" si="59"/>
        <v>513</v>
      </c>
      <c r="GA20">
        <f t="shared" ca="1" si="60"/>
        <v>544973</v>
      </c>
      <c r="GB20">
        <f t="shared" si="61"/>
        <v>75000</v>
      </c>
      <c r="GC20">
        <f t="shared" ca="1" si="62"/>
        <v>469973</v>
      </c>
      <c r="GD20">
        <f t="shared" ca="1" si="63"/>
        <v>0</v>
      </c>
      <c r="GE20">
        <f t="shared" ca="1" si="64"/>
        <v>0</v>
      </c>
      <c r="GF20">
        <f t="shared" ca="1" si="65"/>
        <v>0</v>
      </c>
      <c r="GG20">
        <f t="shared" ca="1" si="66"/>
        <v>0</v>
      </c>
      <c r="GH20">
        <f t="shared" ca="1" si="67"/>
        <v>0</v>
      </c>
      <c r="GI20">
        <f t="shared" ca="1" si="68"/>
        <v>0</v>
      </c>
      <c r="GJ20">
        <f ca="1">IF(GC20&gt;1200000,GC20-1200000-IF(F20="YES",50000,0)-GH20,0)</f>
        <v>0</v>
      </c>
      <c r="GK20">
        <f t="shared" ca="1" si="69"/>
        <v>0</v>
      </c>
      <c r="GL20">
        <f t="shared" ca="1" si="70"/>
        <v>0</v>
      </c>
      <c r="GM20">
        <f t="shared" ca="1" si="71"/>
        <v>0</v>
      </c>
      <c r="GN20">
        <f t="shared" ca="1" si="72"/>
        <v>69973</v>
      </c>
      <c r="GO20">
        <f t="shared" ca="1" si="73"/>
        <v>3498.65</v>
      </c>
      <c r="GP20">
        <f t="shared" ca="1" si="74"/>
        <v>3499</v>
      </c>
      <c r="GQ20">
        <f t="shared" ca="1" si="75"/>
        <v>0</v>
      </c>
      <c r="GR20">
        <f t="shared" ca="1" si="76"/>
        <v>0</v>
      </c>
      <c r="GS20">
        <f t="shared" ca="1" si="77"/>
        <v>3499</v>
      </c>
      <c r="GT20">
        <f t="shared" ca="1" si="78"/>
        <v>0</v>
      </c>
      <c r="GU20" t="b">
        <f t="shared" ca="1" si="79"/>
        <v>0</v>
      </c>
      <c r="GV20">
        <f t="shared" ca="1" si="80"/>
        <v>0</v>
      </c>
      <c r="GW20">
        <f t="shared" ca="1" si="81"/>
        <v>3499</v>
      </c>
      <c r="GX20">
        <f t="shared" ca="1" si="82"/>
        <v>0</v>
      </c>
      <c r="GY20">
        <f t="shared" ca="1" si="83"/>
        <v>0</v>
      </c>
      <c r="GZ20">
        <f t="shared" ca="1" si="84"/>
        <v>0</v>
      </c>
    </row>
    <row r="21" spans="1:208" x14ac:dyDescent="0.25">
      <c r="A21">
        <f>_xlfn.AGGREGATE(3,5,$B$2:B21)</f>
        <v>20</v>
      </c>
      <c r="B21" t="s">
        <v>160</v>
      </c>
      <c r="C21" t="s">
        <v>975</v>
      </c>
      <c r="D21" t="s">
        <v>753</v>
      </c>
      <c r="E21" t="s">
        <v>831</v>
      </c>
      <c r="F21" t="s">
        <v>957</v>
      </c>
      <c r="G21" t="s">
        <v>881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>IF(J21&gt;0,SUM(J21:N21),0)</f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85"/>
        <v>150</v>
      </c>
      <c r="S21">
        <f t="shared" si="86"/>
        <v>34764</v>
      </c>
      <c r="T21">
        <f>_xlfn.XLOOKUP(B21,'[2]april-2025'!$A:$A,'[2]april-2025'!$C:$C,0,0)</f>
        <v>28900</v>
      </c>
      <c r="U21">
        <f t="shared" si="3"/>
        <v>5202</v>
      </c>
      <c r="V21">
        <f t="shared" si="4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87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5"/>
        <v>150</v>
      </c>
      <c r="AC21">
        <f t="shared" si="6"/>
        <v>35920</v>
      </c>
      <c r="AD21">
        <f>_xlfn.XLOOKUP(B21,'[3]may-2025'!$A:$A,'[3]may-2025'!$C:$C,0,0)</f>
        <v>28900</v>
      </c>
      <c r="AE21">
        <f t="shared" si="7"/>
        <v>5202</v>
      </c>
      <c r="AF21">
        <f t="shared" si="8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88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9"/>
        <v>150</v>
      </c>
      <c r="AM21">
        <f t="shared" si="10"/>
        <v>35920</v>
      </c>
      <c r="AN21">
        <f>_xlfn.XLOOKUP(B21,'[4]june-2025'!$A:$A,'[4]june-2025'!$C:$C,0,0)</f>
        <v>28900</v>
      </c>
      <c r="AO21">
        <f t="shared" si="11"/>
        <v>5202</v>
      </c>
      <c r="AP21">
        <f t="shared" si="12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89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3"/>
        <v>150</v>
      </c>
      <c r="AW21">
        <f t="shared" si="14"/>
        <v>35920</v>
      </c>
      <c r="AX21">
        <f>_xlfn.XLOOKUP(B21,'[5]july-2025'!$A:$A,'[5]july-2025'!$C:$C,0,0)</f>
        <v>29800</v>
      </c>
      <c r="AY21">
        <f t="shared" si="15"/>
        <v>5364</v>
      </c>
      <c r="AZ21">
        <v>0</v>
      </c>
      <c r="BA21">
        <f t="shared" si="16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>IF(AX21&gt;0,SUM(AX21:BC21),0)</f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17"/>
        <v>150</v>
      </c>
      <c r="BH21">
        <f t="shared" si="18"/>
        <v>37090</v>
      </c>
      <c r="BI21">
        <f>_xlfn.XLOOKUP(B21,'[6]august-2025'!$A:$A,'[6]august-2025'!$C:$C,0,0)</f>
        <v>29800</v>
      </c>
      <c r="BJ21">
        <f t="shared" si="19"/>
        <v>5364</v>
      </c>
      <c r="BK21">
        <f t="shared" si="20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1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>IF($F21="YES",0,IF(BN21&gt;40000,200,IF(BN21&gt;25000,150,IF(BN21&gt;15000,130,IF(BN21&gt;10000,110,0)))))</f>
        <v>150</v>
      </c>
      <c r="BR21">
        <f>BN21-BO21-BP21-BQ21</f>
        <v>37090</v>
      </c>
      <c r="BS21">
        <f>_xlfn.XLOOKUP(B21,'[7]september-2025'!$A:$A,'[7]september-2025'!$C:$C,0,0)</f>
        <v>29800</v>
      </c>
      <c r="BT21">
        <f t="shared" si="22"/>
        <v>5364</v>
      </c>
      <c r="BU21">
        <f t="shared" si="23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>IF(BS21&gt;0,SUM(BS21:BW21),0)</f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24"/>
        <v>150</v>
      </c>
      <c r="CB21">
        <f t="shared" si="25"/>
        <v>37090</v>
      </c>
      <c r="CC21">
        <f>_xlfn.XLOOKUP(B21,'[8]october-2025'!$A:$A,'[8]october-2025'!$C:$C,0,0)</f>
        <v>29800</v>
      </c>
      <c r="CD21">
        <f t="shared" si="26"/>
        <v>5364</v>
      </c>
      <c r="CE21">
        <f t="shared" si="27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>IF(CC21&gt;0,SUM(CC21:CG21),0)</f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28"/>
        <v>150</v>
      </c>
      <c r="CL21">
        <f t="shared" si="29"/>
        <v>37090</v>
      </c>
      <c r="CM21">
        <f>_xlfn.XLOOKUP(B21,'[9]november-2025'!$A:$A,'[9]november-2025'!$C:$C,0,0)</f>
        <v>29800</v>
      </c>
      <c r="CN21">
        <f t="shared" si="30"/>
        <v>5364</v>
      </c>
      <c r="CO21">
        <f t="shared" si="31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>IF(CM21&gt;0,SUM(CM21:CQ21),0)</f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32"/>
        <v>150</v>
      </c>
      <c r="CV21">
        <f t="shared" si="33"/>
        <v>37090</v>
      </c>
      <c r="CW21">
        <f>_xlfn.XLOOKUP(B21,'[10]december-2025'!$A:$A,'[10]december-2025'!$C:$C,0,0)</f>
        <v>29800</v>
      </c>
      <c r="CX21">
        <f t="shared" si="34"/>
        <v>5364</v>
      </c>
      <c r="CY21">
        <f t="shared" si="35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>IF(CW21&gt;0,SUM(CW21:DA21),0)</f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36"/>
        <v>150</v>
      </c>
      <c r="DF21">
        <f t="shared" si="37"/>
        <v>37090</v>
      </c>
      <c r="DG21">
        <f>_xlfn.XLOOKUP(B21,'[11]january-2026'!$A:$A,'[11]january-2026'!$C:$C,0,0)</f>
        <v>29800</v>
      </c>
      <c r="DH21">
        <f t="shared" si="38"/>
        <v>5364</v>
      </c>
      <c r="DI21">
        <f t="shared" si="39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>IF(DG21&gt;0,SUM(DG21:DK21),0)</f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40"/>
        <v>150</v>
      </c>
      <c r="DP21">
        <f t="shared" si="41"/>
        <v>37090</v>
      </c>
      <c r="DQ21">
        <f>_xlfn.XLOOKUP(B21,'[12]february-2026'!$A:$A,'[12]february-2026'!$C:$C,0,0)</f>
        <v>29800</v>
      </c>
      <c r="DR21">
        <f t="shared" si="42"/>
        <v>5364</v>
      </c>
      <c r="DS21">
        <f t="shared" si="43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>IF(DQ21&gt;0,SUM(DQ21:DU21),0)</f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44"/>
        <v>150</v>
      </c>
      <c r="DZ21">
        <f t="shared" si="45"/>
        <v>37090</v>
      </c>
      <c r="EA21">
        <f>_xlfn.XLOOKUP(B21,'[1]march-2025'!$A:$A,'[1]march-2025'!$J:$J,0,0)</f>
        <v>0</v>
      </c>
      <c r="EB21">
        <f>_xlfn.XLOOKUP(B21,'[2]april-2025'!$A:$A,'[2]april-2025'!$J:$J,0,0)</f>
        <v>0</v>
      </c>
      <c r="EC21">
        <f>_xlfn.XLOOKUP(B21,'[3]may-2025'!$A:$A,'[3]may-2025'!$J:$J,0,0)</f>
        <v>0</v>
      </c>
      <c r="ED21">
        <f>_xlfn.XLOOKUP(B21,'[4]june-2025'!$A:$A,'[4]june-2025'!$J:$J,0,0)</f>
        <v>0</v>
      </c>
      <c r="EE21">
        <f>_xlfn.XLOOKUP(B21,'[5]july-2025'!$A:$A,'[5]july-2025'!$J:$J,0,0)</f>
        <v>0</v>
      </c>
      <c r="EF21">
        <f>_xlfn.XLOOKUP(B21,'[6]august-2025'!$A:$A,'[6]august-2025'!$J:$J,0,0)</f>
        <v>0</v>
      </c>
      <c r="EG21">
        <f>_xlfn.XLOOKUP(B21,'[7]september-2025'!$A:$A,'[7]september-2025'!$J:$J,0,0)</f>
        <v>0</v>
      </c>
      <c r="EH21">
        <f>_xlfn.XLOOKUP(B21,'[8]october-2025'!$A:$A,'[8]october-2025'!$J:$J,0,0)</f>
        <v>0</v>
      </c>
      <c r="EI21">
        <f>_xlfn.XLOOKUP(C21,'[9]november-2025'!$A:$A,'[9]november-2025'!$J:$J,0,0)</f>
        <v>0</v>
      </c>
      <c r="EJ21">
        <f>_xlfn.XLOOKUP(B21,'[10]december-2025'!$A:$A,'[10]december-2025'!$J:$J,0,0)</f>
        <v>0</v>
      </c>
      <c r="EK21">
        <f>_xlfn.XLOOKUP(B21,'[11]january-2026'!$A:$A,'[11]january-2026'!$J:$J,0,0)</f>
        <v>0</v>
      </c>
      <c r="EL21">
        <f>_xlfn.XLOOKUP(B21,'[12]february-2026'!$A:$A,'[12]february-2026'!$J:$J,0,0)</f>
        <v>0</v>
      </c>
      <c r="EM21">
        <f t="shared" si="90"/>
        <v>0</v>
      </c>
      <c r="EN21">
        <f>DV21+DL21+DB21+CR21+CH21+BX21+BN21+BD21+AS21+AI21+Y21+O21+H21+I21</f>
        <v>471844</v>
      </c>
      <c r="EO21">
        <f>DY21+DO21+DE21+CU21+CK21+CA21+BQ21+BG21+AV21+AL21+AB21+R21</f>
        <v>1800</v>
      </c>
      <c r="EP21">
        <f t="shared" si="46"/>
        <v>50000</v>
      </c>
      <c r="EQ21">
        <v>0</v>
      </c>
      <c r="ER21">
        <f t="shared" si="91"/>
        <v>420044</v>
      </c>
      <c r="ES21">
        <f>DW21+DM21+DC21+CS21+CI21+BY21+BO21+BE21+AT21+AJ21+Z21+P21</f>
        <v>24000</v>
      </c>
      <c r="ET21">
        <f>DX21+DN21+DD21+CT21+CJ21+BZ21+BP21+BF21+AU21+AK21+AA21+Q21</f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47"/>
        <v>24000</v>
      </c>
      <c r="FF21">
        <f t="shared" si="48"/>
        <v>24000</v>
      </c>
      <c r="FG21">
        <f t="shared" si="49"/>
        <v>396044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>SUM(FH21:FN21)+(IF(F21="YES",50000,0))</f>
        <v>0</v>
      </c>
      <c r="FP21">
        <f t="shared" si="50"/>
        <v>396044</v>
      </c>
      <c r="FQ21">
        <f t="shared" si="51"/>
        <v>7302</v>
      </c>
      <c r="FR21">
        <f t="shared" si="52"/>
        <v>0</v>
      </c>
      <c r="FS21">
        <f t="shared" si="53"/>
        <v>7302</v>
      </c>
      <c r="FT21">
        <f t="shared" si="54"/>
        <v>0</v>
      </c>
      <c r="FU21">
        <f t="shared" si="55"/>
        <v>0</v>
      </c>
      <c r="FV21">
        <f t="shared" si="56"/>
        <v>0</v>
      </c>
      <c r="FW21">
        <v>0</v>
      </c>
      <c r="FX21">
        <f t="shared" si="57"/>
        <v>0</v>
      </c>
      <c r="FY21" t="b">
        <f t="shared" si="58"/>
        <v>0</v>
      </c>
      <c r="FZ21">
        <f t="shared" ca="1" si="59"/>
        <v>2763</v>
      </c>
      <c r="GA21">
        <f t="shared" ca="1" si="60"/>
        <v>474607</v>
      </c>
      <c r="GB21">
        <f t="shared" si="61"/>
        <v>75000</v>
      </c>
      <c r="GC21">
        <f t="shared" ca="1" si="62"/>
        <v>399607</v>
      </c>
      <c r="GD21">
        <f t="shared" ca="1" si="63"/>
        <v>0</v>
      </c>
      <c r="GE21">
        <f t="shared" ca="1" si="64"/>
        <v>0</v>
      </c>
      <c r="GF21">
        <f t="shared" ca="1" si="65"/>
        <v>0</v>
      </c>
      <c r="GG21">
        <f t="shared" ca="1" si="66"/>
        <v>0</v>
      </c>
      <c r="GH21">
        <f t="shared" ca="1" si="67"/>
        <v>0</v>
      </c>
      <c r="GI21">
        <f t="shared" ca="1" si="68"/>
        <v>0</v>
      </c>
      <c r="GJ21">
        <f ca="1">IF(GC21&gt;1200000,GC21-1200000-IF(F21="YES",50000,0)-GH21,0)</f>
        <v>0</v>
      </c>
      <c r="GK21">
        <f t="shared" ca="1" si="69"/>
        <v>0</v>
      </c>
      <c r="GL21">
        <f t="shared" ca="1" si="70"/>
        <v>0</v>
      </c>
      <c r="GM21">
        <f t="shared" ca="1" si="71"/>
        <v>0</v>
      </c>
      <c r="GN21">
        <f t="shared" ca="1" si="72"/>
        <v>0</v>
      </c>
      <c r="GO21">
        <f t="shared" ca="1" si="73"/>
        <v>0</v>
      </c>
      <c r="GP21">
        <f t="shared" ca="1" si="74"/>
        <v>0</v>
      </c>
      <c r="GQ21">
        <f t="shared" ca="1" si="75"/>
        <v>0</v>
      </c>
      <c r="GR21">
        <f t="shared" ca="1" si="76"/>
        <v>0</v>
      </c>
      <c r="GS21">
        <f t="shared" ca="1" si="77"/>
        <v>0</v>
      </c>
      <c r="GT21">
        <f t="shared" ca="1" si="78"/>
        <v>0</v>
      </c>
      <c r="GU21" t="b">
        <f t="shared" ca="1" si="79"/>
        <v>0</v>
      </c>
      <c r="GV21">
        <f t="shared" ca="1" si="80"/>
        <v>0</v>
      </c>
      <c r="GW21">
        <f t="shared" ca="1" si="81"/>
        <v>0</v>
      </c>
      <c r="GX21">
        <f t="shared" ca="1" si="82"/>
        <v>0</v>
      </c>
      <c r="GY21">
        <f t="shared" ca="1" si="83"/>
        <v>0</v>
      </c>
      <c r="GZ21">
        <f t="shared" ca="1" si="84"/>
        <v>0</v>
      </c>
    </row>
    <row r="22" spans="1:208" x14ac:dyDescent="0.25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957</v>
      </c>
      <c r="G22" t="s">
        <v>887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>IF(J22&gt;0,SUM(J22:N22),0)</f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85"/>
        <v>200</v>
      </c>
      <c r="S22">
        <f t="shared" si="86"/>
        <v>57288</v>
      </c>
      <c r="T22">
        <f>_xlfn.XLOOKUP(B22,'[2]april-2025'!$A:$A,'[2]april-2025'!$C:$C,0,0)</f>
        <v>48800</v>
      </c>
      <c r="U22">
        <f t="shared" si="3"/>
        <v>8784</v>
      </c>
      <c r="V22">
        <f t="shared" si="4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87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5"/>
        <v>200</v>
      </c>
      <c r="AC22">
        <f t="shared" si="6"/>
        <v>59240</v>
      </c>
      <c r="AD22">
        <f>_xlfn.XLOOKUP(B22,'[3]may-2025'!$A:$A,'[3]may-2025'!$C:$C,0,0)</f>
        <v>48800</v>
      </c>
      <c r="AE22">
        <f t="shared" si="7"/>
        <v>8784</v>
      </c>
      <c r="AF22">
        <f t="shared" si="8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88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9"/>
        <v>200</v>
      </c>
      <c r="AM22">
        <f t="shared" si="10"/>
        <v>59240</v>
      </c>
      <c r="AN22">
        <f>_xlfn.XLOOKUP(B22,'[4]june-2025'!$A:$A,'[4]june-2025'!$C:$C,0,0)</f>
        <v>48800</v>
      </c>
      <c r="AO22">
        <f t="shared" si="11"/>
        <v>8784</v>
      </c>
      <c r="AP22">
        <f t="shared" si="12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89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3"/>
        <v>200</v>
      </c>
      <c r="AW22">
        <f t="shared" si="14"/>
        <v>59240</v>
      </c>
      <c r="AX22">
        <f>_xlfn.XLOOKUP(B22,'[5]july-2025'!$A:$A,'[5]july-2025'!$C:$C,0,0)</f>
        <v>50300</v>
      </c>
      <c r="AY22">
        <f t="shared" si="15"/>
        <v>9054</v>
      </c>
      <c r="AZ22">
        <v>0</v>
      </c>
      <c r="BA22">
        <f t="shared" si="16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>IF(AX22&gt;0,SUM(AX22:BC22),0)</f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17"/>
        <v>200</v>
      </c>
      <c r="BH22">
        <f t="shared" si="18"/>
        <v>61190</v>
      </c>
      <c r="BI22">
        <f>_xlfn.XLOOKUP(B22,'[6]august-2025'!$A:$A,'[6]august-2025'!$C:$C,0,0)</f>
        <v>50300</v>
      </c>
      <c r="BJ22">
        <f t="shared" si="19"/>
        <v>9054</v>
      </c>
      <c r="BK22">
        <f t="shared" si="20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1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>IF($F22="YES",0,IF(BN22&gt;40000,200,IF(BN22&gt;25000,150,IF(BN22&gt;15000,130,IF(BN22&gt;10000,110,0)))))</f>
        <v>200</v>
      </c>
      <c r="BR22">
        <f>BN22-BO22-BP22-BQ22</f>
        <v>61190</v>
      </c>
      <c r="BS22">
        <f>_xlfn.XLOOKUP(B22,'[7]september-2025'!$A:$A,'[7]september-2025'!$C:$C,0,0)</f>
        <v>50300</v>
      </c>
      <c r="BT22">
        <f t="shared" si="22"/>
        <v>9054</v>
      </c>
      <c r="BU22">
        <f t="shared" si="23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>IF(BS22&gt;0,SUM(BS22:BW22),0)</f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24"/>
        <v>200</v>
      </c>
      <c r="CB22">
        <f t="shared" si="25"/>
        <v>61190</v>
      </c>
      <c r="CC22">
        <f>_xlfn.XLOOKUP(B22,'[8]october-2025'!$A:$A,'[8]october-2025'!$C:$C,0,0)</f>
        <v>50300</v>
      </c>
      <c r="CD22">
        <f t="shared" si="26"/>
        <v>9054</v>
      </c>
      <c r="CE22">
        <f t="shared" si="27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>IF(CC22&gt;0,SUM(CC22:CG22),0)</f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28"/>
        <v>200</v>
      </c>
      <c r="CL22">
        <f t="shared" si="29"/>
        <v>61190</v>
      </c>
      <c r="CM22">
        <f>_xlfn.XLOOKUP(B22,'[9]november-2025'!$A:$A,'[9]november-2025'!$C:$C,0,0)</f>
        <v>50300</v>
      </c>
      <c r="CN22">
        <f t="shared" si="30"/>
        <v>9054</v>
      </c>
      <c r="CO22">
        <f t="shared" si="31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>IF(CM22&gt;0,SUM(CM22:CQ22),0)</f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32"/>
        <v>200</v>
      </c>
      <c r="CV22">
        <f t="shared" si="33"/>
        <v>61690</v>
      </c>
      <c r="CW22">
        <f>_xlfn.XLOOKUP(B22,'[10]december-2025'!$A:$A,'[10]december-2025'!$C:$C,0,0)</f>
        <v>50300</v>
      </c>
      <c r="CX22">
        <f t="shared" si="34"/>
        <v>9054</v>
      </c>
      <c r="CY22">
        <f t="shared" si="35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>IF(CW22&gt;0,SUM(CW22:DA22),0)</f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36"/>
        <v>200</v>
      </c>
      <c r="DF22">
        <f t="shared" si="37"/>
        <v>61690</v>
      </c>
      <c r="DG22">
        <f>_xlfn.XLOOKUP(B22,'[11]january-2026'!$A:$A,'[11]january-2026'!$C:$C,0,0)</f>
        <v>50300</v>
      </c>
      <c r="DH22">
        <f t="shared" si="38"/>
        <v>9054</v>
      </c>
      <c r="DI22">
        <f t="shared" si="39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>IF(DG22&gt;0,SUM(DG22:DK22),0)</f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40"/>
        <v>200</v>
      </c>
      <c r="DP22">
        <f t="shared" si="41"/>
        <v>61690</v>
      </c>
      <c r="DQ22">
        <f>_xlfn.XLOOKUP(B22,'[12]february-2026'!$A:$A,'[12]february-2026'!$C:$C,0,0)</f>
        <v>50300</v>
      </c>
      <c r="DR22">
        <f t="shared" si="42"/>
        <v>9054</v>
      </c>
      <c r="DS22">
        <f t="shared" si="43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>IF(DQ22&gt;0,SUM(DQ22:DU22),0)</f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44"/>
        <v>200</v>
      </c>
      <c r="DZ22">
        <f t="shared" si="45"/>
        <v>61690</v>
      </c>
      <c r="EA22">
        <f>_xlfn.XLOOKUP(B22,'[1]march-2025'!$A:$A,'[1]march-2025'!$J:$J,0,0)</f>
        <v>0</v>
      </c>
      <c r="EB22">
        <f>_xlfn.XLOOKUP(B22,'[2]april-2025'!$A:$A,'[2]april-2025'!$J:$J,0,0)</f>
        <v>0</v>
      </c>
      <c r="EC22">
        <f>_xlfn.XLOOKUP(B22,'[3]may-2025'!$A:$A,'[3]may-2025'!$J:$J,0,0)</f>
        <v>0</v>
      </c>
      <c r="ED22">
        <f>_xlfn.XLOOKUP(B22,'[4]june-2025'!$A:$A,'[4]june-2025'!$J:$J,0,0)</f>
        <v>0</v>
      </c>
      <c r="EE22">
        <f>_xlfn.XLOOKUP(B22,'[5]july-2025'!$A:$A,'[5]july-2025'!$J:$J,0,0)</f>
        <v>0</v>
      </c>
      <c r="EF22">
        <f>_xlfn.XLOOKUP(B22,'[6]august-2025'!$A:$A,'[6]august-2025'!$J:$J,0,0)</f>
        <v>0</v>
      </c>
      <c r="EG22">
        <f>_xlfn.XLOOKUP(B22,'[7]september-2025'!$A:$A,'[7]september-2025'!$J:$J,0,0)</f>
        <v>0</v>
      </c>
      <c r="EH22">
        <f>_xlfn.XLOOKUP(B22,'[8]october-2025'!$A:$A,'[8]october-2025'!$J:$J,0,0)</f>
        <v>0</v>
      </c>
      <c r="EI22">
        <f>_xlfn.XLOOKUP(C22,'[9]november-2025'!$A:$A,'[9]november-2025'!$J:$J,0,0)</f>
        <v>0</v>
      </c>
      <c r="EJ22">
        <f>_xlfn.XLOOKUP(B22,'[10]december-2025'!$A:$A,'[10]december-2025'!$J:$J,0,0)</f>
        <v>0</v>
      </c>
      <c r="EK22">
        <f>_xlfn.XLOOKUP(B22,'[11]january-2026'!$A:$A,'[11]january-2026'!$J:$J,0,0)</f>
        <v>0</v>
      </c>
      <c r="EL22">
        <f>_xlfn.XLOOKUP(B22,'[12]february-2026'!$A:$A,'[12]february-2026'!$J:$J,0,0)</f>
        <v>0</v>
      </c>
      <c r="EM22">
        <f t="shared" si="90"/>
        <v>0</v>
      </c>
      <c r="EN22">
        <f>DV22+DL22+DB22+CR22+CH22+BX22+BN22+BD22+AS22+AI22+Y22+O22+H22+I22</f>
        <v>783728</v>
      </c>
      <c r="EO22">
        <f>DY22+DO22+DE22+CU22+CK22+CA22+BQ22+BG22+AV22+AL22+AB22+R22</f>
        <v>2400</v>
      </c>
      <c r="EP22">
        <f t="shared" si="46"/>
        <v>50000</v>
      </c>
      <c r="EQ22">
        <v>0</v>
      </c>
      <c r="ER22">
        <f t="shared" si="91"/>
        <v>731328</v>
      </c>
      <c r="ES22">
        <f>DW22+DM22+DC22+CS22+CI22+BY22+BO22+BE22+AT22+AJ22+Z22+P22</f>
        <v>48000</v>
      </c>
      <c r="ET22">
        <f>DX22+DN22+DD22+CT22+CJ22+BZ22+BP22+BF22+AU22+AK22+AA22+Q22</f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47"/>
        <v>48000</v>
      </c>
      <c r="FF22">
        <f t="shared" si="48"/>
        <v>48000</v>
      </c>
      <c r="FG22">
        <f t="shared" si="49"/>
        <v>683328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>SUM(FH22:FN22)+(IF(F22="YES",50000,0))</f>
        <v>0</v>
      </c>
      <c r="FP22">
        <f t="shared" si="50"/>
        <v>683328</v>
      </c>
      <c r="FQ22">
        <f t="shared" si="51"/>
        <v>12500</v>
      </c>
      <c r="FR22">
        <f t="shared" si="52"/>
        <v>36666</v>
      </c>
      <c r="FS22">
        <f t="shared" si="53"/>
        <v>49166</v>
      </c>
      <c r="FT22">
        <f t="shared" si="54"/>
        <v>49166</v>
      </c>
      <c r="FU22">
        <f t="shared" si="55"/>
        <v>1966.64</v>
      </c>
      <c r="FV22">
        <f t="shared" si="56"/>
        <v>51133</v>
      </c>
      <c r="FW22">
        <v>0</v>
      </c>
      <c r="FX22">
        <f t="shared" si="57"/>
        <v>51133</v>
      </c>
      <c r="FY22" t="b">
        <f t="shared" si="58"/>
        <v>1</v>
      </c>
      <c r="FZ22">
        <f t="shared" ca="1" si="59"/>
        <v>771</v>
      </c>
      <c r="GA22">
        <f t="shared" ca="1" si="60"/>
        <v>784499</v>
      </c>
      <c r="GB22">
        <f t="shared" si="61"/>
        <v>75000</v>
      </c>
      <c r="GC22">
        <f t="shared" ca="1" si="62"/>
        <v>709499</v>
      </c>
      <c r="GD22">
        <f t="shared" ca="1" si="63"/>
        <v>0</v>
      </c>
      <c r="GE22">
        <f t="shared" ca="1" si="64"/>
        <v>0</v>
      </c>
      <c r="GF22">
        <f t="shared" ca="1" si="65"/>
        <v>0</v>
      </c>
      <c r="GG22">
        <f t="shared" ca="1" si="66"/>
        <v>0</v>
      </c>
      <c r="GH22">
        <f t="shared" ca="1" si="67"/>
        <v>0</v>
      </c>
      <c r="GI22">
        <f t="shared" ca="1" si="68"/>
        <v>0</v>
      </c>
      <c r="GJ22">
        <f ca="1">IF(GC22&gt;1200000,GC22-1200000-IF(F22="YES",50000,0)-GH22,0)</f>
        <v>0</v>
      </c>
      <c r="GK22">
        <f t="shared" ca="1" si="69"/>
        <v>0</v>
      </c>
      <c r="GL22">
        <f t="shared" ca="1" si="70"/>
        <v>0</v>
      </c>
      <c r="GM22">
        <f t="shared" ca="1" si="71"/>
        <v>0</v>
      </c>
      <c r="GN22">
        <f t="shared" ca="1" si="72"/>
        <v>309499</v>
      </c>
      <c r="GO22">
        <f t="shared" ca="1" si="73"/>
        <v>15474.95</v>
      </c>
      <c r="GP22">
        <f t="shared" ca="1" si="74"/>
        <v>15475</v>
      </c>
      <c r="GQ22">
        <f t="shared" ca="1" si="75"/>
        <v>0</v>
      </c>
      <c r="GR22">
        <f t="shared" ca="1" si="76"/>
        <v>0</v>
      </c>
      <c r="GS22">
        <f t="shared" ca="1" si="77"/>
        <v>15475</v>
      </c>
      <c r="GT22">
        <f t="shared" ca="1" si="78"/>
        <v>0</v>
      </c>
      <c r="GU22" t="b">
        <f t="shared" ca="1" si="79"/>
        <v>0</v>
      </c>
      <c r="GV22">
        <f t="shared" ca="1" si="80"/>
        <v>0</v>
      </c>
      <c r="GW22">
        <f t="shared" ca="1" si="81"/>
        <v>15475</v>
      </c>
      <c r="GX22">
        <f t="shared" ca="1" si="82"/>
        <v>0</v>
      </c>
      <c r="GY22">
        <f t="shared" ca="1" si="83"/>
        <v>0</v>
      </c>
      <c r="GZ22">
        <f t="shared" ca="1" si="84"/>
        <v>0</v>
      </c>
    </row>
    <row r="23" spans="1:208" x14ac:dyDescent="0.25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957</v>
      </c>
      <c r="G23" t="s">
        <v>888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>IF(J23&gt;0,SUM(J23:N23),0)</f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85"/>
        <v>200</v>
      </c>
      <c r="S23">
        <f t="shared" si="86"/>
        <v>45302</v>
      </c>
      <c r="T23">
        <f>_xlfn.XLOOKUP(B23,'[2]april-2025'!$A:$A,'[2]april-2025'!$C:$C,0,0)</f>
        <v>37700</v>
      </c>
      <c r="U23">
        <f t="shared" si="3"/>
        <v>6786</v>
      </c>
      <c r="V23">
        <f t="shared" si="4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87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5"/>
        <v>200</v>
      </c>
      <c r="AC23">
        <f t="shared" si="6"/>
        <v>46810</v>
      </c>
      <c r="AD23">
        <f>_xlfn.XLOOKUP(B23,'[3]may-2025'!$A:$A,'[3]may-2025'!$C:$C,0,0)</f>
        <v>37700</v>
      </c>
      <c r="AE23">
        <f t="shared" si="7"/>
        <v>6786</v>
      </c>
      <c r="AF23">
        <f t="shared" si="8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88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9"/>
        <v>200</v>
      </c>
      <c r="AM23">
        <f t="shared" si="10"/>
        <v>46810</v>
      </c>
      <c r="AN23">
        <f>_xlfn.XLOOKUP(B23,'[4]june-2025'!$A:$A,'[4]june-2025'!$C:$C,0,0)</f>
        <v>37700</v>
      </c>
      <c r="AO23">
        <f t="shared" si="11"/>
        <v>6786</v>
      </c>
      <c r="AP23">
        <f t="shared" si="12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89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3"/>
        <v>200</v>
      </c>
      <c r="AW23">
        <f t="shared" si="14"/>
        <v>46810</v>
      </c>
      <c r="AX23">
        <f>_xlfn.XLOOKUP(B23,'[5]july-2025'!$A:$A,'[5]july-2025'!$C:$C,0,0)</f>
        <v>38800</v>
      </c>
      <c r="AY23">
        <f t="shared" si="15"/>
        <v>6984</v>
      </c>
      <c r="AZ23">
        <v>0</v>
      </c>
      <c r="BA23">
        <f t="shared" si="16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>IF(AX23&gt;0,SUM(AX23:BC23),0)</f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17"/>
        <v>200</v>
      </c>
      <c r="BH23">
        <f t="shared" si="18"/>
        <v>48240</v>
      </c>
      <c r="BI23">
        <f>_xlfn.XLOOKUP(B23,'[6]august-2025'!$A:$A,'[6]august-2025'!$C:$C,0,0)</f>
        <v>38800</v>
      </c>
      <c r="BJ23">
        <f t="shared" si="19"/>
        <v>6984</v>
      </c>
      <c r="BK23">
        <f t="shared" si="20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1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>IF($F23="YES",0,IF(BN23&gt;40000,200,IF(BN23&gt;25000,150,IF(BN23&gt;15000,130,IF(BN23&gt;10000,110,0)))))</f>
        <v>200</v>
      </c>
      <c r="BR23">
        <f>BN23-BO23-BP23-BQ23</f>
        <v>48240</v>
      </c>
      <c r="BS23">
        <f>_xlfn.XLOOKUP(B23,'[7]september-2025'!$A:$A,'[7]september-2025'!$C:$C,0,0)</f>
        <v>38800</v>
      </c>
      <c r="BT23">
        <f t="shared" si="22"/>
        <v>6984</v>
      </c>
      <c r="BU23">
        <f t="shared" si="23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>IF(BS23&gt;0,SUM(BS23:BW23),0)</f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24"/>
        <v>200</v>
      </c>
      <c r="CB23">
        <f t="shared" si="25"/>
        <v>48240</v>
      </c>
      <c r="CC23">
        <f>_xlfn.XLOOKUP(B23,'[8]october-2025'!$A:$A,'[8]october-2025'!$C:$C,0,0)</f>
        <v>38800</v>
      </c>
      <c r="CD23">
        <f t="shared" si="26"/>
        <v>6984</v>
      </c>
      <c r="CE23">
        <f t="shared" si="27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>IF(CC23&gt;0,SUM(CC23:CG23),0)</f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28"/>
        <v>200</v>
      </c>
      <c r="CL23">
        <f t="shared" si="29"/>
        <v>48240</v>
      </c>
      <c r="CM23">
        <f>_xlfn.XLOOKUP(B23,'[9]november-2025'!$A:$A,'[9]november-2025'!$C:$C,0,0)</f>
        <v>38800</v>
      </c>
      <c r="CN23">
        <f t="shared" si="30"/>
        <v>6984</v>
      </c>
      <c r="CO23">
        <f t="shared" si="31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>IF(CM23&gt;0,SUM(CM23:CQ23),0)</f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32"/>
        <v>200</v>
      </c>
      <c r="CV23">
        <f t="shared" si="33"/>
        <v>48240</v>
      </c>
      <c r="CW23">
        <f>_xlfn.XLOOKUP(B23,'[10]december-2025'!$A:$A,'[10]december-2025'!$C:$C,0,0)</f>
        <v>38800</v>
      </c>
      <c r="CX23">
        <f t="shared" si="34"/>
        <v>6984</v>
      </c>
      <c r="CY23">
        <f t="shared" si="35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>IF(CW23&gt;0,SUM(CW23:DA23),0)</f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36"/>
        <v>200</v>
      </c>
      <c r="DF23">
        <f t="shared" si="37"/>
        <v>48240</v>
      </c>
      <c r="DG23">
        <f>_xlfn.XLOOKUP(B23,'[11]january-2026'!$A:$A,'[11]january-2026'!$C:$C,0,0)</f>
        <v>38800</v>
      </c>
      <c r="DH23">
        <f t="shared" si="38"/>
        <v>6984</v>
      </c>
      <c r="DI23">
        <f t="shared" si="39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>IF(DG23&gt;0,SUM(DG23:DK23),0)</f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40"/>
        <v>200</v>
      </c>
      <c r="DP23">
        <f t="shared" si="41"/>
        <v>48240</v>
      </c>
      <c r="DQ23">
        <f>_xlfn.XLOOKUP(B23,'[12]february-2026'!$A:$A,'[12]february-2026'!$C:$C,0,0)</f>
        <v>38800</v>
      </c>
      <c r="DR23">
        <f t="shared" si="42"/>
        <v>6984</v>
      </c>
      <c r="DS23">
        <f t="shared" si="43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>IF(DQ23&gt;0,SUM(DQ23:DU23),0)</f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44"/>
        <v>200</v>
      </c>
      <c r="DZ23">
        <f t="shared" si="45"/>
        <v>48240</v>
      </c>
      <c r="EA23">
        <f>_xlfn.XLOOKUP(B23,'[1]march-2025'!$A:$A,'[1]march-2025'!$J:$J,0,0)</f>
        <v>0</v>
      </c>
      <c r="EB23">
        <f>_xlfn.XLOOKUP(B23,'[2]april-2025'!$A:$A,'[2]april-2025'!$J:$J,0,0)</f>
        <v>0</v>
      </c>
      <c r="EC23">
        <f>_xlfn.XLOOKUP(B23,'[3]may-2025'!$A:$A,'[3]may-2025'!$J:$J,0,0)</f>
        <v>0</v>
      </c>
      <c r="ED23">
        <f>_xlfn.XLOOKUP(B23,'[4]june-2025'!$A:$A,'[4]june-2025'!$J:$J,0,0)</f>
        <v>0</v>
      </c>
      <c r="EE23">
        <f>_xlfn.XLOOKUP(B23,'[5]july-2025'!$A:$A,'[5]july-2025'!$J:$J,0,0)</f>
        <v>0</v>
      </c>
      <c r="EF23">
        <f>_xlfn.XLOOKUP(B23,'[6]august-2025'!$A:$A,'[6]august-2025'!$J:$J,0,0)</f>
        <v>0</v>
      </c>
      <c r="EG23">
        <f>_xlfn.XLOOKUP(B23,'[7]september-2025'!$A:$A,'[7]september-2025'!$J:$J,0,0)</f>
        <v>0</v>
      </c>
      <c r="EH23">
        <f>_xlfn.XLOOKUP(B23,'[8]october-2025'!$A:$A,'[8]october-2025'!$J:$J,0,0)</f>
        <v>0</v>
      </c>
      <c r="EI23">
        <f>_xlfn.XLOOKUP(C23,'[9]november-2025'!$A:$A,'[9]november-2025'!$J:$J,0,0)</f>
        <v>0</v>
      </c>
      <c r="EJ23">
        <f>_xlfn.XLOOKUP(B23,'[10]december-2025'!$A:$A,'[10]december-2025'!$J:$J,0,0)</f>
        <v>0</v>
      </c>
      <c r="EK23">
        <f>_xlfn.XLOOKUP(B23,'[11]january-2026'!$A:$A,'[11]january-2026'!$J:$J,0,0)</f>
        <v>0</v>
      </c>
      <c r="EL23">
        <f>_xlfn.XLOOKUP(B23,'[12]february-2026'!$A:$A,'[12]february-2026'!$J:$J,0,0)</f>
        <v>0</v>
      </c>
      <c r="EM23">
        <f t="shared" si="90"/>
        <v>0</v>
      </c>
      <c r="EN23">
        <f>DV23+DL23+DB23+CR23+CH23+BX23+BN23+BD23+AS23+AI23+Y23+O23+H23+I23</f>
        <v>610852</v>
      </c>
      <c r="EO23">
        <f>DY23+DO23+DE23+CU23+CK23+CA23+BQ23+BG23+AV23+AL23+AB23+R23</f>
        <v>2400</v>
      </c>
      <c r="EP23">
        <f t="shared" si="46"/>
        <v>50000</v>
      </c>
      <c r="EQ23">
        <v>0</v>
      </c>
      <c r="ER23">
        <f t="shared" si="91"/>
        <v>558452</v>
      </c>
      <c r="ES23">
        <f>DW23+DM23+DC23+CS23+CI23+BY23+BO23+BE23+AT23+AJ23+Z23+P23</f>
        <v>30000</v>
      </c>
      <c r="ET23">
        <f>DX23+DN23+DD23+CT23+CJ23+BZ23+BP23+BF23+AU23+AK23+AA23+Q23</f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47"/>
        <v>30000</v>
      </c>
      <c r="FF23">
        <f t="shared" si="48"/>
        <v>30000</v>
      </c>
      <c r="FG23">
        <f t="shared" si="49"/>
        <v>528452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>SUM(FH23:FN23)+(IF(F23="YES",50000,0))</f>
        <v>0</v>
      </c>
      <c r="FP23">
        <f t="shared" si="50"/>
        <v>528452</v>
      </c>
      <c r="FQ23">
        <f t="shared" si="51"/>
        <v>12500</v>
      </c>
      <c r="FR23">
        <f t="shared" si="52"/>
        <v>5690</v>
      </c>
      <c r="FS23">
        <f t="shared" si="53"/>
        <v>18190</v>
      </c>
      <c r="FT23">
        <f t="shared" si="54"/>
        <v>18190</v>
      </c>
      <c r="FU23">
        <f t="shared" si="55"/>
        <v>727.6</v>
      </c>
      <c r="FV23">
        <f t="shared" si="56"/>
        <v>18918</v>
      </c>
      <c r="FW23">
        <v>0</v>
      </c>
      <c r="FX23">
        <f t="shared" si="57"/>
        <v>18918</v>
      </c>
      <c r="FY23" t="b">
        <f t="shared" si="58"/>
        <v>1</v>
      </c>
      <c r="FZ23">
        <f t="shared" ca="1" si="59"/>
        <v>764</v>
      </c>
      <c r="GA23">
        <f t="shared" ca="1" si="60"/>
        <v>611616</v>
      </c>
      <c r="GB23">
        <f t="shared" si="61"/>
        <v>75000</v>
      </c>
      <c r="GC23">
        <f t="shared" ca="1" si="62"/>
        <v>536616</v>
      </c>
      <c r="GD23">
        <f t="shared" ca="1" si="63"/>
        <v>0</v>
      </c>
      <c r="GE23">
        <f t="shared" ca="1" si="64"/>
        <v>0</v>
      </c>
      <c r="GF23">
        <f t="shared" ca="1" si="65"/>
        <v>0</v>
      </c>
      <c r="GG23">
        <f t="shared" ca="1" si="66"/>
        <v>0</v>
      </c>
      <c r="GH23">
        <f t="shared" ca="1" si="67"/>
        <v>0</v>
      </c>
      <c r="GI23">
        <f t="shared" ca="1" si="68"/>
        <v>0</v>
      </c>
      <c r="GJ23">
        <f ca="1">IF(GC23&gt;1200000,GC23-1200000-IF(F23="YES",50000,0)-GH23,0)</f>
        <v>0</v>
      </c>
      <c r="GK23">
        <f t="shared" ca="1" si="69"/>
        <v>0</v>
      </c>
      <c r="GL23">
        <f t="shared" ca="1" si="70"/>
        <v>0</v>
      </c>
      <c r="GM23">
        <f t="shared" ca="1" si="71"/>
        <v>0</v>
      </c>
      <c r="GN23">
        <f t="shared" ca="1" si="72"/>
        <v>136616</v>
      </c>
      <c r="GO23">
        <f t="shared" ca="1" si="73"/>
        <v>6830.8</v>
      </c>
      <c r="GP23">
        <f t="shared" ca="1" si="74"/>
        <v>6831</v>
      </c>
      <c r="GQ23">
        <f t="shared" ca="1" si="75"/>
        <v>0</v>
      </c>
      <c r="GR23">
        <f t="shared" ca="1" si="76"/>
        <v>0</v>
      </c>
      <c r="GS23">
        <f t="shared" ca="1" si="77"/>
        <v>6831</v>
      </c>
      <c r="GT23">
        <f t="shared" ca="1" si="78"/>
        <v>0</v>
      </c>
      <c r="GU23" t="b">
        <f t="shared" ca="1" si="79"/>
        <v>0</v>
      </c>
      <c r="GV23">
        <f t="shared" ca="1" si="80"/>
        <v>0</v>
      </c>
      <c r="GW23">
        <f t="shared" ca="1" si="81"/>
        <v>6831</v>
      </c>
      <c r="GX23">
        <f t="shared" ca="1" si="82"/>
        <v>0</v>
      </c>
      <c r="GY23">
        <f t="shared" ca="1" si="83"/>
        <v>0</v>
      </c>
      <c r="GZ23">
        <f t="shared" ca="1" si="84"/>
        <v>0</v>
      </c>
    </row>
    <row r="24" spans="1:208" x14ac:dyDescent="0.25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957</v>
      </c>
      <c r="G24" t="s">
        <v>889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>IF(J24&gt;0,SUM(J24:N24),0)</f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85"/>
        <v>150</v>
      </c>
      <c r="S24">
        <f t="shared" si="86"/>
        <v>34764</v>
      </c>
      <c r="T24">
        <f>_xlfn.XLOOKUP(B24,'[2]april-2025'!$A:$A,'[2]april-2025'!$C:$C,0,0)</f>
        <v>28900</v>
      </c>
      <c r="U24">
        <f t="shared" si="3"/>
        <v>5202</v>
      </c>
      <c r="V24">
        <f t="shared" si="4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87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5"/>
        <v>150</v>
      </c>
      <c r="AC24">
        <f t="shared" si="6"/>
        <v>35920</v>
      </c>
      <c r="AD24">
        <f>_xlfn.XLOOKUP(B24,'[3]may-2025'!$A:$A,'[3]may-2025'!$C:$C,0,0)</f>
        <v>28900</v>
      </c>
      <c r="AE24">
        <f t="shared" si="7"/>
        <v>5202</v>
      </c>
      <c r="AF24">
        <f t="shared" si="8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88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9"/>
        <v>150</v>
      </c>
      <c r="AM24">
        <f t="shared" si="10"/>
        <v>35920</v>
      </c>
      <c r="AN24">
        <f>_xlfn.XLOOKUP(B24,'[4]june-2025'!$A:$A,'[4]june-2025'!$C:$C,0,0)</f>
        <v>28900</v>
      </c>
      <c r="AO24">
        <f t="shared" si="11"/>
        <v>5202</v>
      </c>
      <c r="AP24">
        <f t="shared" si="12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89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3"/>
        <v>150</v>
      </c>
      <c r="AW24">
        <f t="shared" si="14"/>
        <v>35920</v>
      </c>
      <c r="AX24">
        <f>_xlfn.XLOOKUP(B24,'[5]july-2025'!$A:$A,'[5]july-2025'!$C:$C,0,0)</f>
        <v>29800</v>
      </c>
      <c r="AY24">
        <f t="shared" si="15"/>
        <v>5364</v>
      </c>
      <c r="AZ24">
        <v>0</v>
      </c>
      <c r="BA24">
        <f t="shared" si="16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>IF(AX24&gt;0,SUM(AX24:BC24),0)</f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17"/>
        <v>150</v>
      </c>
      <c r="BH24">
        <f t="shared" si="18"/>
        <v>37090</v>
      </c>
      <c r="BI24">
        <f>_xlfn.XLOOKUP(B24,'[6]august-2025'!$A:$A,'[6]august-2025'!$C:$C,0,0)</f>
        <v>29800</v>
      </c>
      <c r="BJ24">
        <f t="shared" si="19"/>
        <v>5364</v>
      </c>
      <c r="BK24">
        <f t="shared" si="20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1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>IF($F24="YES",0,IF(BN24&gt;40000,200,IF(BN24&gt;25000,150,IF(BN24&gt;15000,130,IF(BN24&gt;10000,110,0)))))</f>
        <v>150</v>
      </c>
      <c r="BR24">
        <f>BN24-BO24-BP24-BQ24</f>
        <v>37090</v>
      </c>
      <c r="BS24">
        <f>_xlfn.XLOOKUP(B24,'[7]september-2025'!$A:$A,'[7]september-2025'!$C:$C,0,0)</f>
        <v>29800</v>
      </c>
      <c r="BT24">
        <f t="shared" si="22"/>
        <v>5364</v>
      </c>
      <c r="BU24">
        <f t="shared" si="23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>IF(BS24&gt;0,SUM(BS24:BW24),0)</f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24"/>
        <v>150</v>
      </c>
      <c r="CB24">
        <f t="shared" si="25"/>
        <v>37090</v>
      </c>
      <c r="CC24">
        <f>_xlfn.XLOOKUP(B24,'[8]october-2025'!$A:$A,'[8]october-2025'!$C:$C,0,0)</f>
        <v>29800</v>
      </c>
      <c r="CD24">
        <f t="shared" si="26"/>
        <v>5364</v>
      </c>
      <c r="CE24">
        <f t="shared" si="27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>IF(CC24&gt;0,SUM(CC24:CG24),0)</f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28"/>
        <v>150</v>
      </c>
      <c r="CL24">
        <f t="shared" si="29"/>
        <v>37090</v>
      </c>
      <c r="CM24">
        <f>_xlfn.XLOOKUP(B24,'[9]november-2025'!$A:$A,'[9]november-2025'!$C:$C,0,0)</f>
        <v>29800</v>
      </c>
      <c r="CN24">
        <f t="shared" si="30"/>
        <v>5364</v>
      </c>
      <c r="CO24">
        <f t="shared" si="31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>IF(CM24&gt;0,SUM(CM24:CQ24),0)</f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32"/>
        <v>150</v>
      </c>
      <c r="CV24">
        <f t="shared" si="33"/>
        <v>37090</v>
      </c>
      <c r="CW24">
        <f>_xlfn.XLOOKUP(B24,'[10]december-2025'!$A:$A,'[10]december-2025'!$C:$C,0,0)</f>
        <v>29800</v>
      </c>
      <c r="CX24">
        <f t="shared" si="34"/>
        <v>5364</v>
      </c>
      <c r="CY24">
        <f t="shared" si="35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>IF(CW24&gt;0,SUM(CW24:DA24),0)</f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36"/>
        <v>150</v>
      </c>
      <c r="DF24">
        <f t="shared" si="37"/>
        <v>37090</v>
      </c>
      <c r="DG24">
        <f>_xlfn.XLOOKUP(B24,'[11]january-2026'!$A:$A,'[11]january-2026'!$C:$C,0,0)</f>
        <v>29800</v>
      </c>
      <c r="DH24">
        <f t="shared" si="38"/>
        <v>5364</v>
      </c>
      <c r="DI24">
        <f t="shared" si="39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>IF(DG24&gt;0,SUM(DG24:DK24),0)</f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40"/>
        <v>150</v>
      </c>
      <c r="DP24">
        <f t="shared" si="41"/>
        <v>37090</v>
      </c>
      <c r="DQ24">
        <f>_xlfn.XLOOKUP(B24,'[12]february-2026'!$A:$A,'[12]february-2026'!$C:$C,0,0)</f>
        <v>29800</v>
      </c>
      <c r="DR24">
        <f t="shared" si="42"/>
        <v>5364</v>
      </c>
      <c r="DS24">
        <f t="shared" si="43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>IF(DQ24&gt;0,SUM(DQ24:DU24),0)</f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44"/>
        <v>150</v>
      </c>
      <c r="DZ24">
        <f t="shared" si="45"/>
        <v>37090</v>
      </c>
      <c r="EA24">
        <f>_xlfn.XLOOKUP(B24,'[1]march-2025'!$A:$A,'[1]march-2025'!$J:$J,0,0)</f>
        <v>0</v>
      </c>
      <c r="EB24">
        <f>_xlfn.XLOOKUP(B24,'[2]april-2025'!$A:$A,'[2]april-2025'!$J:$J,0,0)</f>
        <v>0</v>
      </c>
      <c r="EC24">
        <f>_xlfn.XLOOKUP(B24,'[3]may-2025'!$A:$A,'[3]may-2025'!$J:$J,0,0)</f>
        <v>60294</v>
      </c>
      <c r="ED24">
        <f>_xlfn.XLOOKUP(B24,'[4]june-2025'!$A:$A,'[4]june-2025'!$J:$J,0,0)</f>
        <v>0</v>
      </c>
      <c r="EE24">
        <f>_xlfn.XLOOKUP(B24,'[5]july-2025'!$A:$A,'[5]july-2025'!$J:$J,0,0)</f>
        <v>0</v>
      </c>
      <c r="EF24">
        <f>_xlfn.XLOOKUP(B24,'[6]august-2025'!$A:$A,'[6]august-2025'!$J:$J,0,0)</f>
        <v>0</v>
      </c>
      <c r="EG24">
        <f>_xlfn.XLOOKUP(B24,'[7]september-2025'!$A:$A,'[7]september-2025'!$J:$J,0,0)</f>
        <v>0</v>
      </c>
      <c r="EH24">
        <f>_xlfn.XLOOKUP(B24,'[8]october-2025'!$A:$A,'[8]october-2025'!$J:$J,0,0)</f>
        <v>0</v>
      </c>
      <c r="EI24">
        <f>_xlfn.XLOOKUP(C24,'[9]november-2025'!$A:$A,'[9]november-2025'!$J:$J,0,0)</f>
        <v>0</v>
      </c>
      <c r="EJ24">
        <f>_xlfn.XLOOKUP(B24,'[10]december-2025'!$A:$A,'[10]december-2025'!$J:$J,0,0)</f>
        <v>0</v>
      </c>
      <c r="EK24">
        <f>_xlfn.XLOOKUP(B24,'[11]january-2026'!$A:$A,'[11]january-2026'!$J:$J,0,0)</f>
        <v>0</v>
      </c>
      <c r="EL24">
        <f>_xlfn.XLOOKUP(B24,'[12]february-2026'!$A:$A,'[12]february-2026'!$J:$J,0,0)</f>
        <v>0</v>
      </c>
      <c r="EM24">
        <f t="shared" si="90"/>
        <v>60294</v>
      </c>
      <c r="EN24">
        <f>DV24+DL24+DB24+CR24+CH24+BX24+BN24+BD24+AS24+AI24+Y24+O24+H24+I24</f>
        <v>471844</v>
      </c>
      <c r="EO24">
        <f>DY24+DO24+DE24+CU24+CK24+CA24+BQ24+BG24+AV24+AL24+AB24+R24</f>
        <v>1800</v>
      </c>
      <c r="EP24">
        <f t="shared" si="46"/>
        <v>50000</v>
      </c>
      <c r="EQ24">
        <v>0</v>
      </c>
      <c r="ER24">
        <f t="shared" si="91"/>
        <v>480338</v>
      </c>
      <c r="ES24">
        <f>DW24+DM24+DC24+CS24+CI24+BY24+BO24+BE24+AT24+AJ24+Z24+P24</f>
        <v>24000</v>
      </c>
      <c r="ET24">
        <f>DX24+DN24+DD24+CT24+CJ24+BZ24+BP24+BF24+AU24+AK24+AA24+Q24</f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47"/>
        <v>24000</v>
      </c>
      <c r="FF24">
        <f t="shared" si="48"/>
        <v>24000</v>
      </c>
      <c r="FG24">
        <f t="shared" si="49"/>
        <v>456338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>SUM(FH24:FN24)+(IF(F24="YES",50000,0))</f>
        <v>0</v>
      </c>
      <c r="FP24">
        <f t="shared" si="50"/>
        <v>456338</v>
      </c>
      <c r="FQ24">
        <f t="shared" si="51"/>
        <v>10317</v>
      </c>
      <c r="FR24">
        <f t="shared" si="52"/>
        <v>0</v>
      </c>
      <c r="FS24">
        <f t="shared" si="53"/>
        <v>10317</v>
      </c>
      <c r="FT24">
        <f t="shared" si="54"/>
        <v>0</v>
      </c>
      <c r="FU24">
        <f t="shared" si="55"/>
        <v>0</v>
      </c>
      <c r="FV24">
        <f t="shared" si="56"/>
        <v>0</v>
      </c>
      <c r="FW24">
        <v>0</v>
      </c>
      <c r="FX24">
        <f t="shared" si="57"/>
        <v>0</v>
      </c>
      <c r="FY24" t="b">
        <f t="shared" si="58"/>
        <v>0</v>
      </c>
      <c r="FZ24">
        <f t="shared" ca="1" si="59"/>
        <v>2989</v>
      </c>
      <c r="GA24">
        <f t="shared" ca="1" si="60"/>
        <v>474833</v>
      </c>
      <c r="GB24">
        <f t="shared" si="61"/>
        <v>75000</v>
      </c>
      <c r="GC24">
        <f t="shared" ca="1" si="62"/>
        <v>399833</v>
      </c>
      <c r="GD24">
        <f t="shared" ca="1" si="63"/>
        <v>0</v>
      </c>
      <c r="GE24">
        <f t="shared" ca="1" si="64"/>
        <v>0</v>
      </c>
      <c r="GF24">
        <f t="shared" ca="1" si="65"/>
        <v>0</v>
      </c>
      <c r="GG24">
        <f t="shared" ca="1" si="66"/>
        <v>0</v>
      </c>
      <c r="GH24">
        <f t="shared" ca="1" si="67"/>
        <v>0</v>
      </c>
      <c r="GI24">
        <f t="shared" ca="1" si="68"/>
        <v>0</v>
      </c>
      <c r="GJ24">
        <f ca="1">IF(GC24&gt;1200000,GC24-1200000-IF(F24="YES",50000,0)-GH24,0)</f>
        <v>0</v>
      </c>
      <c r="GK24">
        <f t="shared" ca="1" si="69"/>
        <v>0</v>
      </c>
      <c r="GL24">
        <f t="shared" ca="1" si="70"/>
        <v>0</v>
      </c>
      <c r="GM24">
        <f t="shared" ca="1" si="71"/>
        <v>0</v>
      </c>
      <c r="GN24">
        <f t="shared" ca="1" si="72"/>
        <v>0</v>
      </c>
      <c r="GO24">
        <f t="shared" ca="1" si="73"/>
        <v>0</v>
      </c>
      <c r="GP24">
        <f t="shared" ca="1" si="74"/>
        <v>0</v>
      </c>
      <c r="GQ24">
        <f t="shared" ca="1" si="75"/>
        <v>0</v>
      </c>
      <c r="GR24">
        <f t="shared" ca="1" si="76"/>
        <v>0</v>
      </c>
      <c r="GS24">
        <f t="shared" ca="1" si="77"/>
        <v>0</v>
      </c>
      <c r="GT24">
        <f t="shared" ca="1" si="78"/>
        <v>0</v>
      </c>
      <c r="GU24" t="b">
        <f t="shared" ca="1" si="79"/>
        <v>0</v>
      </c>
      <c r="GV24">
        <f t="shared" ca="1" si="80"/>
        <v>0</v>
      </c>
      <c r="GW24">
        <f t="shared" ca="1" si="81"/>
        <v>0</v>
      </c>
      <c r="GX24">
        <f t="shared" ca="1" si="82"/>
        <v>0</v>
      </c>
      <c r="GY24">
        <f t="shared" ca="1" si="83"/>
        <v>0</v>
      </c>
      <c r="GZ24">
        <f t="shared" ca="1" si="84"/>
        <v>0</v>
      </c>
    </row>
    <row r="25" spans="1:208" x14ac:dyDescent="0.25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959</v>
      </c>
      <c r="G25" t="s">
        <v>890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>IF(J25&gt;0,SUM(J25:N25),0)</f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85"/>
        <v>0</v>
      </c>
      <c r="S25">
        <f t="shared" si="86"/>
        <v>0</v>
      </c>
      <c r="T25">
        <f>_xlfn.XLOOKUP(B25,'[2]april-2025'!$A:$A,'[2]april-2025'!$C:$C,0,0)</f>
        <v>0</v>
      </c>
      <c r="U25">
        <f t="shared" si="3"/>
        <v>0</v>
      </c>
      <c r="V25">
        <f t="shared" si="4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87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5"/>
        <v>0</v>
      </c>
      <c r="AC25">
        <f t="shared" si="6"/>
        <v>0</v>
      </c>
      <c r="AD25">
        <f>_xlfn.XLOOKUP(B25,'[3]may-2025'!$A:$A,'[3]may-2025'!$C:$C,0,0)</f>
        <v>24700</v>
      </c>
      <c r="AE25">
        <f t="shared" si="7"/>
        <v>4446</v>
      </c>
      <c r="AF25">
        <f t="shared" si="8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88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9"/>
        <v>150</v>
      </c>
      <c r="AM25">
        <f t="shared" si="10"/>
        <v>32460</v>
      </c>
      <c r="AN25">
        <f>_xlfn.XLOOKUP(B25,'[4]june-2025'!$A:$A,'[4]june-2025'!$C:$C,0,0)</f>
        <v>24700</v>
      </c>
      <c r="AO25">
        <f t="shared" si="11"/>
        <v>4446</v>
      </c>
      <c r="AP25">
        <f t="shared" si="12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89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3"/>
        <v>150</v>
      </c>
      <c r="AW25">
        <f t="shared" si="14"/>
        <v>32460</v>
      </c>
      <c r="AX25">
        <f>_xlfn.XLOOKUP(B25,'[5]july-2025'!$A:$A,'[5]july-2025'!$C:$C,0,0)</f>
        <v>24700</v>
      </c>
      <c r="AY25">
        <f t="shared" si="15"/>
        <v>4446</v>
      </c>
      <c r="AZ25">
        <v>0</v>
      </c>
      <c r="BA25">
        <f t="shared" si="16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>IF(AX25&gt;0,SUM(AX25:BC25),0)</f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17"/>
        <v>150</v>
      </c>
      <c r="BH25">
        <f t="shared" si="18"/>
        <v>32460</v>
      </c>
      <c r="BI25">
        <f>_xlfn.XLOOKUP(B25,'[6]august-2025'!$A:$A,'[6]august-2025'!$C:$C,0,0)</f>
        <v>24700</v>
      </c>
      <c r="BJ25">
        <f t="shared" si="19"/>
        <v>4446</v>
      </c>
      <c r="BK25">
        <f t="shared" si="20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1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>IF($F25="YES",0,IF(BN25&gt;40000,200,IF(BN25&gt;25000,150,IF(BN25&gt;15000,130,IF(BN25&gt;10000,110,0)))))</f>
        <v>150</v>
      </c>
      <c r="BR25">
        <f>BN25-BO25-BP25-BQ25</f>
        <v>32460</v>
      </c>
      <c r="BS25">
        <f>_xlfn.XLOOKUP(B25,'[7]september-2025'!$A:$A,'[7]september-2025'!$C:$C,0,0)</f>
        <v>24700</v>
      </c>
      <c r="BT25">
        <f t="shared" si="22"/>
        <v>4446</v>
      </c>
      <c r="BU25">
        <f t="shared" si="23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>IF(BS25&gt;0,SUM(BS25:BW25),0)</f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24"/>
        <v>150</v>
      </c>
      <c r="CB25">
        <f t="shared" si="25"/>
        <v>32460</v>
      </c>
      <c r="CC25">
        <f>_xlfn.XLOOKUP(B25,'[8]october-2025'!$A:$A,'[8]october-2025'!$C:$C,0,0)</f>
        <v>24700</v>
      </c>
      <c r="CD25">
        <f t="shared" si="26"/>
        <v>4446</v>
      </c>
      <c r="CE25">
        <f t="shared" si="27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>IF(CC25&gt;0,SUM(CC25:CG25),0)</f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28"/>
        <v>150</v>
      </c>
      <c r="CL25">
        <f t="shared" si="29"/>
        <v>32460</v>
      </c>
      <c r="CM25">
        <f>_xlfn.XLOOKUP(B25,'[9]november-2025'!$A:$A,'[9]november-2025'!$C:$C,0,0)</f>
        <v>24700</v>
      </c>
      <c r="CN25">
        <f t="shared" si="30"/>
        <v>4446</v>
      </c>
      <c r="CO25">
        <f t="shared" si="31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>IF(CM25&gt;0,SUM(CM25:CQ25),0)</f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32"/>
        <v>150</v>
      </c>
      <c r="CV25">
        <f t="shared" si="33"/>
        <v>32460</v>
      </c>
      <c r="CW25">
        <f>_xlfn.XLOOKUP(B25,'[10]december-2025'!$A:$A,'[10]december-2025'!$C:$C,0,0)</f>
        <v>24700</v>
      </c>
      <c r="CX25">
        <f t="shared" si="34"/>
        <v>4446</v>
      </c>
      <c r="CY25">
        <f t="shared" si="35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>IF(CW25&gt;0,SUM(CW25:DA25),0)</f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36"/>
        <v>150</v>
      </c>
      <c r="DF25">
        <f t="shared" si="37"/>
        <v>32460</v>
      </c>
      <c r="DG25">
        <f>_xlfn.XLOOKUP(B25,'[11]january-2026'!$A:$A,'[11]january-2026'!$C:$C,0,0)</f>
        <v>24700</v>
      </c>
      <c r="DH25">
        <f t="shared" si="38"/>
        <v>4446</v>
      </c>
      <c r="DI25">
        <f t="shared" si="39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>IF(DG25&gt;0,SUM(DG25:DK25),0)</f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40"/>
        <v>150</v>
      </c>
      <c r="DP25">
        <f t="shared" si="41"/>
        <v>30460</v>
      </c>
      <c r="DQ25">
        <f>_xlfn.XLOOKUP(B25,'[12]february-2026'!$A:$A,'[12]february-2026'!$C:$C,0,0)</f>
        <v>24700</v>
      </c>
      <c r="DR25">
        <f t="shared" si="42"/>
        <v>4446</v>
      </c>
      <c r="DS25">
        <f t="shared" si="43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>IF(DQ25&gt;0,SUM(DQ25:DU25),0)</f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44"/>
        <v>150</v>
      </c>
      <c r="DZ25">
        <f t="shared" si="45"/>
        <v>30460</v>
      </c>
      <c r="EA25">
        <f>_xlfn.XLOOKUP(B25,'[1]march-2025'!$A:$A,'[1]march-2025'!$J:$J,0,0)</f>
        <v>0</v>
      </c>
      <c r="EB25">
        <f>_xlfn.XLOOKUP(B25,'[2]april-2025'!$A:$A,'[2]april-2025'!$J:$J,0,0)</f>
        <v>0</v>
      </c>
      <c r="EC25">
        <f>_xlfn.XLOOKUP(B25,'[3]may-2025'!$A:$A,'[3]may-2025'!$J:$J,0,0)</f>
        <v>0</v>
      </c>
      <c r="ED25">
        <f>_xlfn.XLOOKUP(B25,'[4]june-2025'!$A:$A,'[4]june-2025'!$J:$J,0,0)</f>
        <v>0</v>
      </c>
      <c r="EE25">
        <f>_xlfn.XLOOKUP(B25,'[5]july-2025'!$A:$A,'[5]july-2025'!$J:$J,0,0)</f>
        <v>0</v>
      </c>
      <c r="EF25">
        <f>_xlfn.XLOOKUP(B25,'[6]august-2025'!$A:$A,'[6]august-2025'!$J:$J,0,0)</f>
        <v>0</v>
      </c>
      <c r="EG25">
        <f>_xlfn.XLOOKUP(B25,'[7]september-2025'!$A:$A,'[7]september-2025'!$J:$J,0,0)</f>
        <v>0</v>
      </c>
      <c r="EH25">
        <f>_xlfn.XLOOKUP(B25,'[8]october-2025'!$A:$A,'[8]october-2025'!$J:$J,0,0)</f>
        <v>0</v>
      </c>
      <c r="EI25">
        <f>_xlfn.XLOOKUP(C25,'[9]november-2025'!$A:$A,'[9]november-2025'!$J:$J,0,0)</f>
        <v>0</v>
      </c>
      <c r="EJ25">
        <f>_xlfn.XLOOKUP(B25,'[10]december-2025'!$A:$A,'[10]december-2025'!$J:$J,0,0)</f>
        <v>0</v>
      </c>
      <c r="EK25">
        <f>_xlfn.XLOOKUP(B25,'[11]january-2026'!$A:$A,'[11]january-2026'!$J:$J,0,0)</f>
        <v>0</v>
      </c>
      <c r="EL25">
        <f>_xlfn.XLOOKUP(B25,'[12]february-2026'!$A:$A,'[12]february-2026'!$J:$J,0,0)</f>
        <v>0</v>
      </c>
      <c r="EM25">
        <f t="shared" si="90"/>
        <v>0</v>
      </c>
      <c r="EN25">
        <f>DV25+DL25+DB25+CR25+CH25+BX25+BN25+BD25+AS25+AI25+Y25+O25+H25+I25</f>
        <v>326100</v>
      </c>
      <c r="EO25">
        <f>DY25+DO25+DE25+CU25+CK25+CA25+BQ25+BG25+AV25+AL25+AB25+R25</f>
        <v>1500</v>
      </c>
      <c r="EP25">
        <f t="shared" si="46"/>
        <v>50000</v>
      </c>
      <c r="EQ25">
        <v>0</v>
      </c>
      <c r="ER25">
        <f t="shared" si="91"/>
        <v>274600</v>
      </c>
      <c r="ES25">
        <f>DW25+DM25+DC25+CS25+CI25+BY25+BO25+BE25+AT25+AJ25+Z25+P25</f>
        <v>4000</v>
      </c>
      <c r="ET25">
        <f>DX25+DN25+DD25+CT25+CJ25+BZ25+BP25+BF25+AU25+AK25+AA25+Q25</f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47"/>
        <v>4000</v>
      </c>
      <c r="FF25">
        <f t="shared" si="48"/>
        <v>4000</v>
      </c>
      <c r="FG25">
        <f t="shared" si="49"/>
        <v>270600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>SUM(FH25:FN25)+(IF(F25="YES",50000,0))</f>
        <v>0</v>
      </c>
      <c r="FP25">
        <f t="shared" si="50"/>
        <v>270600</v>
      </c>
      <c r="FQ25">
        <f t="shared" si="51"/>
        <v>1030</v>
      </c>
      <c r="FR25">
        <f t="shared" si="52"/>
        <v>0</v>
      </c>
      <c r="FS25">
        <f t="shared" si="53"/>
        <v>1030</v>
      </c>
      <c r="FT25">
        <f t="shared" si="54"/>
        <v>0</v>
      </c>
      <c r="FU25">
        <f t="shared" si="55"/>
        <v>0</v>
      </c>
      <c r="FV25">
        <f t="shared" si="56"/>
        <v>0</v>
      </c>
      <c r="FW25">
        <v>0</v>
      </c>
      <c r="FX25">
        <f t="shared" si="57"/>
        <v>0</v>
      </c>
      <c r="FY25" t="b">
        <f t="shared" si="58"/>
        <v>0</v>
      </c>
      <c r="FZ25">
        <f t="shared" ca="1" si="59"/>
        <v>2095</v>
      </c>
      <c r="GA25">
        <f t="shared" ca="1" si="60"/>
        <v>328195</v>
      </c>
      <c r="GB25">
        <f t="shared" si="61"/>
        <v>75000</v>
      </c>
      <c r="GC25">
        <f t="shared" ca="1" si="62"/>
        <v>253195</v>
      </c>
      <c r="GD25">
        <f t="shared" ca="1" si="63"/>
        <v>0</v>
      </c>
      <c r="GE25">
        <f t="shared" ca="1" si="64"/>
        <v>0</v>
      </c>
      <c r="GF25">
        <f t="shared" ca="1" si="65"/>
        <v>0</v>
      </c>
      <c r="GG25">
        <f t="shared" ca="1" si="66"/>
        <v>0</v>
      </c>
      <c r="GH25">
        <f t="shared" ca="1" si="67"/>
        <v>0</v>
      </c>
      <c r="GI25">
        <f t="shared" ca="1" si="68"/>
        <v>0</v>
      </c>
      <c r="GJ25">
        <f ca="1">IF(GC25&gt;1200000,GC25-1200000-IF(F25="YES",50000,0)-GH25,0)</f>
        <v>0</v>
      </c>
      <c r="GK25">
        <f t="shared" ca="1" si="69"/>
        <v>0</v>
      </c>
      <c r="GL25">
        <f t="shared" ca="1" si="70"/>
        <v>0</v>
      </c>
      <c r="GM25">
        <f t="shared" ca="1" si="71"/>
        <v>0</v>
      </c>
      <c r="GN25">
        <f t="shared" ca="1" si="72"/>
        <v>0</v>
      </c>
      <c r="GO25">
        <f t="shared" ca="1" si="73"/>
        <v>0</v>
      </c>
      <c r="GP25">
        <f t="shared" ca="1" si="74"/>
        <v>0</v>
      </c>
      <c r="GQ25">
        <f t="shared" ca="1" si="75"/>
        <v>0</v>
      </c>
      <c r="GR25">
        <f t="shared" ca="1" si="76"/>
        <v>0</v>
      </c>
      <c r="GS25">
        <f t="shared" ca="1" si="77"/>
        <v>0</v>
      </c>
      <c r="GT25">
        <f t="shared" ca="1" si="78"/>
        <v>0</v>
      </c>
      <c r="GU25" t="b">
        <f t="shared" ca="1" si="79"/>
        <v>0</v>
      </c>
      <c r="GV25">
        <f t="shared" ca="1" si="80"/>
        <v>0</v>
      </c>
      <c r="GW25">
        <f t="shared" ca="1" si="81"/>
        <v>0</v>
      </c>
      <c r="GX25">
        <f t="shared" ca="1" si="82"/>
        <v>0</v>
      </c>
      <c r="GY25">
        <f t="shared" ca="1" si="83"/>
        <v>0</v>
      </c>
      <c r="GZ25">
        <f t="shared" ca="1" si="84"/>
        <v>0</v>
      </c>
    </row>
    <row r="26" spans="1:208" x14ac:dyDescent="0.25">
      <c r="A26">
        <f>_xlfn.AGGREGATE(3,5,$B$2:B26)</f>
        <v>25</v>
      </c>
      <c r="B26" t="s">
        <v>167</v>
      </c>
      <c r="C26" t="s">
        <v>168</v>
      </c>
      <c r="D26" t="s">
        <v>755</v>
      </c>
      <c r="E26" t="s">
        <v>832</v>
      </c>
      <c r="F26" t="s">
        <v>957</v>
      </c>
      <c r="G26" t="s">
        <v>885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>IF(J26&gt;0,SUM(J26:N26),0)</f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85"/>
        <v>200</v>
      </c>
      <c r="S26">
        <f t="shared" si="86"/>
        <v>60842</v>
      </c>
      <c r="T26">
        <f>_xlfn.XLOOKUP(B26,'[2]april-2025'!$A:$A,'[2]april-2025'!$C:$C,0,0)</f>
        <v>51700</v>
      </c>
      <c r="U26">
        <f t="shared" si="3"/>
        <v>9306</v>
      </c>
      <c r="V26">
        <f t="shared" si="4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87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5"/>
        <v>200</v>
      </c>
      <c r="AC26">
        <f t="shared" si="6"/>
        <v>62850</v>
      </c>
      <c r="AD26">
        <f>_xlfn.XLOOKUP(B26,'[3]may-2025'!$A:$A,'[3]may-2025'!$C:$C,0,0)</f>
        <v>51700</v>
      </c>
      <c r="AE26">
        <f t="shared" si="7"/>
        <v>9306</v>
      </c>
      <c r="AF26">
        <f t="shared" si="8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88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9"/>
        <v>200</v>
      </c>
      <c r="AM26">
        <f t="shared" si="10"/>
        <v>62850</v>
      </c>
      <c r="AN26">
        <f>_xlfn.XLOOKUP(B26,'[4]june-2025'!$A:$A,'[4]june-2025'!$C:$C,0,0)</f>
        <v>51700</v>
      </c>
      <c r="AO26">
        <f t="shared" si="11"/>
        <v>9306</v>
      </c>
      <c r="AP26">
        <f t="shared" si="12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89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3"/>
        <v>200</v>
      </c>
      <c r="AW26">
        <f t="shared" si="14"/>
        <v>62850</v>
      </c>
      <c r="AX26">
        <f>_xlfn.XLOOKUP(B26,'[5]july-2025'!$A:$A,'[5]july-2025'!$C:$C,0,0)</f>
        <v>53300</v>
      </c>
      <c r="AY26">
        <f t="shared" si="15"/>
        <v>9594</v>
      </c>
      <c r="AZ26">
        <v>0</v>
      </c>
      <c r="BA26">
        <f t="shared" si="16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>IF(AX26&gt;0,SUM(AX26:BC26),0)</f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17"/>
        <v>200</v>
      </c>
      <c r="BH26">
        <f t="shared" si="18"/>
        <v>64930</v>
      </c>
      <c r="BI26">
        <f>_xlfn.XLOOKUP(B26,'[6]august-2025'!$A:$A,'[6]august-2025'!$C:$C,0,0)</f>
        <v>53300</v>
      </c>
      <c r="BJ26">
        <f t="shared" si="19"/>
        <v>9594</v>
      </c>
      <c r="BK26">
        <f t="shared" si="20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1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>IF($F26="YES",0,IF(BN26&gt;40000,200,IF(BN26&gt;25000,150,IF(BN26&gt;15000,130,IF(BN26&gt;10000,110,0)))))</f>
        <v>200</v>
      </c>
      <c r="BR26">
        <f>BN26-BO26-BP26-BQ26</f>
        <v>64930</v>
      </c>
      <c r="BS26">
        <f>_xlfn.XLOOKUP(B26,'[7]september-2025'!$A:$A,'[7]september-2025'!$C:$C,0,0)</f>
        <v>53300</v>
      </c>
      <c r="BT26">
        <f t="shared" si="22"/>
        <v>9594</v>
      </c>
      <c r="BU26">
        <f t="shared" si="23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>IF(BS26&gt;0,SUM(BS26:BW26),0)</f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24"/>
        <v>200</v>
      </c>
      <c r="CB26">
        <f t="shared" si="25"/>
        <v>64930</v>
      </c>
      <c r="CC26">
        <f>_xlfn.XLOOKUP(B26,'[8]october-2025'!$A:$A,'[8]october-2025'!$C:$C,0,0)</f>
        <v>53300</v>
      </c>
      <c r="CD26">
        <f t="shared" si="26"/>
        <v>9594</v>
      </c>
      <c r="CE26">
        <f t="shared" si="27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>IF(CC26&gt;0,SUM(CC26:CG26),0)</f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28"/>
        <v>200</v>
      </c>
      <c r="CL26">
        <f t="shared" si="29"/>
        <v>64930</v>
      </c>
      <c r="CM26">
        <f>_xlfn.XLOOKUP(B26,'[9]november-2025'!$A:$A,'[9]november-2025'!$C:$C,0,0)</f>
        <v>53300</v>
      </c>
      <c r="CN26">
        <f t="shared" si="30"/>
        <v>9594</v>
      </c>
      <c r="CO26">
        <f t="shared" si="31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>IF(CM26&gt;0,SUM(CM26:CQ26),0)</f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32"/>
        <v>200</v>
      </c>
      <c r="CV26">
        <f t="shared" si="33"/>
        <v>64930</v>
      </c>
      <c r="CW26">
        <f>_xlfn.XLOOKUP(B26,'[10]december-2025'!$A:$A,'[10]december-2025'!$C:$C,0,0)</f>
        <v>53300</v>
      </c>
      <c r="CX26">
        <f t="shared" si="34"/>
        <v>9594</v>
      </c>
      <c r="CY26">
        <f t="shared" si="35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>IF(CW26&gt;0,SUM(CW26:DA26),0)</f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36"/>
        <v>200</v>
      </c>
      <c r="DF26">
        <f t="shared" si="37"/>
        <v>64930</v>
      </c>
      <c r="DG26">
        <f>_xlfn.XLOOKUP(B26,'[11]january-2026'!$A:$A,'[11]january-2026'!$C:$C,0,0)</f>
        <v>53300</v>
      </c>
      <c r="DH26">
        <f t="shared" si="38"/>
        <v>9594</v>
      </c>
      <c r="DI26">
        <f t="shared" si="39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>IF(DG26&gt;0,SUM(DG26:DK26),0)</f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40"/>
        <v>200</v>
      </c>
      <c r="DP26">
        <f t="shared" si="41"/>
        <v>69930</v>
      </c>
      <c r="DQ26">
        <f>_xlfn.XLOOKUP(B26,'[12]february-2026'!$A:$A,'[12]february-2026'!$C:$C,0,0)</f>
        <v>53300</v>
      </c>
      <c r="DR26">
        <f t="shared" si="42"/>
        <v>9594</v>
      </c>
      <c r="DS26">
        <f t="shared" si="43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>IF(DQ26&gt;0,SUM(DQ26:DU26),0)</f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44"/>
        <v>200</v>
      </c>
      <c r="DZ26">
        <f t="shared" si="45"/>
        <v>69930</v>
      </c>
      <c r="EA26">
        <f>_xlfn.XLOOKUP(B26,'[1]march-2025'!$A:$A,'[1]march-2025'!$J:$J,0,0)</f>
        <v>0</v>
      </c>
      <c r="EB26">
        <f>_xlfn.XLOOKUP(B26,'[2]april-2025'!$A:$A,'[2]april-2025'!$J:$J,0,0)</f>
        <v>0</v>
      </c>
      <c r="EC26">
        <f>_xlfn.XLOOKUP(B26,'[3]may-2025'!$A:$A,'[3]may-2025'!$J:$J,0,0)</f>
        <v>0</v>
      </c>
      <c r="ED26">
        <f>_xlfn.XLOOKUP(B26,'[4]june-2025'!$A:$A,'[4]june-2025'!$J:$J,0,0)</f>
        <v>0</v>
      </c>
      <c r="EE26">
        <f>_xlfn.XLOOKUP(B26,'[5]july-2025'!$A:$A,'[5]july-2025'!$J:$J,0,0)</f>
        <v>0</v>
      </c>
      <c r="EF26">
        <f>_xlfn.XLOOKUP(B26,'[6]august-2025'!$A:$A,'[6]august-2025'!$J:$J,0,0)</f>
        <v>0</v>
      </c>
      <c r="EG26">
        <f>_xlfn.XLOOKUP(B26,'[7]september-2025'!$A:$A,'[7]september-2025'!$J:$J,0,0)</f>
        <v>0</v>
      </c>
      <c r="EH26">
        <f>_xlfn.XLOOKUP(B26,'[8]october-2025'!$A:$A,'[8]october-2025'!$J:$J,0,0)</f>
        <v>0</v>
      </c>
      <c r="EI26">
        <f>_xlfn.XLOOKUP(C26,'[9]november-2025'!$A:$A,'[9]november-2025'!$J:$J,0,0)</f>
        <v>0</v>
      </c>
      <c r="EJ26">
        <f>_xlfn.XLOOKUP(B26,'[10]december-2025'!$A:$A,'[10]december-2025'!$J:$J,0,0)</f>
        <v>0</v>
      </c>
      <c r="EK26">
        <f>_xlfn.XLOOKUP(B26,'[11]january-2026'!$A:$A,'[11]january-2026'!$J:$J,0,0)</f>
        <v>0</v>
      </c>
      <c r="EL26">
        <f>_xlfn.XLOOKUP(B26,'[12]february-2026'!$A:$A,'[12]february-2026'!$J:$J,0,0)</f>
        <v>0</v>
      </c>
      <c r="EM26">
        <f t="shared" si="90"/>
        <v>0</v>
      </c>
      <c r="EN26">
        <f>DV26+DL26+DB26+CR26+CH26+BX26+BN26+BD26+AS26+AI26+Y26+O26+H26+I26</f>
        <v>838692</v>
      </c>
      <c r="EO26">
        <f>DY26+DO26+DE26+CU26+CK26+CA26+BQ26+BG26+AV26+AL26+AB26+R26</f>
        <v>2400</v>
      </c>
      <c r="EP26">
        <f t="shared" si="46"/>
        <v>50000</v>
      </c>
      <c r="EQ26">
        <v>0</v>
      </c>
      <c r="ER26">
        <f t="shared" si="91"/>
        <v>786292</v>
      </c>
      <c r="ES26">
        <f>DW26+DM26+DC26+CS26+CI26+BY26+BO26+BE26+AT26+AJ26+Z26+P26</f>
        <v>50000</v>
      </c>
      <c r="ET26">
        <f>DX26+DN26+DD26+CT26+CJ26+BZ26+BP26+BF26+AU26+AK26+AA26+Q26</f>
        <v>660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si="47"/>
        <v>50660</v>
      </c>
      <c r="FF26">
        <f t="shared" si="48"/>
        <v>50660</v>
      </c>
      <c r="FG26">
        <f t="shared" si="49"/>
        <v>735632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>SUM(FH26:FN26)+(IF(F26="YES",50000,0))</f>
        <v>0</v>
      </c>
      <c r="FP26">
        <f t="shared" si="50"/>
        <v>735632</v>
      </c>
      <c r="FQ26">
        <f t="shared" si="51"/>
        <v>12500</v>
      </c>
      <c r="FR26">
        <f t="shared" si="52"/>
        <v>47126</v>
      </c>
      <c r="FS26">
        <f t="shared" si="53"/>
        <v>59626</v>
      </c>
      <c r="FT26">
        <f t="shared" si="54"/>
        <v>59626</v>
      </c>
      <c r="FU26">
        <f t="shared" si="55"/>
        <v>2385.04</v>
      </c>
      <c r="FV26">
        <f t="shared" si="56"/>
        <v>62011</v>
      </c>
      <c r="FW26">
        <v>0</v>
      </c>
      <c r="FX26">
        <f t="shared" si="57"/>
        <v>62011</v>
      </c>
      <c r="FY26" t="b">
        <f t="shared" si="58"/>
        <v>1</v>
      </c>
      <c r="FZ26">
        <f t="shared" ca="1" si="59"/>
        <v>639</v>
      </c>
      <c r="GA26">
        <f t="shared" ca="1" si="60"/>
        <v>839331</v>
      </c>
      <c r="GB26">
        <f t="shared" si="61"/>
        <v>75000</v>
      </c>
      <c r="GC26">
        <f t="shared" ca="1" si="62"/>
        <v>764331</v>
      </c>
      <c r="GD26">
        <f t="shared" ca="1" si="63"/>
        <v>0</v>
      </c>
      <c r="GE26">
        <f t="shared" ca="1" si="64"/>
        <v>0</v>
      </c>
      <c r="GF26">
        <f t="shared" ca="1" si="65"/>
        <v>0</v>
      </c>
      <c r="GG26">
        <f t="shared" ca="1" si="66"/>
        <v>0</v>
      </c>
      <c r="GH26">
        <f t="shared" ca="1" si="67"/>
        <v>0</v>
      </c>
      <c r="GI26">
        <f t="shared" ca="1" si="68"/>
        <v>0</v>
      </c>
      <c r="GJ26">
        <f ca="1">IF(GC26&gt;1200000,GC26-1200000-IF(F26="YES",50000,0)-GH26,0)</f>
        <v>0</v>
      </c>
      <c r="GK26">
        <f t="shared" ca="1" si="69"/>
        <v>0</v>
      </c>
      <c r="GL26">
        <f t="shared" ca="1" si="70"/>
        <v>0</v>
      </c>
      <c r="GM26">
        <f t="shared" ca="1" si="71"/>
        <v>0</v>
      </c>
      <c r="GN26">
        <f t="shared" ca="1" si="72"/>
        <v>364331</v>
      </c>
      <c r="GO26">
        <f t="shared" ca="1" si="73"/>
        <v>18216.55</v>
      </c>
      <c r="GP26">
        <f t="shared" ca="1" si="74"/>
        <v>18217</v>
      </c>
      <c r="GQ26">
        <f t="shared" ca="1" si="75"/>
        <v>0</v>
      </c>
      <c r="GR26">
        <f t="shared" ca="1" si="76"/>
        <v>0</v>
      </c>
      <c r="GS26">
        <f t="shared" ca="1" si="77"/>
        <v>18217</v>
      </c>
      <c r="GT26">
        <f t="shared" ca="1" si="78"/>
        <v>0</v>
      </c>
      <c r="GU26" t="b">
        <f t="shared" ca="1" si="79"/>
        <v>0</v>
      </c>
      <c r="GV26">
        <f t="shared" ca="1" si="80"/>
        <v>0</v>
      </c>
      <c r="GW26">
        <f t="shared" ca="1" si="81"/>
        <v>18217</v>
      </c>
      <c r="GX26">
        <f t="shared" ca="1" si="82"/>
        <v>0</v>
      </c>
      <c r="GY26">
        <f t="shared" ca="1" si="83"/>
        <v>0</v>
      </c>
      <c r="GZ26">
        <f t="shared" ca="1" si="84"/>
        <v>0</v>
      </c>
    </row>
    <row r="27" spans="1:208" x14ac:dyDescent="0.25">
      <c r="A27">
        <f>_xlfn.AGGREGATE(3,5,$B$2:B27)</f>
        <v>26</v>
      </c>
      <c r="B27" t="s">
        <v>169</v>
      </c>
      <c r="C27" t="s">
        <v>170</v>
      </c>
      <c r="D27" t="s">
        <v>755</v>
      </c>
      <c r="E27" t="s">
        <v>831</v>
      </c>
      <c r="F27" t="s">
        <v>957</v>
      </c>
      <c r="G27" t="s">
        <v>878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>IF(J27&gt;0,SUM(J27:N27),0)</f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85"/>
        <v>200</v>
      </c>
      <c r="S27">
        <f t="shared" si="86"/>
        <v>40770</v>
      </c>
      <c r="T27">
        <f>_xlfn.XLOOKUP(B27,'[2]april-2025'!$A:$A,'[2]april-2025'!$C:$C,0,0)</f>
        <v>34500</v>
      </c>
      <c r="U27">
        <f t="shared" si="3"/>
        <v>6210</v>
      </c>
      <c r="V27">
        <f t="shared" si="4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87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5"/>
        <v>200</v>
      </c>
      <c r="AC27">
        <f t="shared" si="6"/>
        <v>42150</v>
      </c>
      <c r="AD27">
        <f>_xlfn.XLOOKUP(B27,'[3]may-2025'!$A:$A,'[3]may-2025'!$C:$C,0,0)</f>
        <v>34500</v>
      </c>
      <c r="AE27">
        <f t="shared" si="7"/>
        <v>6210</v>
      </c>
      <c r="AF27">
        <f t="shared" si="8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88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9"/>
        <v>200</v>
      </c>
      <c r="AM27">
        <f t="shared" si="10"/>
        <v>42150</v>
      </c>
      <c r="AN27">
        <f>_xlfn.XLOOKUP(B27,'[4]june-2025'!$A:$A,'[4]june-2025'!$C:$C,0,0)</f>
        <v>34500</v>
      </c>
      <c r="AO27">
        <f t="shared" si="11"/>
        <v>6210</v>
      </c>
      <c r="AP27">
        <f t="shared" si="12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89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3"/>
        <v>200</v>
      </c>
      <c r="AW27">
        <f t="shared" si="14"/>
        <v>42150</v>
      </c>
      <c r="AX27">
        <f>_xlfn.XLOOKUP(B27,'[5]july-2025'!$A:$A,'[5]july-2025'!$C:$C,0,0)</f>
        <v>35500</v>
      </c>
      <c r="AY27">
        <f t="shared" si="15"/>
        <v>6390</v>
      </c>
      <c r="AZ27">
        <v>0</v>
      </c>
      <c r="BA27">
        <f t="shared" si="16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>IF(AX27&gt;0,SUM(AX27:BC27),0)</f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17"/>
        <v>200</v>
      </c>
      <c r="BH27">
        <f t="shared" si="18"/>
        <v>43450</v>
      </c>
      <c r="BI27">
        <f>_xlfn.XLOOKUP(B27,'[6]august-2025'!$A:$A,'[6]august-2025'!$C:$C,0,0)</f>
        <v>35500</v>
      </c>
      <c r="BJ27">
        <f t="shared" si="19"/>
        <v>6390</v>
      </c>
      <c r="BK27">
        <f t="shared" si="20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1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>IF($F27="YES",0,IF(BN27&gt;40000,200,IF(BN27&gt;25000,150,IF(BN27&gt;15000,130,IF(BN27&gt;10000,110,0)))))</f>
        <v>200</v>
      </c>
      <c r="BR27">
        <f>BN27-BO27-BP27-BQ27</f>
        <v>43450</v>
      </c>
      <c r="BS27">
        <f>_xlfn.XLOOKUP(B27,'[7]september-2025'!$A:$A,'[7]september-2025'!$C:$C,0,0)</f>
        <v>35500</v>
      </c>
      <c r="BT27">
        <f t="shared" si="22"/>
        <v>6390</v>
      </c>
      <c r="BU27">
        <f t="shared" si="23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>IF(BS27&gt;0,SUM(BS27:BW27),0)</f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24"/>
        <v>200</v>
      </c>
      <c r="CB27">
        <f t="shared" si="25"/>
        <v>43450</v>
      </c>
      <c r="CC27">
        <f>_xlfn.XLOOKUP(B27,'[8]october-2025'!$A:$A,'[8]october-2025'!$C:$C,0,0)</f>
        <v>35500</v>
      </c>
      <c r="CD27">
        <f t="shared" si="26"/>
        <v>6390</v>
      </c>
      <c r="CE27">
        <f t="shared" si="27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>IF(CC27&gt;0,SUM(CC27:CG27),0)</f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28"/>
        <v>200</v>
      </c>
      <c r="CL27">
        <f t="shared" si="29"/>
        <v>43450</v>
      </c>
      <c r="CM27">
        <f>_xlfn.XLOOKUP(B27,'[9]november-2025'!$A:$A,'[9]november-2025'!$C:$C,0,0)</f>
        <v>35500</v>
      </c>
      <c r="CN27">
        <f t="shared" si="30"/>
        <v>6390</v>
      </c>
      <c r="CO27">
        <f t="shared" si="31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>IF(CM27&gt;0,SUM(CM27:CQ27),0)</f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32"/>
        <v>200</v>
      </c>
      <c r="CV27">
        <f t="shared" si="33"/>
        <v>43450</v>
      </c>
      <c r="CW27">
        <f>_xlfn.XLOOKUP(B27,'[10]december-2025'!$A:$A,'[10]december-2025'!$C:$C,0,0)</f>
        <v>35500</v>
      </c>
      <c r="CX27">
        <f t="shared" si="34"/>
        <v>6390</v>
      </c>
      <c r="CY27">
        <f t="shared" si="35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>IF(CW27&gt;0,SUM(CW27:DA27),0)</f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36"/>
        <v>200</v>
      </c>
      <c r="DF27">
        <f t="shared" si="37"/>
        <v>43450</v>
      </c>
      <c r="DG27">
        <f>_xlfn.XLOOKUP(B27,'[11]january-2026'!$A:$A,'[11]january-2026'!$C:$C,0,0)</f>
        <v>35500</v>
      </c>
      <c r="DH27">
        <f t="shared" si="38"/>
        <v>6390</v>
      </c>
      <c r="DI27">
        <f t="shared" si="39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>IF(DG27&gt;0,SUM(DG27:DK27),0)</f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40"/>
        <v>200</v>
      </c>
      <c r="DP27">
        <f t="shared" si="41"/>
        <v>43450</v>
      </c>
      <c r="DQ27">
        <f>_xlfn.XLOOKUP(B27,'[12]february-2026'!$A:$A,'[12]february-2026'!$C:$C,0,0)</f>
        <v>35500</v>
      </c>
      <c r="DR27">
        <f t="shared" si="42"/>
        <v>6390</v>
      </c>
      <c r="DS27">
        <f t="shared" si="43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>IF(DQ27&gt;0,SUM(DQ27:DU27),0)</f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44"/>
        <v>200</v>
      </c>
      <c r="DZ27">
        <f t="shared" si="45"/>
        <v>43450</v>
      </c>
      <c r="EA27">
        <f>_xlfn.XLOOKUP(B27,'[1]march-2025'!$A:$A,'[1]march-2025'!$J:$J,0,0)</f>
        <v>0</v>
      </c>
      <c r="EB27">
        <f>_xlfn.XLOOKUP(B27,'[2]april-2025'!$A:$A,'[2]april-2025'!$J:$J,0,0)</f>
        <v>0</v>
      </c>
      <c r="EC27">
        <f>_xlfn.XLOOKUP(B27,'[3]may-2025'!$A:$A,'[3]may-2025'!$J:$J,0,0)</f>
        <v>0</v>
      </c>
      <c r="ED27">
        <f>_xlfn.XLOOKUP(B27,'[4]june-2025'!$A:$A,'[4]june-2025'!$J:$J,0,0)</f>
        <v>0</v>
      </c>
      <c r="EE27">
        <f>_xlfn.XLOOKUP(B27,'[5]july-2025'!$A:$A,'[5]july-2025'!$J:$J,0,0)</f>
        <v>0</v>
      </c>
      <c r="EF27">
        <f>_xlfn.XLOOKUP(B27,'[6]august-2025'!$A:$A,'[6]august-2025'!$J:$J,0,0)</f>
        <v>0</v>
      </c>
      <c r="EG27">
        <f>_xlfn.XLOOKUP(B27,'[7]september-2025'!$A:$A,'[7]september-2025'!$J:$J,0,0)</f>
        <v>0</v>
      </c>
      <c r="EH27">
        <f>_xlfn.XLOOKUP(B27,'[8]october-2025'!$A:$A,'[8]october-2025'!$J:$J,0,0)</f>
        <v>0</v>
      </c>
      <c r="EI27">
        <f>_xlfn.XLOOKUP(C27,'[9]november-2025'!$A:$A,'[9]november-2025'!$J:$J,0,0)</f>
        <v>0</v>
      </c>
      <c r="EJ27">
        <f>_xlfn.XLOOKUP(B27,'[10]december-2025'!$A:$A,'[10]december-2025'!$J:$J,0,0)</f>
        <v>0</v>
      </c>
      <c r="EK27">
        <f>_xlfn.XLOOKUP(B27,'[11]january-2026'!$A:$A,'[11]january-2026'!$J:$J,0,0)</f>
        <v>0</v>
      </c>
      <c r="EL27">
        <f>_xlfn.XLOOKUP(B27,'[12]february-2026'!$A:$A,'[12]february-2026'!$J:$J,0,0)</f>
        <v>0</v>
      </c>
      <c r="EM27">
        <f t="shared" si="90"/>
        <v>0</v>
      </c>
      <c r="EN27">
        <f>DV27+DL27+DB27+CR27+CH27+BX27+BN27+BD27+AS27+AI27+Y27+O27+H27+I27</f>
        <v>560020</v>
      </c>
      <c r="EO27">
        <f>DY27+DO27+DE27+CU27+CK27+CA27+BQ27+BG27+AV27+AL27+AB27+R27</f>
        <v>2400</v>
      </c>
      <c r="EP27">
        <f t="shared" si="46"/>
        <v>50000</v>
      </c>
      <c r="EQ27">
        <v>0</v>
      </c>
      <c r="ER27">
        <f t="shared" si="91"/>
        <v>507620</v>
      </c>
      <c r="ES27">
        <f>DW27+DM27+DC27+CS27+CI27+BY27+BO27+BE27+AT27+AJ27+Z27+P27</f>
        <v>36000</v>
      </c>
      <c r="ET27">
        <f>DX27+DN27+DD27+CT27+CJ27+BZ27+BP27+BF27+AU27+AK27+AA27+Q27</f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47"/>
        <v>36000</v>
      </c>
      <c r="FF27">
        <f t="shared" si="48"/>
        <v>36000</v>
      </c>
      <c r="FG27">
        <f t="shared" si="49"/>
        <v>471620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>SUM(FH27:FN27)+(IF(F27="YES",50000,0))</f>
        <v>0</v>
      </c>
      <c r="FP27">
        <f t="shared" si="50"/>
        <v>471620</v>
      </c>
      <c r="FQ27">
        <f t="shared" si="51"/>
        <v>11081</v>
      </c>
      <c r="FR27">
        <f t="shared" si="52"/>
        <v>0</v>
      </c>
      <c r="FS27">
        <f t="shared" si="53"/>
        <v>11081</v>
      </c>
      <c r="FT27">
        <f t="shared" si="54"/>
        <v>0</v>
      </c>
      <c r="FU27">
        <f t="shared" si="55"/>
        <v>0</v>
      </c>
      <c r="FV27">
        <f t="shared" si="56"/>
        <v>0</v>
      </c>
      <c r="FW27">
        <v>0</v>
      </c>
      <c r="FX27">
        <f t="shared" si="57"/>
        <v>0</v>
      </c>
      <c r="FY27" t="b">
        <f t="shared" si="58"/>
        <v>1</v>
      </c>
      <c r="FZ27">
        <f t="shared" ca="1" si="59"/>
        <v>977</v>
      </c>
      <c r="GA27">
        <f t="shared" ca="1" si="60"/>
        <v>560997</v>
      </c>
      <c r="GB27">
        <f t="shared" si="61"/>
        <v>75000</v>
      </c>
      <c r="GC27">
        <f t="shared" ca="1" si="62"/>
        <v>485997</v>
      </c>
      <c r="GD27">
        <f t="shared" ca="1" si="63"/>
        <v>0</v>
      </c>
      <c r="GE27">
        <f t="shared" ca="1" si="64"/>
        <v>0</v>
      </c>
      <c r="GF27">
        <f t="shared" ca="1" si="65"/>
        <v>0</v>
      </c>
      <c r="GG27">
        <f t="shared" ca="1" si="66"/>
        <v>0</v>
      </c>
      <c r="GH27">
        <f t="shared" ca="1" si="67"/>
        <v>0</v>
      </c>
      <c r="GI27">
        <f t="shared" ca="1" si="68"/>
        <v>0</v>
      </c>
      <c r="GJ27">
        <f ca="1">IF(GC27&gt;1200000,GC27-1200000-IF(F27="YES",50000,0)-GH27,0)</f>
        <v>0</v>
      </c>
      <c r="GK27">
        <f t="shared" ca="1" si="69"/>
        <v>0</v>
      </c>
      <c r="GL27">
        <f t="shared" ca="1" si="70"/>
        <v>0</v>
      </c>
      <c r="GM27">
        <f t="shared" ca="1" si="71"/>
        <v>0</v>
      </c>
      <c r="GN27">
        <f t="shared" ca="1" si="72"/>
        <v>85997</v>
      </c>
      <c r="GO27">
        <f t="shared" ca="1" si="73"/>
        <v>4299.8500000000004</v>
      </c>
      <c r="GP27">
        <f t="shared" ca="1" si="74"/>
        <v>4300</v>
      </c>
      <c r="GQ27">
        <f t="shared" ca="1" si="75"/>
        <v>0</v>
      </c>
      <c r="GR27">
        <f t="shared" ca="1" si="76"/>
        <v>0</v>
      </c>
      <c r="GS27">
        <f t="shared" ca="1" si="77"/>
        <v>4300</v>
      </c>
      <c r="GT27">
        <f t="shared" ca="1" si="78"/>
        <v>0</v>
      </c>
      <c r="GU27" t="b">
        <f t="shared" ca="1" si="79"/>
        <v>0</v>
      </c>
      <c r="GV27">
        <f t="shared" ca="1" si="80"/>
        <v>0</v>
      </c>
      <c r="GW27">
        <f t="shared" ca="1" si="81"/>
        <v>4300</v>
      </c>
      <c r="GX27">
        <f t="shared" ca="1" si="82"/>
        <v>0</v>
      </c>
      <c r="GY27">
        <f t="shared" ca="1" si="83"/>
        <v>0</v>
      </c>
      <c r="GZ27">
        <f t="shared" ca="1" si="84"/>
        <v>0</v>
      </c>
    </row>
    <row r="28" spans="1:208" x14ac:dyDescent="0.25">
      <c r="A28">
        <f>_xlfn.AGGREGATE(3,5,$B$2:B28)</f>
        <v>27</v>
      </c>
      <c r="B28" t="s">
        <v>171</v>
      </c>
      <c r="C28" t="s">
        <v>172</v>
      </c>
      <c r="D28" t="s">
        <v>755</v>
      </c>
      <c r="E28" t="s">
        <v>831</v>
      </c>
      <c r="F28" t="s">
        <v>957</v>
      </c>
      <c r="G28" t="s">
        <v>891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>IF(J28&gt;0,SUM(J28:N28),0)</f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85"/>
        <v>200</v>
      </c>
      <c r="S28">
        <f t="shared" si="86"/>
        <v>41270</v>
      </c>
      <c r="T28">
        <f>_xlfn.XLOOKUP(B28,'[2]april-2025'!$A:$A,'[2]april-2025'!$C:$C,0,0)</f>
        <v>34500</v>
      </c>
      <c r="U28">
        <f t="shared" si="3"/>
        <v>6210</v>
      </c>
      <c r="V28">
        <f t="shared" si="4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87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5"/>
        <v>200</v>
      </c>
      <c r="AC28">
        <f t="shared" si="6"/>
        <v>42650</v>
      </c>
      <c r="AD28">
        <f>_xlfn.XLOOKUP(B28,'[3]may-2025'!$A:$A,'[3]may-2025'!$C:$C,0,0)</f>
        <v>34500</v>
      </c>
      <c r="AE28">
        <f t="shared" si="7"/>
        <v>6210</v>
      </c>
      <c r="AF28">
        <f t="shared" si="8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88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9"/>
        <v>200</v>
      </c>
      <c r="AM28">
        <f t="shared" si="10"/>
        <v>42650</v>
      </c>
      <c r="AN28">
        <f>_xlfn.XLOOKUP(B28,'[4]june-2025'!$A:$A,'[4]june-2025'!$C:$C,0,0)</f>
        <v>34500</v>
      </c>
      <c r="AO28">
        <f t="shared" si="11"/>
        <v>6210</v>
      </c>
      <c r="AP28">
        <f t="shared" si="12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89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3"/>
        <v>200</v>
      </c>
      <c r="AW28">
        <f t="shared" si="14"/>
        <v>42650</v>
      </c>
      <c r="AX28">
        <f>_xlfn.XLOOKUP(B28,'[5]july-2025'!$A:$A,'[5]july-2025'!$C:$C,0,0)</f>
        <v>35500</v>
      </c>
      <c r="AY28">
        <f t="shared" si="15"/>
        <v>6390</v>
      </c>
      <c r="AZ28">
        <v>0</v>
      </c>
      <c r="BA28">
        <f t="shared" si="16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>IF(AX28&gt;0,SUM(AX28:BC28),0)</f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17"/>
        <v>200</v>
      </c>
      <c r="BH28">
        <f t="shared" si="18"/>
        <v>43950</v>
      </c>
      <c r="BI28">
        <f>_xlfn.XLOOKUP(B28,'[6]august-2025'!$A:$A,'[6]august-2025'!$C:$C,0,0)</f>
        <v>35500</v>
      </c>
      <c r="BJ28">
        <f t="shared" si="19"/>
        <v>6390</v>
      </c>
      <c r="BK28">
        <f t="shared" si="20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1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>IF($F28="YES",0,IF(BN28&gt;40000,200,IF(BN28&gt;25000,150,IF(BN28&gt;15000,130,IF(BN28&gt;10000,110,0)))))</f>
        <v>200</v>
      </c>
      <c r="BR28">
        <f>BN28-BO28-BP28-BQ28</f>
        <v>43950</v>
      </c>
      <c r="BS28">
        <f>_xlfn.XLOOKUP(B28,'[7]september-2025'!$A:$A,'[7]september-2025'!$C:$C,0,0)</f>
        <v>35500</v>
      </c>
      <c r="BT28">
        <f t="shared" si="22"/>
        <v>6390</v>
      </c>
      <c r="BU28">
        <f t="shared" si="23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>IF(BS28&gt;0,SUM(BS28:BW28),0)</f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24"/>
        <v>200</v>
      </c>
      <c r="CB28">
        <f t="shared" si="25"/>
        <v>43950</v>
      </c>
      <c r="CC28">
        <f>_xlfn.XLOOKUP(B28,'[8]october-2025'!$A:$A,'[8]october-2025'!$C:$C,0,0)</f>
        <v>35500</v>
      </c>
      <c r="CD28">
        <f t="shared" si="26"/>
        <v>6390</v>
      </c>
      <c r="CE28">
        <f t="shared" si="27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>IF(CC28&gt;0,SUM(CC28:CG28),0)</f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28"/>
        <v>200</v>
      </c>
      <c r="CL28">
        <f t="shared" si="29"/>
        <v>43950</v>
      </c>
      <c r="CM28">
        <f>_xlfn.XLOOKUP(B28,'[9]november-2025'!$A:$A,'[9]november-2025'!$C:$C,0,0)</f>
        <v>35500</v>
      </c>
      <c r="CN28">
        <f t="shared" si="30"/>
        <v>6390</v>
      </c>
      <c r="CO28">
        <f t="shared" si="31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>IF(CM28&gt;0,SUM(CM28:CQ28),0)</f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32"/>
        <v>200</v>
      </c>
      <c r="CV28">
        <f t="shared" si="33"/>
        <v>43950</v>
      </c>
      <c r="CW28">
        <f>_xlfn.XLOOKUP(B28,'[10]december-2025'!$A:$A,'[10]december-2025'!$C:$C,0,0)</f>
        <v>35500</v>
      </c>
      <c r="CX28">
        <f t="shared" si="34"/>
        <v>6390</v>
      </c>
      <c r="CY28">
        <f t="shared" si="35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>IF(CW28&gt;0,SUM(CW28:DA28),0)</f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36"/>
        <v>200</v>
      </c>
      <c r="DF28">
        <f t="shared" si="37"/>
        <v>43950</v>
      </c>
      <c r="DG28">
        <f>_xlfn.XLOOKUP(B28,'[11]january-2026'!$A:$A,'[11]january-2026'!$C:$C,0,0)</f>
        <v>35500</v>
      </c>
      <c r="DH28">
        <f t="shared" si="38"/>
        <v>6390</v>
      </c>
      <c r="DI28">
        <f t="shared" si="39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>IF(DG28&gt;0,SUM(DG28:DK28),0)</f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40"/>
        <v>200</v>
      </c>
      <c r="DP28">
        <f t="shared" si="41"/>
        <v>43950</v>
      </c>
      <c r="DQ28">
        <f>_xlfn.XLOOKUP(B28,'[12]february-2026'!$A:$A,'[12]february-2026'!$C:$C,0,0)</f>
        <v>35500</v>
      </c>
      <c r="DR28">
        <f t="shared" si="42"/>
        <v>6390</v>
      </c>
      <c r="DS28">
        <f t="shared" si="43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>IF(DQ28&gt;0,SUM(DQ28:DU28),0)</f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44"/>
        <v>200</v>
      </c>
      <c r="DZ28">
        <f t="shared" si="45"/>
        <v>43950</v>
      </c>
      <c r="EA28">
        <f>_xlfn.XLOOKUP(B28,'[1]march-2025'!$A:$A,'[1]march-2025'!$J:$J,0,0)</f>
        <v>0</v>
      </c>
      <c r="EB28">
        <f>_xlfn.XLOOKUP(B28,'[2]april-2025'!$A:$A,'[2]april-2025'!$J:$J,0,0)</f>
        <v>0</v>
      </c>
      <c r="EC28">
        <f>_xlfn.XLOOKUP(B28,'[3]may-2025'!$A:$A,'[3]may-2025'!$J:$J,0,0)</f>
        <v>0</v>
      </c>
      <c r="ED28">
        <f>_xlfn.XLOOKUP(B28,'[4]june-2025'!$A:$A,'[4]june-2025'!$J:$J,0,0)</f>
        <v>0</v>
      </c>
      <c r="EE28">
        <f>_xlfn.XLOOKUP(B28,'[5]july-2025'!$A:$A,'[5]july-2025'!$J:$J,0,0)</f>
        <v>0</v>
      </c>
      <c r="EF28">
        <f>_xlfn.XLOOKUP(B28,'[6]august-2025'!$A:$A,'[6]august-2025'!$J:$J,0,0)</f>
        <v>0</v>
      </c>
      <c r="EG28">
        <f>_xlfn.XLOOKUP(B28,'[7]september-2025'!$A:$A,'[7]september-2025'!$J:$J,0,0)</f>
        <v>0</v>
      </c>
      <c r="EH28">
        <f>_xlfn.XLOOKUP(B28,'[8]october-2025'!$A:$A,'[8]october-2025'!$J:$J,0,0)</f>
        <v>0</v>
      </c>
      <c r="EI28">
        <f>_xlfn.XLOOKUP(C28,'[9]november-2025'!$A:$A,'[9]november-2025'!$J:$J,0,0)</f>
        <v>0</v>
      </c>
      <c r="EJ28">
        <f>_xlfn.XLOOKUP(B28,'[10]december-2025'!$A:$A,'[10]december-2025'!$J:$J,0,0)</f>
        <v>0</v>
      </c>
      <c r="EK28">
        <f>_xlfn.XLOOKUP(B28,'[11]january-2026'!$A:$A,'[11]january-2026'!$J:$J,0,0)</f>
        <v>0</v>
      </c>
      <c r="EL28">
        <f>_xlfn.XLOOKUP(B28,'[12]february-2026'!$A:$A,'[12]february-2026'!$J:$J,0,0)</f>
        <v>0</v>
      </c>
      <c r="EM28">
        <f t="shared" si="90"/>
        <v>0</v>
      </c>
      <c r="EN28">
        <f>DV28+DL28+DB28+CR28+CH28+BX28+BN28+BD28+AS28+AI28+Y28+O28+H28+I28</f>
        <v>560020</v>
      </c>
      <c r="EO28">
        <f>DY28+DO28+DE28+CU28+CK28+CA28+BQ28+BG28+AV28+AL28+AB28+R28</f>
        <v>2400</v>
      </c>
      <c r="EP28">
        <f t="shared" si="46"/>
        <v>50000</v>
      </c>
      <c r="EQ28">
        <v>0</v>
      </c>
      <c r="ER28">
        <f t="shared" si="91"/>
        <v>507620</v>
      </c>
      <c r="ES28">
        <f>DW28+DM28+DC28+CS28+CI28+BY28+BO28+BE28+AT28+AJ28+Z28+P28</f>
        <v>30000</v>
      </c>
      <c r="ET28">
        <f>DX28+DN28+DD28+CT28+CJ28+BZ28+BP28+BF28+AU28+AK28+AA28+Q28</f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47"/>
        <v>30000</v>
      </c>
      <c r="FF28">
        <f t="shared" si="48"/>
        <v>30000</v>
      </c>
      <c r="FG28">
        <f t="shared" si="49"/>
        <v>477620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>SUM(FH28:FN28)+(IF(F28="YES",50000,0))</f>
        <v>0</v>
      </c>
      <c r="FP28">
        <f t="shared" si="50"/>
        <v>477620</v>
      </c>
      <c r="FQ28">
        <f t="shared" si="51"/>
        <v>11381</v>
      </c>
      <c r="FR28">
        <f t="shared" si="52"/>
        <v>0</v>
      </c>
      <c r="FS28">
        <f t="shared" si="53"/>
        <v>11381</v>
      </c>
      <c r="FT28">
        <f t="shared" si="54"/>
        <v>0</v>
      </c>
      <c r="FU28">
        <f t="shared" si="55"/>
        <v>0</v>
      </c>
      <c r="FV28">
        <f t="shared" si="56"/>
        <v>0</v>
      </c>
      <c r="FW28">
        <v>0</v>
      </c>
      <c r="FX28">
        <f t="shared" si="57"/>
        <v>0</v>
      </c>
      <c r="FY28" t="b">
        <f t="shared" si="58"/>
        <v>1</v>
      </c>
      <c r="FZ28">
        <f t="shared" ca="1" si="59"/>
        <v>641</v>
      </c>
      <c r="GA28">
        <f t="shared" ca="1" si="60"/>
        <v>560661</v>
      </c>
      <c r="GB28">
        <f t="shared" si="61"/>
        <v>75000</v>
      </c>
      <c r="GC28">
        <f t="shared" ca="1" si="62"/>
        <v>485661</v>
      </c>
      <c r="GD28">
        <f t="shared" ca="1" si="63"/>
        <v>0</v>
      </c>
      <c r="GE28">
        <f t="shared" ca="1" si="64"/>
        <v>0</v>
      </c>
      <c r="GF28">
        <f t="shared" ca="1" si="65"/>
        <v>0</v>
      </c>
      <c r="GG28">
        <f t="shared" ca="1" si="66"/>
        <v>0</v>
      </c>
      <c r="GH28">
        <f t="shared" ca="1" si="67"/>
        <v>0</v>
      </c>
      <c r="GI28">
        <f t="shared" ca="1" si="68"/>
        <v>0</v>
      </c>
      <c r="GJ28">
        <f ca="1">IF(GC28&gt;1200000,GC28-1200000-IF(F28="YES",50000,0)-GH28,0)</f>
        <v>0</v>
      </c>
      <c r="GK28">
        <f t="shared" ca="1" si="69"/>
        <v>0</v>
      </c>
      <c r="GL28">
        <f t="shared" ca="1" si="70"/>
        <v>0</v>
      </c>
      <c r="GM28">
        <f t="shared" ca="1" si="71"/>
        <v>0</v>
      </c>
      <c r="GN28">
        <f t="shared" ca="1" si="72"/>
        <v>85661</v>
      </c>
      <c r="GO28">
        <f t="shared" ca="1" si="73"/>
        <v>4283.05</v>
      </c>
      <c r="GP28">
        <f t="shared" ca="1" si="74"/>
        <v>4283</v>
      </c>
      <c r="GQ28">
        <f t="shared" ca="1" si="75"/>
        <v>0</v>
      </c>
      <c r="GR28">
        <f t="shared" ca="1" si="76"/>
        <v>0</v>
      </c>
      <c r="GS28">
        <f t="shared" ca="1" si="77"/>
        <v>4283</v>
      </c>
      <c r="GT28">
        <f t="shared" ca="1" si="78"/>
        <v>0</v>
      </c>
      <c r="GU28" t="b">
        <f t="shared" ca="1" si="79"/>
        <v>0</v>
      </c>
      <c r="GV28">
        <f t="shared" ca="1" si="80"/>
        <v>0</v>
      </c>
      <c r="GW28">
        <f t="shared" ca="1" si="81"/>
        <v>4283</v>
      </c>
      <c r="GX28">
        <f t="shared" ca="1" si="82"/>
        <v>0</v>
      </c>
      <c r="GY28">
        <f t="shared" ca="1" si="83"/>
        <v>0</v>
      </c>
      <c r="GZ28">
        <f t="shared" ca="1" si="84"/>
        <v>0</v>
      </c>
    </row>
    <row r="29" spans="1:208" x14ac:dyDescent="0.25">
      <c r="A29">
        <f>_xlfn.AGGREGATE(3,5,$B$2:B29)</f>
        <v>28</v>
      </c>
      <c r="B29" t="s">
        <v>173</v>
      </c>
      <c r="C29" t="s">
        <v>174</v>
      </c>
      <c r="D29" t="s">
        <v>756</v>
      </c>
      <c r="E29" t="s">
        <v>832</v>
      </c>
      <c r="F29" t="s">
        <v>957</v>
      </c>
      <c r="G29" t="s">
        <v>885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>IF(J29&gt;0,SUM(J29:N29),0)</f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85"/>
        <v>200</v>
      </c>
      <c r="S29">
        <f t="shared" si="86"/>
        <v>50842</v>
      </c>
      <c r="T29">
        <f>_xlfn.XLOOKUP(B29,'[2]april-2025'!$A:$A,'[2]april-2025'!$C:$C,0,0)</f>
        <v>51700</v>
      </c>
      <c r="U29">
        <f t="shared" si="3"/>
        <v>9306</v>
      </c>
      <c r="V29">
        <f t="shared" si="4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87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5"/>
        <v>200</v>
      </c>
      <c r="AC29">
        <f t="shared" si="6"/>
        <v>52910</v>
      </c>
      <c r="AD29">
        <f>_xlfn.XLOOKUP(B29,'[3]may-2025'!$A:$A,'[3]may-2025'!$C:$C,0,0)</f>
        <v>51700</v>
      </c>
      <c r="AE29">
        <f t="shared" si="7"/>
        <v>9306</v>
      </c>
      <c r="AF29">
        <f t="shared" si="8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88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9"/>
        <v>200</v>
      </c>
      <c r="AM29">
        <f t="shared" si="10"/>
        <v>52910</v>
      </c>
      <c r="AN29">
        <f>_xlfn.XLOOKUP(B29,'[4]june-2025'!$A:$A,'[4]june-2025'!$C:$C,0,0)</f>
        <v>51700</v>
      </c>
      <c r="AO29">
        <f t="shared" si="11"/>
        <v>9306</v>
      </c>
      <c r="AP29">
        <f t="shared" si="12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89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3"/>
        <v>200</v>
      </c>
      <c r="AW29">
        <f t="shared" si="14"/>
        <v>52910</v>
      </c>
      <c r="AX29">
        <f>_xlfn.XLOOKUP(B29,'[5]july-2025'!$A:$A,'[5]july-2025'!$C:$C,0,0)</f>
        <v>53300</v>
      </c>
      <c r="AY29">
        <f t="shared" si="15"/>
        <v>9594</v>
      </c>
      <c r="AZ29">
        <v>0</v>
      </c>
      <c r="BA29">
        <f t="shared" si="16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>IF(AX29&gt;0,SUM(AX29:BC29),0)</f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17"/>
        <v>200</v>
      </c>
      <c r="BH29">
        <f t="shared" si="18"/>
        <v>54990</v>
      </c>
      <c r="BI29">
        <f>_xlfn.XLOOKUP(B29,'[6]august-2025'!$A:$A,'[6]august-2025'!$C:$C,0,0)</f>
        <v>53300</v>
      </c>
      <c r="BJ29">
        <f t="shared" si="19"/>
        <v>9594</v>
      </c>
      <c r="BK29">
        <f t="shared" si="20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1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>IF($F29="YES",0,IF(BN29&gt;40000,200,IF(BN29&gt;25000,150,IF(BN29&gt;15000,130,IF(BN29&gt;10000,110,0)))))</f>
        <v>200</v>
      </c>
      <c r="BR29">
        <f>BN29-BO29-BP29-BQ29</f>
        <v>54990</v>
      </c>
      <c r="BS29">
        <f>_xlfn.XLOOKUP(B29,'[7]september-2025'!$A:$A,'[7]september-2025'!$C:$C,0,0)</f>
        <v>53300</v>
      </c>
      <c r="BT29">
        <f t="shared" si="22"/>
        <v>9594</v>
      </c>
      <c r="BU29">
        <f t="shared" si="23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>IF(BS29&gt;0,SUM(BS29:BW29),0)</f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24"/>
        <v>200</v>
      </c>
      <c r="CB29">
        <f t="shared" si="25"/>
        <v>54990</v>
      </c>
      <c r="CC29">
        <f>_xlfn.XLOOKUP(B29,'[8]october-2025'!$A:$A,'[8]october-2025'!$C:$C,0,0)</f>
        <v>53300</v>
      </c>
      <c r="CD29">
        <f t="shared" si="26"/>
        <v>9594</v>
      </c>
      <c r="CE29">
        <f t="shared" si="27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>IF(CC29&gt;0,SUM(CC29:CG29),0)</f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28"/>
        <v>200</v>
      </c>
      <c r="CL29">
        <f t="shared" si="29"/>
        <v>54990</v>
      </c>
      <c r="CM29">
        <f>_xlfn.XLOOKUP(B29,'[9]november-2025'!$A:$A,'[9]november-2025'!$C:$C,0,0)</f>
        <v>53300</v>
      </c>
      <c r="CN29">
        <f t="shared" si="30"/>
        <v>9594</v>
      </c>
      <c r="CO29">
        <f t="shared" si="31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>IF(CM29&gt;0,SUM(CM29:CQ29),0)</f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32"/>
        <v>200</v>
      </c>
      <c r="CV29">
        <f t="shared" si="33"/>
        <v>54990</v>
      </c>
      <c r="CW29">
        <f>_xlfn.XLOOKUP(B29,'[10]december-2025'!$A:$A,'[10]december-2025'!$C:$C,0,0)</f>
        <v>53300</v>
      </c>
      <c r="CX29">
        <f t="shared" si="34"/>
        <v>9594</v>
      </c>
      <c r="CY29">
        <f t="shared" si="35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>IF(CW29&gt;0,SUM(CW29:DA29),0)</f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36"/>
        <v>200</v>
      </c>
      <c r="DF29">
        <f t="shared" si="37"/>
        <v>54990</v>
      </c>
      <c r="DG29">
        <f>_xlfn.XLOOKUP(B29,'[11]january-2026'!$A:$A,'[11]january-2026'!$C:$C,0,0)</f>
        <v>53300</v>
      </c>
      <c r="DH29">
        <f t="shared" si="38"/>
        <v>9594</v>
      </c>
      <c r="DI29">
        <f t="shared" si="39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>IF(DG29&gt;0,SUM(DG29:DK29),0)</f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40"/>
        <v>200</v>
      </c>
      <c r="DP29">
        <f t="shared" si="41"/>
        <v>54990</v>
      </c>
      <c r="DQ29">
        <f>_xlfn.XLOOKUP(B29,'[12]february-2026'!$A:$A,'[12]february-2026'!$C:$C,0,0)</f>
        <v>53300</v>
      </c>
      <c r="DR29">
        <f t="shared" si="42"/>
        <v>9594</v>
      </c>
      <c r="DS29">
        <f t="shared" si="43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>IF(DQ29&gt;0,SUM(DQ29:DU29),0)</f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44"/>
        <v>200</v>
      </c>
      <c r="DZ29">
        <f t="shared" si="45"/>
        <v>54990</v>
      </c>
      <c r="EA29">
        <f>_xlfn.XLOOKUP(B29,'[1]march-2025'!$A:$A,'[1]march-2025'!$J:$J,0,0)</f>
        <v>0</v>
      </c>
      <c r="EB29">
        <f>_xlfn.XLOOKUP(B29,'[2]april-2025'!$A:$A,'[2]april-2025'!$J:$J,0,0)</f>
        <v>0</v>
      </c>
      <c r="EC29">
        <f>_xlfn.XLOOKUP(B29,'[3]may-2025'!$A:$A,'[3]may-2025'!$J:$J,0,0)</f>
        <v>0</v>
      </c>
      <c r="ED29">
        <f>_xlfn.XLOOKUP(B29,'[4]june-2025'!$A:$A,'[4]june-2025'!$J:$J,0,0)</f>
        <v>0</v>
      </c>
      <c r="EE29">
        <f>_xlfn.XLOOKUP(B29,'[5]july-2025'!$A:$A,'[5]july-2025'!$J:$J,0,0)</f>
        <v>0</v>
      </c>
      <c r="EF29">
        <f>_xlfn.XLOOKUP(B29,'[6]august-2025'!$A:$A,'[6]august-2025'!$J:$J,0,0)</f>
        <v>0</v>
      </c>
      <c r="EG29">
        <f>_xlfn.XLOOKUP(B29,'[7]september-2025'!$A:$A,'[7]september-2025'!$J:$J,0,0)</f>
        <v>0</v>
      </c>
      <c r="EH29">
        <f>_xlfn.XLOOKUP(B29,'[8]october-2025'!$A:$A,'[8]october-2025'!$J:$J,0,0)</f>
        <v>0</v>
      </c>
      <c r="EI29">
        <f>_xlfn.XLOOKUP(C29,'[9]november-2025'!$A:$A,'[9]november-2025'!$J:$J,0,0)</f>
        <v>0</v>
      </c>
      <c r="EJ29">
        <f>_xlfn.XLOOKUP(B29,'[10]december-2025'!$A:$A,'[10]december-2025'!$J:$J,0,0)</f>
        <v>0</v>
      </c>
      <c r="EK29">
        <f>_xlfn.XLOOKUP(B29,'[11]january-2026'!$A:$A,'[11]january-2026'!$J:$J,0,0)</f>
        <v>0</v>
      </c>
      <c r="EL29">
        <f>_xlfn.XLOOKUP(B29,'[12]february-2026'!$A:$A,'[12]february-2026'!$J:$J,0,0)</f>
        <v>0</v>
      </c>
      <c r="EM29">
        <f t="shared" si="90"/>
        <v>0</v>
      </c>
      <c r="EN29">
        <f>DV29+DL29+DB29+CR29+CH29+BX29+BN29+BD29+AS29+AI29+Y29+O29+H29+I29</f>
        <v>838692</v>
      </c>
      <c r="EO29">
        <f>DY29+DO29+DE29+CU29+CK29+CA29+BQ29+BG29+AV29+AL29+AB29+R29</f>
        <v>2400</v>
      </c>
      <c r="EP29">
        <f t="shared" si="46"/>
        <v>50000</v>
      </c>
      <c r="EQ29">
        <v>0</v>
      </c>
      <c r="ER29">
        <f t="shared" si="91"/>
        <v>786292</v>
      </c>
      <c r="ES29">
        <f>DW29+DM29+DC29+CS29+CI29+BY29+BO29+BE29+AT29+AJ29+Z29+P29</f>
        <v>180000</v>
      </c>
      <c r="ET29">
        <f>DX29+DN29+DD29+CT29+CJ29+BZ29+BP29+BF29+AU29+AK29+AA29+Q29</f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47"/>
        <v>180000</v>
      </c>
      <c r="FF29">
        <f t="shared" si="48"/>
        <v>150000</v>
      </c>
      <c r="FG29">
        <f t="shared" si="49"/>
        <v>636292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>SUM(FH29:FN29)+(IF(F29="YES",50000,0))</f>
        <v>0</v>
      </c>
      <c r="FP29">
        <f t="shared" si="50"/>
        <v>636292</v>
      </c>
      <c r="FQ29">
        <f t="shared" si="51"/>
        <v>12500</v>
      </c>
      <c r="FR29">
        <f t="shared" si="52"/>
        <v>27258</v>
      </c>
      <c r="FS29">
        <f t="shared" si="53"/>
        <v>39758</v>
      </c>
      <c r="FT29">
        <f t="shared" si="54"/>
        <v>39758</v>
      </c>
      <c r="FU29">
        <f t="shared" si="55"/>
        <v>1590.32</v>
      </c>
      <c r="FV29">
        <f t="shared" si="56"/>
        <v>41348</v>
      </c>
      <c r="FW29">
        <v>0</v>
      </c>
      <c r="FX29">
        <f t="shared" si="57"/>
        <v>41348</v>
      </c>
      <c r="FY29" t="b">
        <f t="shared" si="58"/>
        <v>1</v>
      </c>
      <c r="FZ29">
        <f t="shared" ca="1" si="59"/>
        <v>742</v>
      </c>
      <c r="GA29">
        <f t="shared" ca="1" si="60"/>
        <v>839434</v>
      </c>
      <c r="GB29">
        <f t="shared" si="61"/>
        <v>75000</v>
      </c>
      <c r="GC29">
        <f t="shared" ca="1" si="62"/>
        <v>764434</v>
      </c>
      <c r="GD29">
        <f t="shared" ca="1" si="63"/>
        <v>0</v>
      </c>
      <c r="GE29">
        <f t="shared" ca="1" si="64"/>
        <v>0</v>
      </c>
      <c r="GF29">
        <f t="shared" ca="1" si="65"/>
        <v>0</v>
      </c>
      <c r="GG29">
        <f t="shared" ca="1" si="66"/>
        <v>0</v>
      </c>
      <c r="GH29">
        <f t="shared" ca="1" si="67"/>
        <v>0</v>
      </c>
      <c r="GI29">
        <f t="shared" ca="1" si="68"/>
        <v>0</v>
      </c>
      <c r="GJ29">
        <f ca="1">IF(GC29&gt;1200000,GC29-1200000-IF(F29="YES",50000,0)-GH29,0)</f>
        <v>0</v>
      </c>
      <c r="GK29">
        <f t="shared" ca="1" si="69"/>
        <v>0</v>
      </c>
      <c r="GL29">
        <f t="shared" ca="1" si="70"/>
        <v>0</v>
      </c>
      <c r="GM29">
        <f t="shared" ca="1" si="71"/>
        <v>0</v>
      </c>
      <c r="GN29">
        <f t="shared" ca="1" si="72"/>
        <v>364434</v>
      </c>
      <c r="GO29">
        <f t="shared" ca="1" si="73"/>
        <v>18221.7</v>
      </c>
      <c r="GP29">
        <f t="shared" ca="1" si="74"/>
        <v>18222</v>
      </c>
      <c r="GQ29">
        <f t="shared" ca="1" si="75"/>
        <v>0</v>
      </c>
      <c r="GR29">
        <f t="shared" ca="1" si="76"/>
        <v>0</v>
      </c>
      <c r="GS29">
        <f t="shared" ca="1" si="77"/>
        <v>18222</v>
      </c>
      <c r="GT29">
        <f t="shared" ca="1" si="78"/>
        <v>0</v>
      </c>
      <c r="GU29" t="b">
        <f t="shared" ca="1" si="79"/>
        <v>0</v>
      </c>
      <c r="GV29">
        <f t="shared" ca="1" si="80"/>
        <v>0</v>
      </c>
      <c r="GW29">
        <f t="shared" ca="1" si="81"/>
        <v>18222</v>
      </c>
      <c r="GX29">
        <f t="shared" ca="1" si="82"/>
        <v>0</v>
      </c>
      <c r="GY29">
        <f t="shared" ca="1" si="83"/>
        <v>0</v>
      </c>
      <c r="GZ29">
        <f t="shared" ca="1" si="84"/>
        <v>0</v>
      </c>
    </row>
    <row r="30" spans="1:208" x14ac:dyDescent="0.25">
      <c r="A30">
        <f>_xlfn.AGGREGATE(3,5,$B$2:B30)</f>
        <v>29</v>
      </c>
      <c r="B30" t="s">
        <v>175</v>
      </c>
      <c r="C30" t="s">
        <v>176</v>
      </c>
      <c r="D30" t="s">
        <v>756</v>
      </c>
      <c r="E30" t="s">
        <v>832</v>
      </c>
      <c r="F30" t="s">
        <v>957</v>
      </c>
      <c r="G30" t="s">
        <v>892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>IF(J30&gt;0,SUM(J30:N30),0)</f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85"/>
        <v>150</v>
      </c>
      <c r="S30">
        <f t="shared" si="86"/>
        <v>30370</v>
      </c>
      <c r="T30">
        <f>_xlfn.XLOOKUP(B30,'[2]april-2025'!$A:$A,'[2]april-2025'!$C:$C,0,0)</f>
        <v>27000</v>
      </c>
      <c r="U30">
        <f t="shared" si="3"/>
        <v>4860</v>
      </c>
      <c r="V30">
        <f t="shared" si="4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87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5"/>
        <v>150</v>
      </c>
      <c r="AC30">
        <f t="shared" si="6"/>
        <v>31450</v>
      </c>
      <c r="AD30">
        <f>_xlfn.XLOOKUP(B30,'[3]may-2025'!$A:$A,'[3]may-2025'!$C:$C,0,0)</f>
        <v>31600</v>
      </c>
      <c r="AE30">
        <f t="shared" si="7"/>
        <v>5688</v>
      </c>
      <c r="AF30">
        <f t="shared" si="8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88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9"/>
        <v>200</v>
      </c>
      <c r="AM30">
        <f t="shared" si="10"/>
        <v>37380</v>
      </c>
      <c r="AN30">
        <f>_xlfn.XLOOKUP(B30,'[4]june-2025'!$A:$A,'[4]june-2025'!$C:$C,0,0)</f>
        <v>31600</v>
      </c>
      <c r="AO30">
        <f t="shared" si="11"/>
        <v>5688</v>
      </c>
      <c r="AP30">
        <f t="shared" si="12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89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3"/>
        <v>200</v>
      </c>
      <c r="AW30">
        <f t="shared" si="14"/>
        <v>37380</v>
      </c>
      <c r="AX30">
        <f>_xlfn.XLOOKUP(B30,'[5]july-2025'!$A:$A,'[5]july-2025'!$C:$C,0,0)</f>
        <v>32500</v>
      </c>
      <c r="AY30">
        <f t="shared" si="15"/>
        <v>5850</v>
      </c>
      <c r="AZ30">
        <v>0</v>
      </c>
      <c r="BA30">
        <f t="shared" si="16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>IF(AX30&gt;0,SUM(AX30:BC30),0)</f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17"/>
        <v>200</v>
      </c>
      <c r="BH30">
        <f t="shared" si="18"/>
        <v>38550</v>
      </c>
      <c r="BI30">
        <f>_xlfn.XLOOKUP(B30,'[6]august-2025'!$A:$A,'[6]august-2025'!$C:$C,0,0)</f>
        <v>32500</v>
      </c>
      <c r="BJ30">
        <f t="shared" si="19"/>
        <v>5850</v>
      </c>
      <c r="BK30">
        <f t="shared" si="20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1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>IF($F30="YES",0,IF(BN30&gt;40000,200,IF(BN30&gt;25000,150,IF(BN30&gt;15000,130,IF(BN30&gt;10000,110,0)))))</f>
        <v>200</v>
      </c>
      <c r="BR30">
        <f>BN30-BO30-BP30-BQ30</f>
        <v>38550</v>
      </c>
      <c r="BS30">
        <f>_xlfn.XLOOKUP(B30,'[7]september-2025'!$A:$A,'[7]september-2025'!$C:$C,0,0)</f>
        <v>32500</v>
      </c>
      <c r="BT30">
        <f t="shared" si="22"/>
        <v>5850</v>
      </c>
      <c r="BU30">
        <f t="shared" si="23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>IF(BS30&gt;0,SUM(BS30:BW30),0)</f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24"/>
        <v>200</v>
      </c>
      <c r="CB30">
        <f t="shared" si="25"/>
        <v>38550</v>
      </c>
      <c r="CC30">
        <f>_xlfn.XLOOKUP(B30,'[8]october-2025'!$A:$A,'[8]october-2025'!$C:$C,0,0)</f>
        <v>32500</v>
      </c>
      <c r="CD30">
        <f t="shared" si="26"/>
        <v>5850</v>
      </c>
      <c r="CE30">
        <f t="shared" si="27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>IF(CC30&gt;0,SUM(CC30:CG30),0)</f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28"/>
        <v>200</v>
      </c>
      <c r="CL30">
        <f t="shared" si="29"/>
        <v>38550</v>
      </c>
      <c r="CM30">
        <f>_xlfn.XLOOKUP(B30,'[9]november-2025'!$A:$A,'[9]november-2025'!$C:$C,0,0)</f>
        <v>32500</v>
      </c>
      <c r="CN30">
        <f t="shared" si="30"/>
        <v>5850</v>
      </c>
      <c r="CO30">
        <f t="shared" si="31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>IF(CM30&gt;0,SUM(CM30:CQ30),0)</f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32"/>
        <v>200</v>
      </c>
      <c r="CV30">
        <f t="shared" si="33"/>
        <v>38550</v>
      </c>
      <c r="CW30">
        <f>_xlfn.XLOOKUP(B30,'[10]december-2025'!$A:$A,'[10]december-2025'!$C:$C,0,0)</f>
        <v>32500</v>
      </c>
      <c r="CX30">
        <f t="shared" si="34"/>
        <v>5850</v>
      </c>
      <c r="CY30">
        <f t="shared" si="35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>IF(CW30&gt;0,SUM(CW30:DA30),0)</f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36"/>
        <v>200</v>
      </c>
      <c r="DF30">
        <f t="shared" si="37"/>
        <v>38550</v>
      </c>
      <c r="DG30">
        <f>_xlfn.XLOOKUP(B30,'[11]january-2026'!$A:$A,'[11]january-2026'!$C:$C,0,0)</f>
        <v>32500</v>
      </c>
      <c r="DH30">
        <f t="shared" si="38"/>
        <v>5850</v>
      </c>
      <c r="DI30">
        <f t="shared" si="39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>IF(DG30&gt;0,SUM(DG30:DK30),0)</f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40"/>
        <v>200</v>
      </c>
      <c r="DP30">
        <f t="shared" si="41"/>
        <v>38550</v>
      </c>
      <c r="DQ30">
        <f>_xlfn.XLOOKUP(B30,'[12]february-2026'!$A:$A,'[12]february-2026'!$C:$C,0,0)</f>
        <v>32500</v>
      </c>
      <c r="DR30">
        <f t="shared" si="42"/>
        <v>5850</v>
      </c>
      <c r="DS30">
        <f t="shared" si="43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>IF(DQ30&gt;0,SUM(DQ30:DU30),0)</f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44"/>
        <v>200</v>
      </c>
      <c r="DZ30">
        <f t="shared" si="45"/>
        <v>38550</v>
      </c>
      <c r="EA30">
        <f>_xlfn.XLOOKUP(B30,'[1]march-2025'!$A:$A,'[1]march-2025'!$J:$J,0,0)</f>
        <v>0</v>
      </c>
      <c r="EB30">
        <f>_xlfn.XLOOKUP(B30,'[2]april-2025'!$A:$A,'[2]april-2025'!$J:$J,0,0)</f>
        <v>0</v>
      </c>
      <c r="EC30">
        <f>_xlfn.XLOOKUP(B30,'[3]may-2025'!$A:$A,'[3]may-2025'!$J:$J,0,0)</f>
        <v>0</v>
      </c>
      <c r="ED30">
        <f>_xlfn.XLOOKUP(B30,'[4]june-2025'!$A:$A,'[4]june-2025'!$J:$J,0,0)</f>
        <v>0</v>
      </c>
      <c r="EE30">
        <f>_xlfn.XLOOKUP(B30,'[5]july-2025'!$A:$A,'[5]july-2025'!$J:$J,0,0)</f>
        <v>0</v>
      </c>
      <c r="EF30">
        <f>_xlfn.XLOOKUP(B30,'[6]august-2025'!$A:$A,'[6]august-2025'!$J:$J,0,0)</f>
        <v>0</v>
      </c>
      <c r="EG30">
        <f>_xlfn.XLOOKUP(B30,'[7]september-2025'!$A:$A,'[7]september-2025'!$J:$J,0,0)</f>
        <v>0</v>
      </c>
      <c r="EH30">
        <f>_xlfn.XLOOKUP(B30,'[8]october-2025'!$A:$A,'[8]october-2025'!$J:$J,0,0)</f>
        <v>0</v>
      </c>
      <c r="EI30">
        <f>_xlfn.XLOOKUP(C30,'[9]november-2025'!$A:$A,'[9]november-2025'!$J:$J,0,0)</f>
        <v>0</v>
      </c>
      <c r="EJ30">
        <f>_xlfn.XLOOKUP(B30,'[10]december-2025'!$A:$A,'[10]december-2025'!$J:$J,0,0)</f>
        <v>0</v>
      </c>
      <c r="EK30">
        <f>_xlfn.XLOOKUP(B30,'[11]january-2026'!$A:$A,'[11]january-2026'!$J:$J,0,0)</f>
        <v>0</v>
      </c>
      <c r="EL30">
        <f>_xlfn.XLOOKUP(B30,'[12]february-2026'!$A:$A,'[12]february-2026'!$J:$J,0,0)</f>
        <v>0</v>
      </c>
      <c r="EM30">
        <f t="shared" si="90"/>
        <v>0</v>
      </c>
      <c r="EN30">
        <f>DV30+DL30+DB30+CR30+CH30+BX30+BN30+BD30+AS30+AI30+Y30+O30+H30+I30</f>
        <v>502080</v>
      </c>
      <c r="EO30">
        <f>DY30+DO30+DE30+CU30+CK30+CA30+BQ30+BG30+AV30+AL30+AB30+R30</f>
        <v>2300</v>
      </c>
      <c r="EP30">
        <f t="shared" si="46"/>
        <v>50000</v>
      </c>
      <c r="EQ30">
        <v>0</v>
      </c>
      <c r="ER30">
        <f t="shared" si="91"/>
        <v>449780</v>
      </c>
      <c r="ES30">
        <f>DW30+DM30+DC30+CS30+CI30+BY30+BO30+BE30+AT30+AJ30+Z30+P30</f>
        <v>48000</v>
      </c>
      <c r="ET30">
        <f>DX30+DN30+DD30+CT30+CJ30+BZ30+BP30+BF30+AU30+AK30+AA30+Q30</f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si="47"/>
        <v>48000</v>
      </c>
      <c r="FF30">
        <f t="shared" si="48"/>
        <v>48000</v>
      </c>
      <c r="FG30">
        <f t="shared" si="49"/>
        <v>401780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>SUM(FH30:FN30)+(IF(F30="YES",50000,0))</f>
        <v>0</v>
      </c>
      <c r="FP30">
        <f t="shared" si="50"/>
        <v>401780</v>
      </c>
      <c r="FQ30">
        <f t="shared" si="51"/>
        <v>7589</v>
      </c>
      <c r="FR30">
        <f t="shared" si="52"/>
        <v>0</v>
      </c>
      <c r="FS30">
        <f t="shared" si="53"/>
        <v>7589</v>
      </c>
      <c r="FT30">
        <f t="shared" si="54"/>
        <v>0</v>
      </c>
      <c r="FU30">
        <f t="shared" si="55"/>
        <v>0</v>
      </c>
      <c r="FV30">
        <f t="shared" si="56"/>
        <v>0</v>
      </c>
      <c r="FW30">
        <v>0</v>
      </c>
      <c r="FX30">
        <f t="shared" si="57"/>
        <v>0</v>
      </c>
      <c r="FY30" t="b">
        <f t="shared" si="58"/>
        <v>1</v>
      </c>
      <c r="FZ30">
        <f t="shared" ca="1" si="59"/>
        <v>881</v>
      </c>
      <c r="GA30">
        <f t="shared" ca="1" si="60"/>
        <v>502961</v>
      </c>
      <c r="GB30">
        <f t="shared" si="61"/>
        <v>75000</v>
      </c>
      <c r="GC30">
        <f t="shared" ca="1" si="62"/>
        <v>427961</v>
      </c>
      <c r="GD30">
        <f t="shared" ca="1" si="63"/>
        <v>0</v>
      </c>
      <c r="GE30">
        <f t="shared" ca="1" si="64"/>
        <v>0</v>
      </c>
      <c r="GF30">
        <f t="shared" ca="1" si="65"/>
        <v>0</v>
      </c>
      <c r="GG30">
        <f t="shared" ca="1" si="66"/>
        <v>0</v>
      </c>
      <c r="GH30">
        <f t="shared" ca="1" si="67"/>
        <v>0</v>
      </c>
      <c r="GI30">
        <f t="shared" ca="1" si="68"/>
        <v>0</v>
      </c>
      <c r="GJ30">
        <f ca="1">IF(GC30&gt;1200000,GC30-1200000-IF(F30="YES",50000,0)-GH30,0)</f>
        <v>0</v>
      </c>
      <c r="GK30">
        <f t="shared" ca="1" si="69"/>
        <v>0</v>
      </c>
      <c r="GL30">
        <f t="shared" ca="1" si="70"/>
        <v>0</v>
      </c>
      <c r="GM30">
        <f t="shared" ca="1" si="71"/>
        <v>0</v>
      </c>
      <c r="GN30">
        <f t="shared" ca="1" si="72"/>
        <v>27961</v>
      </c>
      <c r="GO30">
        <f t="shared" ca="1" si="73"/>
        <v>1398.0500000000002</v>
      </c>
      <c r="GP30">
        <f t="shared" ca="1" si="74"/>
        <v>1398</v>
      </c>
      <c r="GQ30">
        <f t="shared" ca="1" si="75"/>
        <v>0</v>
      </c>
      <c r="GR30">
        <f t="shared" ca="1" si="76"/>
        <v>0</v>
      </c>
      <c r="GS30">
        <f t="shared" ca="1" si="77"/>
        <v>1398</v>
      </c>
      <c r="GT30">
        <f t="shared" ca="1" si="78"/>
        <v>0</v>
      </c>
      <c r="GU30" t="b">
        <f t="shared" ca="1" si="79"/>
        <v>0</v>
      </c>
      <c r="GV30">
        <f t="shared" ca="1" si="80"/>
        <v>0</v>
      </c>
      <c r="GW30">
        <f t="shared" ca="1" si="81"/>
        <v>1398</v>
      </c>
      <c r="GX30">
        <f t="shared" ca="1" si="82"/>
        <v>0</v>
      </c>
      <c r="GY30">
        <f t="shared" ca="1" si="83"/>
        <v>0</v>
      </c>
      <c r="GZ30">
        <f t="shared" ca="1" si="84"/>
        <v>0</v>
      </c>
    </row>
    <row r="31" spans="1:208" x14ac:dyDescent="0.25">
      <c r="A31">
        <f>_xlfn.AGGREGATE(3,5,$B$2:B31)</f>
        <v>30</v>
      </c>
      <c r="B31" t="s">
        <v>177</v>
      </c>
      <c r="C31" t="s">
        <v>178</v>
      </c>
      <c r="D31" t="s">
        <v>757</v>
      </c>
      <c r="E31" t="s">
        <v>832</v>
      </c>
      <c r="F31" t="s">
        <v>957</v>
      </c>
      <c r="G31" t="s">
        <v>885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>IF(J31&gt;0,SUM(J31:N31),0)</f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85"/>
        <v>200</v>
      </c>
      <c r="S31">
        <f t="shared" si="86"/>
        <v>61782</v>
      </c>
      <c r="T31">
        <f>_xlfn.XLOOKUP(B31,'[2]april-2025'!$A:$A,'[2]april-2025'!$C:$C,0,0)</f>
        <v>51700</v>
      </c>
      <c r="U31">
        <f t="shared" si="3"/>
        <v>9306</v>
      </c>
      <c r="V31">
        <f t="shared" si="4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87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5"/>
        <v>200</v>
      </c>
      <c r="AC31">
        <f t="shared" si="6"/>
        <v>63850</v>
      </c>
      <c r="AD31">
        <f>_xlfn.XLOOKUP(B31,'[3]may-2025'!$A:$A,'[3]may-2025'!$C:$C,0,0)</f>
        <v>51700</v>
      </c>
      <c r="AE31">
        <f t="shared" si="7"/>
        <v>9306</v>
      </c>
      <c r="AF31">
        <f t="shared" si="8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88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9"/>
        <v>200</v>
      </c>
      <c r="AM31">
        <f t="shared" si="10"/>
        <v>63850</v>
      </c>
      <c r="AN31">
        <f>_xlfn.XLOOKUP(B31,'[4]june-2025'!$A:$A,'[4]june-2025'!$C:$C,0,0)</f>
        <v>51700</v>
      </c>
      <c r="AO31">
        <f t="shared" si="11"/>
        <v>9306</v>
      </c>
      <c r="AP31">
        <f t="shared" si="12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89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3"/>
        <v>200</v>
      </c>
      <c r="AW31">
        <f t="shared" si="14"/>
        <v>63850</v>
      </c>
      <c r="AX31">
        <f>_xlfn.XLOOKUP(B31,'[5]july-2025'!$A:$A,'[5]july-2025'!$C:$C,0,0)</f>
        <v>53300</v>
      </c>
      <c r="AY31">
        <f t="shared" si="15"/>
        <v>9594</v>
      </c>
      <c r="AZ31">
        <v>0</v>
      </c>
      <c r="BA31">
        <f t="shared" si="16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>IF(AX31&gt;0,SUM(AX31:BC31),0)</f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17"/>
        <v>200</v>
      </c>
      <c r="BH31">
        <f t="shared" si="18"/>
        <v>65930</v>
      </c>
      <c r="BI31">
        <f>_xlfn.XLOOKUP(B31,'[6]august-2025'!$A:$A,'[6]august-2025'!$C:$C,0,0)</f>
        <v>53300</v>
      </c>
      <c r="BJ31">
        <f t="shared" si="19"/>
        <v>9594</v>
      </c>
      <c r="BK31">
        <f t="shared" si="20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1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>IF($F31="YES",0,IF(BN31&gt;40000,200,IF(BN31&gt;25000,150,IF(BN31&gt;15000,130,IF(BN31&gt;10000,110,0)))))</f>
        <v>200</v>
      </c>
      <c r="BR31">
        <f>BN31-BO31-BP31-BQ31</f>
        <v>65930</v>
      </c>
      <c r="BS31">
        <f>_xlfn.XLOOKUP(B31,'[7]september-2025'!$A:$A,'[7]september-2025'!$C:$C,0,0)</f>
        <v>53300</v>
      </c>
      <c r="BT31">
        <f t="shared" si="22"/>
        <v>9594</v>
      </c>
      <c r="BU31">
        <f t="shared" si="23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>IF(BS31&gt;0,SUM(BS31:BW31),0)</f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24"/>
        <v>200</v>
      </c>
      <c r="CB31">
        <f t="shared" si="25"/>
        <v>65930</v>
      </c>
      <c r="CC31">
        <f>_xlfn.XLOOKUP(B31,'[8]october-2025'!$A:$A,'[8]october-2025'!$C:$C,0,0)</f>
        <v>53300</v>
      </c>
      <c r="CD31">
        <f t="shared" si="26"/>
        <v>9594</v>
      </c>
      <c r="CE31">
        <f t="shared" si="27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>IF(CC31&gt;0,SUM(CC31:CG31),0)</f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28"/>
        <v>200</v>
      </c>
      <c r="CL31">
        <f t="shared" si="29"/>
        <v>65930</v>
      </c>
      <c r="CM31">
        <f>_xlfn.XLOOKUP(B31,'[9]november-2025'!$A:$A,'[9]november-2025'!$C:$C,0,0)</f>
        <v>53300</v>
      </c>
      <c r="CN31">
        <f t="shared" si="30"/>
        <v>9594</v>
      </c>
      <c r="CO31">
        <f t="shared" si="31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>IF(CM31&gt;0,SUM(CM31:CQ31),0)</f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32"/>
        <v>200</v>
      </c>
      <c r="CV31">
        <f t="shared" si="33"/>
        <v>65930</v>
      </c>
      <c r="CW31">
        <f>_xlfn.XLOOKUP(B31,'[10]december-2025'!$A:$A,'[10]december-2025'!$C:$C,0,0)</f>
        <v>53300</v>
      </c>
      <c r="CX31">
        <f t="shared" si="34"/>
        <v>9594</v>
      </c>
      <c r="CY31">
        <f t="shared" si="35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>IF(CW31&gt;0,SUM(CW31:DA31),0)</f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36"/>
        <v>200</v>
      </c>
      <c r="DF31">
        <f t="shared" si="37"/>
        <v>65930</v>
      </c>
      <c r="DG31">
        <f>_xlfn.XLOOKUP(B31,'[11]january-2026'!$A:$A,'[11]january-2026'!$C:$C,0,0)</f>
        <v>53300</v>
      </c>
      <c r="DH31">
        <f t="shared" si="38"/>
        <v>9594</v>
      </c>
      <c r="DI31">
        <f t="shared" si="39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>IF(DG31&gt;0,SUM(DG31:DK31),0)</f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40"/>
        <v>200</v>
      </c>
      <c r="DP31">
        <f t="shared" si="41"/>
        <v>65930</v>
      </c>
      <c r="DQ31">
        <f>_xlfn.XLOOKUP(B31,'[12]february-2026'!$A:$A,'[12]february-2026'!$C:$C,0,0)</f>
        <v>53300</v>
      </c>
      <c r="DR31">
        <f t="shared" si="42"/>
        <v>9594</v>
      </c>
      <c r="DS31">
        <f t="shared" si="43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>IF(DQ31&gt;0,SUM(DQ31:DU31),0)</f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44"/>
        <v>200</v>
      </c>
      <c r="DZ31">
        <f t="shared" si="45"/>
        <v>65930</v>
      </c>
      <c r="EA31">
        <f>_xlfn.XLOOKUP(B31,'[1]march-2025'!$A:$A,'[1]march-2025'!$J:$J,0,0)</f>
        <v>0</v>
      </c>
      <c r="EB31">
        <f>_xlfn.XLOOKUP(B31,'[2]april-2025'!$A:$A,'[2]april-2025'!$J:$J,0,0)</f>
        <v>0</v>
      </c>
      <c r="EC31">
        <f>_xlfn.XLOOKUP(B31,'[3]may-2025'!$A:$A,'[3]may-2025'!$J:$J,0,0)</f>
        <v>0</v>
      </c>
      <c r="ED31">
        <f>_xlfn.XLOOKUP(B31,'[4]june-2025'!$A:$A,'[4]june-2025'!$J:$J,0,0)</f>
        <v>0</v>
      </c>
      <c r="EE31">
        <f>_xlfn.XLOOKUP(B31,'[5]july-2025'!$A:$A,'[5]july-2025'!$J:$J,0,0)</f>
        <v>0</v>
      </c>
      <c r="EF31">
        <f>_xlfn.XLOOKUP(B31,'[6]august-2025'!$A:$A,'[6]august-2025'!$J:$J,0,0)</f>
        <v>0</v>
      </c>
      <c r="EG31">
        <f>_xlfn.XLOOKUP(B31,'[7]september-2025'!$A:$A,'[7]september-2025'!$J:$J,0,0)</f>
        <v>0</v>
      </c>
      <c r="EH31">
        <f>_xlfn.XLOOKUP(B31,'[8]october-2025'!$A:$A,'[8]october-2025'!$J:$J,0,0)</f>
        <v>0</v>
      </c>
      <c r="EI31">
        <f>_xlfn.XLOOKUP(C31,'[9]november-2025'!$A:$A,'[9]november-2025'!$J:$J,0,0)</f>
        <v>0</v>
      </c>
      <c r="EJ31">
        <f>_xlfn.XLOOKUP(B31,'[10]december-2025'!$A:$A,'[10]december-2025'!$J:$J,0,0)</f>
        <v>0</v>
      </c>
      <c r="EK31">
        <f>_xlfn.XLOOKUP(B31,'[11]january-2026'!$A:$A,'[11]january-2026'!$J:$J,0,0)</f>
        <v>0</v>
      </c>
      <c r="EL31">
        <f>_xlfn.XLOOKUP(B31,'[12]february-2026'!$A:$A,'[12]february-2026'!$J:$J,0,0)</f>
        <v>0</v>
      </c>
      <c r="EM31">
        <f t="shared" si="90"/>
        <v>0</v>
      </c>
      <c r="EN31">
        <f>DV31+DL31+DB31+CR31+CH31+BX31+BN31+BD31+AS31+AI31+Y31+O31+H31+I31</f>
        <v>838692</v>
      </c>
      <c r="EO31">
        <f>DY31+DO31+DE31+CU31+CK31+CA31+BQ31+BG31+AV31+AL31+AB31+R31</f>
        <v>2400</v>
      </c>
      <c r="EP31">
        <f t="shared" si="46"/>
        <v>50000</v>
      </c>
      <c r="EQ31">
        <v>0</v>
      </c>
      <c r="ER31">
        <f t="shared" si="91"/>
        <v>786292</v>
      </c>
      <c r="ES31">
        <f>DW31+DM31+DC31+CS31+CI31+BY31+BO31+BE31+AT31+AJ31+Z31+P31</f>
        <v>48000</v>
      </c>
      <c r="ET31">
        <f>DX31+DN31+DD31+CT31+CJ31+BZ31+BP31+BF31+AU31+AK31+AA31+Q31</f>
        <v>720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47"/>
        <v>48720</v>
      </c>
      <c r="FF31">
        <f t="shared" si="48"/>
        <v>48720</v>
      </c>
      <c r="FG31">
        <f t="shared" si="49"/>
        <v>737572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>SUM(FH31:FN31)+(IF(F31="YES",50000,0))</f>
        <v>0</v>
      </c>
      <c r="FP31">
        <f t="shared" si="50"/>
        <v>737572</v>
      </c>
      <c r="FQ31">
        <f t="shared" si="51"/>
        <v>12500</v>
      </c>
      <c r="FR31">
        <f t="shared" si="52"/>
        <v>47514</v>
      </c>
      <c r="FS31">
        <f t="shared" si="53"/>
        <v>60014</v>
      </c>
      <c r="FT31">
        <f t="shared" si="54"/>
        <v>60014</v>
      </c>
      <c r="FU31">
        <f t="shared" si="55"/>
        <v>2400.56</v>
      </c>
      <c r="FV31">
        <f t="shared" si="56"/>
        <v>62415</v>
      </c>
      <c r="FW31">
        <v>0</v>
      </c>
      <c r="FX31">
        <f t="shared" si="57"/>
        <v>62415</v>
      </c>
      <c r="FY31" t="b">
        <f t="shared" si="58"/>
        <v>1</v>
      </c>
      <c r="FZ31">
        <f t="shared" ca="1" si="59"/>
        <v>673</v>
      </c>
      <c r="GA31">
        <f t="shared" ca="1" si="60"/>
        <v>839365</v>
      </c>
      <c r="GB31">
        <f t="shared" si="61"/>
        <v>75000</v>
      </c>
      <c r="GC31">
        <f t="shared" ca="1" si="62"/>
        <v>764365</v>
      </c>
      <c r="GD31">
        <f t="shared" ca="1" si="63"/>
        <v>0</v>
      </c>
      <c r="GE31">
        <f t="shared" ca="1" si="64"/>
        <v>0</v>
      </c>
      <c r="GF31">
        <f t="shared" ca="1" si="65"/>
        <v>0</v>
      </c>
      <c r="GG31">
        <f t="shared" ca="1" si="66"/>
        <v>0</v>
      </c>
      <c r="GH31">
        <f t="shared" ca="1" si="67"/>
        <v>0</v>
      </c>
      <c r="GI31">
        <f t="shared" ca="1" si="68"/>
        <v>0</v>
      </c>
      <c r="GJ31">
        <f ca="1">IF(GC31&gt;1200000,GC31-1200000-IF(F31="YES",50000,0)-GH31,0)</f>
        <v>0</v>
      </c>
      <c r="GK31">
        <f t="shared" ca="1" si="69"/>
        <v>0</v>
      </c>
      <c r="GL31">
        <f t="shared" ca="1" si="70"/>
        <v>0</v>
      </c>
      <c r="GM31">
        <f t="shared" ca="1" si="71"/>
        <v>0</v>
      </c>
      <c r="GN31">
        <f t="shared" ca="1" si="72"/>
        <v>364365</v>
      </c>
      <c r="GO31">
        <f t="shared" ca="1" si="73"/>
        <v>18218.25</v>
      </c>
      <c r="GP31">
        <f t="shared" ca="1" si="74"/>
        <v>18218</v>
      </c>
      <c r="GQ31">
        <f t="shared" ca="1" si="75"/>
        <v>0</v>
      </c>
      <c r="GR31">
        <f t="shared" ca="1" si="76"/>
        <v>0</v>
      </c>
      <c r="GS31">
        <f t="shared" ca="1" si="77"/>
        <v>18218</v>
      </c>
      <c r="GT31">
        <f t="shared" ca="1" si="78"/>
        <v>0</v>
      </c>
      <c r="GU31" t="b">
        <f t="shared" ca="1" si="79"/>
        <v>0</v>
      </c>
      <c r="GV31">
        <f t="shared" ca="1" si="80"/>
        <v>0</v>
      </c>
      <c r="GW31">
        <f t="shared" ca="1" si="81"/>
        <v>18218</v>
      </c>
      <c r="GX31">
        <f t="shared" ca="1" si="82"/>
        <v>0</v>
      </c>
      <c r="GY31">
        <f t="shared" ca="1" si="83"/>
        <v>0</v>
      </c>
      <c r="GZ31">
        <f t="shared" ca="1" si="84"/>
        <v>0</v>
      </c>
    </row>
    <row r="32" spans="1:208" x14ac:dyDescent="0.25">
      <c r="A32">
        <f>_xlfn.AGGREGATE(3,5,$B$2:B32)</f>
        <v>31</v>
      </c>
      <c r="B32" t="s">
        <v>179</v>
      </c>
      <c r="C32" t="s">
        <v>180</v>
      </c>
      <c r="D32" t="s">
        <v>757</v>
      </c>
      <c r="E32" t="s">
        <v>831</v>
      </c>
      <c r="F32" t="s">
        <v>957</v>
      </c>
      <c r="G32" t="s">
        <v>881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>IF(J32&gt;0,SUM(J32:N32),0)</f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85"/>
        <v>150</v>
      </c>
      <c r="S32">
        <f t="shared" si="86"/>
        <v>34764</v>
      </c>
      <c r="T32">
        <f>_xlfn.XLOOKUP(B32,'[2]april-2025'!$A:$A,'[2]april-2025'!$C:$C,0,0)</f>
        <v>28900</v>
      </c>
      <c r="U32">
        <f t="shared" si="3"/>
        <v>5202</v>
      </c>
      <c r="V32">
        <f t="shared" si="4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87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5"/>
        <v>150</v>
      </c>
      <c r="AC32">
        <f t="shared" si="6"/>
        <v>35920</v>
      </c>
      <c r="AD32">
        <f>_xlfn.XLOOKUP(B32,'[3]may-2025'!$A:$A,'[3]may-2025'!$C:$C,0,0)</f>
        <v>28900</v>
      </c>
      <c r="AE32">
        <f t="shared" si="7"/>
        <v>5202</v>
      </c>
      <c r="AF32">
        <f t="shared" si="8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88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9"/>
        <v>150</v>
      </c>
      <c r="AM32">
        <f t="shared" si="10"/>
        <v>35920</v>
      </c>
      <c r="AN32">
        <f>_xlfn.XLOOKUP(B32,'[4]june-2025'!$A:$A,'[4]june-2025'!$C:$C,0,0)</f>
        <v>28900</v>
      </c>
      <c r="AO32">
        <f t="shared" si="11"/>
        <v>5202</v>
      </c>
      <c r="AP32">
        <f t="shared" si="12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89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3"/>
        <v>150</v>
      </c>
      <c r="AW32">
        <f t="shared" si="14"/>
        <v>35920</v>
      </c>
      <c r="AX32">
        <f>_xlfn.XLOOKUP(B32,'[5]july-2025'!$A:$A,'[5]july-2025'!$C:$C,0,0)</f>
        <v>29800</v>
      </c>
      <c r="AY32">
        <f t="shared" si="15"/>
        <v>5364</v>
      </c>
      <c r="AZ32">
        <v>0</v>
      </c>
      <c r="BA32">
        <f t="shared" si="16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>IF(AX32&gt;0,SUM(AX32:BC32),0)</f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17"/>
        <v>150</v>
      </c>
      <c r="BH32">
        <f t="shared" si="18"/>
        <v>37090</v>
      </c>
      <c r="BI32">
        <f>_xlfn.XLOOKUP(B32,'[6]august-2025'!$A:$A,'[6]august-2025'!$C:$C,0,0)</f>
        <v>29800</v>
      </c>
      <c r="BJ32">
        <f t="shared" si="19"/>
        <v>5364</v>
      </c>
      <c r="BK32">
        <f t="shared" si="20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1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>IF($F32="YES",0,IF(BN32&gt;40000,200,IF(BN32&gt;25000,150,IF(BN32&gt;15000,130,IF(BN32&gt;10000,110,0)))))</f>
        <v>150</v>
      </c>
      <c r="BR32">
        <f>BN32-BO32-BP32-BQ32</f>
        <v>37090</v>
      </c>
      <c r="BS32">
        <f>_xlfn.XLOOKUP(B32,'[7]september-2025'!$A:$A,'[7]september-2025'!$C:$C,0,0)</f>
        <v>29800</v>
      </c>
      <c r="BT32">
        <f t="shared" si="22"/>
        <v>5364</v>
      </c>
      <c r="BU32">
        <f t="shared" si="23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>IF(BS32&gt;0,SUM(BS32:BW32),0)</f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24"/>
        <v>150</v>
      </c>
      <c r="CB32">
        <f t="shared" si="25"/>
        <v>37090</v>
      </c>
      <c r="CC32">
        <f>_xlfn.XLOOKUP(B32,'[8]october-2025'!$A:$A,'[8]october-2025'!$C:$C,0,0)</f>
        <v>29800</v>
      </c>
      <c r="CD32">
        <f t="shared" si="26"/>
        <v>5364</v>
      </c>
      <c r="CE32">
        <f t="shared" si="27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>IF(CC32&gt;0,SUM(CC32:CG32),0)</f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28"/>
        <v>150</v>
      </c>
      <c r="CL32">
        <f t="shared" si="29"/>
        <v>37090</v>
      </c>
      <c r="CM32">
        <f>_xlfn.XLOOKUP(B32,'[9]november-2025'!$A:$A,'[9]november-2025'!$C:$C,0,0)</f>
        <v>29800</v>
      </c>
      <c r="CN32">
        <f t="shared" si="30"/>
        <v>5364</v>
      </c>
      <c r="CO32">
        <f t="shared" si="31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>IF(CM32&gt;0,SUM(CM32:CQ32),0)</f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32"/>
        <v>150</v>
      </c>
      <c r="CV32">
        <f t="shared" si="33"/>
        <v>37090</v>
      </c>
      <c r="CW32">
        <f>_xlfn.XLOOKUP(B32,'[10]december-2025'!$A:$A,'[10]december-2025'!$C:$C,0,0)</f>
        <v>29800</v>
      </c>
      <c r="CX32">
        <f t="shared" si="34"/>
        <v>5364</v>
      </c>
      <c r="CY32">
        <f t="shared" si="35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>IF(CW32&gt;0,SUM(CW32:DA32),0)</f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36"/>
        <v>150</v>
      </c>
      <c r="DF32">
        <f t="shared" si="37"/>
        <v>37090</v>
      </c>
      <c r="DG32">
        <f>_xlfn.XLOOKUP(B32,'[11]january-2026'!$A:$A,'[11]january-2026'!$C:$C,0,0)</f>
        <v>29800</v>
      </c>
      <c r="DH32">
        <f t="shared" si="38"/>
        <v>5364</v>
      </c>
      <c r="DI32">
        <f t="shared" si="39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>IF(DG32&gt;0,SUM(DG32:DK32),0)</f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40"/>
        <v>150</v>
      </c>
      <c r="DP32">
        <f t="shared" si="41"/>
        <v>37090</v>
      </c>
      <c r="DQ32">
        <f>_xlfn.XLOOKUP(B32,'[12]february-2026'!$A:$A,'[12]february-2026'!$C:$C,0,0)</f>
        <v>29800</v>
      </c>
      <c r="DR32">
        <f t="shared" si="42"/>
        <v>5364</v>
      </c>
      <c r="DS32">
        <f t="shared" si="43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>IF(DQ32&gt;0,SUM(DQ32:DU32),0)</f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44"/>
        <v>150</v>
      </c>
      <c r="DZ32">
        <f t="shared" si="45"/>
        <v>37090</v>
      </c>
      <c r="EA32">
        <f>_xlfn.XLOOKUP(B32,'[1]march-2025'!$A:$A,'[1]march-2025'!$J:$J,0,0)</f>
        <v>0</v>
      </c>
      <c r="EB32">
        <f>_xlfn.XLOOKUP(B32,'[2]april-2025'!$A:$A,'[2]april-2025'!$J:$J,0,0)</f>
        <v>0</v>
      </c>
      <c r="EC32">
        <f>_xlfn.XLOOKUP(B32,'[3]may-2025'!$A:$A,'[3]may-2025'!$J:$J,0,0)</f>
        <v>61490</v>
      </c>
      <c r="ED32">
        <f>_xlfn.XLOOKUP(B32,'[4]june-2025'!$A:$A,'[4]june-2025'!$J:$J,0,0)</f>
        <v>0</v>
      </c>
      <c r="EE32">
        <f>_xlfn.XLOOKUP(B32,'[5]july-2025'!$A:$A,'[5]july-2025'!$J:$J,0,0)</f>
        <v>0</v>
      </c>
      <c r="EF32">
        <f>_xlfn.XLOOKUP(B32,'[6]august-2025'!$A:$A,'[6]august-2025'!$J:$J,0,0)</f>
        <v>0</v>
      </c>
      <c r="EG32">
        <f>_xlfn.XLOOKUP(B32,'[7]september-2025'!$A:$A,'[7]september-2025'!$J:$J,0,0)</f>
        <v>0</v>
      </c>
      <c r="EH32">
        <f>_xlfn.XLOOKUP(B32,'[8]october-2025'!$A:$A,'[8]october-2025'!$J:$J,0,0)</f>
        <v>0</v>
      </c>
      <c r="EI32">
        <f>_xlfn.XLOOKUP(C32,'[9]november-2025'!$A:$A,'[9]november-2025'!$J:$J,0,0)</f>
        <v>0</v>
      </c>
      <c r="EJ32">
        <f>_xlfn.XLOOKUP(B32,'[10]december-2025'!$A:$A,'[10]december-2025'!$J:$J,0,0)</f>
        <v>0</v>
      </c>
      <c r="EK32">
        <f>_xlfn.XLOOKUP(B32,'[11]january-2026'!$A:$A,'[11]january-2026'!$J:$J,0,0)</f>
        <v>0</v>
      </c>
      <c r="EL32">
        <f>_xlfn.XLOOKUP(B32,'[12]february-2026'!$A:$A,'[12]february-2026'!$J:$J,0,0)</f>
        <v>0</v>
      </c>
      <c r="EM32">
        <f t="shared" si="90"/>
        <v>61490</v>
      </c>
      <c r="EN32">
        <f>DV32+DL32+DB32+CR32+CH32+BX32+BN32+BD32+AS32+AI32+Y32+O32+H32+I32</f>
        <v>471844</v>
      </c>
      <c r="EO32">
        <f>DY32+DO32+DE32+CU32+CK32+CA32+BQ32+BG32+AV32+AL32+AB32+R32</f>
        <v>1800</v>
      </c>
      <c r="EP32">
        <f t="shared" si="46"/>
        <v>50000</v>
      </c>
      <c r="EQ32">
        <v>0</v>
      </c>
      <c r="ER32">
        <f t="shared" si="91"/>
        <v>481534</v>
      </c>
      <c r="ES32">
        <f>DW32+DM32+DC32+CS32+CI32+BY32+BO32+BE32+AT32+AJ32+Z32+P32</f>
        <v>24000</v>
      </c>
      <c r="ET32">
        <f>DX32+DN32+DD32+CT32+CJ32+BZ32+BP32+BF32+AU32+AK32+AA32+Q32</f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47"/>
        <v>24000</v>
      </c>
      <c r="FF32">
        <f t="shared" si="48"/>
        <v>24000</v>
      </c>
      <c r="FG32">
        <f t="shared" si="49"/>
        <v>457534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>SUM(FH32:FN32)+(IF(F32="YES",50000,0))</f>
        <v>0</v>
      </c>
      <c r="FP32">
        <f t="shared" si="50"/>
        <v>457534</v>
      </c>
      <c r="FQ32">
        <f t="shared" si="51"/>
        <v>10377</v>
      </c>
      <c r="FR32">
        <f t="shared" si="52"/>
        <v>0</v>
      </c>
      <c r="FS32">
        <f t="shared" si="53"/>
        <v>10377</v>
      </c>
      <c r="FT32">
        <f t="shared" si="54"/>
        <v>0</v>
      </c>
      <c r="FU32">
        <f t="shared" si="55"/>
        <v>0</v>
      </c>
      <c r="FV32">
        <f t="shared" si="56"/>
        <v>0</v>
      </c>
      <c r="FW32">
        <v>0</v>
      </c>
      <c r="FX32">
        <f t="shared" si="57"/>
        <v>0</v>
      </c>
      <c r="FY32" t="b">
        <f t="shared" si="58"/>
        <v>0</v>
      </c>
      <c r="FZ32">
        <f t="shared" ca="1" si="59"/>
        <v>2810</v>
      </c>
      <c r="GA32">
        <f t="shared" ca="1" si="60"/>
        <v>474654</v>
      </c>
      <c r="GB32">
        <f t="shared" si="61"/>
        <v>75000</v>
      </c>
      <c r="GC32">
        <f t="shared" ca="1" si="62"/>
        <v>399654</v>
      </c>
      <c r="GD32">
        <f t="shared" ca="1" si="63"/>
        <v>0</v>
      </c>
      <c r="GE32">
        <f t="shared" ca="1" si="64"/>
        <v>0</v>
      </c>
      <c r="GF32">
        <f t="shared" ca="1" si="65"/>
        <v>0</v>
      </c>
      <c r="GG32">
        <f t="shared" ca="1" si="66"/>
        <v>0</v>
      </c>
      <c r="GH32">
        <f t="shared" ca="1" si="67"/>
        <v>0</v>
      </c>
      <c r="GI32">
        <f t="shared" ca="1" si="68"/>
        <v>0</v>
      </c>
      <c r="GJ32">
        <f ca="1">IF(GC32&gt;1200000,GC32-1200000-IF(F32="YES",50000,0)-GH32,0)</f>
        <v>0</v>
      </c>
      <c r="GK32">
        <f t="shared" ca="1" si="69"/>
        <v>0</v>
      </c>
      <c r="GL32">
        <f t="shared" ca="1" si="70"/>
        <v>0</v>
      </c>
      <c r="GM32">
        <f t="shared" ca="1" si="71"/>
        <v>0</v>
      </c>
      <c r="GN32">
        <f t="shared" ca="1" si="72"/>
        <v>0</v>
      </c>
      <c r="GO32">
        <f t="shared" ca="1" si="73"/>
        <v>0</v>
      </c>
      <c r="GP32">
        <f t="shared" ca="1" si="74"/>
        <v>0</v>
      </c>
      <c r="GQ32">
        <f t="shared" ca="1" si="75"/>
        <v>0</v>
      </c>
      <c r="GR32">
        <f t="shared" ca="1" si="76"/>
        <v>0</v>
      </c>
      <c r="GS32">
        <f t="shared" ca="1" si="77"/>
        <v>0</v>
      </c>
      <c r="GT32">
        <f t="shared" ca="1" si="78"/>
        <v>0</v>
      </c>
      <c r="GU32" t="b">
        <f t="shared" ca="1" si="79"/>
        <v>0</v>
      </c>
      <c r="GV32">
        <f t="shared" ca="1" si="80"/>
        <v>0</v>
      </c>
      <c r="GW32">
        <f t="shared" ca="1" si="81"/>
        <v>0</v>
      </c>
      <c r="GX32">
        <f t="shared" ca="1" si="82"/>
        <v>0</v>
      </c>
      <c r="GY32">
        <f t="shared" ca="1" si="83"/>
        <v>0</v>
      </c>
      <c r="GZ32">
        <f t="shared" ca="1" si="84"/>
        <v>0</v>
      </c>
    </row>
    <row r="33" spans="1:208" x14ac:dyDescent="0.25">
      <c r="A33">
        <f>_xlfn.AGGREGATE(3,5,$B$2:B33)</f>
        <v>32</v>
      </c>
      <c r="B33" t="s">
        <v>181</v>
      </c>
      <c r="C33" t="s">
        <v>182</v>
      </c>
      <c r="D33" t="s">
        <v>758</v>
      </c>
      <c r="E33" t="s">
        <v>832</v>
      </c>
      <c r="F33" t="s">
        <v>957</v>
      </c>
      <c r="G33" t="s">
        <v>880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>IF(J33&gt;0,SUM(J33:N33),0)</f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85"/>
        <v>200</v>
      </c>
      <c r="S33">
        <f t="shared" si="86"/>
        <v>61282</v>
      </c>
      <c r="T33">
        <f>_xlfn.XLOOKUP(B33,'[2]april-2025'!$A:$A,'[2]april-2025'!$C:$C,0,0)</f>
        <v>51700</v>
      </c>
      <c r="U33">
        <f t="shared" si="3"/>
        <v>9306</v>
      </c>
      <c r="V33">
        <f t="shared" si="4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87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5"/>
        <v>200</v>
      </c>
      <c r="AC33">
        <f t="shared" si="6"/>
        <v>63350</v>
      </c>
      <c r="AD33">
        <f>_xlfn.XLOOKUP(B33,'[3]may-2025'!$A:$A,'[3]may-2025'!$C:$C,0,0)</f>
        <v>51700</v>
      </c>
      <c r="AE33">
        <f t="shared" si="7"/>
        <v>9306</v>
      </c>
      <c r="AF33">
        <f t="shared" si="8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88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9"/>
        <v>200</v>
      </c>
      <c r="AM33">
        <f t="shared" si="10"/>
        <v>63350</v>
      </c>
      <c r="AN33">
        <f>_xlfn.XLOOKUP(B33,'[4]june-2025'!$A:$A,'[4]june-2025'!$C:$C,0,0)</f>
        <v>51700</v>
      </c>
      <c r="AO33">
        <f t="shared" si="11"/>
        <v>9306</v>
      </c>
      <c r="AP33">
        <f t="shared" si="12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89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3"/>
        <v>200</v>
      </c>
      <c r="AW33">
        <f t="shared" si="14"/>
        <v>63350</v>
      </c>
      <c r="AX33">
        <f>_xlfn.XLOOKUP(B33,'[5]july-2025'!$A:$A,'[5]july-2025'!$C:$C,0,0)</f>
        <v>53300</v>
      </c>
      <c r="AY33">
        <f t="shared" si="15"/>
        <v>9594</v>
      </c>
      <c r="AZ33">
        <v>0</v>
      </c>
      <c r="BA33">
        <f t="shared" si="16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>IF(AX33&gt;0,SUM(AX33:BC33),0)</f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17"/>
        <v>200</v>
      </c>
      <c r="BH33">
        <f t="shared" si="18"/>
        <v>65430</v>
      </c>
      <c r="BI33">
        <f>_xlfn.XLOOKUP(B33,'[6]august-2025'!$A:$A,'[6]august-2025'!$C:$C,0,0)</f>
        <v>53300</v>
      </c>
      <c r="BJ33">
        <f t="shared" si="19"/>
        <v>9594</v>
      </c>
      <c r="BK33">
        <f t="shared" si="20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1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>IF($F33="YES",0,IF(BN33&gt;40000,200,IF(BN33&gt;25000,150,IF(BN33&gt;15000,130,IF(BN33&gt;10000,110,0)))))</f>
        <v>200</v>
      </c>
      <c r="BR33">
        <f>BN33-BO33-BP33-BQ33</f>
        <v>65430</v>
      </c>
      <c r="BS33">
        <f>_xlfn.XLOOKUP(B33,'[7]september-2025'!$A:$A,'[7]september-2025'!$C:$C,0,0)</f>
        <v>53300</v>
      </c>
      <c r="BT33">
        <f t="shared" si="22"/>
        <v>9594</v>
      </c>
      <c r="BU33">
        <f t="shared" si="23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>IF(BS33&gt;0,SUM(BS33:BW33),0)</f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24"/>
        <v>200</v>
      </c>
      <c r="CB33">
        <f t="shared" si="25"/>
        <v>65430</v>
      </c>
      <c r="CC33">
        <f>_xlfn.XLOOKUP(B33,'[8]october-2025'!$A:$A,'[8]october-2025'!$C:$C,0,0)</f>
        <v>53300</v>
      </c>
      <c r="CD33">
        <f t="shared" si="26"/>
        <v>9594</v>
      </c>
      <c r="CE33">
        <f t="shared" si="27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>IF(CC33&gt;0,SUM(CC33:CG33),0)</f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28"/>
        <v>200</v>
      </c>
      <c r="CL33">
        <f t="shared" si="29"/>
        <v>65430</v>
      </c>
      <c r="CM33">
        <f>_xlfn.XLOOKUP(B33,'[9]november-2025'!$A:$A,'[9]november-2025'!$C:$C,0,0)</f>
        <v>53300</v>
      </c>
      <c r="CN33">
        <f t="shared" si="30"/>
        <v>9594</v>
      </c>
      <c r="CO33">
        <f t="shared" si="31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>IF(CM33&gt;0,SUM(CM33:CQ33),0)</f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32"/>
        <v>200</v>
      </c>
      <c r="CV33">
        <f t="shared" si="33"/>
        <v>65430</v>
      </c>
      <c r="CW33">
        <f>_xlfn.XLOOKUP(B33,'[10]december-2025'!$A:$A,'[10]december-2025'!$C:$C,0,0)</f>
        <v>53300</v>
      </c>
      <c r="CX33">
        <f t="shared" si="34"/>
        <v>9594</v>
      </c>
      <c r="CY33">
        <f t="shared" si="35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>IF(CW33&gt;0,SUM(CW33:DA33),0)</f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36"/>
        <v>200</v>
      </c>
      <c r="DF33">
        <f t="shared" si="37"/>
        <v>65430</v>
      </c>
      <c r="DG33">
        <f>_xlfn.XLOOKUP(B33,'[11]january-2026'!$A:$A,'[11]january-2026'!$C:$C,0,0)</f>
        <v>53300</v>
      </c>
      <c r="DH33">
        <f t="shared" si="38"/>
        <v>9594</v>
      </c>
      <c r="DI33">
        <f t="shared" si="39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>IF(DG33&gt;0,SUM(DG33:DK33),0)</f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40"/>
        <v>200</v>
      </c>
      <c r="DP33">
        <f t="shared" si="41"/>
        <v>65430</v>
      </c>
      <c r="DQ33">
        <f>_xlfn.XLOOKUP(B33,'[12]february-2026'!$A:$A,'[12]february-2026'!$C:$C,0,0)</f>
        <v>53300</v>
      </c>
      <c r="DR33">
        <f t="shared" si="42"/>
        <v>9594</v>
      </c>
      <c r="DS33">
        <f t="shared" si="43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>IF(DQ33&gt;0,SUM(DQ33:DU33),0)</f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44"/>
        <v>200</v>
      </c>
      <c r="DZ33">
        <f t="shared" si="45"/>
        <v>65430</v>
      </c>
      <c r="EA33">
        <f>_xlfn.XLOOKUP(B33,'[1]march-2025'!$A:$A,'[1]march-2025'!$J:$J,0,0)</f>
        <v>0</v>
      </c>
      <c r="EB33">
        <f>_xlfn.XLOOKUP(B33,'[2]april-2025'!$A:$A,'[2]april-2025'!$J:$J,0,0)</f>
        <v>0</v>
      </c>
      <c r="EC33">
        <f>_xlfn.XLOOKUP(B33,'[3]may-2025'!$A:$A,'[3]may-2025'!$J:$J,0,0)</f>
        <v>0</v>
      </c>
      <c r="ED33">
        <f>_xlfn.XLOOKUP(B33,'[4]june-2025'!$A:$A,'[4]june-2025'!$J:$J,0,0)</f>
        <v>0</v>
      </c>
      <c r="EE33">
        <f>_xlfn.XLOOKUP(B33,'[5]july-2025'!$A:$A,'[5]july-2025'!$J:$J,0,0)</f>
        <v>0</v>
      </c>
      <c r="EF33">
        <f>_xlfn.XLOOKUP(B33,'[6]august-2025'!$A:$A,'[6]august-2025'!$J:$J,0,0)</f>
        <v>0</v>
      </c>
      <c r="EG33">
        <f>_xlfn.XLOOKUP(B33,'[7]september-2025'!$A:$A,'[7]september-2025'!$J:$J,0,0)</f>
        <v>0</v>
      </c>
      <c r="EH33">
        <f>_xlfn.XLOOKUP(B33,'[8]october-2025'!$A:$A,'[8]october-2025'!$J:$J,0,0)</f>
        <v>0</v>
      </c>
      <c r="EI33">
        <f>_xlfn.XLOOKUP(C33,'[9]november-2025'!$A:$A,'[9]november-2025'!$J:$J,0,0)</f>
        <v>0</v>
      </c>
      <c r="EJ33">
        <f>_xlfn.XLOOKUP(B33,'[10]december-2025'!$A:$A,'[10]december-2025'!$J:$J,0,0)</f>
        <v>0</v>
      </c>
      <c r="EK33">
        <f>_xlfn.XLOOKUP(B33,'[11]january-2026'!$A:$A,'[11]january-2026'!$J:$J,0,0)</f>
        <v>0</v>
      </c>
      <c r="EL33">
        <f>_xlfn.XLOOKUP(B33,'[12]february-2026'!$A:$A,'[12]february-2026'!$J:$J,0,0)</f>
        <v>0</v>
      </c>
      <c r="EM33">
        <f t="shared" si="90"/>
        <v>0</v>
      </c>
      <c r="EN33">
        <f>DV33+DL33+DB33+CR33+CH33+BX33+BN33+BD33+AS33+AI33+Y33+O33+H33+I33</f>
        <v>832692</v>
      </c>
      <c r="EO33">
        <f>DY33+DO33+DE33+CU33+CK33+CA33+BQ33+BG33+AV33+AL33+AB33+R33</f>
        <v>2400</v>
      </c>
      <c r="EP33">
        <f t="shared" si="46"/>
        <v>50000</v>
      </c>
      <c r="EQ33">
        <v>0</v>
      </c>
      <c r="ER33">
        <f t="shared" si="91"/>
        <v>780292</v>
      </c>
      <c r="ES33">
        <f>DW33+DM33+DC33+CS33+CI33+BY33+BO33+BE33+AT33+AJ33+Z33+P33</f>
        <v>48000</v>
      </c>
      <c r="ET33">
        <f>DX33+DN33+DD33+CT33+CJ33+BZ33+BP33+BF33+AU33+AK33+AA33+Q33</f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47"/>
        <v>48720</v>
      </c>
      <c r="FF33">
        <f t="shared" si="48"/>
        <v>48720</v>
      </c>
      <c r="FG33">
        <f t="shared" si="49"/>
        <v>731572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>SUM(FH33:FN33)+(IF(F33="YES",50000,0))</f>
        <v>0</v>
      </c>
      <c r="FP33">
        <f t="shared" si="50"/>
        <v>731572</v>
      </c>
      <c r="FQ33">
        <f t="shared" si="51"/>
        <v>12500</v>
      </c>
      <c r="FR33">
        <f t="shared" si="52"/>
        <v>46314</v>
      </c>
      <c r="FS33">
        <f t="shared" si="53"/>
        <v>58814</v>
      </c>
      <c r="FT33">
        <f t="shared" si="54"/>
        <v>58814</v>
      </c>
      <c r="FU33">
        <f t="shared" si="55"/>
        <v>2352.56</v>
      </c>
      <c r="FV33">
        <f t="shared" si="56"/>
        <v>61167</v>
      </c>
      <c r="FW33">
        <v>0</v>
      </c>
      <c r="FX33">
        <f t="shared" si="57"/>
        <v>61167</v>
      </c>
      <c r="FY33" t="b">
        <f t="shared" si="58"/>
        <v>1</v>
      </c>
      <c r="FZ33">
        <f t="shared" ca="1" si="59"/>
        <v>504</v>
      </c>
      <c r="GA33">
        <f t="shared" ca="1" si="60"/>
        <v>833196</v>
      </c>
      <c r="GB33">
        <f t="shared" si="61"/>
        <v>75000</v>
      </c>
      <c r="GC33">
        <f t="shared" ca="1" si="62"/>
        <v>758196</v>
      </c>
      <c r="GD33">
        <f t="shared" ca="1" si="63"/>
        <v>0</v>
      </c>
      <c r="GE33">
        <f t="shared" ca="1" si="64"/>
        <v>0</v>
      </c>
      <c r="GF33">
        <f t="shared" ca="1" si="65"/>
        <v>0</v>
      </c>
      <c r="GG33">
        <f t="shared" ca="1" si="66"/>
        <v>0</v>
      </c>
      <c r="GH33">
        <f t="shared" ca="1" si="67"/>
        <v>0</v>
      </c>
      <c r="GI33">
        <f t="shared" ca="1" si="68"/>
        <v>0</v>
      </c>
      <c r="GJ33">
        <f ca="1">IF(GC33&gt;1200000,GC33-1200000-IF(F33="YES",50000,0)-GH33,0)</f>
        <v>0</v>
      </c>
      <c r="GK33">
        <f t="shared" ca="1" si="69"/>
        <v>0</v>
      </c>
      <c r="GL33">
        <f t="shared" ca="1" si="70"/>
        <v>0</v>
      </c>
      <c r="GM33">
        <f t="shared" ca="1" si="71"/>
        <v>0</v>
      </c>
      <c r="GN33">
        <f t="shared" ca="1" si="72"/>
        <v>358196</v>
      </c>
      <c r="GO33">
        <f t="shared" ca="1" si="73"/>
        <v>17909.8</v>
      </c>
      <c r="GP33">
        <f t="shared" ca="1" si="74"/>
        <v>17910</v>
      </c>
      <c r="GQ33">
        <f t="shared" ca="1" si="75"/>
        <v>0</v>
      </c>
      <c r="GR33">
        <f t="shared" ca="1" si="76"/>
        <v>0</v>
      </c>
      <c r="GS33">
        <f t="shared" ca="1" si="77"/>
        <v>17910</v>
      </c>
      <c r="GT33">
        <f t="shared" ca="1" si="78"/>
        <v>0</v>
      </c>
      <c r="GU33" t="b">
        <f t="shared" ca="1" si="79"/>
        <v>0</v>
      </c>
      <c r="GV33">
        <f t="shared" ca="1" si="80"/>
        <v>0</v>
      </c>
      <c r="GW33">
        <f t="shared" ca="1" si="81"/>
        <v>17910</v>
      </c>
      <c r="GX33">
        <f t="shared" ca="1" si="82"/>
        <v>0</v>
      </c>
      <c r="GY33">
        <f t="shared" ca="1" si="83"/>
        <v>0</v>
      </c>
      <c r="GZ33">
        <f t="shared" ca="1" si="84"/>
        <v>0</v>
      </c>
    </row>
    <row r="34" spans="1:208" x14ac:dyDescent="0.25">
      <c r="A34">
        <f>_xlfn.AGGREGATE(3,5,$B$2:B34)</f>
        <v>33</v>
      </c>
      <c r="B34" t="s">
        <v>183</v>
      </c>
      <c r="C34" t="s">
        <v>184</v>
      </c>
      <c r="D34" t="s">
        <v>758</v>
      </c>
      <c r="E34" t="s">
        <v>832</v>
      </c>
      <c r="F34" t="s">
        <v>957</v>
      </c>
      <c r="G34" t="s">
        <v>893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>IF(J34&gt;0,SUM(J34:N34),0)</f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85"/>
        <v>200</v>
      </c>
      <c r="S34">
        <f t="shared" si="86"/>
        <v>39510</v>
      </c>
      <c r="T34">
        <f>_xlfn.XLOOKUP(B34,'[2]april-2025'!$A:$A,'[2]april-2025'!$C:$C,0,0)</f>
        <v>33500</v>
      </c>
      <c r="U34">
        <f t="shared" si="3"/>
        <v>6030</v>
      </c>
      <c r="V34">
        <f t="shared" si="4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87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5"/>
        <v>200</v>
      </c>
      <c r="AC34">
        <f t="shared" si="6"/>
        <v>40850</v>
      </c>
      <c r="AD34">
        <f>_xlfn.XLOOKUP(B34,'[3]may-2025'!$A:$A,'[3]may-2025'!$C:$C,0,0)</f>
        <v>33500</v>
      </c>
      <c r="AE34">
        <f t="shared" si="7"/>
        <v>6030</v>
      </c>
      <c r="AF34">
        <f t="shared" si="8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88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9"/>
        <v>200</v>
      </c>
      <c r="AM34">
        <f t="shared" si="10"/>
        <v>40850</v>
      </c>
      <c r="AN34">
        <f>_xlfn.XLOOKUP(B34,'[4]june-2025'!$A:$A,'[4]june-2025'!$C:$C,0,0)</f>
        <v>33500</v>
      </c>
      <c r="AO34">
        <f t="shared" si="11"/>
        <v>6030</v>
      </c>
      <c r="AP34">
        <f t="shared" si="12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89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3"/>
        <v>200</v>
      </c>
      <c r="AW34">
        <f t="shared" si="14"/>
        <v>40850</v>
      </c>
      <c r="AX34">
        <f>_xlfn.XLOOKUP(B34,'[5]july-2025'!$A:$A,'[5]july-2025'!$C:$C,0,0)</f>
        <v>35500</v>
      </c>
      <c r="AY34">
        <f t="shared" si="15"/>
        <v>6390</v>
      </c>
      <c r="AZ34">
        <v>0</v>
      </c>
      <c r="BA34">
        <f t="shared" si="16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>IF(AX34&gt;0,SUM(AX34:BC34),0)</f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17"/>
        <v>200</v>
      </c>
      <c r="BH34">
        <f t="shared" si="18"/>
        <v>43450</v>
      </c>
      <c r="BI34">
        <f>_xlfn.XLOOKUP(B34,'[6]august-2025'!$A:$A,'[6]august-2025'!$C:$C,0,0)</f>
        <v>35500</v>
      </c>
      <c r="BJ34">
        <f t="shared" si="19"/>
        <v>6390</v>
      </c>
      <c r="BK34">
        <f t="shared" si="20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1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>IF($F34="YES",0,IF(BN34&gt;40000,200,IF(BN34&gt;25000,150,IF(BN34&gt;15000,130,IF(BN34&gt;10000,110,0)))))</f>
        <v>200</v>
      </c>
      <c r="BR34">
        <f>BN34-BO34-BP34-BQ34</f>
        <v>43450</v>
      </c>
      <c r="BS34">
        <f>_xlfn.XLOOKUP(B34,'[7]september-2025'!$A:$A,'[7]september-2025'!$C:$C,0,0)</f>
        <v>35500</v>
      </c>
      <c r="BT34">
        <f t="shared" si="22"/>
        <v>6390</v>
      </c>
      <c r="BU34">
        <f t="shared" si="23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>IF(BS34&gt;0,SUM(BS34:BW34),0)</f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24"/>
        <v>200</v>
      </c>
      <c r="CB34">
        <f t="shared" si="25"/>
        <v>43450</v>
      </c>
      <c r="CC34">
        <f>_xlfn.XLOOKUP(B34,'[8]october-2025'!$A:$A,'[8]october-2025'!$C:$C,0,0)</f>
        <v>35500</v>
      </c>
      <c r="CD34">
        <f t="shared" si="26"/>
        <v>6390</v>
      </c>
      <c r="CE34">
        <f t="shared" si="27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>IF(CC34&gt;0,SUM(CC34:CG34),0)</f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28"/>
        <v>200</v>
      </c>
      <c r="CL34">
        <f t="shared" si="29"/>
        <v>43450</v>
      </c>
      <c r="CM34">
        <f>_xlfn.XLOOKUP(B34,'[9]november-2025'!$A:$A,'[9]november-2025'!$C:$C,0,0)</f>
        <v>35500</v>
      </c>
      <c r="CN34">
        <f t="shared" si="30"/>
        <v>6390</v>
      </c>
      <c r="CO34">
        <f t="shared" si="31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>IF(CM34&gt;0,SUM(CM34:CQ34),0)</f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32"/>
        <v>200</v>
      </c>
      <c r="CV34">
        <f t="shared" si="33"/>
        <v>43450</v>
      </c>
      <c r="CW34">
        <f>_xlfn.XLOOKUP(B34,'[10]december-2025'!$A:$A,'[10]december-2025'!$C:$C,0,0)</f>
        <v>35500</v>
      </c>
      <c r="CX34">
        <f t="shared" si="34"/>
        <v>6390</v>
      </c>
      <c r="CY34">
        <f t="shared" si="35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>IF(CW34&gt;0,SUM(CW34:DA34),0)</f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36"/>
        <v>200</v>
      </c>
      <c r="DF34">
        <f t="shared" si="37"/>
        <v>43450</v>
      </c>
      <c r="DG34">
        <f>_xlfn.XLOOKUP(B34,'[11]january-2026'!$A:$A,'[11]january-2026'!$C:$C,0,0)</f>
        <v>35500</v>
      </c>
      <c r="DH34">
        <f t="shared" si="38"/>
        <v>6390</v>
      </c>
      <c r="DI34">
        <f t="shared" si="39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>IF(DG34&gt;0,SUM(DG34:DK34),0)</f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40"/>
        <v>200</v>
      </c>
      <c r="DP34">
        <f t="shared" si="41"/>
        <v>43450</v>
      </c>
      <c r="DQ34">
        <f>_xlfn.XLOOKUP(B34,'[12]february-2026'!$A:$A,'[12]february-2026'!$C:$C,0,0)</f>
        <v>35500</v>
      </c>
      <c r="DR34">
        <f t="shared" si="42"/>
        <v>6390</v>
      </c>
      <c r="DS34">
        <f t="shared" si="43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>IF(DQ34&gt;0,SUM(DQ34:DU34),0)</f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44"/>
        <v>200</v>
      </c>
      <c r="DZ34">
        <f t="shared" si="45"/>
        <v>43450</v>
      </c>
      <c r="EA34">
        <f>_xlfn.XLOOKUP(B34,'[1]march-2025'!$A:$A,'[1]march-2025'!$J:$J,0,0)</f>
        <v>0</v>
      </c>
      <c r="EB34">
        <f>_xlfn.XLOOKUP(B34,'[2]april-2025'!$A:$A,'[2]april-2025'!$J:$J,0,0)</f>
        <v>0</v>
      </c>
      <c r="EC34">
        <f>_xlfn.XLOOKUP(B34,'[3]may-2025'!$A:$A,'[3]may-2025'!$J:$J,0,0)</f>
        <v>0</v>
      </c>
      <c r="ED34">
        <f>_xlfn.XLOOKUP(B34,'[4]june-2025'!$A:$A,'[4]june-2025'!$J:$J,0,0)</f>
        <v>0</v>
      </c>
      <c r="EE34">
        <f>_xlfn.XLOOKUP(B34,'[5]july-2025'!$A:$A,'[5]july-2025'!$J:$J,0,0)</f>
        <v>0</v>
      </c>
      <c r="EF34">
        <f>_xlfn.XLOOKUP(B34,'[6]august-2025'!$A:$A,'[6]august-2025'!$J:$J,0,0)</f>
        <v>0</v>
      </c>
      <c r="EG34">
        <f>_xlfn.XLOOKUP(B34,'[7]september-2025'!$A:$A,'[7]september-2025'!$J:$J,0,0)</f>
        <v>0</v>
      </c>
      <c r="EH34">
        <f>_xlfn.XLOOKUP(B34,'[8]october-2025'!$A:$A,'[8]october-2025'!$J:$J,0,0)</f>
        <v>0</v>
      </c>
      <c r="EI34">
        <f>_xlfn.XLOOKUP(C34,'[9]november-2025'!$A:$A,'[9]november-2025'!$J:$J,0,0)</f>
        <v>0</v>
      </c>
      <c r="EJ34">
        <f>_xlfn.XLOOKUP(B34,'[10]december-2025'!$A:$A,'[10]december-2025'!$J:$J,0,0)</f>
        <v>0</v>
      </c>
      <c r="EK34">
        <f>_xlfn.XLOOKUP(B34,'[11]january-2026'!$A:$A,'[11]january-2026'!$J:$J,0,0)</f>
        <v>0</v>
      </c>
      <c r="EL34">
        <f>_xlfn.XLOOKUP(B34,'[12]february-2026'!$A:$A,'[12]february-2026'!$J:$J,0,0)</f>
        <v>0</v>
      </c>
      <c r="EM34">
        <f t="shared" si="90"/>
        <v>0</v>
      </c>
      <c r="EN34">
        <f>DV34+DL34+DB34+CR34+CH34+BX34+BN34+BD34+AS34+AI34+Y34+O34+H34+I34</f>
        <v>554860</v>
      </c>
      <c r="EO34">
        <f>DY34+DO34+DE34+CU34+CK34+CA34+BQ34+BG34+AV34+AL34+AB34+R34</f>
        <v>2400</v>
      </c>
      <c r="EP34">
        <f t="shared" si="46"/>
        <v>50000</v>
      </c>
      <c r="EQ34">
        <v>0</v>
      </c>
      <c r="ER34">
        <f t="shared" si="91"/>
        <v>502460</v>
      </c>
      <c r="ES34">
        <f>DW34+DM34+DC34+CS34+CI34+BY34+BO34+BE34+AT34+AJ34+Z34+P34</f>
        <v>36000</v>
      </c>
      <c r="ET34">
        <f>DX34+DN34+DD34+CT34+CJ34+BZ34+BP34+BF34+AU34+AK34+AA34+Q34</f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47"/>
        <v>36000</v>
      </c>
      <c r="FF34">
        <f t="shared" si="48"/>
        <v>36000</v>
      </c>
      <c r="FG34">
        <f t="shared" si="49"/>
        <v>466460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>SUM(FH34:FN34)+(IF(F34="YES",50000,0))</f>
        <v>0</v>
      </c>
      <c r="FP34">
        <f t="shared" si="50"/>
        <v>466460</v>
      </c>
      <c r="FQ34">
        <f t="shared" si="51"/>
        <v>10823</v>
      </c>
      <c r="FR34">
        <f t="shared" si="52"/>
        <v>0</v>
      </c>
      <c r="FS34">
        <f t="shared" si="53"/>
        <v>10823</v>
      </c>
      <c r="FT34">
        <f t="shared" si="54"/>
        <v>0</v>
      </c>
      <c r="FU34">
        <f t="shared" si="55"/>
        <v>0</v>
      </c>
      <c r="FV34">
        <f t="shared" si="56"/>
        <v>0</v>
      </c>
      <c r="FW34">
        <v>0</v>
      </c>
      <c r="FX34">
        <f t="shared" si="57"/>
        <v>0</v>
      </c>
      <c r="FY34" t="b">
        <f t="shared" si="58"/>
        <v>1</v>
      </c>
      <c r="FZ34">
        <f t="shared" ca="1" si="59"/>
        <v>669</v>
      </c>
      <c r="GA34">
        <f t="shared" ca="1" si="60"/>
        <v>555529</v>
      </c>
      <c r="GB34">
        <f t="shared" si="61"/>
        <v>75000</v>
      </c>
      <c r="GC34">
        <f t="shared" ca="1" si="62"/>
        <v>480529</v>
      </c>
      <c r="GD34">
        <f t="shared" ca="1" si="63"/>
        <v>0</v>
      </c>
      <c r="GE34">
        <f t="shared" ca="1" si="64"/>
        <v>0</v>
      </c>
      <c r="GF34">
        <f t="shared" ca="1" si="65"/>
        <v>0</v>
      </c>
      <c r="GG34">
        <f t="shared" ca="1" si="66"/>
        <v>0</v>
      </c>
      <c r="GH34">
        <f t="shared" ca="1" si="67"/>
        <v>0</v>
      </c>
      <c r="GI34">
        <f t="shared" ca="1" si="68"/>
        <v>0</v>
      </c>
      <c r="GJ34">
        <f ca="1">IF(GC34&gt;1200000,GC34-1200000-IF(F34="YES",50000,0)-GH34,0)</f>
        <v>0</v>
      </c>
      <c r="GK34">
        <f t="shared" ca="1" si="69"/>
        <v>0</v>
      </c>
      <c r="GL34">
        <f t="shared" ca="1" si="70"/>
        <v>0</v>
      </c>
      <c r="GM34">
        <f t="shared" ca="1" si="71"/>
        <v>0</v>
      </c>
      <c r="GN34">
        <f t="shared" ca="1" si="72"/>
        <v>80529</v>
      </c>
      <c r="GO34">
        <f t="shared" ca="1" si="73"/>
        <v>4026.4500000000003</v>
      </c>
      <c r="GP34">
        <f t="shared" ca="1" si="74"/>
        <v>4026</v>
      </c>
      <c r="GQ34">
        <f t="shared" ca="1" si="75"/>
        <v>0</v>
      </c>
      <c r="GR34">
        <f t="shared" ca="1" si="76"/>
        <v>0</v>
      </c>
      <c r="GS34">
        <f t="shared" ca="1" si="77"/>
        <v>4026</v>
      </c>
      <c r="GT34">
        <f t="shared" ca="1" si="78"/>
        <v>0</v>
      </c>
      <c r="GU34" t="b">
        <f t="shared" ca="1" si="79"/>
        <v>0</v>
      </c>
      <c r="GV34">
        <f t="shared" ca="1" si="80"/>
        <v>0</v>
      </c>
      <c r="GW34">
        <f t="shared" ca="1" si="81"/>
        <v>4026</v>
      </c>
      <c r="GX34">
        <f t="shared" ca="1" si="82"/>
        <v>0</v>
      </c>
      <c r="GY34">
        <f t="shared" ca="1" si="83"/>
        <v>0</v>
      </c>
      <c r="GZ34">
        <f t="shared" ca="1" si="84"/>
        <v>0</v>
      </c>
    </row>
    <row r="35" spans="1:208" x14ac:dyDescent="0.25">
      <c r="A35">
        <f>_xlfn.AGGREGATE(3,5,$B$2:B35)</f>
        <v>34</v>
      </c>
      <c r="B35" t="s">
        <v>185</v>
      </c>
      <c r="C35" t="s">
        <v>186</v>
      </c>
      <c r="D35" t="s">
        <v>758</v>
      </c>
      <c r="E35" t="s">
        <v>832</v>
      </c>
      <c r="F35" t="s">
        <v>957</v>
      </c>
      <c r="G35" t="s">
        <v>892</v>
      </c>
      <c r="H35">
        <f t="shared" ref="H35:H66" si="177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>IF(J35&gt;0,SUM(J35:N35),0)</f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85"/>
        <v>150</v>
      </c>
      <c r="S35">
        <f t="shared" si="86"/>
        <v>37666</v>
      </c>
      <c r="T35">
        <f>_xlfn.XLOOKUP(B35,'[2]april-2025'!$A:$A,'[2]april-2025'!$C:$C,0,0)</f>
        <v>31600</v>
      </c>
      <c r="U35">
        <f t="shared" si="3"/>
        <v>5688</v>
      </c>
      <c r="V35">
        <f t="shared" si="4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87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5"/>
        <v>200</v>
      </c>
      <c r="AC35">
        <f t="shared" si="6"/>
        <v>38880</v>
      </c>
      <c r="AD35">
        <f>_xlfn.XLOOKUP(B35,'[3]may-2025'!$A:$A,'[3]may-2025'!$C:$C,0,0)</f>
        <v>31600</v>
      </c>
      <c r="AE35">
        <f t="shared" si="7"/>
        <v>5688</v>
      </c>
      <c r="AF35">
        <f t="shared" si="8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88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9"/>
        <v>200</v>
      </c>
      <c r="AM35">
        <f t="shared" si="10"/>
        <v>38880</v>
      </c>
      <c r="AN35">
        <f>_xlfn.XLOOKUP(B35,'[4]june-2025'!$A:$A,'[4]june-2025'!$C:$C,0,0)</f>
        <v>31600</v>
      </c>
      <c r="AO35">
        <f t="shared" si="11"/>
        <v>5688</v>
      </c>
      <c r="AP35">
        <f t="shared" si="12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89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3"/>
        <v>200</v>
      </c>
      <c r="AW35">
        <f t="shared" si="14"/>
        <v>38880</v>
      </c>
      <c r="AX35">
        <f>_xlfn.XLOOKUP(B35,'[5]july-2025'!$A:$A,'[5]july-2025'!$C:$C,0,0)</f>
        <v>32500</v>
      </c>
      <c r="AY35">
        <f t="shared" si="15"/>
        <v>5850</v>
      </c>
      <c r="AZ35">
        <v>0</v>
      </c>
      <c r="BA35">
        <f t="shared" si="16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>IF(AX35&gt;0,SUM(AX35:BC35),0)</f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17"/>
        <v>200</v>
      </c>
      <c r="BH35">
        <f t="shared" si="18"/>
        <v>40050</v>
      </c>
      <c r="BI35">
        <f>_xlfn.XLOOKUP(B35,'[6]august-2025'!$A:$A,'[6]august-2025'!$C:$C,0,0)</f>
        <v>32500</v>
      </c>
      <c r="BJ35">
        <f t="shared" si="19"/>
        <v>5850</v>
      </c>
      <c r="BK35">
        <f t="shared" si="20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1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>IF($F35="YES",0,IF(BN35&gt;40000,200,IF(BN35&gt;25000,150,IF(BN35&gt;15000,130,IF(BN35&gt;10000,110,0)))))</f>
        <v>200</v>
      </c>
      <c r="BR35">
        <f>BN35-BO35-BP35-BQ35</f>
        <v>40050</v>
      </c>
      <c r="BS35">
        <f>_xlfn.XLOOKUP(B35,'[7]september-2025'!$A:$A,'[7]september-2025'!$C:$C,0,0)</f>
        <v>32500</v>
      </c>
      <c r="BT35">
        <f t="shared" si="22"/>
        <v>5850</v>
      </c>
      <c r="BU35">
        <f t="shared" si="23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>IF(BS35&gt;0,SUM(BS35:BW35),0)</f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24"/>
        <v>200</v>
      </c>
      <c r="CB35">
        <f t="shared" si="25"/>
        <v>40050</v>
      </c>
      <c r="CC35">
        <f>_xlfn.XLOOKUP(B35,'[8]october-2025'!$A:$A,'[8]october-2025'!$C:$C,0,0)</f>
        <v>32500</v>
      </c>
      <c r="CD35">
        <f t="shared" si="26"/>
        <v>5850</v>
      </c>
      <c r="CE35">
        <f t="shared" si="27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>IF(CC35&gt;0,SUM(CC35:CG35),0)</f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28"/>
        <v>200</v>
      </c>
      <c r="CL35">
        <f t="shared" si="29"/>
        <v>40050</v>
      </c>
      <c r="CM35">
        <f>_xlfn.XLOOKUP(B35,'[9]november-2025'!$A:$A,'[9]november-2025'!$C:$C,0,0)</f>
        <v>32500</v>
      </c>
      <c r="CN35">
        <f t="shared" si="30"/>
        <v>5850</v>
      </c>
      <c r="CO35">
        <f t="shared" si="31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>IF(CM35&gt;0,SUM(CM35:CQ35),0)</f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32"/>
        <v>200</v>
      </c>
      <c r="CV35">
        <f t="shared" si="33"/>
        <v>40050</v>
      </c>
      <c r="CW35">
        <f>_xlfn.XLOOKUP(B35,'[10]december-2025'!$A:$A,'[10]december-2025'!$C:$C,0,0)</f>
        <v>32500</v>
      </c>
      <c r="CX35">
        <f t="shared" si="34"/>
        <v>5850</v>
      </c>
      <c r="CY35">
        <f t="shared" si="35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>IF(CW35&gt;0,SUM(CW35:DA35),0)</f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36"/>
        <v>200</v>
      </c>
      <c r="DF35">
        <f t="shared" si="37"/>
        <v>40050</v>
      </c>
      <c r="DG35">
        <f>_xlfn.XLOOKUP(B35,'[11]january-2026'!$A:$A,'[11]january-2026'!$C:$C,0,0)</f>
        <v>32500</v>
      </c>
      <c r="DH35">
        <f t="shared" si="38"/>
        <v>5850</v>
      </c>
      <c r="DI35">
        <f t="shared" si="39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>IF(DG35&gt;0,SUM(DG35:DK35),0)</f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40"/>
        <v>200</v>
      </c>
      <c r="DP35">
        <f t="shared" si="41"/>
        <v>40050</v>
      </c>
      <c r="DQ35">
        <f>_xlfn.XLOOKUP(B35,'[12]february-2026'!$A:$A,'[12]february-2026'!$C:$C,0,0)</f>
        <v>32500</v>
      </c>
      <c r="DR35">
        <f t="shared" si="42"/>
        <v>5850</v>
      </c>
      <c r="DS35">
        <f t="shared" si="43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>IF(DQ35&gt;0,SUM(DQ35:DU35),0)</f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44"/>
        <v>200</v>
      </c>
      <c r="DZ35">
        <f t="shared" si="45"/>
        <v>40050</v>
      </c>
      <c r="EA35">
        <f>_xlfn.XLOOKUP(B35,'[1]march-2025'!$A:$A,'[1]march-2025'!$J:$J,0,0)</f>
        <v>0</v>
      </c>
      <c r="EB35">
        <f>_xlfn.XLOOKUP(B35,'[2]april-2025'!$A:$A,'[2]april-2025'!$J:$J,0,0)</f>
        <v>0</v>
      </c>
      <c r="EC35">
        <f>_xlfn.XLOOKUP(B35,'[3]may-2025'!$A:$A,'[3]may-2025'!$J:$J,0,0)</f>
        <v>0</v>
      </c>
      <c r="ED35">
        <f>_xlfn.XLOOKUP(B35,'[4]june-2025'!$A:$A,'[4]june-2025'!$J:$J,0,0)</f>
        <v>0</v>
      </c>
      <c r="EE35">
        <f>_xlfn.XLOOKUP(B35,'[5]july-2025'!$A:$A,'[5]july-2025'!$J:$J,0,0)</f>
        <v>0</v>
      </c>
      <c r="EF35">
        <f>_xlfn.XLOOKUP(B35,'[6]august-2025'!$A:$A,'[6]august-2025'!$J:$J,0,0)</f>
        <v>0</v>
      </c>
      <c r="EG35">
        <f>_xlfn.XLOOKUP(B35,'[7]september-2025'!$A:$A,'[7]september-2025'!$J:$J,0,0)</f>
        <v>0</v>
      </c>
      <c r="EH35">
        <f>_xlfn.XLOOKUP(B35,'[8]october-2025'!$A:$A,'[8]october-2025'!$J:$J,0,0)</f>
        <v>0</v>
      </c>
      <c r="EI35">
        <f>_xlfn.XLOOKUP(C35,'[9]november-2025'!$A:$A,'[9]november-2025'!$J:$J,0,0)</f>
        <v>0</v>
      </c>
      <c r="EJ35">
        <f>_xlfn.XLOOKUP(B35,'[10]december-2025'!$A:$A,'[10]december-2025'!$J:$J,0,0)</f>
        <v>0</v>
      </c>
      <c r="EK35">
        <f>_xlfn.XLOOKUP(B35,'[11]january-2026'!$A:$A,'[11]january-2026'!$J:$J,0,0)</f>
        <v>0</v>
      </c>
      <c r="EL35">
        <f>_xlfn.XLOOKUP(B35,'[12]february-2026'!$A:$A,'[12]february-2026'!$J:$J,0,0)</f>
        <v>0</v>
      </c>
      <c r="EM35">
        <f t="shared" si="90"/>
        <v>0</v>
      </c>
      <c r="EN35">
        <f>DV35+DL35+DB35+CR35+CH35+BX35+BN35+BD35+AS35+AI35+Y35+O35+H35+I35</f>
        <v>507856</v>
      </c>
      <c r="EO35">
        <f>DY35+DO35+DE35+CU35+CK35+CA35+BQ35+BG35+AV35+AL35+AB35+R35</f>
        <v>2350</v>
      </c>
      <c r="EP35">
        <f t="shared" si="46"/>
        <v>50000</v>
      </c>
      <c r="EQ35">
        <v>0</v>
      </c>
      <c r="ER35">
        <f t="shared" si="91"/>
        <v>455506</v>
      </c>
      <c r="ES35">
        <f>DW35+DM35+DC35+CS35+CI35+BY35+BO35+BE35+AT35+AJ35+Z35+P35</f>
        <v>24000</v>
      </c>
      <c r="ET35">
        <f>DX35+DN35+DD35+CT35+CJ35+BZ35+BP35+BF35+AU35+AK35+AA35+Q35</f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47"/>
        <v>24000</v>
      </c>
      <c r="FF35">
        <f t="shared" si="48"/>
        <v>24000</v>
      </c>
      <c r="FG35">
        <f t="shared" si="49"/>
        <v>431506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>SUM(FH35:FN35)+(IF(F35="YES",50000,0))</f>
        <v>0</v>
      </c>
      <c r="FP35">
        <f t="shared" si="50"/>
        <v>431506</v>
      </c>
      <c r="FQ35">
        <f t="shared" si="51"/>
        <v>9075</v>
      </c>
      <c r="FR35">
        <f t="shared" si="52"/>
        <v>0</v>
      </c>
      <c r="FS35">
        <f t="shared" si="53"/>
        <v>9075</v>
      </c>
      <c r="FT35">
        <f t="shared" si="54"/>
        <v>0</v>
      </c>
      <c r="FU35">
        <f t="shared" si="55"/>
        <v>0</v>
      </c>
      <c r="FV35">
        <f t="shared" si="56"/>
        <v>0</v>
      </c>
      <c r="FW35">
        <v>0</v>
      </c>
      <c r="FX35">
        <f t="shared" si="57"/>
        <v>0</v>
      </c>
      <c r="FY35" t="b">
        <f t="shared" si="58"/>
        <v>1</v>
      </c>
      <c r="FZ35">
        <f t="shared" ca="1" si="59"/>
        <v>862</v>
      </c>
      <c r="GA35">
        <f t="shared" ca="1" si="60"/>
        <v>508718</v>
      </c>
      <c r="GB35">
        <f t="shared" si="61"/>
        <v>75000</v>
      </c>
      <c r="GC35">
        <f t="shared" ca="1" si="62"/>
        <v>433718</v>
      </c>
      <c r="GD35">
        <f t="shared" ca="1" si="63"/>
        <v>0</v>
      </c>
      <c r="GE35">
        <f t="shared" ca="1" si="64"/>
        <v>0</v>
      </c>
      <c r="GF35">
        <f t="shared" ca="1" si="65"/>
        <v>0</v>
      </c>
      <c r="GG35">
        <f t="shared" ca="1" si="66"/>
        <v>0</v>
      </c>
      <c r="GH35">
        <f t="shared" ca="1" si="67"/>
        <v>0</v>
      </c>
      <c r="GI35">
        <f t="shared" ca="1" si="68"/>
        <v>0</v>
      </c>
      <c r="GJ35">
        <f ca="1">IF(GC35&gt;1200000,GC35-1200000-IF(F35="YES",50000,0)-GH35,0)</f>
        <v>0</v>
      </c>
      <c r="GK35">
        <f t="shared" ca="1" si="69"/>
        <v>0</v>
      </c>
      <c r="GL35">
        <f t="shared" ca="1" si="70"/>
        <v>0</v>
      </c>
      <c r="GM35">
        <f t="shared" ca="1" si="71"/>
        <v>0</v>
      </c>
      <c r="GN35">
        <f t="shared" ca="1" si="72"/>
        <v>33718</v>
      </c>
      <c r="GO35">
        <f t="shared" ca="1" si="73"/>
        <v>1685.9</v>
      </c>
      <c r="GP35">
        <f t="shared" ca="1" si="74"/>
        <v>1686</v>
      </c>
      <c r="GQ35">
        <f t="shared" ca="1" si="75"/>
        <v>0</v>
      </c>
      <c r="GR35">
        <f t="shared" ca="1" si="76"/>
        <v>0</v>
      </c>
      <c r="GS35">
        <f t="shared" ca="1" si="77"/>
        <v>1686</v>
      </c>
      <c r="GT35">
        <f t="shared" ca="1" si="78"/>
        <v>0</v>
      </c>
      <c r="GU35" t="b">
        <f t="shared" ca="1" si="79"/>
        <v>0</v>
      </c>
      <c r="GV35">
        <f t="shared" ca="1" si="80"/>
        <v>0</v>
      </c>
      <c r="GW35">
        <f t="shared" ca="1" si="81"/>
        <v>1686</v>
      </c>
      <c r="GX35">
        <f t="shared" ca="1" si="82"/>
        <v>0</v>
      </c>
      <c r="GY35">
        <f t="shared" ca="1" si="83"/>
        <v>0</v>
      </c>
      <c r="GZ35">
        <f t="shared" ca="1" si="84"/>
        <v>0</v>
      </c>
    </row>
    <row r="36" spans="1:208" x14ac:dyDescent="0.25">
      <c r="A36">
        <f>_xlfn.AGGREGATE(3,5,$B$2:B36)</f>
        <v>35</v>
      </c>
      <c r="B36" t="s">
        <v>187</v>
      </c>
      <c r="C36" t="s">
        <v>188</v>
      </c>
      <c r="D36" t="s">
        <v>758</v>
      </c>
      <c r="E36" t="s">
        <v>832</v>
      </c>
      <c r="F36" t="s">
        <v>957</v>
      </c>
      <c r="G36" t="s">
        <v>894</v>
      </c>
      <c r="H36">
        <f t="shared" si="177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>IF(J36&gt;0,SUM(J36:N36),0)</f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85"/>
        <v>150</v>
      </c>
      <c r="S36">
        <f t="shared" si="86"/>
        <v>31764</v>
      </c>
      <c r="T36">
        <f>_xlfn.XLOOKUP(B36,'[2]april-2025'!$A:$A,'[2]april-2025'!$C:$C,0,0)</f>
        <v>28900</v>
      </c>
      <c r="U36">
        <f t="shared" si="3"/>
        <v>5202</v>
      </c>
      <c r="V36">
        <f t="shared" si="4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87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5"/>
        <v>150</v>
      </c>
      <c r="AC36">
        <f t="shared" si="6"/>
        <v>32920</v>
      </c>
      <c r="AD36">
        <f>_xlfn.XLOOKUP(B36,'[3]may-2025'!$A:$A,'[3]may-2025'!$C:$C,0,0)</f>
        <v>28900</v>
      </c>
      <c r="AE36">
        <f t="shared" si="7"/>
        <v>5202</v>
      </c>
      <c r="AF36">
        <f t="shared" si="8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88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9"/>
        <v>150</v>
      </c>
      <c r="AM36">
        <f t="shared" si="10"/>
        <v>32920</v>
      </c>
      <c r="AN36">
        <f>_xlfn.XLOOKUP(B36,'[4]june-2025'!$A:$A,'[4]june-2025'!$C:$C,0,0)</f>
        <v>28900</v>
      </c>
      <c r="AO36">
        <f t="shared" si="11"/>
        <v>5202</v>
      </c>
      <c r="AP36">
        <f t="shared" si="12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89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3"/>
        <v>150</v>
      </c>
      <c r="AW36">
        <f t="shared" si="14"/>
        <v>32920</v>
      </c>
      <c r="AX36">
        <f>_xlfn.XLOOKUP(B36,'[5]july-2025'!$A:$A,'[5]july-2025'!$C:$C,0,0)</f>
        <v>29800</v>
      </c>
      <c r="AY36">
        <f t="shared" si="15"/>
        <v>5364</v>
      </c>
      <c r="AZ36">
        <v>0</v>
      </c>
      <c r="BA36">
        <f t="shared" si="16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>IF(AX36&gt;0,SUM(AX36:BC36),0)</f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17"/>
        <v>150</v>
      </c>
      <c r="BH36">
        <f t="shared" si="18"/>
        <v>34090</v>
      </c>
      <c r="BI36">
        <f>_xlfn.XLOOKUP(B36,'[6]august-2025'!$A:$A,'[6]august-2025'!$C:$C,0,0)</f>
        <v>29800</v>
      </c>
      <c r="BJ36">
        <f t="shared" si="19"/>
        <v>5364</v>
      </c>
      <c r="BK36">
        <f t="shared" si="20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1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>IF($F36="YES",0,IF(BN36&gt;40000,200,IF(BN36&gt;25000,150,IF(BN36&gt;15000,130,IF(BN36&gt;10000,110,0)))))</f>
        <v>150</v>
      </c>
      <c r="BR36">
        <f>BN36-BO36-BP36-BQ36</f>
        <v>34090</v>
      </c>
      <c r="BS36">
        <f>_xlfn.XLOOKUP(B36,'[7]september-2025'!$A:$A,'[7]september-2025'!$C:$C,0,0)</f>
        <v>29800</v>
      </c>
      <c r="BT36">
        <f t="shared" si="22"/>
        <v>5364</v>
      </c>
      <c r="BU36">
        <f t="shared" si="23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>IF(BS36&gt;0,SUM(BS36:BW36),0)</f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24"/>
        <v>150</v>
      </c>
      <c r="CB36">
        <f t="shared" si="25"/>
        <v>34090</v>
      </c>
      <c r="CC36">
        <f>_xlfn.XLOOKUP(B36,'[8]october-2025'!$A:$A,'[8]october-2025'!$C:$C,0,0)</f>
        <v>29800</v>
      </c>
      <c r="CD36">
        <f t="shared" si="26"/>
        <v>5364</v>
      </c>
      <c r="CE36">
        <f t="shared" si="27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>IF(CC36&gt;0,SUM(CC36:CG36),0)</f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28"/>
        <v>150</v>
      </c>
      <c r="CL36">
        <f t="shared" si="29"/>
        <v>34090</v>
      </c>
      <c r="CM36">
        <f>_xlfn.XLOOKUP(B36,'[9]november-2025'!$A:$A,'[9]november-2025'!$C:$C,0,0)</f>
        <v>29800</v>
      </c>
      <c r="CN36">
        <f t="shared" si="30"/>
        <v>5364</v>
      </c>
      <c r="CO36">
        <f t="shared" si="31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>IF(CM36&gt;0,SUM(CM36:CQ36),0)</f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32"/>
        <v>150</v>
      </c>
      <c r="CV36">
        <f t="shared" si="33"/>
        <v>34090</v>
      </c>
      <c r="CW36">
        <f>_xlfn.XLOOKUP(B36,'[10]december-2025'!$A:$A,'[10]december-2025'!$C:$C,0,0)</f>
        <v>29800</v>
      </c>
      <c r="CX36">
        <f t="shared" si="34"/>
        <v>5364</v>
      </c>
      <c r="CY36">
        <f t="shared" si="35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>IF(CW36&gt;0,SUM(CW36:DA36),0)</f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36"/>
        <v>150</v>
      </c>
      <c r="DF36">
        <f t="shared" si="37"/>
        <v>34090</v>
      </c>
      <c r="DG36">
        <f>_xlfn.XLOOKUP(B36,'[11]january-2026'!$A:$A,'[11]january-2026'!$C:$C,0,0)</f>
        <v>29800</v>
      </c>
      <c r="DH36">
        <f t="shared" si="38"/>
        <v>5364</v>
      </c>
      <c r="DI36">
        <f t="shared" si="39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>IF(DG36&gt;0,SUM(DG36:DK36),0)</f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40"/>
        <v>150</v>
      </c>
      <c r="DP36">
        <f t="shared" si="41"/>
        <v>34090</v>
      </c>
      <c r="DQ36">
        <f>_xlfn.XLOOKUP(B36,'[12]february-2026'!$A:$A,'[12]february-2026'!$C:$C,0,0)</f>
        <v>29800</v>
      </c>
      <c r="DR36">
        <f t="shared" si="42"/>
        <v>5364</v>
      </c>
      <c r="DS36">
        <f t="shared" si="43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>IF(DQ36&gt;0,SUM(DQ36:DU36),0)</f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44"/>
        <v>150</v>
      </c>
      <c r="DZ36">
        <f t="shared" si="45"/>
        <v>34090</v>
      </c>
      <c r="EA36">
        <f>_xlfn.XLOOKUP(B36,'[1]march-2025'!$A:$A,'[1]march-2025'!$J:$J,0,0)</f>
        <v>0</v>
      </c>
      <c r="EB36">
        <f>_xlfn.XLOOKUP(B36,'[2]april-2025'!$A:$A,'[2]april-2025'!$J:$J,0,0)</f>
        <v>0</v>
      </c>
      <c r="EC36">
        <f>_xlfn.XLOOKUP(B36,'[3]may-2025'!$A:$A,'[3]may-2025'!$J:$J,0,0)</f>
        <v>0</v>
      </c>
      <c r="ED36">
        <f>_xlfn.XLOOKUP(B36,'[4]june-2025'!$A:$A,'[4]june-2025'!$J:$J,0,0)</f>
        <v>0</v>
      </c>
      <c r="EE36">
        <f>_xlfn.XLOOKUP(B36,'[5]july-2025'!$A:$A,'[5]july-2025'!$J:$J,0,0)</f>
        <v>0</v>
      </c>
      <c r="EF36">
        <f>_xlfn.XLOOKUP(B36,'[6]august-2025'!$A:$A,'[6]august-2025'!$J:$J,0,0)</f>
        <v>0</v>
      </c>
      <c r="EG36">
        <f>_xlfn.XLOOKUP(B36,'[7]september-2025'!$A:$A,'[7]september-2025'!$J:$J,0,0)</f>
        <v>0</v>
      </c>
      <c r="EH36">
        <f>_xlfn.XLOOKUP(B36,'[8]october-2025'!$A:$A,'[8]october-2025'!$J:$J,0,0)</f>
        <v>0</v>
      </c>
      <c r="EI36">
        <f>_xlfn.XLOOKUP(C36,'[9]november-2025'!$A:$A,'[9]november-2025'!$J:$J,0,0)</f>
        <v>0</v>
      </c>
      <c r="EJ36">
        <f>_xlfn.XLOOKUP(B36,'[10]december-2025'!$A:$A,'[10]december-2025'!$J:$J,0,0)</f>
        <v>0</v>
      </c>
      <c r="EK36">
        <f>_xlfn.XLOOKUP(B36,'[11]january-2026'!$A:$A,'[11]january-2026'!$J:$J,0,0)</f>
        <v>0</v>
      </c>
      <c r="EL36">
        <f>_xlfn.XLOOKUP(B36,'[12]february-2026'!$A:$A,'[12]february-2026'!$J:$J,0,0)</f>
        <v>0</v>
      </c>
      <c r="EM36">
        <f t="shared" si="90"/>
        <v>0</v>
      </c>
      <c r="EN36">
        <f>DV36+DL36+DB36+CR36+CH36+BX36+BN36+BD36+AS36+AI36+Y36+O36+H36+I36</f>
        <v>471844</v>
      </c>
      <c r="EO36">
        <f>DY36+DO36+DE36+CU36+CK36+CA36+BQ36+BG36+AV36+AL36+AB36+R36</f>
        <v>1800</v>
      </c>
      <c r="EP36">
        <f t="shared" si="46"/>
        <v>50000</v>
      </c>
      <c r="EQ36">
        <v>0</v>
      </c>
      <c r="ER36">
        <f t="shared" si="91"/>
        <v>420044</v>
      </c>
      <c r="ES36">
        <f>DW36+DM36+DC36+CS36+CI36+BY36+BO36+BE36+AT36+AJ36+Z36+P36</f>
        <v>60000</v>
      </c>
      <c r="ET36">
        <f>DX36+DN36+DD36+CT36+CJ36+BZ36+BP36+BF36+AU36+AK36+AA36+Q36</f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47"/>
        <v>60000</v>
      </c>
      <c r="FF36">
        <f t="shared" si="48"/>
        <v>60000</v>
      </c>
      <c r="FG36">
        <f t="shared" si="49"/>
        <v>360044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>SUM(FH36:FN36)+(IF(F36="YES",50000,0))</f>
        <v>0</v>
      </c>
      <c r="FP36">
        <f t="shared" si="50"/>
        <v>360044</v>
      </c>
      <c r="FQ36">
        <f t="shared" si="51"/>
        <v>5502</v>
      </c>
      <c r="FR36">
        <f t="shared" si="52"/>
        <v>0</v>
      </c>
      <c r="FS36">
        <f t="shared" si="53"/>
        <v>5502</v>
      </c>
      <c r="FT36">
        <f t="shared" si="54"/>
        <v>0</v>
      </c>
      <c r="FU36">
        <f t="shared" si="55"/>
        <v>0</v>
      </c>
      <c r="FV36">
        <f t="shared" si="56"/>
        <v>0</v>
      </c>
      <c r="FW36">
        <v>0</v>
      </c>
      <c r="FX36">
        <f t="shared" si="57"/>
        <v>0</v>
      </c>
      <c r="FY36" t="b">
        <f t="shared" si="58"/>
        <v>0</v>
      </c>
      <c r="FZ36">
        <f t="shared" ca="1" si="59"/>
        <v>2723</v>
      </c>
      <c r="GA36">
        <f t="shared" ca="1" si="60"/>
        <v>474567</v>
      </c>
      <c r="GB36">
        <f t="shared" si="61"/>
        <v>75000</v>
      </c>
      <c r="GC36">
        <f t="shared" ca="1" si="62"/>
        <v>399567</v>
      </c>
      <c r="GD36">
        <f t="shared" ca="1" si="63"/>
        <v>0</v>
      </c>
      <c r="GE36">
        <f t="shared" ca="1" si="64"/>
        <v>0</v>
      </c>
      <c r="GF36">
        <f t="shared" ca="1" si="65"/>
        <v>0</v>
      </c>
      <c r="GG36">
        <f t="shared" ca="1" si="66"/>
        <v>0</v>
      </c>
      <c r="GH36">
        <f t="shared" ca="1" si="67"/>
        <v>0</v>
      </c>
      <c r="GI36">
        <f t="shared" ca="1" si="68"/>
        <v>0</v>
      </c>
      <c r="GJ36">
        <f ca="1">IF(GC36&gt;1200000,GC36-1200000-IF(F36="YES",50000,0)-GH36,0)</f>
        <v>0</v>
      </c>
      <c r="GK36">
        <f t="shared" ca="1" si="69"/>
        <v>0</v>
      </c>
      <c r="GL36">
        <f t="shared" ca="1" si="70"/>
        <v>0</v>
      </c>
      <c r="GM36">
        <f t="shared" ca="1" si="71"/>
        <v>0</v>
      </c>
      <c r="GN36">
        <f t="shared" ca="1" si="72"/>
        <v>0</v>
      </c>
      <c r="GO36">
        <f t="shared" ca="1" si="73"/>
        <v>0</v>
      </c>
      <c r="GP36">
        <f t="shared" ca="1" si="74"/>
        <v>0</v>
      </c>
      <c r="GQ36">
        <f t="shared" ca="1" si="75"/>
        <v>0</v>
      </c>
      <c r="GR36">
        <f t="shared" ca="1" si="76"/>
        <v>0</v>
      </c>
      <c r="GS36">
        <f t="shared" ca="1" si="77"/>
        <v>0</v>
      </c>
      <c r="GT36">
        <f t="shared" ca="1" si="78"/>
        <v>0</v>
      </c>
      <c r="GU36" t="b">
        <f t="shared" ca="1" si="79"/>
        <v>0</v>
      </c>
      <c r="GV36">
        <f t="shared" ca="1" si="80"/>
        <v>0</v>
      </c>
      <c r="GW36">
        <f t="shared" ca="1" si="81"/>
        <v>0</v>
      </c>
      <c r="GX36">
        <f t="shared" ca="1" si="82"/>
        <v>0</v>
      </c>
      <c r="GY36">
        <f t="shared" ca="1" si="83"/>
        <v>0</v>
      </c>
      <c r="GZ36">
        <f t="shared" ca="1" si="84"/>
        <v>0</v>
      </c>
    </row>
    <row r="37" spans="1:208" x14ac:dyDescent="0.25">
      <c r="A37">
        <f>_xlfn.AGGREGATE(3,5,$B$2:B37)</f>
        <v>36</v>
      </c>
      <c r="B37" t="s">
        <v>189</v>
      </c>
      <c r="C37" t="s">
        <v>190</v>
      </c>
      <c r="D37" t="s">
        <v>759</v>
      </c>
      <c r="E37" t="s">
        <v>832</v>
      </c>
      <c r="F37" t="s">
        <v>957</v>
      </c>
      <c r="G37" t="s">
        <v>885</v>
      </c>
      <c r="H37">
        <f t="shared" si="177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>IF(J37&gt;0,SUM(J37:N37),0)</f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85"/>
        <v>200</v>
      </c>
      <c r="S37">
        <f t="shared" si="86"/>
        <v>55782</v>
      </c>
      <c r="T37">
        <f>_xlfn.XLOOKUP(B37,'[2]april-2025'!$A:$A,'[2]april-2025'!$C:$C,0,0)</f>
        <v>51700</v>
      </c>
      <c r="U37">
        <f t="shared" si="3"/>
        <v>9306</v>
      </c>
      <c r="V37">
        <f t="shared" si="4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87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5"/>
        <v>200</v>
      </c>
      <c r="AC37">
        <f t="shared" si="6"/>
        <v>57850</v>
      </c>
      <c r="AD37">
        <f>_xlfn.XLOOKUP(B37,'[3]may-2025'!$A:$A,'[3]may-2025'!$C:$C,0,0)</f>
        <v>51700</v>
      </c>
      <c r="AE37">
        <f t="shared" si="7"/>
        <v>9306</v>
      </c>
      <c r="AF37">
        <f t="shared" si="8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88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9"/>
        <v>200</v>
      </c>
      <c r="AM37">
        <f t="shared" si="10"/>
        <v>57850</v>
      </c>
      <c r="AN37">
        <f>_xlfn.XLOOKUP(B37,'[4]june-2025'!$A:$A,'[4]june-2025'!$C:$C,0,0)</f>
        <v>51700</v>
      </c>
      <c r="AO37">
        <f t="shared" si="11"/>
        <v>9306</v>
      </c>
      <c r="AP37">
        <f t="shared" si="12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89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3"/>
        <v>200</v>
      </c>
      <c r="AW37">
        <f t="shared" si="14"/>
        <v>57850</v>
      </c>
      <c r="AX37">
        <f>_xlfn.XLOOKUP(B37,'[5]july-2025'!$A:$A,'[5]july-2025'!$C:$C,0,0)</f>
        <v>53300</v>
      </c>
      <c r="AY37">
        <f t="shared" si="15"/>
        <v>9594</v>
      </c>
      <c r="AZ37">
        <v>0</v>
      </c>
      <c r="BA37">
        <f t="shared" si="16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>IF(AX37&gt;0,SUM(AX37:BC37),0)</f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17"/>
        <v>200</v>
      </c>
      <c r="BH37">
        <f t="shared" si="18"/>
        <v>59930</v>
      </c>
      <c r="BI37">
        <f>_xlfn.XLOOKUP(B37,'[6]august-2025'!$A:$A,'[6]august-2025'!$C:$C,0,0)</f>
        <v>53300</v>
      </c>
      <c r="BJ37">
        <f t="shared" si="19"/>
        <v>9594</v>
      </c>
      <c r="BK37">
        <f t="shared" si="20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1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>IF($F37="YES",0,IF(BN37&gt;40000,200,IF(BN37&gt;25000,150,IF(BN37&gt;15000,130,IF(BN37&gt;10000,110,0)))))</f>
        <v>200</v>
      </c>
      <c r="BR37">
        <f>BN37-BO37-BP37-BQ37</f>
        <v>59930</v>
      </c>
      <c r="BS37">
        <f>_xlfn.XLOOKUP(B37,'[7]september-2025'!$A:$A,'[7]september-2025'!$C:$C,0,0)</f>
        <v>53300</v>
      </c>
      <c r="BT37">
        <f t="shared" si="22"/>
        <v>9594</v>
      </c>
      <c r="BU37">
        <f t="shared" si="23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>IF(BS37&gt;0,SUM(BS37:BW37),0)</f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24"/>
        <v>200</v>
      </c>
      <c r="CB37">
        <f t="shared" si="25"/>
        <v>59930</v>
      </c>
      <c r="CC37">
        <f>_xlfn.XLOOKUP(B37,'[8]october-2025'!$A:$A,'[8]october-2025'!$C:$C,0,0)</f>
        <v>53300</v>
      </c>
      <c r="CD37">
        <f t="shared" si="26"/>
        <v>9594</v>
      </c>
      <c r="CE37">
        <f t="shared" si="27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>IF(CC37&gt;0,SUM(CC37:CG37),0)</f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28"/>
        <v>200</v>
      </c>
      <c r="CL37">
        <f t="shared" si="29"/>
        <v>59930</v>
      </c>
      <c r="CM37">
        <f>_xlfn.XLOOKUP(B37,'[9]november-2025'!$A:$A,'[9]november-2025'!$C:$C,0,0)</f>
        <v>53300</v>
      </c>
      <c r="CN37">
        <f t="shared" si="30"/>
        <v>9594</v>
      </c>
      <c r="CO37">
        <f t="shared" si="31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>IF(CM37&gt;0,SUM(CM37:CQ37),0)</f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32"/>
        <v>200</v>
      </c>
      <c r="CV37">
        <f t="shared" si="33"/>
        <v>59930</v>
      </c>
      <c r="CW37">
        <f>_xlfn.XLOOKUP(B37,'[10]december-2025'!$A:$A,'[10]december-2025'!$C:$C,0,0)</f>
        <v>53300</v>
      </c>
      <c r="CX37">
        <f t="shared" si="34"/>
        <v>9594</v>
      </c>
      <c r="CY37">
        <f t="shared" si="35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>IF(CW37&gt;0,SUM(CW37:DA37),0)</f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36"/>
        <v>200</v>
      </c>
      <c r="DF37">
        <f t="shared" si="37"/>
        <v>59930</v>
      </c>
      <c r="DG37">
        <f>_xlfn.XLOOKUP(B37,'[11]january-2026'!$A:$A,'[11]january-2026'!$C:$C,0,0)</f>
        <v>53300</v>
      </c>
      <c r="DH37">
        <f t="shared" si="38"/>
        <v>9594</v>
      </c>
      <c r="DI37">
        <f t="shared" si="39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>IF(DG37&gt;0,SUM(DG37:DK37),0)</f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40"/>
        <v>200</v>
      </c>
      <c r="DP37">
        <f t="shared" si="41"/>
        <v>59930</v>
      </c>
      <c r="DQ37">
        <f>_xlfn.XLOOKUP(B37,'[12]february-2026'!$A:$A,'[12]february-2026'!$C:$C,0,0)</f>
        <v>53300</v>
      </c>
      <c r="DR37">
        <f t="shared" si="42"/>
        <v>9594</v>
      </c>
      <c r="DS37">
        <f t="shared" si="43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>IF(DQ37&gt;0,SUM(DQ37:DU37),0)</f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44"/>
        <v>200</v>
      </c>
      <c r="DZ37">
        <f t="shared" si="45"/>
        <v>59930</v>
      </c>
      <c r="EA37">
        <f>_xlfn.XLOOKUP(B37,'[1]march-2025'!$A:$A,'[1]march-2025'!$J:$J,0,0)</f>
        <v>0</v>
      </c>
      <c r="EB37">
        <f>_xlfn.XLOOKUP(B37,'[2]april-2025'!$A:$A,'[2]april-2025'!$J:$J,0,0)</f>
        <v>0</v>
      </c>
      <c r="EC37">
        <f>_xlfn.XLOOKUP(B37,'[3]may-2025'!$A:$A,'[3]may-2025'!$J:$J,0,0)</f>
        <v>0</v>
      </c>
      <c r="ED37">
        <f>_xlfn.XLOOKUP(B37,'[4]june-2025'!$A:$A,'[4]june-2025'!$J:$J,0,0)</f>
        <v>0</v>
      </c>
      <c r="EE37">
        <f>_xlfn.XLOOKUP(B37,'[5]july-2025'!$A:$A,'[5]july-2025'!$J:$J,0,0)</f>
        <v>0</v>
      </c>
      <c r="EF37">
        <f>_xlfn.XLOOKUP(B37,'[6]august-2025'!$A:$A,'[6]august-2025'!$J:$J,0,0)</f>
        <v>0</v>
      </c>
      <c r="EG37">
        <f>_xlfn.XLOOKUP(B37,'[7]september-2025'!$A:$A,'[7]september-2025'!$J:$J,0,0)</f>
        <v>0</v>
      </c>
      <c r="EH37">
        <f>_xlfn.XLOOKUP(B37,'[8]october-2025'!$A:$A,'[8]october-2025'!$J:$J,0,0)</f>
        <v>0</v>
      </c>
      <c r="EI37">
        <f>_xlfn.XLOOKUP(C37,'[9]november-2025'!$A:$A,'[9]november-2025'!$J:$J,0,0)</f>
        <v>0</v>
      </c>
      <c r="EJ37">
        <f>_xlfn.XLOOKUP(B37,'[10]december-2025'!$A:$A,'[10]december-2025'!$J:$J,0,0)</f>
        <v>0</v>
      </c>
      <c r="EK37">
        <f>_xlfn.XLOOKUP(B37,'[11]january-2026'!$A:$A,'[11]january-2026'!$J:$J,0,0)</f>
        <v>0</v>
      </c>
      <c r="EL37">
        <f>_xlfn.XLOOKUP(B37,'[12]february-2026'!$A:$A,'[12]february-2026'!$J:$J,0,0)</f>
        <v>0</v>
      </c>
      <c r="EM37">
        <f t="shared" si="90"/>
        <v>0</v>
      </c>
      <c r="EN37">
        <f>DV37+DL37+DB37+CR37+CH37+BX37+BN37+BD37+AS37+AI37+Y37+O37+H37+I37</f>
        <v>838692</v>
      </c>
      <c r="EO37">
        <f>DY37+DO37+DE37+CU37+CK37+CA37+BQ37+BG37+AV37+AL37+AB37+R37</f>
        <v>2400</v>
      </c>
      <c r="EP37">
        <f t="shared" si="46"/>
        <v>50000</v>
      </c>
      <c r="EQ37">
        <v>0</v>
      </c>
      <c r="ER37">
        <f t="shared" si="91"/>
        <v>786292</v>
      </c>
      <c r="ES37">
        <f>DW37+DM37+DC37+CS37+CI37+BY37+BO37+BE37+AT37+AJ37+Z37+P37</f>
        <v>120000</v>
      </c>
      <c r="ET37">
        <f>DX37+DN37+DD37+CT37+CJ37+BZ37+BP37+BF37+AU37+AK37+AA37+Q37</f>
        <v>720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47"/>
        <v>120720</v>
      </c>
      <c r="FF37">
        <f t="shared" si="48"/>
        <v>120720</v>
      </c>
      <c r="FG37">
        <f t="shared" si="49"/>
        <v>665572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>SUM(FH37:FN37)+(IF(F37="YES",50000,0))</f>
        <v>0</v>
      </c>
      <c r="FP37">
        <f t="shared" si="50"/>
        <v>665572</v>
      </c>
      <c r="FQ37">
        <f t="shared" si="51"/>
        <v>12500</v>
      </c>
      <c r="FR37">
        <f t="shared" si="52"/>
        <v>33114</v>
      </c>
      <c r="FS37">
        <f t="shared" si="53"/>
        <v>45614</v>
      </c>
      <c r="FT37">
        <f t="shared" si="54"/>
        <v>45614</v>
      </c>
      <c r="FU37">
        <f t="shared" si="55"/>
        <v>1824.56</v>
      </c>
      <c r="FV37">
        <f t="shared" si="56"/>
        <v>47439</v>
      </c>
      <c r="FW37">
        <v>0</v>
      </c>
      <c r="FX37">
        <f t="shared" si="57"/>
        <v>47439</v>
      </c>
      <c r="FY37" t="b">
        <f t="shared" si="58"/>
        <v>1</v>
      </c>
      <c r="FZ37">
        <f t="shared" ca="1" si="59"/>
        <v>902</v>
      </c>
      <c r="GA37">
        <f t="shared" ca="1" si="60"/>
        <v>839594</v>
      </c>
      <c r="GB37">
        <f t="shared" si="61"/>
        <v>75000</v>
      </c>
      <c r="GC37">
        <f t="shared" ca="1" si="62"/>
        <v>764594</v>
      </c>
      <c r="GD37">
        <f t="shared" ca="1" si="63"/>
        <v>0</v>
      </c>
      <c r="GE37">
        <f t="shared" ca="1" si="64"/>
        <v>0</v>
      </c>
      <c r="GF37">
        <f t="shared" ca="1" si="65"/>
        <v>0</v>
      </c>
      <c r="GG37">
        <f t="shared" ca="1" si="66"/>
        <v>0</v>
      </c>
      <c r="GH37">
        <f t="shared" ca="1" si="67"/>
        <v>0</v>
      </c>
      <c r="GI37">
        <f t="shared" ca="1" si="68"/>
        <v>0</v>
      </c>
      <c r="GJ37">
        <f ca="1">IF(GC37&gt;1200000,GC37-1200000-IF(F37="YES",50000,0)-GH37,0)</f>
        <v>0</v>
      </c>
      <c r="GK37">
        <f t="shared" ca="1" si="69"/>
        <v>0</v>
      </c>
      <c r="GL37">
        <f t="shared" ca="1" si="70"/>
        <v>0</v>
      </c>
      <c r="GM37">
        <f t="shared" ca="1" si="71"/>
        <v>0</v>
      </c>
      <c r="GN37">
        <f t="shared" ca="1" si="72"/>
        <v>364594</v>
      </c>
      <c r="GO37">
        <f t="shared" ca="1" si="73"/>
        <v>18229.7</v>
      </c>
      <c r="GP37">
        <f t="shared" ca="1" si="74"/>
        <v>18230</v>
      </c>
      <c r="GQ37">
        <f t="shared" ca="1" si="75"/>
        <v>0</v>
      </c>
      <c r="GR37">
        <f t="shared" ca="1" si="76"/>
        <v>0</v>
      </c>
      <c r="GS37">
        <f t="shared" ca="1" si="77"/>
        <v>18230</v>
      </c>
      <c r="GT37">
        <f t="shared" ca="1" si="78"/>
        <v>0</v>
      </c>
      <c r="GU37" t="b">
        <f t="shared" ca="1" si="79"/>
        <v>0</v>
      </c>
      <c r="GV37">
        <f t="shared" ca="1" si="80"/>
        <v>0</v>
      </c>
      <c r="GW37">
        <f t="shared" ca="1" si="81"/>
        <v>18230</v>
      </c>
      <c r="GX37">
        <f t="shared" ca="1" si="82"/>
        <v>0</v>
      </c>
      <c r="GY37">
        <f t="shared" ca="1" si="83"/>
        <v>0</v>
      </c>
      <c r="GZ37">
        <f t="shared" ca="1" si="84"/>
        <v>0</v>
      </c>
    </row>
    <row r="38" spans="1:208" x14ac:dyDescent="0.25">
      <c r="A38">
        <f>_xlfn.AGGREGATE(3,5,$B$2:B38)</f>
        <v>37</v>
      </c>
      <c r="B38" t="s">
        <v>191</v>
      </c>
      <c r="C38" t="s">
        <v>192</v>
      </c>
      <c r="D38" t="s">
        <v>759</v>
      </c>
      <c r="E38" t="s">
        <v>831</v>
      </c>
      <c r="F38" t="s">
        <v>957</v>
      </c>
      <c r="G38" t="s">
        <v>877</v>
      </c>
      <c r="H38">
        <f t="shared" si="177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>IF(J38&gt;0,SUM(J38:N38),0)</f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85"/>
        <v>150</v>
      </c>
      <c r="S38">
        <f t="shared" si="86"/>
        <v>29854</v>
      </c>
      <c r="T38">
        <f>_xlfn.XLOOKUP(B38,'[2]april-2025'!$A:$A,'[2]april-2025'!$C:$C,0,0)</f>
        <v>25400</v>
      </c>
      <c r="U38">
        <f t="shared" si="3"/>
        <v>4572</v>
      </c>
      <c r="V38">
        <f t="shared" si="4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87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5"/>
        <v>150</v>
      </c>
      <c r="AC38">
        <f t="shared" si="6"/>
        <v>30870</v>
      </c>
      <c r="AD38">
        <f>_xlfn.XLOOKUP(B38,'[3]may-2025'!$A:$A,'[3]may-2025'!$C:$C,0,0)</f>
        <v>25400</v>
      </c>
      <c r="AE38">
        <f t="shared" si="7"/>
        <v>4572</v>
      </c>
      <c r="AF38">
        <f t="shared" si="8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88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9"/>
        <v>150</v>
      </c>
      <c r="AM38">
        <f t="shared" si="10"/>
        <v>30870</v>
      </c>
      <c r="AN38">
        <f>_xlfn.XLOOKUP(B38,'[4]june-2025'!$A:$A,'[4]june-2025'!$C:$C,0,0)</f>
        <v>25400</v>
      </c>
      <c r="AO38">
        <f t="shared" si="11"/>
        <v>4572</v>
      </c>
      <c r="AP38">
        <f t="shared" si="12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89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3"/>
        <v>150</v>
      </c>
      <c r="AW38">
        <f t="shared" si="14"/>
        <v>30870</v>
      </c>
      <c r="AX38">
        <f>_xlfn.XLOOKUP(B38,'[5]july-2025'!$A:$A,'[5]july-2025'!$C:$C,0,0)</f>
        <v>26200</v>
      </c>
      <c r="AY38">
        <f t="shared" si="15"/>
        <v>4716</v>
      </c>
      <c r="AZ38">
        <v>0</v>
      </c>
      <c r="BA38">
        <f t="shared" si="16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>IF(AX38&gt;0,SUM(AX38:BC38),0)</f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17"/>
        <v>150</v>
      </c>
      <c r="BH38">
        <f t="shared" si="18"/>
        <v>31910</v>
      </c>
      <c r="BI38">
        <f>_xlfn.XLOOKUP(B38,'[6]august-2025'!$A:$A,'[6]august-2025'!$C:$C,0,0)</f>
        <v>26200</v>
      </c>
      <c r="BJ38">
        <f t="shared" si="19"/>
        <v>4716</v>
      </c>
      <c r="BK38">
        <f t="shared" si="20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1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>IF($F38="YES",0,IF(BN38&gt;40000,200,IF(BN38&gt;25000,150,IF(BN38&gt;15000,130,IF(BN38&gt;10000,110,0)))))</f>
        <v>150</v>
      </c>
      <c r="BR38">
        <f>BN38-BO38-BP38-BQ38</f>
        <v>31910</v>
      </c>
      <c r="BS38">
        <f>_xlfn.XLOOKUP(B38,'[7]september-2025'!$A:$A,'[7]september-2025'!$C:$C,0,0)</f>
        <v>26200</v>
      </c>
      <c r="BT38">
        <f t="shared" si="22"/>
        <v>4716</v>
      </c>
      <c r="BU38">
        <f t="shared" si="23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>IF(BS38&gt;0,SUM(BS38:BW38),0)</f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24"/>
        <v>150</v>
      </c>
      <c r="CB38">
        <f t="shared" si="25"/>
        <v>31910</v>
      </c>
      <c r="CC38">
        <f>_xlfn.XLOOKUP(B38,'[8]october-2025'!$A:$A,'[8]october-2025'!$C:$C,0,0)</f>
        <v>26200</v>
      </c>
      <c r="CD38">
        <f t="shared" si="26"/>
        <v>4716</v>
      </c>
      <c r="CE38">
        <f t="shared" si="27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>IF(CC38&gt;0,SUM(CC38:CG38),0)</f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28"/>
        <v>150</v>
      </c>
      <c r="CL38">
        <f t="shared" si="29"/>
        <v>31910</v>
      </c>
      <c r="CM38">
        <f>_xlfn.XLOOKUP(B38,'[9]november-2025'!$A:$A,'[9]november-2025'!$C:$C,0,0)</f>
        <v>26200</v>
      </c>
      <c r="CN38">
        <f t="shared" si="30"/>
        <v>4716</v>
      </c>
      <c r="CO38">
        <f t="shared" si="31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>IF(CM38&gt;0,SUM(CM38:CQ38),0)</f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32"/>
        <v>150</v>
      </c>
      <c r="CV38">
        <f t="shared" si="33"/>
        <v>31910</v>
      </c>
      <c r="CW38">
        <f>_xlfn.XLOOKUP(B38,'[10]december-2025'!$A:$A,'[10]december-2025'!$C:$C,0,0)</f>
        <v>26200</v>
      </c>
      <c r="CX38">
        <f t="shared" si="34"/>
        <v>4716</v>
      </c>
      <c r="CY38">
        <f t="shared" si="35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>IF(CW38&gt;0,SUM(CW38:DA38),0)</f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36"/>
        <v>150</v>
      </c>
      <c r="DF38">
        <f t="shared" si="37"/>
        <v>31910</v>
      </c>
      <c r="DG38">
        <f>_xlfn.XLOOKUP(B38,'[11]january-2026'!$A:$A,'[11]january-2026'!$C:$C,0,0)</f>
        <v>26200</v>
      </c>
      <c r="DH38">
        <f t="shared" si="38"/>
        <v>4716</v>
      </c>
      <c r="DI38">
        <f t="shared" si="39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>IF(DG38&gt;0,SUM(DG38:DK38),0)</f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40"/>
        <v>150</v>
      </c>
      <c r="DP38">
        <f t="shared" si="41"/>
        <v>31910</v>
      </c>
      <c r="DQ38">
        <f>_xlfn.XLOOKUP(B38,'[12]february-2026'!$A:$A,'[12]february-2026'!$C:$C,0,0)</f>
        <v>26200</v>
      </c>
      <c r="DR38">
        <f t="shared" si="42"/>
        <v>4716</v>
      </c>
      <c r="DS38">
        <f t="shared" si="43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>IF(DQ38&gt;0,SUM(DQ38:DU38),0)</f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44"/>
        <v>150</v>
      </c>
      <c r="DZ38">
        <f t="shared" si="45"/>
        <v>31910</v>
      </c>
      <c r="EA38">
        <f>_xlfn.XLOOKUP(B38,'[1]march-2025'!$A:$A,'[1]march-2025'!$J:$J,0,0)</f>
        <v>0</v>
      </c>
      <c r="EB38">
        <f>_xlfn.XLOOKUP(B38,'[2]april-2025'!$A:$A,'[2]april-2025'!$J:$J,0,0)</f>
        <v>0</v>
      </c>
      <c r="EC38">
        <f>_xlfn.XLOOKUP(B38,'[3]may-2025'!$A:$A,'[3]may-2025'!$J:$J,0,0)</f>
        <v>0</v>
      </c>
      <c r="ED38">
        <f>_xlfn.XLOOKUP(B38,'[4]june-2025'!$A:$A,'[4]june-2025'!$J:$J,0,0)</f>
        <v>0</v>
      </c>
      <c r="EE38">
        <f>_xlfn.XLOOKUP(B38,'[5]july-2025'!$A:$A,'[5]july-2025'!$J:$J,0,0)</f>
        <v>0</v>
      </c>
      <c r="EF38">
        <f>_xlfn.XLOOKUP(B38,'[6]august-2025'!$A:$A,'[6]august-2025'!$J:$J,0,0)</f>
        <v>0</v>
      </c>
      <c r="EG38">
        <f>_xlfn.XLOOKUP(B38,'[7]september-2025'!$A:$A,'[7]september-2025'!$J:$J,0,0)</f>
        <v>0</v>
      </c>
      <c r="EH38">
        <f>_xlfn.XLOOKUP(B38,'[8]october-2025'!$A:$A,'[8]october-2025'!$J:$J,0,0)</f>
        <v>0</v>
      </c>
      <c r="EI38">
        <f>_xlfn.XLOOKUP(C38,'[9]november-2025'!$A:$A,'[9]november-2025'!$J:$J,0,0)</f>
        <v>0</v>
      </c>
      <c r="EJ38">
        <f>_xlfn.XLOOKUP(B38,'[10]december-2025'!$A:$A,'[10]december-2025'!$J:$J,0,0)</f>
        <v>0</v>
      </c>
      <c r="EK38">
        <f>_xlfn.XLOOKUP(B38,'[11]january-2026'!$A:$A,'[11]january-2026'!$J:$J,0,0)</f>
        <v>0</v>
      </c>
      <c r="EL38">
        <f>_xlfn.XLOOKUP(B38,'[12]february-2026'!$A:$A,'[12]february-2026'!$J:$J,0,0)</f>
        <v>0</v>
      </c>
      <c r="EM38">
        <f t="shared" si="90"/>
        <v>0</v>
      </c>
      <c r="EN38">
        <f>DV38+DL38+DB38+CR38+CH38+BX38+BN38+BD38+AS38+AI38+Y38+O38+H38+I38</f>
        <v>410344</v>
      </c>
      <c r="EO38">
        <f>DY38+DO38+DE38+CU38+CK38+CA38+BQ38+BG38+AV38+AL38+AB38+R38</f>
        <v>1800</v>
      </c>
      <c r="EP38">
        <f t="shared" si="46"/>
        <v>50000</v>
      </c>
      <c r="EQ38">
        <v>0</v>
      </c>
      <c r="ER38">
        <f t="shared" si="91"/>
        <v>358544</v>
      </c>
      <c r="ES38">
        <f>DW38+DM38+DC38+CS38+CI38+BY38+BO38+BE38+AT38+AJ38+Z38+P38</f>
        <v>24000</v>
      </c>
      <c r="ET38">
        <f>DX38+DN38+DD38+CT38+CJ38+BZ38+BP38+BF38+AU38+AK38+AA38+Q38</f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47"/>
        <v>24000</v>
      </c>
      <c r="FF38">
        <f t="shared" si="48"/>
        <v>24000</v>
      </c>
      <c r="FG38">
        <f t="shared" si="49"/>
        <v>334544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>SUM(FH38:FN38)+(IF(F38="YES",50000,0))</f>
        <v>0</v>
      </c>
      <c r="FP38">
        <f t="shared" si="50"/>
        <v>334544</v>
      </c>
      <c r="FQ38">
        <f t="shared" si="51"/>
        <v>4227</v>
      </c>
      <c r="FR38">
        <f t="shared" si="52"/>
        <v>0</v>
      </c>
      <c r="FS38">
        <f t="shared" si="53"/>
        <v>4227</v>
      </c>
      <c r="FT38">
        <f t="shared" si="54"/>
        <v>0</v>
      </c>
      <c r="FU38">
        <f t="shared" si="55"/>
        <v>0</v>
      </c>
      <c r="FV38">
        <f t="shared" si="56"/>
        <v>0</v>
      </c>
      <c r="FW38">
        <v>0</v>
      </c>
      <c r="FX38">
        <f t="shared" si="57"/>
        <v>0</v>
      </c>
      <c r="FY38" t="b">
        <f t="shared" si="58"/>
        <v>0</v>
      </c>
      <c r="FZ38">
        <f t="shared" ca="1" si="59"/>
        <v>2414</v>
      </c>
      <c r="GA38">
        <f t="shared" ca="1" si="60"/>
        <v>412758</v>
      </c>
      <c r="GB38">
        <f t="shared" si="61"/>
        <v>75000</v>
      </c>
      <c r="GC38">
        <f t="shared" ca="1" si="62"/>
        <v>337758</v>
      </c>
      <c r="GD38">
        <f t="shared" ca="1" si="63"/>
        <v>0</v>
      </c>
      <c r="GE38">
        <f t="shared" ca="1" si="64"/>
        <v>0</v>
      </c>
      <c r="GF38">
        <f t="shared" ca="1" si="65"/>
        <v>0</v>
      </c>
      <c r="GG38">
        <f t="shared" ca="1" si="66"/>
        <v>0</v>
      </c>
      <c r="GH38">
        <f t="shared" ca="1" si="67"/>
        <v>0</v>
      </c>
      <c r="GI38">
        <f t="shared" ca="1" si="68"/>
        <v>0</v>
      </c>
      <c r="GJ38">
        <f ca="1">IF(GC38&gt;1200000,GC38-1200000-IF(F38="YES",50000,0)-GH38,0)</f>
        <v>0</v>
      </c>
      <c r="GK38">
        <f t="shared" ca="1" si="69"/>
        <v>0</v>
      </c>
      <c r="GL38">
        <f t="shared" ca="1" si="70"/>
        <v>0</v>
      </c>
      <c r="GM38">
        <f t="shared" ca="1" si="71"/>
        <v>0</v>
      </c>
      <c r="GN38">
        <f t="shared" ca="1" si="72"/>
        <v>0</v>
      </c>
      <c r="GO38">
        <f t="shared" ca="1" si="73"/>
        <v>0</v>
      </c>
      <c r="GP38">
        <f t="shared" ca="1" si="74"/>
        <v>0</v>
      </c>
      <c r="GQ38">
        <f t="shared" ca="1" si="75"/>
        <v>0</v>
      </c>
      <c r="GR38">
        <f t="shared" ca="1" si="76"/>
        <v>0</v>
      </c>
      <c r="GS38">
        <f t="shared" ca="1" si="77"/>
        <v>0</v>
      </c>
      <c r="GT38">
        <f t="shared" ca="1" si="78"/>
        <v>0</v>
      </c>
      <c r="GU38" t="b">
        <f t="shared" ca="1" si="79"/>
        <v>0</v>
      </c>
      <c r="GV38">
        <f t="shared" ca="1" si="80"/>
        <v>0</v>
      </c>
      <c r="GW38">
        <f t="shared" ca="1" si="81"/>
        <v>0</v>
      </c>
      <c r="GX38">
        <f t="shared" ca="1" si="82"/>
        <v>0</v>
      </c>
      <c r="GY38">
        <f t="shared" ca="1" si="83"/>
        <v>0</v>
      </c>
      <c r="GZ38">
        <f t="shared" ca="1" si="84"/>
        <v>0</v>
      </c>
    </row>
    <row r="39" spans="1:208" x14ac:dyDescent="0.25">
      <c r="A39">
        <f>_xlfn.AGGREGATE(3,5,$B$2:B39)</f>
        <v>38</v>
      </c>
      <c r="B39" t="s">
        <v>193</v>
      </c>
      <c r="C39" t="s">
        <v>194</v>
      </c>
      <c r="D39" t="s">
        <v>759</v>
      </c>
      <c r="E39" t="s">
        <v>831</v>
      </c>
      <c r="F39" t="s">
        <v>957</v>
      </c>
      <c r="G39" t="s">
        <v>883</v>
      </c>
      <c r="H39">
        <f t="shared" si="177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>IF(J39&gt;0,SUM(J39:N39),0)</f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85"/>
        <v>150</v>
      </c>
      <c r="S39">
        <f t="shared" si="86"/>
        <v>36764</v>
      </c>
      <c r="T39">
        <f>_xlfn.XLOOKUP(B39,'[2]april-2025'!$A:$A,'[2]april-2025'!$C:$C,0,0)</f>
        <v>28900</v>
      </c>
      <c r="U39">
        <f t="shared" si="3"/>
        <v>5202</v>
      </c>
      <c r="V39">
        <f t="shared" si="4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87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5"/>
        <v>150</v>
      </c>
      <c r="AC39">
        <f t="shared" si="6"/>
        <v>37920</v>
      </c>
      <c r="AD39">
        <f>_xlfn.XLOOKUP(B39,'[3]may-2025'!$A:$A,'[3]may-2025'!$C:$C,0,0)</f>
        <v>28900</v>
      </c>
      <c r="AE39">
        <f t="shared" si="7"/>
        <v>5202</v>
      </c>
      <c r="AF39">
        <f t="shared" si="8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88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9"/>
        <v>150</v>
      </c>
      <c r="AM39">
        <f t="shared" si="10"/>
        <v>37920</v>
      </c>
      <c r="AN39">
        <f>_xlfn.XLOOKUP(B39,'[4]june-2025'!$A:$A,'[4]june-2025'!$C:$C,0,0)</f>
        <v>28900</v>
      </c>
      <c r="AO39">
        <f t="shared" si="11"/>
        <v>5202</v>
      </c>
      <c r="AP39">
        <f t="shared" si="12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89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3"/>
        <v>150</v>
      </c>
      <c r="AW39">
        <f t="shared" si="14"/>
        <v>37920</v>
      </c>
      <c r="AX39">
        <f>_xlfn.XLOOKUP(B39,'[5]july-2025'!$A:$A,'[5]july-2025'!$C:$C,0,0)</f>
        <v>29800</v>
      </c>
      <c r="AY39">
        <f t="shared" si="15"/>
        <v>5364</v>
      </c>
      <c r="AZ39">
        <v>0</v>
      </c>
      <c r="BA39">
        <f t="shared" si="16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>IF(AX39&gt;0,SUM(AX39:BC39),0)</f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17"/>
        <v>150</v>
      </c>
      <c r="BH39">
        <f t="shared" si="18"/>
        <v>39090</v>
      </c>
      <c r="BI39">
        <f>_xlfn.XLOOKUP(B39,'[6]august-2025'!$A:$A,'[6]august-2025'!$C:$C,0,0)</f>
        <v>29800</v>
      </c>
      <c r="BJ39">
        <f t="shared" si="19"/>
        <v>5364</v>
      </c>
      <c r="BK39">
        <f t="shared" si="20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1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>IF($F39="YES",0,IF(BN39&gt;40000,200,IF(BN39&gt;25000,150,IF(BN39&gt;15000,130,IF(BN39&gt;10000,110,0)))))</f>
        <v>150</v>
      </c>
      <c r="BR39">
        <f>BN39-BO39-BP39-BQ39</f>
        <v>39090</v>
      </c>
      <c r="BS39">
        <f>_xlfn.XLOOKUP(B39,'[7]september-2025'!$A:$A,'[7]september-2025'!$C:$C,0,0)</f>
        <v>29800</v>
      </c>
      <c r="BT39">
        <f t="shared" si="22"/>
        <v>5364</v>
      </c>
      <c r="BU39">
        <f t="shared" si="23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>IF(BS39&gt;0,SUM(BS39:BW39),0)</f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24"/>
        <v>150</v>
      </c>
      <c r="CB39">
        <f t="shared" si="25"/>
        <v>37090</v>
      </c>
      <c r="CC39">
        <f>_xlfn.XLOOKUP(B39,'[8]october-2025'!$A:$A,'[8]october-2025'!$C:$C,0,0)</f>
        <v>29800</v>
      </c>
      <c r="CD39">
        <f t="shared" si="26"/>
        <v>5364</v>
      </c>
      <c r="CE39">
        <f t="shared" si="27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>IF(CC39&gt;0,SUM(CC39:CG39),0)</f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28"/>
        <v>150</v>
      </c>
      <c r="CL39">
        <f t="shared" si="29"/>
        <v>37090</v>
      </c>
      <c r="CM39">
        <f>_xlfn.XLOOKUP(B39,'[9]november-2025'!$A:$A,'[9]november-2025'!$C:$C,0,0)</f>
        <v>29800</v>
      </c>
      <c r="CN39">
        <f t="shared" si="30"/>
        <v>5364</v>
      </c>
      <c r="CO39">
        <f t="shared" si="31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>IF(CM39&gt;0,SUM(CM39:CQ39),0)</f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32"/>
        <v>150</v>
      </c>
      <c r="CV39">
        <f t="shared" si="33"/>
        <v>37090</v>
      </c>
      <c r="CW39">
        <f>_xlfn.XLOOKUP(B39,'[10]december-2025'!$A:$A,'[10]december-2025'!$C:$C,0,0)</f>
        <v>29800</v>
      </c>
      <c r="CX39">
        <f t="shared" si="34"/>
        <v>5364</v>
      </c>
      <c r="CY39">
        <f t="shared" si="35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>IF(CW39&gt;0,SUM(CW39:DA39),0)</f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36"/>
        <v>150</v>
      </c>
      <c r="DF39">
        <f t="shared" si="37"/>
        <v>37090</v>
      </c>
      <c r="DG39">
        <f>_xlfn.XLOOKUP(B39,'[11]january-2026'!$A:$A,'[11]january-2026'!$C:$C,0,0)</f>
        <v>29800</v>
      </c>
      <c r="DH39">
        <f t="shared" si="38"/>
        <v>5364</v>
      </c>
      <c r="DI39">
        <f t="shared" si="39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>IF(DG39&gt;0,SUM(DG39:DK39),0)</f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40"/>
        <v>150</v>
      </c>
      <c r="DP39">
        <f t="shared" si="41"/>
        <v>37090</v>
      </c>
      <c r="DQ39">
        <f>_xlfn.XLOOKUP(B39,'[12]february-2026'!$A:$A,'[12]february-2026'!$C:$C,0,0)</f>
        <v>29800</v>
      </c>
      <c r="DR39">
        <f t="shared" si="42"/>
        <v>5364</v>
      </c>
      <c r="DS39">
        <f t="shared" si="43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>IF(DQ39&gt;0,SUM(DQ39:DU39),0)</f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44"/>
        <v>150</v>
      </c>
      <c r="DZ39">
        <f t="shared" si="45"/>
        <v>37090</v>
      </c>
      <c r="EA39">
        <f>_xlfn.XLOOKUP(B39,'[1]march-2025'!$A:$A,'[1]march-2025'!$J:$J,0,0)</f>
        <v>0</v>
      </c>
      <c r="EB39">
        <f>_xlfn.XLOOKUP(B39,'[2]april-2025'!$A:$A,'[2]april-2025'!$J:$J,0,0)</f>
        <v>0</v>
      </c>
      <c r="EC39">
        <f>_xlfn.XLOOKUP(B39,'[3]may-2025'!$A:$A,'[3]may-2025'!$J:$J,0,0)</f>
        <v>71100</v>
      </c>
      <c r="ED39">
        <f>_xlfn.XLOOKUP(B39,'[4]june-2025'!$A:$A,'[4]june-2025'!$J:$J,0,0)</f>
        <v>0</v>
      </c>
      <c r="EE39">
        <f>_xlfn.XLOOKUP(B39,'[5]july-2025'!$A:$A,'[5]july-2025'!$J:$J,0,0)</f>
        <v>0</v>
      </c>
      <c r="EF39">
        <f>_xlfn.XLOOKUP(B39,'[6]august-2025'!$A:$A,'[6]august-2025'!$J:$J,0,0)</f>
        <v>0</v>
      </c>
      <c r="EG39">
        <f>_xlfn.XLOOKUP(B39,'[7]september-2025'!$A:$A,'[7]september-2025'!$J:$J,0,0)</f>
        <v>0</v>
      </c>
      <c r="EH39">
        <f>_xlfn.XLOOKUP(B39,'[8]october-2025'!$A:$A,'[8]october-2025'!$J:$J,0,0)</f>
        <v>0</v>
      </c>
      <c r="EI39">
        <f>_xlfn.XLOOKUP(C39,'[9]november-2025'!$A:$A,'[9]november-2025'!$J:$J,0,0)</f>
        <v>0</v>
      </c>
      <c r="EJ39">
        <f>_xlfn.XLOOKUP(B39,'[10]december-2025'!$A:$A,'[10]december-2025'!$J:$J,0,0)</f>
        <v>0</v>
      </c>
      <c r="EK39">
        <f>_xlfn.XLOOKUP(B39,'[11]january-2026'!$A:$A,'[11]january-2026'!$J:$J,0,0)</f>
        <v>0</v>
      </c>
      <c r="EL39">
        <f>_xlfn.XLOOKUP(B39,'[12]february-2026'!$A:$A,'[12]february-2026'!$J:$J,0,0)</f>
        <v>0</v>
      </c>
      <c r="EM39">
        <f t="shared" si="90"/>
        <v>71100</v>
      </c>
      <c r="EN39">
        <f>DV39+DL39+DB39+CR39+CH39+BX39+BN39+BD39+AS39+AI39+Y39+O39+H39+I39</f>
        <v>471844</v>
      </c>
      <c r="EO39">
        <f>DY39+DO39+DE39+CU39+CK39+CA39+BQ39+BG39+AV39+AL39+AB39+R39</f>
        <v>1800</v>
      </c>
      <c r="EP39">
        <f t="shared" si="46"/>
        <v>50000</v>
      </c>
      <c r="EQ39">
        <v>0</v>
      </c>
      <c r="ER39">
        <f t="shared" si="91"/>
        <v>491144</v>
      </c>
      <c r="ES39">
        <f>DW39+DM39+DC39+CS39+CI39+BY39+BO39+BE39+AT39+AJ39+Z39+P39</f>
        <v>12000</v>
      </c>
      <c r="ET39">
        <f>DX39+DN39+DD39+CT39+CJ39+BZ39+BP39+BF39+AU39+AK39+AA39+Q39</f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47"/>
        <v>12000</v>
      </c>
      <c r="FF39">
        <f t="shared" si="48"/>
        <v>12000</v>
      </c>
      <c r="FG39">
        <f t="shared" si="49"/>
        <v>479144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>SUM(FH39:FN39)+(IF(F39="YES",50000,0))</f>
        <v>0</v>
      </c>
      <c r="FP39">
        <f t="shared" si="50"/>
        <v>479144</v>
      </c>
      <c r="FQ39">
        <f t="shared" si="51"/>
        <v>11457</v>
      </c>
      <c r="FR39">
        <f t="shared" si="52"/>
        <v>0</v>
      </c>
      <c r="FS39">
        <f t="shared" si="53"/>
        <v>11457</v>
      </c>
      <c r="FT39">
        <f t="shared" si="54"/>
        <v>0</v>
      </c>
      <c r="FU39">
        <f t="shared" si="55"/>
        <v>0</v>
      </c>
      <c r="FV39">
        <f t="shared" si="56"/>
        <v>0</v>
      </c>
      <c r="FW39">
        <v>0</v>
      </c>
      <c r="FX39">
        <f t="shared" si="57"/>
        <v>0</v>
      </c>
      <c r="FY39" t="b">
        <f t="shared" si="58"/>
        <v>0</v>
      </c>
      <c r="FZ39">
        <f t="shared" ca="1" si="59"/>
        <v>1517</v>
      </c>
      <c r="GA39">
        <f t="shared" ca="1" si="60"/>
        <v>473361</v>
      </c>
      <c r="GB39">
        <f t="shared" si="61"/>
        <v>75000</v>
      </c>
      <c r="GC39">
        <f t="shared" ca="1" si="62"/>
        <v>398361</v>
      </c>
      <c r="GD39">
        <f t="shared" ca="1" si="63"/>
        <v>0</v>
      </c>
      <c r="GE39">
        <f t="shared" ca="1" si="64"/>
        <v>0</v>
      </c>
      <c r="GF39">
        <f t="shared" ca="1" si="65"/>
        <v>0</v>
      </c>
      <c r="GG39">
        <f t="shared" ca="1" si="66"/>
        <v>0</v>
      </c>
      <c r="GH39">
        <f t="shared" ca="1" si="67"/>
        <v>0</v>
      </c>
      <c r="GI39">
        <f t="shared" ca="1" si="68"/>
        <v>0</v>
      </c>
      <c r="GJ39">
        <f ca="1">IF(GC39&gt;1200000,GC39-1200000-IF(F39="YES",50000,0)-GH39,0)</f>
        <v>0</v>
      </c>
      <c r="GK39">
        <f t="shared" ca="1" si="69"/>
        <v>0</v>
      </c>
      <c r="GL39">
        <f t="shared" ca="1" si="70"/>
        <v>0</v>
      </c>
      <c r="GM39">
        <f t="shared" ca="1" si="71"/>
        <v>0</v>
      </c>
      <c r="GN39">
        <f t="shared" ca="1" si="72"/>
        <v>0</v>
      </c>
      <c r="GO39">
        <f t="shared" ca="1" si="73"/>
        <v>0</v>
      </c>
      <c r="GP39">
        <f t="shared" ca="1" si="74"/>
        <v>0</v>
      </c>
      <c r="GQ39">
        <f t="shared" ca="1" si="75"/>
        <v>0</v>
      </c>
      <c r="GR39">
        <f t="shared" ca="1" si="76"/>
        <v>0</v>
      </c>
      <c r="GS39">
        <f t="shared" ca="1" si="77"/>
        <v>0</v>
      </c>
      <c r="GT39">
        <f t="shared" ca="1" si="78"/>
        <v>0</v>
      </c>
      <c r="GU39" t="b">
        <f t="shared" ca="1" si="79"/>
        <v>0</v>
      </c>
      <c r="GV39">
        <f t="shared" ca="1" si="80"/>
        <v>0</v>
      </c>
      <c r="GW39">
        <f t="shared" ca="1" si="81"/>
        <v>0</v>
      </c>
      <c r="GX39">
        <f t="shared" ca="1" si="82"/>
        <v>0</v>
      </c>
      <c r="GY39">
        <f t="shared" ca="1" si="83"/>
        <v>0</v>
      </c>
      <c r="GZ39">
        <f t="shared" ca="1" si="84"/>
        <v>0</v>
      </c>
    </row>
    <row r="40" spans="1:208" x14ac:dyDescent="0.25">
      <c r="A40">
        <f>_xlfn.AGGREGATE(3,5,$B$2:B40)</f>
        <v>39</v>
      </c>
      <c r="B40" t="s">
        <v>195</v>
      </c>
      <c r="C40" t="s">
        <v>196</v>
      </c>
      <c r="D40" t="s">
        <v>760</v>
      </c>
      <c r="E40" t="s">
        <v>833</v>
      </c>
      <c r="F40" t="s">
        <v>957</v>
      </c>
      <c r="G40" t="s">
        <v>895</v>
      </c>
      <c r="H40">
        <f t="shared" si="177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>IF(J40&gt;0,SUM(J40:N40),0)</f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85"/>
        <v>200</v>
      </c>
      <c r="S40">
        <f t="shared" si="86"/>
        <v>65504</v>
      </c>
      <c r="T40">
        <f>_xlfn.XLOOKUP(B40,'[2]april-2025'!$A:$A,'[2]april-2025'!$C:$C,0,0)</f>
        <v>55400</v>
      </c>
      <c r="U40">
        <f t="shared" si="3"/>
        <v>9972</v>
      </c>
      <c r="V40">
        <f t="shared" si="4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87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5"/>
        <v>200</v>
      </c>
      <c r="AC40">
        <f t="shared" si="6"/>
        <v>67720</v>
      </c>
      <c r="AD40">
        <f>_xlfn.XLOOKUP(B40,'[3]may-2025'!$A:$A,'[3]may-2025'!$C:$C,0,0)</f>
        <v>55400</v>
      </c>
      <c r="AE40">
        <f t="shared" si="7"/>
        <v>9972</v>
      </c>
      <c r="AF40">
        <f t="shared" si="8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88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9"/>
        <v>200</v>
      </c>
      <c r="AM40">
        <f t="shared" si="10"/>
        <v>67720</v>
      </c>
      <c r="AN40">
        <f>_xlfn.XLOOKUP(B40,'[4]june-2025'!$A:$A,'[4]june-2025'!$C:$C,0,0)</f>
        <v>55400</v>
      </c>
      <c r="AO40">
        <f t="shared" si="11"/>
        <v>9972</v>
      </c>
      <c r="AP40">
        <f t="shared" si="12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89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3"/>
        <v>200</v>
      </c>
      <c r="AW40">
        <f t="shared" si="14"/>
        <v>67720</v>
      </c>
      <c r="AX40">
        <f>_xlfn.XLOOKUP(B40,'[5]july-2025'!$A:$A,'[5]july-2025'!$C:$C,0,0)</f>
        <v>57100</v>
      </c>
      <c r="AY40">
        <f t="shared" si="15"/>
        <v>10278</v>
      </c>
      <c r="AZ40">
        <v>0</v>
      </c>
      <c r="BA40">
        <f t="shared" si="16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>IF(AX40&gt;0,SUM(AX40:BC40),0)</f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17"/>
        <v>200</v>
      </c>
      <c r="BH40">
        <f t="shared" si="18"/>
        <v>69930</v>
      </c>
      <c r="BI40">
        <f>_xlfn.XLOOKUP(B40,'[6]august-2025'!$A:$A,'[6]august-2025'!$C:$C,0,0)</f>
        <v>57100</v>
      </c>
      <c r="BJ40">
        <f t="shared" si="19"/>
        <v>10278</v>
      </c>
      <c r="BK40">
        <f t="shared" si="20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1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>IF($F40="YES",0,IF(BN40&gt;40000,200,IF(BN40&gt;25000,150,IF(BN40&gt;15000,130,IF(BN40&gt;10000,110,0)))))</f>
        <v>200</v>
      </c>
      <c r="BR40">
        <f>BN40-BO40-BP40-BQ40</f>
        <v>69930</v>
      </c>
      <c r="BS40">
        <f>_xlfn.XLOOKUP(B40,'[7]september-2025'!$A:$A,'[7]september-2025'!$C:$C,0,0)</f>
        <v>57100</v>
      </c>
      <c r="BT40">
        <f t="shared" si="22"/>
        <v>10278</v>
      </c>
      <c r="BU40">
        <f t="shared" si="23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>IF(BS40&gt;0,SUM(BS40:BW40),0)</f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24"/>
        <v>200</v>
      </c>
      <c r="CB40">
        <f t="shared" si="25"/>
        <v>69930</v>
      </c>
      <c r="CC40">
        <f>_xlfn.XLOOKUP(B40,'[8]october-2025'!$A:$A,'[8]october-2025'!$C:$C,0,0)</f>
        <v>57100</v>
      </c>
      <c r="CD40">
        <f t="shared" si="26"/>
        <v>10278</v>
      </c>
      <c r="CE40">
        <f t="shared" si="27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>IF(CC40&gt;0,SUM(CC40:CG40),0)</f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28"/>
        <v>200</v>
      </c>
      <c r="CL40">
        <f t="shared" si="29"/>
        <v>69930</v>
      </c>
      <c r="CM40">
        <f>_xlfn.XLOOKUP(B40,'[9]november-2025'!$A:$A,'[9]november-2025'!$C:$C,0,0)</f>
        <v>57100</v>
      </c>
      <c r="CN40">
        <f t="shared" si="30"/>
        <v>10278</v>
      </c>
      <c r="CO40">
        <f t="shared" si="31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>IF(CM40&gt;0,SUM(CM40:CQ40),0)</f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32"/>
        <v>200</v>
      </c>
      <c r="CV40">
        <f t="shared" si="33"/>
        <v>69930</v>
      </c>
      <c r="CW40">
        <f>_xlfn.XLOOKUP(B40,'[10]december-2025'!$A:$A,'[10]december-2025'!$C:$C,0,0)</f>
        <v>57100</v>
      </c>
      <c r="CX40">
        <f t="shared" si="34"/>
        <v>10278</v>
      </c>
      <c r="CY40">
        <f t="shared" si="35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>IF(CW40&gt;0,SUM(CW40:DA40),0)</f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36"/>
        <v>200</v>
      </c>
      <c r="DF40">
        <f t="shared" si="37"/>
        <v>69930</v>
      </c>
      <c r="DG40">
        <f>_xlfn.XLOOKUP(B40,'[11]january-2026'!$A:$A,'[11]january-2026'!$C:$C,0,0)</f>
        <v>57100</v>
      </c>
      <c r="DH40">
        <f t="shared" si="38"/>
        <v>10278</v>
      </c>
      <c r="DI40">
        <f t="shared" si="39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>IF(DG40&gt;0,SUM(DG40:DK40),0)</f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40"/>
        <v>200</v>
      </c>
      <c r="DP40">
        <f t="shared" si="41"/>
        <v>69930</v>
      </c>
      <c r="DQ40">
        <f>_xlfn.XLOOKUP(B40,'[12]february-2026'!$A:$A,'[12]february-2026'!$C:$C,0,0)</f>
        <v>57100</v>
      </c>
      <c r="DR40">
        <f t="shared" si="42"/>
        <v>10278</v>
      </c>
      <c r="DS40">
        <f t="shared" si="43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>IF(DQ40&gt;0,SUM(DQ40:DU40),0)</f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44"/>
        <v>200</v>
      </c>
      <c r="DZ40">
        <f t="shared" si="45"/>
        <v>69930</v>
      </c>
      <c r="EA40">
        <f>_xlfn.XLOOKUP(B40,'[1]march-2025'!$A:$A,'[1]march-2025'!$J:$J,0,0)</f>
        <v>0</v>
      </c>
      <c r="EB40">
        <f>_xlfn.XLOOKUP(B40,'[2]april-2025'!$A:$A,'[2]april-2025'!$J:$J,0,0)</f>
        <v>0</v>
      </c>
      <c r="EC40">
        <f>_xlfn.XLOOKUP(B40,'[3]may-2025'!$A:$A,'[3]may-2025'!$J:$J,0,0)</f>
        <v>0</v>
      </c>
      <c r="ED40">
        <f>_xlfn.XLOOKUP(B40,'[4]june-2025'!$A:$A,'[4]june-2025'!$J:$J,0,0)</f>
        <v>0</v>
      </c>
      <c r="EE40">
        <f>_xlfn.XLOOKUP(B40,'[5]july-2025'!$A:$A,'[5]july-2025'!$J:$J,0,0)</f>
        <v>0</v>
      </c>
      <c r="EF40">
        <f>_xlfn.XLOOKUP(B40,'[6]august-2025'!$A:$A,'[6]august-2025'!$J:$J,0,0)</f>
        <v>0</v>
      </c>
      <c r="EG40">
        <f>_xlfn.XLOOKUP(B40,'[7]september-2025'!$A:$A,'[7]september-2025'!$J:$J,0,0)</f>
        <v>0</v>
      </c>
      <c r="EH40">
        <f>_xlfn.XLOOKUP(B40,'[8]october-2025'!$A:$A,'[8]october-2025'!$J:$J,0,0)</f>
        <v>0</v>
      </c>
      <c r="EI40">
        <f>_xlfn.XLOOKUP(C40,'[9]november-2025'!$A:$A,'[9]november-2025'!$J:$J,0,0)</f>
        <v>0</v>
      </c>
      <c r="EJ40">
        <f>_xlfn.XLOOKUP(B40,'[10]december-2025'!$A:$A,'[10]december-2025'!$J:$J,0,0)</f>
        <v>0</v>
      </c>
      <c r="EK40">
        <f>_xlfn.XLOOKUP(B40,'[11]january-2026'!$A:$A,'[11]january-2026'!$J:$J,0,0)</f>
        <v>0</v>
      </c>
      <c r="EL40">
        <f>_xlfn.XLOOKUP(B40,'[12]february-2026'!$A:$A,'[12]february-2026'!$J:$J,0,0)</f>
        <v>0</v>
      </c>
      <c r="EM40">
        <f t="shared" si="90"/>
        <v>0</v>
      </c>
      <c r="EN40">
        <f>DV40+DL40+DB40+CR40+CH40+BX40+BN40+BD40+AS40+AI40+Y40+O40+H40+I40</f>
        <v>897304</v>
      </c>
      <c r="EO40">
        <f>DY40+DO40+DE40+CU40+CK40+CA40+BQ40+BG40+AV40+AL40+AB40+R40</f>
        <v>2400</v>
      </c>
      <c r="EP40">
        <f t="shared" si="46"/>
        <v>50000</v>
      </c>
      <c r="EQ40">
        <v>0</v>
      </c>
      <c r="ER40">
        <f t="shared" si="91"/>
        <v>844904</v>
      </c>
      <c r="ES40">
        <f>DW40+DM40+DC40+CS40+CI40+BY40+BO40+BE40+AT40+AJ40+Z40+P40</f>
        <v>60000</v>
      </c>
      <c r="ET40">
        <f>DX40+DN40+DD40+CT40+CJ40+BZ40+BP40+BF40+AU40+AK40+AA40+Q40</f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47"/>
        <v>60000</v>
      </c>
      <c r="FF40">
        <f t="shared" si="48"/>
        <v>60000</v>
      </c>
      <c r="FG40">
        <f t="shared" si="49"/>
        <v>784904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>SUM(FH40:FN40)+(IF(F40="YES",50000,0))</f>
        <v>0</v>
      </c>
      <c r="FP40">
        <f t="shared" si="50"/>
        <v>784904</v>
      </c>
      <c r="FQ40">
        <f t="shared" si="51"/>
        <v>12500</v>
      </c>
      <c r="FR40">
        <f t="shared" si="52"/>
        <v>56981</v>
      </c>
      <c r="FS40">
        <f t="shared" si="53"/>
        <v>69481</v>
      </c>
      <c r="FT40">
        <f t="shared" si="54"/>
        <v>69481</v>
      </c>
      <c r="FU40">
        <f t="shared" si="55"/>
        <v>2779.2400000000002</v>
      </c>
      <c r="FV40">
        <f t="shared" si="56"/>
        <v>72260</v>
      </c>
      <c r="FW40">
        <v>0</v>
      </c>
      <c r="FX40">
        <f t="shared" si="57"/>
        <v>72260</v>
      </c>
      <c r="FY40" t="b">
        <f t="shared" si="58"/>
        <v>1</v>
      </c>
      <c r="FZ40">
        <f t="shared" ca="1" si="59"/>
        <v>768</v>
      </c>
      <c r="GA40">
        <f t="shared" ca="1" si="60"/>
        <v>898072</v>
      </c>
      <c r="GB40">
        <f t="shared" si="61"/>
        <v>75000</v>
      </c>
      <c r="GC40">
        <f t="shared" ca="1" si="62"/>
        <v>823072</v>
      </c>
      <c r="GD40">
        <f t="shared" ca="1" si="63"/>
        <v>0</v>
      </c>
      <c r="GE40">
        <f t="shared" ca="1" si="64"/>
        <v>0</v>
      </c>
      <c r="GF40">
        <f t="shared" ca="1" si="65"/>
        <v>0</v>
      </c>
      <c r="GG40">
        <f t="shared" ca="1" si="66"/>
        <v>0</v>
      </c>
      <c r="GH40">
        <f t="shared" ca="1" si="67"/>
        <v>0</v>
      </c>
      <c r="GI40">
        <f t="shared" ca="1" si="68"/>
        <v>0</v>
      </c>
      <c r="GJ40">
        <f ca="1">IF(GC40&gt;1200000,GC40-1200000-IF(F40="YES",50000,0)-GH40,0)</f>
        <v>0</v>
      </c>
      <c r="GK40">
        <f t="shared" ca="1" si="69"/>
        <v>0</v>
      </c>
      <c r="GL40">
        <f t="shared" ca="1" si="70"/>
        <v>23072</v>
      </c>
      <c r="GM40">
        <f t="shared" ca="1" si="71"/>
        <v>2307.2000000000003</v>
      </c>
      <c r="GN40">
        <f t="shared" ca="1" si="72"/>
        <v>400000</v>
      </c>
      <c r="GO40">
        <f t="shared" ca="1" si="73"/>
        <v>20000</v>
      </c>
      <c r="GP40">
        <f t="shared" ca="1" si="74"/>
        <v>22307</v>
      </c>
      <c r="GQ40">
        <f t="shared" ca="1" si="75"/>
        <v>0</v>
      </c>
      <c r="GR40">
        <f t="shared" ca="1" si="76"/>
        <v>0</v>
      </c>
      <c r="GS40">
        <f t="shared" ca="1" si="77"/>
        <v>22307</v>
      </c>
      <c r="GT40">
        <f t="shared" ca="1" si="78"/>
        <v>0</v>
      </c>
      <c r="GU40" t="b">
        <f t="shared" ca="1" si="79"/>
        <v>0</v>
      </c>
      <c r="GV40">
        <f t="shared" ca="1" si="80"/>
        <v>0</v>
      </c>
      <c r="GW40">
        <f t="shared" ca="1" si="81"/>
        <v>22307</v>
      </c>
      <c r="GX40">
        <f t="shared" ca="1" si="82"/>
        <v>0</v>
      </c>
      <c r="GY40">
        <f t="shared" ca="1" si="83"/>
        <v>0</v>
      </c>
      <c r="GZ40">
        <f t="shared" ca="1" si="84"/>
        <v>0</v>
      </c>
    </row>
    <row r="41" spans="1:208" x14ac:dyDescent="0.25">
      <c r="A41">
        <f>_xlfn.AGGREGATE(3,5,$B$2:B41)</f>
        <v>40</v>
      </c>
      <c r="B41" t="s">
        <v>197</v>
      </c>
      <c r="C41" t="s">
        <v>198</v>
      </c>
      <c r="D41" t="s">
        <v>760</v>
      </c>
      <c r="E41" t="s">
        <v>831</v>
      </c>
      <c r="F41" t="s">
        <v>957</v>
      </c>
      <c r="G41" t="s">
        <v>881</v>
      </c>
      <c r="H41">
        <f t="shared" si="177"/>
        <v>6800</v>
      </c>
      <c r="I41">
        <f>_xlfn.XLOOKUP(B41,'[1]march-2025'!$A:$A,'[1]march-2025'!$J:$J,0,0)</f>
        <v>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>IF(J41&gt;0,SUM(J41:N41),0)</f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85"/>
        <v>150</v>
      </c>
      <c r="S41">
        <f t="shared" si="86"/>
        <v>34764</v>
      </c>
      <c r="T41">
        <f>_xlfn.XLOOKUP(B41,'[2]april-2025'!$A:$A,'[2]april-2025'!$C:$C,0,0)</f>
        <v>28900</v>
      </c>
      <c r="U41">
        <f t="shared" si="3"/>
        <v>5202</v>
      </c>
      <c r="V41">
        <f t="shared" si="4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87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5"/>
        <v>150</v>
      </c>
      <c r="AC41">
        <f t="shared" si="6"/>
        <v>35920</v>
      </c>
      <c r="AD41">
        <f>_xlfn.XLOOKUP(B41,'[3]may-2025'!$A:$A,'[3]may-2025'!$C:$C,0,0)</f>
        <v>28900</v>
      </c>
      <c r="AE41">
        <f t="shared" si="7"/>
        <v>5202</v>
      </c>
      <c r="AF41">
        <f t="shared" si="8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88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9"/>
        <v>150</v>
      </c>
      <c r="AM41">
        <f t="shared" si="10"/>
        <v>35920</v>
      </c>
      <c r="AN41">
        <f>_xlfn.XLOOKUP(B41,'[4]june-2025'!$A:$A,'[4]june-2025'!$C:$C,0,0)</f>
        <v>28900</v>
      </c>
      <c r="AO41">
        <f t="shared" si="11"/>
        <v>5202</v>
      </c>
      <c r="AP41">
        <f t="shared" si="12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89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3"/>
        <v>150</v>
      </c>
      <c r="AW41">
        <f t="shared" si="14"/>
        <v>35920</v>
      </c>
      <c r="AX41">
        <f>_xlfn.XLOOKUP(B41,'[5]july-2025'!$A:$A,'[5]july-2025'!$C:$C,0,0)</f>
        <v>29800</v>
      </c>
      <c r="AY41">
        <f t="shared" si="15"/>
        <v>5364</v>
      </c>
      <c r="AZ41">
        <v>0</v>
      </c>
      <c r="BA41">
        <f t="shared" si="16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>IF(AX41&gt;0,SUM(AX41:BC41),0)</f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17"/>
        <v>150</v>
      </c>
      <c r="BH41">
        <f t="shared" si="18"/>
        <v>37090</v>
      </c>
      <c r="BI41">
        <f>_xlfn.XLOOKUP(B41,'[6]august-2025'!$A:$A,'[6]august-2025'!$C:$C,0,0)</f>
        <v>29800</v>
      </c>
      <c r="BJ41">
        <f t="shared" si="19"/>
        <v>5364</v>
      </c>
      <c r="BK41">
        <f t="shared" si="20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1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>IF($F41="YES",0,IF(BN41&gt;40000,200,IF(BN41&gt;25000,150,IF(BN41&gt;15000,130,IF(BN41&gt;10000,110,0)))))</f>
        <v>150</v>
      </c>
      <c r="BR41">
        <f>BN41-BO41-BP41-BQ41</f>
        <v>37090</v>
      </c>
      <c r="BS41">
        <f>_xlfn.XLOOKUP(B41,'[7]september-2025'!$A:$A,'[7]september-2025'!$C:$C,0,0)</f>
        <v>29800</v>
      </c>
      <c r="BT41">
        <f t="shared" si="22"/>
        <v>5364</v>
      </c>
      <c r="BU41">
        <f t="shared" si="23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>IF(BS41&gt;0,SUM(BS41:BW41),0)</f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24"/>
        <v>150</v>
      </c>
      <c r="CB41">
        <f t="shared" si="25"/>
        <v>37090</v>
      </c>
      <c r="CC41">
        <f>_xlfn.XLOOKUP(B41,'[8]october-2025'!$A:$A,'[8]october-2025'!$C:$C,0,0)</f>
        <v>29800</v>
      </c>
      <c r="CD41">
        <f t="shared" si="26"/>
        <v>5364</v>
      </c>
      <c r="CE41">
        <f t="shared" si="27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>IF(CC41&gt;0,SUM(CC41:CG41),0)</f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28"/>
        <v>150</v>
      </c>
      <c r="CL41">
        <f t="shared" si="29"/>
        <v>37090</v>
      </c>
      <c r="CM41">
        <f>_xlfn.XLOOKUP(B41,'[9]november-2025'!$A:$A,'[9]november-2025'!$C:$C,0,0)</f>
        <v>29800</v>
      </c>
      <c r="CN41">
        <f t="shared" si="30"/>
        <v>5364</v>
      </c>
      <c r="CO41">
        <f t="shared" si="31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>IF(CM41&gt;0,SUM(CM41:CQ41),0)</f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32"/>
        <v>150</v>
      </c>
      <c r="CV41">
        <f t="shared" si="33"/>
        <v>37090</v>
      </c>
      <c r="CW41">
        <f>_xlfn.XLOOKUP(B41,'[10]december-2025'!$A:$A,'[10]december-2025'!$C:$C,0,0)</f>
        <v>29800</v>
      </c>
      <c r="CX41">
        <f t="shared" si="34"/>
        <v>5364</v>
      </c>
      <c r="CY41">
        <f t="shared" si="35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>IF(CW41&gt;0,SUM(CW41:DA41),0)</f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36"/>
        <v>150</v>
      </c>
      <c r="DF41">
        <f t="shared" si="37"/>
        <v>37090</v>
      </c>
      <c r="DG41">
        <f>_xlfn.XLOOKUP(B41,'[11]january-2026'!$A:$A,'[11]january-2026'!$C:$C,0,0)</f>
        <v>29800</v>
      </c>
      <c r="DH41">
        <f t="shared" si="38"/>
        <v>5364</v>
      </c>
      <c r="DI41">
        <f t="shared" si="39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>IF(DG41&gt;0,SUM(DG41:DK41),0)</f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40"/>
        <v>150</v>
      </c>
      <c r="DP41">
        <f t="shared" si="41"/>
        <v>37090</v>
      </c>
      <c r="DQ41">
        <f>_xlfn.XLOOKUP(B41,'[12]february-2026'!$A:$A,'[12]february-2026'!$C:$C,0,0)</f>
        <v>29800</v>
      </c>
      <c r="DR41">
        <f t="shared" si="42"/>
        <v>5364</v>
      </c>
      <c r="DS41">
        <f t="shared" si="43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>IF(DQ41&gt;0,SUM(DQ41:DU41),0)</f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44"/>
        <v>150</v>
      </c>
      <c r="DZ41">
        <f t="shared" si="45"/>
        <v>37090</v>
      </c>
      <c r="EA41">
        <f>_xlfn.XLOOKUP(B41,'[1]march-2025'!$A:$A,'[1]march-2025'!$J:$J,0,0)</f>
        <v>0</v>
      </c>
      <c r="EB41">
        <f>_xlfn.XLOOKUP(B41,'[2]april-2025'!$A:$A,'[2]april-2025'!$J:$J,0,0)</f>
        <v>0</v>
      </c>
      <c r="EC41">
        <f>_xlfn.XLOOKUP(B41,'[3]may-2025'!$A:$A,'[3]may-2025'!$J:$J,0,0)</f>
        <v>61490</v>
      </c>
      <c r="ED41">
        <f>_xlfn.XLOOKUP(B41,'[4]june-2025'!$A:$A,'[4]june-2025'!$J:$J,0,0)</f>
        <v>0</v>
      </c>
      <c r="EE41">
        <f>_xlfn.XLOOKUP(B41,'[5]july-2025'!$A:$A,'[5]july-2025'!$J:$J,0,0)</f>
        <v>0</v>
      </c>
      <c r="EF41">
        <f>_xlfn.XLOOKUP(B41,'[6]august-2025'!$A:$A,'[6]august-2025'!$J:$J,0,0)</f>
        <v>0</v>
      </c>
      <c r="EG41">
        <f>_xlfn.XLOOKUP(B41,'[7]september-2025'!$A:$A,'[7]september-2025'!$J:$J,0,0)</f>
        <v>0</v>
      </c>
      <c r="EH41">
        <f>_xlfn.XLOOKUP(B41,'[8]october-2025'!$A:$A,'[8]october-2025'!$J:$J,0,0)</f>
        <v>0</v>
      </c>
      <c r="EI41">
        <f>_xlfn.XLOOKUP(C41,'[9]november-2025'!$A:$A,'[9]november-2025'!$J:$J,0,0)</f>
        <v>0</v>
      </c>
      <c r="EJ41">
        <f>_xlfn.XLOOKUP(B41,'[10]december-2025'!$A:$A,'[10]december-2025'!$J:$J,0,0)</f>
        <v>0</v>
      </c>
      <c r="EK41">
        <f>_xlfn.XLOOKUP(B41,'[11]january-2026'!$A:$A,'[11]january-2026'!$J:$J,0,0)</f>
        <v>0</v>
      </c>
      <c r="EL41">
        <f>_xlfn.XLOOKUP(B41,'[12]february-2026'!$A:$A,'[12]february-2026'!$J:$J,0,0)</f>
        <v>0</v>
      </c>
      <c r="EM41">
        <f t="shared" si="90"/>
        <v>61490</v>
      </c>
      <c r="EN41">
        <f>DV41+DL41+DB41+CR41+CH41+BX41+BN41+BD41+AS41+AI41+Y41+O41+H41+I41</f>
        <v>471844</v>
      </c>
      <c r="EO41">
        <f>DY41+DO41+DE41+CU41+CK41+CA41+BQ41+BG41+AV41+AL41+AB41+R41</f>
        <v>1800</v>
      </c>
      <c r="EP41">
        <f t="shared" si="46"/>
        <v>50000</v>
      </c>
      <c r="EQ41">
        <v>0</v>
      </c>
      <c r="ER41">
        <f t="shared" si="91"/>
        <v>481534</v>
      </c>
      <c r="ES41">
        <f>DW41+DM41+DC41+CS41+CI41+BY41+BO41+BE41+AT41+AJ41+Z41+P41</f>
        <v>24000</v>
      </c>
      <c r="ET41">
        <f>DX41+DN41+DD41+CT41+CJ41+BZ41+BP41+BF41+AU41+AK41+AA41+Q41</f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47"/>
        <v>24000</v>
      </c>
      <c r="FF41">
        <f t="shared" si="48"/>
        <v>24000</v>
      </c>
      <c r="FG41">
        <f t="shared" si="49"/>
        <v>457534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>SUM(FH41:FN41)+(IF(F41="YES",50000,0))</f>
        <v>0</v>
      </c>
      <c r="FP41">
        <f t="shared" si="50"/>
        <v>457534</v>
      </c>
      <c r="FQ41">
        <f t="shared" si="51"/>
        <v>10377</v>
      </c>
      <c r="FR41">
        <f t="shared" si="52"/>
        <v>0</v>
      </c>
      <c r="FS41">
        <f t="shared" si="53"/>
        <v>10377</v>
      </c>
      <c r="FT41">
        <f t="shared" si="54"/>
        <v>0</v>
      </c>
      <c r="FU41">
        <f t="shared" si="55"/>
        <v>0</v>
      </c>
      <c r="FV41">
        <f t="shared" si="56"/>
        <v>0</v>
      </c>
      <c r="FW41">
        <v>0</v>
      </c>
      <c r="FX41">
        <f t="shared" si="57"/>
        <v>0</v>
      </c>
      <c r="FY41" t="b">
        <f t="shared" si="58"/>
        <v>0</v>
      </c>
      <c r="FZ41">
        <f t="shared" ca="1" si="59"/>
        <v>2111</v>
      </c>
      <c r="GA41">
        <f t="shared" ca="1" si="60"/>
        <v>473955</v>
      </c>
      <c r="GB41">
        <f t="shared" si="61"/>
        <v>75000</v>
      </c>
      <c r="GC41">
        <f t="shared" ca="1" si="62"/>
        <v>398955</v>
      </c>
      <c r="GD41">
        <f t="shared" ca="1" si="63"/>
        <v>0</v>
      </c>
      <c r="GE41">
        <f t="shared" ca="1" si="64"/>
        <v>0</v>
      </c>
      <c r="GF41">
        <f t="shared" ca="1" si="65"/>
        <v>0</v>
      </c>
      <c r="GG41">
        <f t="shared" ca="1" si="66"/>
        <v>0</v>
      </c>
      <c r="GH41">
        <f t="shared" ca="1" si="67"/>
        <v>0</v>
      </c>
      <c r="GI41">
        <f t="shared" ca="1" si="68"/>
        <v>0</v>
      </c>
      <c r="GJ41">
        <f ca="1">IF(GC41&gt;1200000,GC41-1200000-IF(F41="YES",50000,0)-GH41,0)</f>
        <v>0</v>
      </c>
      <c r="GK41">
        <f t="shared" ca="1" si="69"/>
        <v>0</v>
      </c>
      <c r="GL41">
        <f t="shared" ca="1" si="70"/>
        <v>0</v>
      </c>
      <c r="GM41">
        <f t="shared" ca="1" si="71"/>
        <v>0</v>
      </c>
      <c r="GN41">
        <f t="shared" ca="1" si="72"/>
        <v>0</v>
      </c>
      <c r="GO41">
        <f t="shared" ca="1" si="73"/>
        <v>0</v>
      </c>
      <c r="GP41">
        <f t="shared" ca="1" si="74"/>
        <v>0</v>
      </c>
      <c r="GQ41">
        <f t="shared" ca="1" si="75"/>
        <v>0</v>
      </c>
      <c r="GR41">
        <f t="shared" ca="1" si="76"/>
        <v>0</v>
      </c>
      <c r="GS41">
        <f t="shared" ca="1" si="77"/>
        <v>0</v>
      </c>
      <c r="GT41">
        <f t="shared" ca="1" si="78"/>
        <v>0</v>
      </c>
      <c r="GU41" t="b">
        <f t="shared" ca="1" si="79"/>
        <v>0</v>
      </c>
      <c r="GV41">
        <f t="shared" ca="1" si="80"/>
        <v>0</v>
      </c>
      <c r="GW41">
        <f t="shared" ca="1" si="81"/>
        <v>0</v>
      </c>
      <c r="GX41">
        <f t="shared" ca="1" si="82"/>
        <v>0</v>
      </c>
      <c r="GY41">
        <f t="shared" ca="1" si="83"/>
        <v>0</v>
      </c>
      <c r="GZ41">
        <f t="shared" ca="1" si="84"/>
        <v>0</v>
      </c>
    </row>
    <row r="42" spans="1:208" x14ac:dyDescent="0.25">
      <c r="A42">
        <f>_xlfn.AGGREGATE(3,5,$B$2:B42)</f>
        <v>41</v>
      </c>
      <c r="B42" t="s">
        <v>199</v>
      </c>
      <c r="C42" t="s">
        <v>200</v>
      </c>
      <c r="D42" t="s">
        <v>760</v>
      </c>
      <c r="E42" t="s">
        <v>831</v>
      </c>
      <c r="F42" t="s">
        <v>957</v>
      </c>
      <c r="G42" t="s">
        <v>896</v>
      </c>
      <c r="H42">
        <f t="shared" si="177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>IF(J42&gt;0,SUM(J42:N42),0)</f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85"/>
        <v>150</v>
      </c>
      <c r="S42">
        <f t="shared" si="86"/>
        <v>30972</v>
      </c>
      <c r="T42">
        <f>_xlfn.XLOOKUP(B42,'[2]april-2025'!$A:$A,'[2]april-2025'!$C:$C,0,0)</f>
        <v>24700</v>
      </c>
      <c r="U42">
        <f t="shared" si="3"/>
        <v>4446</v>
      </c>
      <c r="V42">
        <f t="shared" si="4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87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5"/>
        <v>150</v>
      </c>
      <c r="AC42">
        <f t="shared" si="6"/>
        <v>31960</v>
      </c>
      <c r="AD42">
        <f>_xlfn.XLOOKUP(B42,'[3]may-2025'!$A:$A,'[3]may-2025'!$C:$C,0,0)</f>
        <v>24700</v>
      </c>
      <c r="AE42">
        <f t="shared" si="7"/>
        <v>4446</v>
      </c>
      <c r="AF42">
        <f t="shared" si="8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88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9"/>
        <v>150</v>
      </c>
      <c r="AM42">
        <f t="shared" si="10"/>
        <v>31960</v>
      </c>
      <c r="AN42">
        <f>_xlfn.XLOOKUP(B42,'[4]june-2025'!$A:$A,'[4]june-2025'!$C:$C,0,0)</f>
        <v>24700</v>
      </c>
      <c r="AO42">
        <f t="shared" si="11"/>
        <v>4446</v>
      </c>
      <c r="AP42">
        <f t="shared" si="12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89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3"/>
        <v>150</v>
      </c>
      <c r="AW42">
        <f t="shared" si="14"/>
        <v>31960</v>
      </c>
      <c r="AX42">
        <f>_xlfn.XLOOKUP(B42,'[5]july-2025'!$A:$A,'[5]july-2025'!$C:$C,0,0)</f>
        <v>25400</v>
      </c>
      <c r="AY42">
        <f t="shared" si="15"/>
        <v>4572</v>
      </c>
      <c r="AZ42">
        <v>0</v>
      </c>
      <c r="BA42">
        <f t="shared" si="16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>IF(AX42&gt;0,SUM(AX42:BC42),0)</f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17"/>
        <v>150</v>
      </c>
      <c r="BH42">
        <f t="shared" si="18"/>
        <v>32870</v>
      </c>
      <c r="BI42">
        <f>_xlfn.XLOOKUP(B42,'[6]august-2025'!$A:$A,'[6]august-2025'!$C:$C,0,0)</f>
        <v>25400</v>
      </c>
      <c r="BJ42">
        <f t="shared" si="19"/>
        <v>4572</v>
      </c>
      <c r="BK42">
        <f t="shared" si="20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1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>IF($F42="YES",0,IF(BN42&gt;40000,200,IF(BN42&gt;25000,150,IF(BN42&gt;15000,130,IF(BN42&gt;10000,110,0)))))</f>
        <v>150</v>
      </c>
      <c r="BR42">
        <f>BN42-BO42-BP42-BQ42</f>
        <v>32870</v>
      </c>
      <c r="BS42">
        <f>_xlfn.XLOOKUP(B42,'[7]september-2025'!$A:$A,'[7]september-2025'!$C:$C,0,0)</f>
        <v>25400</v>
      </c>
      <c r="BT42">
        <f t="shared" si="22"/>
        <v>4572</v>
      </c>
      <c r="BU42">
        <f t="shared" si="23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>IF(BS42&gt;0,SUM(BS42:BW42),0)</f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24"/>
        <v>150</v>
      </c>
      <c r="CB42">
        <f t="shared" si="25"/>
        <v>32870</v>
      </c>
      <c r="CC42">
        <f>_xlfn.XLOOKUP(B42,'[8]october-2025'!$A:$A,'[8]october-2025'!$C:$C,0,0)</f>
        <v>25400</v>
      </c>
      <c r="CD42">
        <f t="shared" si="26"/>
        <v>4572</v>
      </c>
      <c r="CE42">
        <f t="shared" si="27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>IF(CC42&gt;0,SUM(CC42:CG42),0)</f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28"/>
        <v>150</v>
      </c>
      <c r="CL42">
        <f t="shared" si="29"/>
        <v>32870</v>
      </c>
      <c r="CM42">
        <f>_xlfn.XLOOKUP(B42,'[9]november-2025'!$A:$A,'[9]november-2025'!$C:$C,0,0)</f>
        <v>25400</v>
      </c>
      <c r="CN42">
        <f t="shared" si="30"/>
        <v>4572</v>
      </c>
      <c r="CO42">
        <f t="shared" si="31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>IF(CM42&gt;0,SUM(CM42:CQ42),0)</f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32"/>
        <v>150</v>
      </c>
      <c r="CV42">
        <f t="shared" si="33"/>
        <v>32870</v>
      </c>
      <c r="CW42">
        <f>_xlfn.XLOOKUP(B42,'[10]december-2025'!$A:$A,'[10]december-2025'!$C:$C,0,0)</f>
        <v>25400</v>
      </c>
      <c r="CX42">
        <f t="shared" si="34"/>
        <v>4572</v>
      </c>
      <c r="CY42">
        <f t="shared" si="35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>IF(CW42&gt;0,SUM(CW42:DA42),0)</f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36"/>
        <v>150</v>
      </c>
      <c r="DF42">
        <f t="shared" si="37"/>
        <v>32870</v>
      </c>
      <c r="DG42">
        <f>_xlfn.XLOOKUP(B42,'[11]january-2026'!$A:$A,'[11]january-2026'!$C:$C,0,0)</f>
        <v>25400</v>
      </c>
      <c r="DH42">
        <f t="shared" si="38"/>
        <v>4572</v>
      </c>
      <c r="DI42">
        <f t="shared" si="39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>IF(DG42&gt;0,SUM(DG42:DK42),0)</f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40"/>
        <v>150</v>
      </c>
      <c r="DP42">
        <f t="shared" si="41"/>
        <v>32870</v>
      </c>
      <c r="DQ42">
        <f>_xlfn.XLOOKUP(B42,'[12]february-2026'!$A:$A,'[12]february-2026'!$C:$C,0,0)</f>
        <v>25400</v>
      </c>
      <c r="DR42">
        <f t="shared" si="42"/>
        <v>4572</v>
      </c>
      <c r="DS42">
        <f t="shared" si="43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>IF(DQ42&gt;0,SUM(DQ42:DU42),0)</f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44"/>
        <v>150</v>
      </c>
      <c r="DZ42">
        <f t="shared" si="45"/>
        <v>32870</v>
      </c>
      <c r="EA42">
        <f>_xlfn.XLOOKUP(B42,'[1]march-2025'!$A:$A,'[1]march-2025'!$J:$J,0,0)</f>
        <v>0</v>
      </c>
      <c r="EB42">
        <f>_xlfn.XLOOKUP(B42,'[2]april-2025'!$A:$A,'[2]april-2025'!$J:$J,0,0)</f>
        <v>0</v>
      </c>
      <c r="EC42">
        <f>_xlfn.XLOOKUP(B42,'[3]may-2025'!$A:$A,'[3]may-2025'!$J:$J,0,0)</f>
        <v>0</v>
      </c>
      <c r="ED42">
        <f>_xlfn.XLOOKUP(B42,'[4]june-2025'!$A:$A,'[4]june-2025'!$J:$J,0,0)</f>
        <v>0</v>
      </c>
      <c r="EE42">
        <f>_xlfn.XLOOKUP(B42,'[5]july-2025'!$A:$A,'[5]july-2025'!$J:$J,0,0)</f>
        <v>0</v>
      </c>
      <c r="EF42">
        <f>_xlfn.XLOOKUP(B42,'[6]august-2025'!$A:$A,'[6]august-2025'!$J:$J,0,0)</f>
        <v>0</v>
      </c>
      <c r="EG42">
        <f>_xlfn.XLOOKUP(B42,'[7]september-2025'!$A:$A,'[7]september-2025'!$J:$J,0,0)</f>
        <v>0</v>
      </c>
      <c r="EH42">
        <f>_xlfn.XLOOKUP(B42,'[8]october-2025'!$A:$A,'[8]october-2025'!$J:$J,0,0)</f>
        <v>0</v>
      </c>
      <c r="EI42">
        <f>_xlfn.XLOOKUP(C42,'[9]november-2025'!$A:$A,'[9]november-2025'!$J:$J,0,0)</f>
        <v>0</v>
      </c>
      <c r="EJ42">
        <f>_xlfn.XLOOKUP(B42,'[10]december-2025'!$A:$A,'[10]december-2025'!$J:$J,0,0)</f>
        <v>0</v>
      </c>
      <c r="EK42">
        <f>_xlfn.XLOOKUP(B42,'[11]january-2026'!$A:$A,'[11]january-2026'!$J:$J,0,0)</f>
        <v>0</v>
      </c>
      <c r="EL42">
        <f>_xlfn.XLOOKUP(B42,'[12]february-2026'!$A:$A,'[12]february-2026'!$J:$J,0,0)</f>
        <v>0</v>
      </c>
      <c r="EM42">
        <f t="shared" si="90"/>
        <v>0</v>
      </c>
      <c r="EN42">
        <f>DV42+DL42+DB42+CR42+CH42+BX42+BN42+BD42+AS42+AI42+Y42+O42+H42+I42</f>
        <v>398412</v>
      </c>
      <c r="EO42">
        <f>DY42+DO42+DE42+CU42+CK42+CA42+BQ42+BG42+AV42+AL42+AB42+R42</f>
        <v>1800</v>
      </c>
      <c r="EP42">
        <f t="shared" si="46"/>
        <v>50000</v>
      </c>
      <c r="EQ42">
        <v>0</v>
      </c>
      <c r="ER42">
        <f t="shared" si="91"/>
        <v>346612</v>
      </c>
      <c r="ES42">
        <f>DW42+DM42+DC42+CS42+CI42+BY42+BO42+BE42+AT42+AJ42+Z42+P42</f>
        <v>0</v>
      </c>
      <c r="ET42">
        <f>DX42+DN42+DD42+CT42+CJ42+BZ42+BP42+BF42+AU42+AK42+AA42+Q42</f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47"/>
        <v>0</v>
      </c>
      <c r="FF42">
        <f t="shared" si="48"/>
        <v>0</v>
      </c>
      <c r="FG42">
        <f t="shared" si="49"/>
        <v>346612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>SUM(FH42:FN42)+(IF(F42="YES",50000,0))</f>
        <v>0</v>
      </c>
      <c r="FP42">
        <f t="shared" si="50"/>
        <v>346612</v>
      </c>
      <c r="FQ42">
        <f t="shared" si="51"/>
        <v>4831</v>
      </c>
      <c r="FR42">
        <f t="shared" si="52"/>
        <v>0</v>
      </c>
      <c r="FS42">
        <f t="shared" si="53"/>
        <v>4831</v>
      </c>
      <c r="FT42">
        <f t="shared" si="54"/>
        <v>0</v>
      </c>
      <c r="FU42">
        <f t="shared" si="55"/>
        <v>0</v>
      </c>
      <c r="FV42">
        <f t="shared" si="56"/>
        <v>0</v>
      </c>
      <c r="FW42">
        <v>0</v>
      </c>
      <c r="FX42">
        <f t="shared" si="57"/>
        <v>0</v>
      </c>
      <c r="FY42" t="b">
        <f t="shared" si="58"/>
        <v>0</v>
      </c>
      <c r="FZ42">
        <f t="shared" ca="1" si="59"/>
        <v>1877</v>
      </c>
      <c r="GA42">
        <f t="shared" ca="1" si="60"/>
        <v>400289</v>
      </c>
      <c r="GB42">
        <f t="shared" si="61"/>
        <v>75000</v>
      </c>
      <c r="GC42">
        <f t="shared" ca="1" si="62"/>
        <v>325289</v>
      </c>
      <c r="GD42">
        <f t="shared" ca="1" si="63"/>
        <v>0</v>
      </c>
      <c r="GE42">
        <f t="shared" ca="1" si="64"/>
        <v>0</v>
      </c>
      <c r="GF42">
        <f t="shared" ca="1" si="65"/>
        <v>0</v>
      </c>
      <c r="GG42">
        <f t="shared" ca="1" si="66"/>
        <v>0</v>
      </c>
      <c r="GH42">
        <f t="shared" ca="1" si="67"/>
        <v>0</v>
      </c>
      <c r="GI42">
        <f t="shared" ca="1" si="68"/>
        <v>0</v>
      </c>
      <c r="GJ42">
        <f ca="1">IF(GC42&gt;1200000,GC42-1200000-IF(F42="YES",50000,0)-GH42,0)</f>
        <v>0</v>
      </c>
      <c r="GK42">
        <f t="shared" ca="1" si="69"/>
        <v>0</v>
      </c>
      <c r="GL42">
        <f t="shared" ca="1" si="70"/>
        <v>0</v>
      </c>
      <c r="GM42">
        <f t="shared" ca="1" si="71"/>
        <v>0</v>
      </c>
      <c r="GN42">
        <f t="shared" ca="1" si="72"/>
        <v>0</v>
      </c>
      <c r="GO42">
        <f t="shared" ca="1" si="73"/>
        <v>0</v>
      </c>
      <c r="GP42">
        <f t="shared" ca="1" si="74"/>
        <v>0</v>
      </c>
      <c r="GQ42">
        <f t="shared" ca="1" si="75"/>
        <v>0</v>
      </c>
      <c r="GR42">
        <f t="shared" ca="1" si="76"/>
        <v>0</v>
      </c>
      <c r="GS42">
        <f t="shared" ca="1" si="77"/>
        <v>0</v>
      </c>
      <c r="GT42">
        <f t="shared" ca="1" si="78"/>
        <v>0</v>
      </c>
      <c r="GU42" t="b">
        <f t="shared" ca="1" si="79"/>
        <v>0</v>
      </c>
      <c r="GV42">
        <f t="shared" ca="1" si="80"/>
        <v>0</v>
      </c>
      <c r="GW42">
        <f t="shared" ca="1" si="81"/>
        <v>0</v>
      </c>
      <c r="GX42">
        <f t="shared" ca="1" si="82"/>
        <v>0</v>
      </c>
      <c r="GY42">
        <f t="shared" ca="1" si="83"/>
        <v>0</v>
      </c>
      <c r="GZ42">
        <f t="shared" ca="1" si="84"/>
        <v>0</v>
      </c>
    </row>
    <row r="43" spans="1:208" x14ac:dyDescent="0.25">
      <c r="A43">
        <f>_xlfn.AGGREGATE(3,5,$B$2:B43)</f>
        <v>42</v>
      </c>
      <c r="B43" t="s">
        <v>201</v>
      </c>
      <c r="C43" t="s">
        <v>202</v>
      </c>
      <c r="D43" t="s">
        <v>761</v>
      </c>
      <c r="E43" t="s">
        <v>832</v>
      </c>
      <c r="F43" t="s">
        <v>957</v>
      </c>
      <c r="G43" t="s">
        <v>876</v>
      </c>
      <c r="H43">
        <f t="shared" si="177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>IF(J43&gt;0,SUM(J43:N43),0)</f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85"/>
        <v>200</v>
      </c>
      <c r="S43">
        <f t="shared" si="86"/>
        <v>57238</v>
      </c>
      <c r="T43">
        <f>_xlfn.XLOOKUP(B43,'[2]april-2025'!$A:$A,'[2]april-2025'!$C:$C,0,0)</f>
        <v>47300</v>
      </c>
      <c r="U43">
        <f t="shared" si="3"/>
        <v>8514</v>
      </c>
      <c r="V43">
        <f t="shared" si="4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87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5"/>
        <v>200</v>
      </c>
      <c r="AC43">
        <f t="shared" si="6"/>
        <v>59130</v>
      </c>
      <c r="AD43">
        <f>_xlfn.XLOOKUP(B43,'[3]may-2025'!$A:$A,'[3]may-2025'!$C:$C,0,0)</f>
        <v>47300</v>
      </c>
      <c r="AE43">
        <f t="shared" si="7"/>
        <v>8514</v>
      </c>
      <c r="AF43">
        <f t="shared" si="8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88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9"/>
        <v>200</v>
      </c>
      <c r="AM43">
        <f t="shared" si="10"/>
        <v>59130</v>
      </c>
      <c r="AN43">
        <f>_xlfn.XLOOKUP(B43,'[4]june-2025'!$A:$A,'[4]june-2025'!$C:$C,0,0)</f>
        <v>47300</v>
      </c>
      <c r="AO43">
        <f t="shared" si="11"/>
        <v>8514</v>
      </c>
      <c r="AP43">
        <f t="shared" si="12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89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3"/>
        <v>200</v>
      </c>
      <c r="AW43">
        <f t="shared" si="14"/>
        <v>59130</v>
      </c>
      <c r="AX43">
        <f>_xlfn.XLOOKUP(B43,'[5]july-2025'!$A:$A,'[5]july-2025'!$C:$C,0,0)</f>
        <v>48700</v>
      </c>
      <c r="AY43">
        <f t="shared" si="15"/>
        <v>8766</v>
      </c>
      <c r="AZ43">
        <v>0</v>
      </c>
      <c r="BA43">
        <f t="shared" si="16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>IF(AX43&gt;0,SUM(AX43:BC43),0)</f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17"/>
        <v>200</v>
      </c>
      <c r="BH43">
        <f t="shared" si="18"/>
        <v>60950</v>
      </c>
      <c r="BI43">
        <f>_xlfn.XLOOKUP(B43,'[6]august-2025'!$A:$A,'[6]august-2025'!$C:$C,0,0)</f>
        <v>48700</v>
      </c>
      <c r="BJ43">
        <f t="shared" si="19"/>
        <v>8766</v>
      </c>
      <c r="BK43">
        <f t="shared" si="20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1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>IF($F43="YES",0,IF(BN43&gt;40000,200,IF(BN43&gt;25000,150,IF(BN43&gt;15000,130,IF(BN43&gt;10000,110,0)))))</f>
        <v>200</v>
      </c>
      <c r="BR43">
        <f>BN43-BO43-BP43-BQ43</f>
        <v>60950</v>
      </c>
      <c r="BS43">
        <f>_xlfn.XLOOKUP(B43,'[7]september-2025'!$A:$A,'[7]september-2025'!$C:$C,0,0)</f>
        <v>48700</v>
      </c>
      <c r="BT43">
        <f t="shared" si="22"/>
        <v>8766</v>
      </c>
      <c r="BU43">
        <f t="shared" si="23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>IF(BS43&gt;0,SUM(BS43:BW43),0)</f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24"/>
        <v>200</v>
      </c>
      <c r="CB43">
        <f t="shared" si="25"/>
        <v>60950</v>
      </c>
      <c r="CC43">
        <f>_xlfn.XLOOKUP(B43,'[8]october-2025'!$A:$A,'[8]october-2025'!$C:$C,0,0)</f>
        <v>48700</v>
      </c>
      <c r="CD43">
        <f t="shared" si="26"/>
        <v>8766</v>
      </c>
      <c r="CE43">
        <f t="shared" si="27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>IF(CC43&gt;0,SUM(CC43:CG43),0)</f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28"/>
        <v>200</v>
      </c>
      <c r="CL43">
        <f t="shared" si="29"/>
        <v>60950</v>
      </c>
      <c r="CM43">
        <f>_xlfn.XLOOKUP(B43,'[9]november-2025'!$A:$A,'[9]november-2025'!$C:$C,0,0)</f>
        <v>48700</v>
      </c>
      <c r="CN43">
        <f t="shared" si="30"/>
        <v>8766</v>
      </c>
      <c r="CO43">
        <f t="shared" si="31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>IF(CM43&gt;0,SUM(CM43:CQ43),0)</f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32"/>
        <v>200</v>
      </c>
      <c r="CV43">
        <f t="shared" si="33"/>
        <v>60950</v>
      </c>
      <c r="CW43">
        <f>_xlfn.XLOOKUP(B43,'[10]december-2025'!$A:$A,'[10]december-2025'!$C:$C,0,0)</f>
        <v>48700</v>
      </c>
      <c r="CX43">
        <f t="shared" si="34"/>
        <v>8766</v>
      </c>
      <c r="CY43">
        <f t="shared" si="35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>IF(CW43&gt;0,SUM(CW43:DA43),0)</f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36"/>
        <v>200</v>
      </c>
      <c r="DF43">
        <f t="shared" si="37"/>
        <v>60950</v>
      </c>
      <c r="DG43">
        <f>_xlfn.XLOOKUP(B43,'[11]january-2026'!$A:$A,'[11]january-2026'!$C:$C,0,0)</f>
        <v>48700</v>
      </c>
      <c r="DH43">
        <f t="shared" si="38"/>
        <v>8766</v>
      </c>
      <c r="DI43">
        <f t="shared" si="39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>IF(DG43&gt;0,SUM(DG43:DK43),0)</f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40"/>
        <v>200</v>
      </c>
      <c r="DP43">
        <f t="shared" si="41"/>
        <v>60950</v>
      </c>
      <c r="DQ43">
        <f>_xlfn.XLOOKUP(B43,'[12]february-2026'!$A:$A,'[12]february-2026'!$C:$C,0,0)</f>
        <v>48700</v>
      </c>
      <c r="DR43">
        <f t="shared" si="42"/>
        <v>8766</v>
      </c>
      <c r="DS43">
        <f t="shared" si="43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>IF(DQ43&gt;0,SUM(DQ43:DU43),0)</f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44"/>
        <v>200</v>
      </c>
      <c r="DZ43">
        <f t="shared" si="45"/>
        <v>60950</v>
      </c>
      <c r="EA43">
        <f>_xlfn.XLOOKUP(B43,'[1]march-2025'!$A:$A,'[1]march-2025'!$J:$J,0,0)</f>
        <v>0</v>
      </c>
      <c r="EB43">
        <f>_xlfn.XLOOKUP(B43,'[2]april-2025'!$A:$A,'[2]april-2025'!$J:$J,0,0)</f>
        <v>0</v>
      </c>
      <c r="EC43">
        <f>_xlfn.XLOOKUP(B43,'[3]may-2025'!$A:$A,'[3]may-2025'!$J:$J,0,0)</f>
        <v>0</v>
      </c>
      <c r="ED43">
        <f>_xlfn.XLOOKUP(B43,'[4]june-2025'!$A:$A,'[4]june-2025'!$J:$J,0,0)</f>
        <v>0</v>
      </c>
      <c r="EE43">
        <f>_xlfn.XLOOKUP(B43,'[5]july-2025'!$A:$A,'[5]july-2025'!$J:$J,0,0)</f>
        <v>0</v>
      </c>
      <c r="EF43">
        <f>_xlfn.XLOOKUP(B43,'[6]august-2025'!$A:$A,'[6]august-2025'!$J:$J,0,0)</f>
        <v>0</v>
      </c>
      <c r="EG43">
        <f>_xlfn.XLOOKUP(B43,'[7]september-2025'!$A:$A,'[7]september-2025'!$J:$J,0,0)</f>
        <v>0</v>
      </c>
      <c r="EH43">
        <f>_xlfn.XLOOKUP(B43,'[8]october-2025'!$A:$A,'[8]october-2025'!$J:$J,0,0)</f>
        <v>0</v>
      </c>
      <c r="EI43">
        <f>_xlfn.XLOOKUP(C43,'[9]november-2025'!$A:$A,'[9]november-2025'!$J:$J,0,0)</f>
        <v>0</v>
      </c>
      <c r="EJ43">
        <f>_xlfn.XLOOKUP(B43,'[10]december-2025'!$A:$A,'[10]december-2025'!$J:$J,0,0)</f>
        <v>0</v>
      </c>
      <c r="EK43">
        <f>_xlfn.XLOOKUP(B43,'[11]january-2026'!$A:$A,'[11]january-2026'!$J:$J,0,0)</f>
        <v>0</v>
      </c>
      <c r="EL43">
        <f>_xlfn.XLOOKUP(B43,'[12]february-2026'!$A:$A,'[12]february-2026'!$J:$J,0,0)</f>
        <v>0</v>
      </c>
      <c r="EM43">
        <f t="shared" si="90"/>
        <v>0</v>
      </c>
      <c r="EN43">
        <f>DV43+DL43+DB43+CR43+CH43+BX43+BN43+BD43+AS43+AI43+Y43+O43+H43+I43</f>
        <v>768148</v>
      </c>
      <c r="EO43">
        <f>DY43+DO43+DE43+CU43+CK43+CA43+BQ43+BG43+AV43+AL43+AB43+R43</f>
        <v>2400</v>
      </c>
      <c r="EP43">
        <f t="shared" si="46"/>
        <v>50000</v>
      </c>
      <c r="EQ43">
        <v>0</v>
      </c>
      <c r="ER43">
        <f t="shared" si="91"/>
        <v>715748</v>
      </c>
      <c r="ES43">
        <f>DW43+DM43+DC43+CS43+CI43+BY43+BO43+BE43+AT43+AJ43+Z43+P43</f>
        <v>36000</v>
      </c>
      <c r="ET43">
        <f>DX43+DN43+DD43+CT43+CJ43+BZ43+BP43+BF43+AU43+AK43+AA43+Q43</f>
        <v>720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47"/>
        <v>36720</v>
      </c>
      <c r="FF43">
        <f t="shared" si="48"/>
        <v>36720</v>
      </c>
      <c r="FG43">
        <f t="shared" si="49"/>
        <v>679028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>SUM(FH43:FN43)+(IF(F43="YES",50000,0))</f>
        <v>0</v>
      </c>
      <c r="FP43">
        <f t="shared" si="50"/>
        <v>679028</v>
      </c>
      <c r="FQ43">
        <f t="shared" si="51"/>
        <v>12500</v>
      </c>
      <c r="FR43">
        <f t="shared" si="52"/>
        <v>35806</v>
      </c>
      <c r="FS43">
        <f t="shared" si="53"/>
        <v>48306</v>
      </c>
      <c r="FT43">
        <f t="shared" si="54"/>
        <v>48306</v>
      </c>
      <c r="FU43">
        <f t="shared" si="55"/>
        <v>1932.24</v>
      </c>
      <c r="FV43">
        <f t="shared" si="56"/>
        <v>50238</v>
      </c>
      <c r="FW43">
        <v>0</v>
      </c>
      <c r="FX43">
        <f t="shared" si="57"/>
        <v>50238</v>
      </c>
      <c r="FY43" t="b">
        <f t="shared" si="58"/>
        <v>1</v>
      </c>
      <c r="FZ43">
        <f t="shared" ca="1" si="59"/>
        <v>583</v>
      </c>
      <c r="GA43">
        <f t="shared" ca="1" si="60"/>
        <v>768731</v>
      </c>
      <c r="GB43">
        <f t="shared" si="61"/>
        <v>75000</v>
      </c>
      <c r="GC43">
        <f t="shared" ca="1" si="62"/>
        <v>693731</v>
      </c>
      <c r="GD43">
        <f t="shared" ca="1" si="63"/>
        <v>0</v>
      </c>
      <c r="GE43">
        <f t="shared" ca="1" si="64"/>
        <v>0</v>
      </c>
      <c r="GF43">
        <f t="shared" ca="1" si="65"/>
        <v>0</v>
      </c>
      <c r="GG43">
        <f t="shared" ca="1" si="66"/>
        <v>0</v>
      </c>
      <c r="GH43">
        <f t="shared" ca="1" si="67"/>
        <v>0</v>
      </c>
      <c r="GI43">
        <f t="shared" ca="1" si="68"/>
        <v>0</v>
      </c>
      <c r="GJ43">
        <f ca="1">IF(GC43&gt;1200000,GC43-1200000-IF(F43="YES",50000,0)-GH43,0)</f>
        <v>0</v>
      </c>
      <c r="GK43">
        <f t="shared" ca="1" si="69"/>
        <v>0</v>
      </c>
      <c r="GL43">
        <f t="shared" ca="1" si="70"/>
        <v>0</v>
      </c>
      <c r="GM43">
        <f t="shared" ca="1" si="71"/>
        <v>0</v>
      </c>
      <c r="GN43">
        <f t="shared" ca="1" si="72"/>
        <v>293731</v>
      </c>
      <c r="GO43">
        <f t="shared" ca="1" si="73"/>
        <v>14686.550000000001</v>
      </c>
      <c r="GP43">
        <f t="shared" ca="1" si="74"/>
        <v>14687</v>
      </c>
      <c r="GQ43">
        <f t="shared" ca="1" si="75"/>
        <v>0</v>
      </c>
      <c r="GR43">
        <f t="shared" ca="1" si="76"/>
        <v>0</v>
      </c>
      <c r="GS43">
        <f t="shared" ca="1" si="77"/>
        <v>14687</v>
      </c>
      <c r="GT43">
        <f t="shared" ca="1" si="78"/>
        <v>0</v>
      </c>
      <c r="GU43" t="b">
        <f t="shared" ca="1" si="79"/>
        <v>0</v>
      </c>
      <c r="GV43">
        <f t="shared" ca="1" si="80"/>
        <v>0</v>
      </c>
      <c r="GW43">
        <f t="shared" ca="1" si="81"/>
        <v>14687</v>
      </c>
      <c r="GX43">
        <f t="shared" ca="1" si="82"/>
        <v>0</v>
      </c>
      <c r="GY43">
        <f t="shared" ca="1" si="83"/>
        <v>0</v>
      </c>
      <c r="GZ43">
        <f t="shared" ca="1" si="84"/>
        <v>0</v>
      </c>
    </row>
    <row r="44" spans="1:208" x14ac:dyDescent="0.25">
      <c r="A44">
        <f>_xlfn.AGGREGATE(3,5,$B$2:B44)</f>
        <v>43</v>
      </c>
      <c r="B44" t="s">
        <v>203</v>
      </c>
      <c r="C44" t="s">
        <v>204</v>
      </c>
      <c r="D44" t="s">
        <v>761</v>
      </c>
      <c r="E44" t="s">
        <v>832</v>
      </c>
      <c r="F44" t="s">
        <v>957</v>
      </c>
      <c r="G44" t="s">
        <v>897</v>
      </c>
      <c r="H44">
        <f t="shared" si="177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>IF(J44&gt;0,SUM(J44:N44),0)</f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85"/>
        <v>200</v>
      </c>
      <c r="S44">
        <f t="shared" si="86"/>
        <v>39510</v>
      </c>
      <c r="T44">
        <f>_xlfn.XLOOKUP(B44,'[2]april-2025'!$A:$A,'[2]april-2025'!$C:$C,0,0)</f>
        <v>33500</v>
      </c>
      <c r="U44">
        <f t="shared" si="3"/>
        <v>6030</v>
      </c>
      <c r="V44">
        <f t="shared" si="4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87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5"/>
        <v>200</v>
      </c>
      <c r="AC44">
        <f t="shared" si="6"/>
        <v>40850</v>
      </c>
      <c r="AD44">
        <f>_xlfn.XLOOKUP(B44,'[3]may-2025'!$A:$A,'[3]may-2025'!$C:$C,0,0)</f>
        <v>33500</v>
      </c>
      <c r="AE44">
        <f t="shared" si="7"/>
        <v>6030</v>
      </c>
      <c r="AF44">
        <f t="shared" si="8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88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9"/>
        <v>200</v>
      </c>
      <c r="AM44">
        <f t="shared" si="10"/>
        <v>40850</v>
      </c>
      <c r="AN44">
        <f>_xlfn.XLOOKUP(B44,'[4]june-2025'!$A:$A,'[4]june-2025'!$C:$C,0,0)</f>
        <v>33500</v>
      </c>
      <c r="AO44">
        <f t="shared" si="11"/>
        <v>6030</v>
      </c>
      <c r="AP44">
        <f t="shared" si="12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89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3"/>
        <v>200</v>
      </c>
      <c r="AW44">
        <f t="shared" si="14"/>
        <v>40850</v>
      </c>
      <c r="AX44">
        <f>_xlfn.XLOOKUP(B44,'[5]july-2025'!$A:$A,'[5]july-2025'!$C:$C,0,0)</f>
        <v>34500</v>
      </c>
      <c r="AY44">
        <f t="shared" si="15"/>
        <v>6210</v>
      </c>
      <c r="AZ44">
        <v>0</v>
      </c>
      <c r="BA44">
        <f t="shared" si="16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>IF(AX44&gt;0,SUM(AX44:BC44),0)</f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17"/>
        <v>200</v>
      </c>
      <c r="BH44">
        <f t="shared" si="18"/>
        <v>42150</v>
      </c>
      <c r="BI44">
        <f>_xlfn.XLOOKUP(B44,'[6]august-2025'!$A:$A,'[6]august-2025'!$C:$C,0,0)</f>
        <v>34500</v>
      </c>
      <c r="BJ44">
        <f t="shared" si="19"/>
        <v>6210</v>
      </c>
      <c r="BK44">
        <f t="shared" si="20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1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>IF($F44="YES",0,IF(BN44&gt;40000,200,IF(BN44&gt;25000,150,IF(BN44&gt;15000,130,IF(BN44&gt;10000,110,0)))))</f>
        <v>200</v>
      </c>
      <c r="BR44">
        <f>BN44-BO44-BP44-BQ44</f>
        <v>42150</v>
      </c>
      <c r="BS44">
        <f>_xlfn.XLOOKUP(B44,'[7]september-2025'!$A:$A,'[7]september-2025'!$C:$C,0,0)</f>
        <v>34500</v>
      </c>
      <c r="BT44">
        <f t="shared" si="22"/>
        <v>6210</v>
      </c>
      <c r="BU44">
        <f t="shared" si="23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>IF(BS44&gt;0,SUM(BS44:BW44),0)</f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24"/>
        <v>200</v>
      </c>
      <c r="CB44">
        <f t="shared" si="25"/>
        <v>42150</v>
      </c>
      <c r="CC44">
        <f>_xlfn.XLOOKUP(B44,'[8]october-2025'!$A:$A,'[8]october-2025'!$C:$C,0,0)</f>
        <v>34500</v>
      </c>
      <c r="CD44">
        <f t="shared" si="26"/>
        <v>6210</v>
      </c>
      <c r="CE44">
        <f t="shared" si="27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>IF(CC44&gt;0,SUM(CC44:CG44),0)</f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28"/>
        <v>200</v>
      </c>
      <c r="CL44">
        <f t="shared" si="29"/>
        <v>42150</v>
      </c>
      <c r="CM44">
        <f>_xlfn.XLOOKUP(B44,'[9]november-2025'!$A:$A,'[9]november-2025'!$C:$C,0,0)</f>
        <v>34500</v>
      </c>
      <c r="CN44">
        <f t="shared" si="30"/>
        <v>6210</v>
      </c>
      <c r="CO44">
        <f t="shared" si="31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>IF(CM44&gt;0,SUM(CM44:CQ44),0)</f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32"/>
        <v>200</v>
      </c>
      <c r="CV44">
        <f t="shared" si="33"/>
        <v>42150</v>
      </c>
      <c r="CW44">
        <f>_xlfn.XLOOKUP(B44,'[10]december-2025'!$A:$A,'[10]december-2025'!$C:$C,0,0)</f>
        <v>34500</v>
      </c>
      <c r="CX44">
        <f t="shared" si="34"/>
        <v>6210</v>
      </c>
      <c r="CY44">
        <f t="shared" si="35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>IF(CW44&gt;0,SUM(CW44:DA44),0)</f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36"/>
        <v>200</v>
      </c>
      <c r="DF44">
        <f t="shared" si="37"/>
        <v>42150</v>
      </c>
      <c r="DG44">
        <f>_xlfn.XLOOKUP(B44,'[11]january-2026'!$A:$A,'[11]january-2026'!$C:$C,0,0)</f>
        <v>34500</v>
      </c>
      <c r="DH44">
        <f t="shared" si="38"/>
        <v>6210</v>
      </c>
      <c r="DI44">
        <f t="shared" si="39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>IF(DG44&gt;0,SUM(DG44:DK44),0)</f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40"/>
        <v>200</v>
      </c>
      <c r="DP44">
        <f t="shared" si="41"/>
        <v>42150</v>
      </c>
      <c r="DQ44">
        <f>_xlfn.XLOOKUP(B44,'[12]february-2026'!$A:$A,'[12]february-2026'!$C:$C,0,0)</f>
        <v>34500</v>
      </c>
      <c r="DR44">
        <f t="shared" si="42"/>
        <v>6210</v>
      </c>
      <c r="DS44">
        <f t="shared" si="43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>IF(DQ44&gt;0,SUM(DQ44:DU44),0)</f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44"/>
        <v>200</v>
      </c>
      <c r="DZ44">
        <f t="shared" si="45"/>
        <v>42150</v>
      </c>
      <c r="EA44">
        <f>_xlfn.XLOOKUP(B44,'[1]march-2025'!$A:$A,'[1]march-2025'!$J:$J,0,0)</f>
        <v>0</v>
      </c>
      <c r="EB44">
        <f>_xlfn.XLOOKUP(B44,'[2]april-2025'!$A:$A,'[2]april-2025'!$J:$J,0,0)</f>
        <v>0</v>
      </c>
      <c r="EC44">
        <f>_xlfn.XLOOKUP(B44,'[3]may-2025'!$A:$A,'[3]may-2025'!$J:$J,0,0)</f>
        <v>0</v>
      </c>
      <c r="ED44">
        <f>_xlfn.XLOOKUP(B44,'[4]june-2025'!$A:$A,'[4]june-2025'!$J:$J,0,0)</f>
        <v>0</v>
      </c>
      <c r="EE44">
        <f>_xlfn.XLOOKUP(B44,'[5]july-2025'!$A:$A,'[5]july-2025'!$J:$J,0,0)</f>
        <v>0</v>
      </c>
      <c r="EF44">
        <f>_xlfn.XLOOKUP(B44,'[6]august-2025'!$A:$A,'[6]august-2025'!$J:$J,0,0)</f>
        <v>0</v>
      </c>
      <c r="EG44">
        <f>_xlfn.XLOOKUP(B44,'[7]september-2025'!$A:$A,'[7]september-2025'!$J:$J,0,0)</f>
        <v>0</v>
      </c>
      <c r="EH44">
        <f>_xlfn.XLOOKUP(B44,'[8]october-2025'!$A:$A,'[8]october-2025'!$J:$J,0,0)</f>
        <v>0</v>
      </c>
      <c r="EI44">
        <f>_xlfn.XLOOKUP(C44,'[9]november-2025'!$A:$A,'[9]november-2025'!$J:$J,0,0)</f>
        <v>0</v>
      </c>
      <c r="EJ44">
        <f>_xlfn.XLOOKUP(B44,'[10]december-2025'!$A:$A,'[10]december-2025'!$J:$J,0,0)</f>
        <v>0</v>
      </c>
      <c r="EK44">
        <f>_xlfn.XLOOKUP(B44,'[11]january-2026'!$A:$A,'[11]january-2026'!$J:$J,0,0)</f>
        <v>0</v>
      </c>
      <c r="EL44">
        <f>_xlfn.XLOOKUP(B44,'[12]february-2026'!$A:$A,'[12]february-2026'!$J:$J,0,0)</f>
        <v>0</v>
      </c>
      <c r="EM44">
        <f t="shared" si="90"/>
        <v>0</v>
      </c>
      <c r="EN44">
        <f>DV44+DL44+DB44+CR44+CH44+BX44+BN44+BD44+AS44+AI44+Y44+O44+H44+I44</f>
        <v>538460</v>
      </c>
      <c r="EO44">
        <f>DY44+DO44+DE44+CU44+CK44+CA44+BQ44+BG44+AV44+AL44+AB44+R44</f>
        <v>2400</v>
      </c>
      <c r="EP44">
        <f t="shared" si="46"/>
        <v>50000</v>
      </c>
      <c r="EQ44">
        <v>0</v>
      </c>
      <c r="ER44">
        <f t="shared" si="91"/>
        <v>486060</v>
      </c>
      <c r="ES44">
        <f>DW44+DM44+DC44+CS44+CI44+BY44+BO44+BE44+AT44+AJ44+Z44+P44</f>
        <v>30000</v>
      </c>
      <c r="ET44">
        <f>DX44+DN44+DD44+CT44+CJ44+BZ44+BP44+BF44+AU44+AK44+AA44+Q44</f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47"/>
        <v>30000</v>
      </c>
      <c r="FF44">
        <f t="shared" si="48"/>
        <v>30000</v>
      </c>
      <c r="FG44">
        <f t="shared" si="49"/>
        <v>456060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>SUM(FH44:FN44)+(IF(F44="YES",50000,0))</f>
        <v>0</v>
      </c>
      <c r="FP44">
        <f t="shared" si="50"/>
        <v>456060</v>
      </c>
      <c r="FQ44">
        <f t="shared" si="51"/>
        <v>10303</v>
      </c>
      <c r="FR44">
        <f t="shared" si="52"/>
        <v>0</v>
      </c>
      <c r="FS44">
        <f t="shared" si="53"/>
        <v>10303</v>
      </c>
      <c r="FT44">
        <f t="shared" si="54"/>
        <v>0</v>
      </c>
      <c r="FU44">
        <f t="shared" si="55"/>
        <v>0</v>
      </c>
      <c r="FV44">
        <f t="shared" si="56"/>
        <v>0</v>
      </c>
      <c r="FW44">
        <v>0</v>
      </c>
      <c r="FX44">
        <f t="shared" si="57"/>
        <v>0</v>
      </c>
      <c r="FY44" t="b">
        <f t="shared" si="58"/>
        <v>1</v>
      </c>
      <c r="FZ44">
        <f t="shared" ca="1" si="59"/>
        <v>764</v>
      </c>
      <c r="GA44">
        <f t="shared" ca="1" si="60"/>
        <v>539224</v>
      </c>
      <c r="GB44">
        <f t="shared" si="61"/>
        <v>75000</v>
      </c>
      <c r="GC44">
        <f t="shared" ca="1" si="62"/>
        <v>464224</v>
      </c>
      <c r="GD44">
        <f t="shared" ca="1" si="63"/>
        <v>0</v>
      </c>
      <c r="GE44">
        <f t="shared" ca="1" si="64"/>
        <v>0</v>
      </c>
      <c r="GF44">
        <f t="shared" ca="1" si="65"/>
        <v>0</v>
      </c>
      <c r="GG44">
        <f t="shared" ca="1" si="66"/>
        <v>0</v>
      </c>
      <c r="GH44">
        <f t="shared" ca="1" si="67"/>
        <v>0</v>
      </c>
      <c r="GI44">
        <f t="shared" ca="1" si="68"/>
        <v>0</v>
      </c>
      <c r="GJ44">
        <f ca="1">IF(GC44&gt;1200000,GC44-1200000-IF(F44="YES",50000,0)-GH44,0)</f>
        <v>0</v>
      </c>
      <c r="GK44">
        <f t="shared" ca="1" si="69"/>
        <v>0</v>
      </c>
      <c r="GL44">
        <f t="shared" ca="1" si="70"/>
        <v>0</v>
      </c>
      <c r="GM44">
        <f t="shared" ca="1" si="71"/>
        <v>0</v>
      </c>
      <c r="GN44">
        <f t="shared" ca="1" si="72"/>
        <v>64224</v>
      </c>
      <c r="GO44">
        <f t="shared" ca="1" si="73"/>
        <v>3211.2000000000003</v>
      </c>
      <c r="GP44">
        <f t="shared" ca="1" si="74"/>
        <v>3211</v>
      </c>
      <c r="GQ44">
        <f t="shared" ca="1" si="75"/>
        <v>0</v>
      </c>
      <c r="GR44">
        <f t="shared" ca="1" si="76"/>
        <v>0</v>
      </c>
      <c r="GS44">
        <f t="shared" ca="1" si="77"/>
        <v>3211</v>
      </c>
      <c r="GT44">
        <f t="shared" ca="1" si="78"/>
        <v>0</v>
      </c>
      <c r="GU44" t="b">
        <f t="shared" ca="1" si="79"/>
        <v>0</v>
      </c>
      <c r="GV44">
        <f t="shared" ca="1" si="80"/>
        <v>0</v>
      </c>
      <c r="GW44">
        <f t="shared" ca="1" si="81"/>
        <v>3211</v>
      </c>
      <c r="GX44">
        <f t="shared" ca="1" si="82"/>
        <v>0</v>
      </c>
      <c r="GY44">
        <f t="shared" ca="1" si="83"/>
        <v>0</v>
      </c>
      <c r="GZ44">
        <f t="shared" ca="1" si="84"/>
        <v>0</v>
      </c>
    </row>
    <row r="45" spans="1:208" x14ac:dyDescent="0.25">
      <c r="A45">
        <f>_xlfn.AGGREGATE(3,5,$B$2:B45)</f>
        <v>44</v>
      </c>
      <c r="B45" t="s">
        <v>205</v>
      </c>
      <c r="C45" t="s">
        <v>206</v>
      </c>
      <c r="D45" t="s">
        <v>761</v>
      </c>
      <c r="E45" t="s">
        <v>831</v>
      </c>
      <c r="F45" t="s">
        <v>957</v>
      </c>
      <c r="G45" t="s">
        <v>898</v>
      </c>
      <c r="H45">
        <f t="shared" si="177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>IF(J45&gt;0,SUM(J45:N45),0)</f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85"/>
        <v>150</v>
      </c>
      <c r="S45">
        <f t="shared" si="86"/>
        <v>37032</v>
      </c>
      <c r="T45">
        <f>_xlfn.XLOOKUP(B45,'[2]april-2025'!$A:$A,'[2]april-2025'!$C:$C,0,0)</f>
        <v>30700</v>
      </c>
      <c r="U45">
        <f t="shared" si="3"/>
        <v>5526</v>
      </c>
      <c r="V45">
        <f t="shared" si="4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87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5"/>
        <v>200</v>
      </c>
      <c r="AC45">
        <f t="shared" si="6"/>
        <v>38210</v>
      </c>
      <c r="AD45">
        <f>_xlfn.XLOOKUP(B45,'[3]may-2025'!$A:$A,'[3]may-2025'!$C:$C,0,0)</f>
        <v>30700</v>
      </c>
      <c r="AE45">
        <f t="shared" si="7"/>
        <v>5526</v>
      </c>
      <c r="AF45">
        <f t="shared" si="8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88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9"/>
        <v>200</v>
      </c>
      <c r="AM45">
        <f t="shared" si="10"/>
        <v>38210</v>
      </c>
      <c r="AN45">
        <f>_xlfn.XLOOKUP(B45,'[4]june-2025'!$A:$A,'[4]june-2025'!$C:$C,0,0)</f>
        <v>30700</v>
      </c>
      <c r="AO45">
        <f t="shared" si="11"/>
        <v>5526</v>
      </c>
      <c r="AP45">
        <f t="shared" si="12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89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3"/>
        <v>200</v>
      </c>
      <c r="AW45">
        <f t="shared" si="14"/>
        <v>38210</v>
      </c>
      <c r="AX45">
        <f>_xlfn.XLOOKUP(B45,'[5]july-2025'!$A:$A,'[5]july-2025'!$C:$C,0,0)</f>
        <v>31600</v>
      </c>
      <c r="AY45">
        <f t="shared" si="15"/>
        <v>5688</v>
      </c>
      <c r="AZ45">
        <v>0</v>
      </c>
      <c r="BA45">
        <f t="shared" si="16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>IF(AX45&gt;0,SUM(AX45:BC45),0)</f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17"/>
        <v>200</v>
      </c>
      <c r="BH45">
        <f t="shared" si="18"/>
        <v>39380</v>
      </c>
      <c r="BI45">
        <f>_xlfn.XLOOKUP(B45,'[6]august-2025'!$A:$A,'[6]august-2025'!$C:$C,0,0)</f>
        <v>31600</v>
      </c>
      <c r="BJ45">
        <f t="shared" si="19"/>
        <v>5688</v>
      </c>
      <c r="BK45">
        <f t="shared" si="20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1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>IF($F45="YES",0,IF(BN45&gt;40000,200,IF(BN45&gt;25000,150,IF(BN45&gt;15000,130,IF(BN45&gt;10000,110,0)))))</f>
        <v>200</v>
      </c>
      <c r="BR45">
        <f>BN45-BO45-BP45-BQ45</f>
        <v>39380</v>
      </c>
      <c r="BS45">
        <f>_xlfn.XLOOKUP(B45,'[7]september-2025'!$A:$A,'[7]september-2025'!$C:$C,0,0)</f>
        <v>31600</v>
      </c>
      <c r="BT45">
        <f t="shared" si="22"/>
        <v>5688</v>
      </c>
      <c r="BU45">
        <f t="shared" si="23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>IF(BS45&gt;0,SUM(BS45:BW45),0)</f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24"/>
        <v>200</v>
      </c>
      <c r="CB45">
        <f t="shared" si="25"/>
        <v>39380</v>
      </c>
      <c r="CC45">
        <f>_xlfn.XLOOKUP(B45,'[8]october-2025'!$A:$A,'[8]october-2025'!$C:$C,0,0)</f>
        <v>31600</v>
      </c>
      <c r="CD45">
        <f t="shared" si="26"/>
        <v>5688</v>
      </c>
      <c r="CE45">
        <f t="shared" si="27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>IF(CC45&gt;0,SUM(CC45:CG45),0)</f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28"/>
        <v>200</v>
      </c>
      <c r="CL45">
        <f t="shared" si="29"/>
        <v>39380</v>
      </c>
      <c r="CM45">
        <f>_xlfn.XLOOKUP(B45,'[9]november-2025'!$A:$A,'[9]november-2025'!$C:$C,0,0)</f>
        <v>31600</v>
      </c>
      <c r="CN45">
        <f t="shared" si="30"/>
        <v>5688</v>
      </c>
      <c r="CO45">
        <f t="shared" si="31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>IF(CM45&gt;0,SUM(CM45:CQ45),0)</f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32"/>
        <v>200</v>
      </c>
      <c r="CV45">
        <f t="shared" si="33"/>
        <v>39380</v>
      </c>
      <c r="CW45">
        <f>_xlfn.XLOOKUP(B45,'[10]december-2025'!$A:$A,'[10]december-2025'!$C:$C,0,0)</f>
        <v>31600</v>
      </c>
      <c r="CX45">
        <f t="shared" si="34"/>
        <v>5688</v>
      </c>
      <c r="CY45">
        <f t="shared" si="35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>IF(CW45&gt;0,SUM(CW45:DA45),0)</f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36"/>
        <v>200</v>
      </c>
      <c r="DF45">
        <f t="shared" si="37"/>
        <v>39380</v>
      </c>
      <c r="DG45">
        <f>_xlfn.XLOOKUP(B45,'[11]january-2026'!$A:$A,'[11]january-2026'!$C:$C,0,0)</f>
        <v>31600</v>
      </c>
      <c r="DH45">
        <f t="shared" si="38"/>
        <v>5688</v>
      </c>
      <c r="DI45">
        <f t="shared" si="39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>IF(DG45&gt;0,SUM(DG45:DK45),0)</f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40"/>
        <v>200</v>
      </c>
      <c r="DP45">
        <f t="shared" si="41"/>
        <v>39380</v>
      </c>
      <c r="DQ45">
        <f>_xlfn.XLOOKUP(B45,'[12]february-2026'!$A:$A,'[12]february-2026'!$C:$C,0,0)</f>
        <v>31600</v>
      </c>
      <c r="DR45">
        <f t="shared" si="42"/>
        <v>5688</v>
      </c>
      <c r="DS45">
        <f t="shared" si="43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>IF(DQ45&gt;0,SUM(DQ45:DU45),0)</f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44"/>
        <v>200</v>
      </c>
      <c r="DZ45">
        <f t="shared" si="45"/>
        <v>39380</v>
      </c>
      <c r="EA45">
        <f>_xlfn.XLOOKUP(B45,'[1]march-2025'!$A:$A,'[1]march-2025'!$J:$J,0,0)</f>
        <v>0</v>
      </c>
      <c r="EB45">
        <f>_xlfn.XLOOKUP(B45,'[2]april-2025'!$A:$A,'[2]april-2025'!$J:$J,0,0)</f>
        <v>0</v>
      </c>
      <c r="EC45">
        <f>_xlfn.XLOOKUP(B45,'[3]may-2025'!$A:$A,'[3]may-2025'!$J:$J,0,0)</f>
        <v>0</v>
      </c>
      <c r="ED45">
        <f>_xlfn.XLOOKUP(B45,'[4]june-2025'!$A:$A,'[4]june-2025'!$J:$J,0,0)</f>
        <v>0</v>
      </c>
      <c r="EE45">
        <f>_xlfn.XLOOKUP(B45,'[5]july-2025'!$A:$A,'[5]july-2025'!$J:$J,0,0)</f>
        <v>0</v>
      </c>
      <c r="EF45">
        <f>_xlfn.XLOOKUP(B45,'[6]august-2025'!$A:$A,'[6]august-2025'!$J:$J,0,0)</f>
        <v>0</v>
      </c>
      <c r="EG45">
        <f>_xlfn.XLOOKUP(B45,'[7]september-2025'!$A:$A,'[7]september-2025'!$J:$J,0,0)</f>
        <v>0</v>
      </c>
      <c r="EH45">
        <f>_xlfn.XLOOKUP(B45,'[8]october-2025'!$A:$A,'[8]october-2025'!$J:$J,0,0)</f>
        <v>0</v>
      </c>
      <c r="EI45">
        <f>_xlfn.XLOOKUP(C45,'[9]november-2025'!$A:$A,'[9]november-2025'!$J:$J,0,0)</f>
        <v>0</v>
      </c>
      <c r="EJ45">
        <f>_xlfn.XLOOKUP(B45,'[10]december-2025'!$A:$A,'[10]december-2025'!$J:$J,0,0)</f>
        <v>0</v>
      </c>
      <c r="EK45">
        <f>_xlfn.XLOOKUP(B45,'[11]january-2026'!$A:$A,'[11]january-2026'!$J:$J,0,0)</f>
        <v>0</v>
      </c>
      <c r="EL45">
        <f>_xlfn.XLOOKUP(B45,'[12]february-2026'!$A:$A,'[12]february-2026'!$J:$J,0,0)</f>
        <v>0</v>
      </c>
      <c r="EM45">
        <f t="shared" si="90"/>
        <v>0</v>
      </c>
      <c r="EN45">
        <f>DV45+DL45+DB45+CR45+CH45+BX45+BN45+BD45+AS45+AI45+Y45+O45+H45+I45</f>
        <v>499852</v>
      </c>
      <c r="EO45">
        <f>DY45+DO45+DE45+CU45+CK45+CA45+BQ45+BG45+AV45+AL45+AB45+R45</f>
        <v>2350</v>
      </c>
      <c r="EP45">
        <f t="shared" si="46"/>
        <v>50000</v>
      </c>
      <c r="EQ45">
        <v>0</v>
      </c>
      <c r="ER45">
        <f t="shared" si="91"/>
        <v>447502</v>
      </c>
      <c r="ES45">
        <f>DW45+DM45+DC45+CS45+CI45+BY45+BO45+BE45+AT45+AJ45+Z45+P45</f>
        <v>24000</v>
      </c>
      <c r="ET45">
        <f>DX45+DN45+DD45+CT45+CJ45+BZ45+BP45+BF45+AU45+AK45+AA45+Q45</f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47"/>
        <v>24000</v>
      </c>
      <c r="FF45">
        <f t="shared" si="48"/>
        <v>24000</v>
      </c>
      <c r="FG45">
        <f t="shared" si="49"/>
        <v>423502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>SUM(FH45:FN45)+(IF(F45="YES",50000,0))</f>
        <v>0</v>
      </c>
      <c r="FP45">
        <f t="shared" si="50"/>
        <v>423502</v>
      </c>
      <c r="FQ45">
        <f t="shared" si="51"/>
        <v>8675</v>
      </c>
      <c r="FR45">
        <f t="shared" si="52"/>
        <v>0</v>
      </c>
      <c r="FS45">
        <f t="shared" si="53"/>
        <v>8675</v>
      </c>
      <c r="FT45">
        <f t="shared" si="54"/>
        <v>0</v>
      </c>
      <c r="FU45">
        <f t="shared" si="55"/>
        <v>0</v>
      </c>
      <c r="FV45">
        <f t="shared" si="56"/>
        <v>0</v>
      </c>
      <c r="FW45">
        <v>0</v>
      </c>
      <c r="FX45">
        <f t="shared" si="57"/>
        <v>0</v>
      </c>
      <c r="FY45" t="b">
        <f t="shared" si="58"/>
        <v>0</v>
      </c>
      <c r="FZ45">
        <f t="shared" ca="1" si="59"/>
        <v>1027</v>
      </c>
      <c r="GA45">
        <f t="shared" ca="1" si="60"/>
        <v>500879</v>
      </c>
      <c r="GB45">
        <f t="shared" si="61"/>
        <v>75000</v>
      </c>
      <c r="GC45">
        <f t="shared" ca="1" si="62"/>
        <v>425879</v>
      </c>
      <c r="GD45">
        <f t="shared" ca="1" si="63"/>
        <v>0</v>
      </c>
      <c r="GE45">
        <f t="shared" ca="1" si="64"/>
        <v>0</v>
      </c>
      <c r="GF45">
        <f t="shared" ca="1" si="65"/>
        <v>0</v>
      </c>
      <c r="GG45">
        <f t="shared" ca="1" si="66"/>
        <v>0</v>
      </c>
      <c r="GH45">
        <f t="shared" ca="1" si="67"/>
        <v>0</v>
      </c>
      <c r="GI45">
        <f t="shared" ca="1" si="68"/>
        <v>0</v>
      </c>
      <c r="GJ45">
        <f ca="1">IF(GC45&gt;1200000,GC45-1200000-IF(F45="YES",50000,0)-GH45,0)</f>
        <v>0</v>
      </c>
      <c r="GK45">
        <f t="shared" ca="1" si="69"/>
        <v>0</v>
      </c>
      <c r="GL45">
        <f t="shared" ca="1" si="70"/>
        <v>0</v>
      </c>
      <c r="GM45">
        <f t="shared" ca="1" si="71"/>
        <v>0</v>
      </c>
      <c r="GN45">
        <f t="shared" ca="1" si="72"/>
        <v>25879</v>
      </c>
      <c r="GO45">
        <f t="shared" ca="1" si="73"/>
        <v>1293.95</v>
      </c>
      <c r="GP45">
        <f t="shared" ca="1" si="74"/>
        <v>1294</v>
      </c>
      <c r="GQ45">
        <f t="shared" ca="1" si="75"/>
        <v>0</v>
      </c>
      <c r="GR45">
        <f t="shared" ca="1" si="76"/>
        <v>0</v>
      </c>
      <c r="GS45">
        <f t="shared" ca="1" si="77"/>
        <v>1294</v>
      </c>
      <c r="GT45">
        <f t="shared" ca="1" si="78"/>
        <v>0</v>
      </c>
      <c r="GU45" t="b">
        <f t="shared" ca="1" si="79"/>
        <v>0</v>
      </c>
      <c r="GV45">
        <f t="shared" ca="1" si="80"/>
        <v>0</v>
      </c>
      <c r="GW45">
        <f t="shared" ca="1" si="81"/>
        <v>1294</v>
      </c>
      <c r="GX45">
        <f t="shared" ca="1" si="82"/>
        <v>0</v>
      </c>
      <c r="GY45">
        <f t="shared" ca="1" si="83"/>
        <v>0</v>
      </c>
      <c r="GZ45">
        <f t="shared" ca="1" si="84"/>
        <v>0</v>
      </c>
    </row>
    <row r="46" spans="1:208" x14ac:dyDescent="0.25">
      <c r="A46">
        <f>_xlfn.AGGREGATE(3,5,$B$2:B46)</f>
        <v>45</v>
      </c>
      <c r="B46" t="s">
        <v>207</v>
      </c>
      <c r="C46" t="s">
        <v>208</v>
      </c>
      <c r="D46" t="s">
        <v>762</v>
      </c>
      <c r="E46" t="s">
        <v>831</v>
      </c>
      <c r="F46" t="s">
        <v>957</v>
      </c>
      <c r="G46" t="s">
        <v>899</v>
      </c>
      <c r="H46">
        <f t="shared" si="177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>IF(J46&gt;0,SUM(J46:N46),0)</f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85"/>
        <v>200</v>
      </c>
      <c r="S46">
        <f t="shared" si="86"/>
        <v>54562</v>
      </c>
      <c r="T46">
        <f>_xlfn.XLOOKUP(B46,'[2]april-2025'!$A:$A,'[2]april-2025'!$C:$C,0,0)</f>
        <v>48700</v>
      </c>
      <c r="U46">
        <f t="shared" si="3"/>
        <v>8766</v>
      </c>
      <c r="V46">
        <f t="shared" si="4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87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5"/>
        <v>200</v>
      </c>
      <c r="AC46">
        <f t="shared" si="6"/>
        <v>56510</v>
      </c>
      <c r="AD46">
        <f>_xlfn.XLOOKUP(B46,'[3]may-2025'!$A:$A,'[3]may-2025'!$C:$C,0,0)</f>
        <v>48700</v>
      </c>
      <c r="AE46">
        <f t="shared" si="7"/>
        <v>8766</v>
      </c>
      <c r="AF46">
        <f t="shared" si="8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88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9"/>
        <v>200</v>
      </c>
      <c r="AM46">
        <f t="shared" si="10"/>
        <v>56510</v>
      </c>
      <c r="AN46">
        <f>_xlfn.XLOOKUP(B46,'[4]june-2025'!$A:$A,'[4]june-2025'!$C:$C,0,0)</f>
        <v>48700</v>
      </c>
      <c r="AO46">
        <f t="shared" si="11"/>
        <v>8766</v>
      </c>
      <c r="AP46">
        <f t="shared" si="12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89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3"/>
        <v>200</v>
      </c>
      <c r="AW46">
        <f t="shared" si="14"/>
        <v>56510</v>
      </c>
      <c r="AX46">
        <f>_xlfn.XLOOKUP(B46,'[5]july-2025'!$A:$A,'[5]july-2025'!$C:$C,0,0)</f>
        <v>51700</v>
      </c>
      <c r="AY46">
        <f t="shared" si="15"/>
        <v>9306</v>
      </c>
      <c r="AZ46">
        <v>0</v>
      </c>
      <c r="BA46">
        <f t="shared" si="16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>IF(AX46&gt;0,SUM(AX46:BC46),0)</f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17"/>
        <v>200</v>
      </c>
      <c r="BH46">
        <f t="shared" si="18"/>
        <v>60410</v>
      </c>
      <c r="BI46">
        <f>_xlfn.XLOOKUP(B46,'[6]august-2025'!$A:$A,'[6]august-2025'!$C:$C,0,0)</f>
        <v>51700</v>
      </c>
      <c r="BJ46">
        <f t="shared" si="19"/>
        <v>9306</v>
      </c>
      <c r="BK46">
        <f t="shared" si="20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1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>IF($F46="YES",0,IF(BN46&gt;40000,200,IF(BN46&gt;25000,150,IF(BN46&gt;15000,130,IF(BN46&gt;10000,110,0)))))</f>
        <v>200</v>
      </c>
      <c r="BR46">
        <f>BN46-BO46-BP46-BQ46</f>
        <v>60410</v>
      </c>
      <c r="BS46">
        <f>_xlfn.XLOOKUP(B46,'[7]september-2025'!$A:$A,'[7]september-2025'!$C:$C,0,0)</f>
        <v>51700</v>
      </c>
      <c r="BT46">
        <f t="shared" si="22"/>
        <v>9306</v>
      </c>
      <c r="BU46">
        <f t="shared" si="23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>IF(BS46&gt;0,SUM(BS46:BW46),0)</f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24"/>
        <v>200</v>
      </c>
      <c r="CB46">
        <f t="shared" si="25"/>
        <v>60410</v>
      </c>
      <c r="CC46">
        <f>_xlfn.XLOOKUP(B46,'[8]october-2025'!$A:$A,'[8]october-2025'!$C:$C,0,0)</f>
        <v>51700</v>
      </c>
      <c r="CD46">
        <f t="shared" si="26"/>
        <v>9306</v>
      </c>
      <c r="CE46">
        <f t="shared" si="27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>IF(CC46&gt;0,SUM(CC46:CG46),0)</f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28"/>
        <v>200</v>
      </c>
      <c r="CL46">
        <f t="shared" si="29"/>
        <v>60410</v>
      </c>
      <c r="CM46">
        <f>_xlfn.XLOOKUP(B46,'[9]november-2025'!$A:$A,'[9]november-2025'!$C:$C,0,0)</f>
        <v>51700</v>
      </c>
      <c r="CN46">
        <f t="shared" si="30"/>
        <v>9306</v>
      </c>
      <c r="CO46">
        <f t="shared" si="31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>IF(CM46&gt;0,SUM(CM46:CQ46),0)</f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32"/>
        <v>200</v>
      </c>
      <c r="CV46">
        <f t="shared" si="33"/>
        <v>60410</v>
      </c>
      <c r="CW46">
        <f>_xlfn.XLOOKUP(B46,'[10]december-2025'!$A:$A,'[10]december-2025'!$C:$C,0,0)</f>
        <v>51700</v>
      </c>
      <c r="CX46">
        <f t="shared" si="34"/>
        <v>9306</v>
      </c>
      <c r="CY46">
        <f t="shared" si="35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>IF(CW46&gt;0,SUM(CW46:DA46),0)</f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36"/>
        <v>200</v>
      </c>
      <c r="DF46">
        <f t="shared" si="37"/>
        <v>60410</v>
      </c>
      <c r="DG46">
        <f>_xlfn.XLOOKUP(B46,'[11]january-2026'!$A:$A,'[11]january-2026'!$C:$C,0,0)</f>
        <v>51700</v>
      </c>
      <c r="DH46">
        <f t="shared" si="38"/>
        <v>9306</v>
      </c>
      <c r="DI46">
        <f t="shared" si="39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>IF(DG46&gt;0,SUM(DG46:DK46),0)</f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40"/>
        <v>200</v>
      </c>
      <c r="DP46">
        <f t="shared" si="41"/>
        <v>60410</v>
      </c>
      <c r="DQ46">
        <f>_xlfn.XLOOKUP(B46,'[12]february-2026'!$A:$A,'[12]february-2026'!$C:$C,0,0)</f>
        <v>51700</v>
      </c>
      <c r="DR46">
        <f t="shared" si="42"/>
        <v>9306</v>
      </c>
      <c r="DS46">
        <f t="shared" si="43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>IF(DQ46&gt;0,SUM(DQ46:DU46),0)</f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44"/>
        <v>200</v>
      </c>
      <c r="DZ46">
        <f t="shared" si="45"/>
        <v>60410</v>
      </c>
      <c r="EA46">
        <f>_xlfn.XLOOKUP(B46,'[1]march-2025'!$A:$A,'[1]march-2025'!$J:$J,0,0)</f>
        <v>0</v>
      </c>
      <c r="EB46">
        <f>_xlfn.XLOOKUP(B46,'[2]april-2025'!$A:$A,'[2]april-2025'!$J:$J,0,0)</f>
        <v>0</v>
      </c>
      <c r="EC46">
        <f>_xlfn.XLOOKUP(B46,'[3]may-2025'!$A:$A,'[3]may-2025'!$J:$J,0,0)</f>
        <v>0</v>
      </c>
      <c r="ED46">
        <f>_xlfn.XLOOKUP(B46,'[4]june-2025'!$A:$A,'[4]june-2025'!$J:$J,0,0)</f>
        <v>0</v>
      </c>
      <c r="EE46">
        <f>_xlfn.XLOOKUP(B46,'[5]july-2025'!$A:$A,'[5]july-2025'!$J:$J,0,0)</f>
        <v>0</v>
      </c>
      <c r="EF46">
        <f>_xlfn.XLOOKUP(B46,'[6]august-2025'!$A:$A,'[6]august-2025'!$J:$J,0,0)</f>
        <v>0</v>
      </c>
      <c r="EG46">
        <f>_xlfn.XLOOKUP(B46,'[7]september-2025'!$A:$A,'[7]september-2025'!$J:$J,0,0)</f>
        <v>0</v>
      </c>
      <c r="EH46">
        <f>_xlfn.XLOOKUP(B46,'[8]october-2025'!$A:$A,'[8]october-2025'!$J:$J,0,0)</f>
        <v>0</v>
      </c>
      <c r="EI46">
        <f>_xlfn.XLOOKUP(C46,'[9]november-2025'!$A:$A,'[9]november-2025'!$J:$J,0,0)</f>
        <v>0</v>
      </c>
      <c r="EJ46">
        <f>_xlfn.XLOOKUP(B46,'[10]december-2025'!$A:$A,'[10]december-2025'!$J:$J,0,0)</f>
        <v>0</v>
      </c>
      <c r="EK46">
        <f>_xlfn.XLOOKUP(B46,'[11]january-2026'!$A:$A,'[11]january-2026'!$J:$J,0,0)</f>
        <v>0</v>
      </c>
      <c r="EL46">
        <f>_xlfn.XLOOKUP(B46,'[12]february-2026'!$A:$A,'[12]february-2026'!$J:$J,0,0)</f>
        <v>0</v>
      </c>
      <c r="EM46">
        <f t="shared" si="90"/>
        <v>0</v>
      </c>
      <c r="EN46">
        <f>DV46+DL46+DB46+CR46+CH46+BX46+BN46+BD46+AS46+AI46+Y46+O46+H46+I46</f>
        <v>800572</v>
      </c>
      <c r="EO46">
        <f>DY46+DO46+DE46+CU46+CK46+CA46+BQ46+BG46+AV46+AL46+AB46+R46</f>
        <v>2400</v>
      </c>
      <c r="EP46">
        <f t="shared" si="46"/>
        <v>50000</v>
      </c>
      <c r="EQ46">
        <v>0</v>
      </c>
      <c r="ER46">
        <f t="shared" si="91"/>
        <v>748172</v>
      </c>
      <c r="ES46">
        <f>DW46+DM46+DC46+CS46+CI46+BY46+BO46+BE46+AT46+AJ46+Z46+P46</f>
        <v>84000</v>
      </c>
      <c r="ET46">
        <f>DX46+DN46+DD46+CT46+CJ46+BZ46+BP46+BF46+AU46+AK46+AA46+Q46</f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47"/>
        <v>84000</v>
      </c>
      <c r="FF46">
        <f t="shared" si="48"/>
        <v>84000</v>
      </c>
      <c r="FG46">
        <f t="shared" si="49"/>
        <v>664172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>SUM(FH46:FN46)+(IF(F46="YES",50000,0))</f>
        <v>0</v>
      </c>
      <c r="FP46">
        <f t="shared" si="50"/>
        <v>664172</v>
      </c>
      <c r="FQ46">
        <f t="shared" si="51"/>
        <v>12500</v>
      </c>
      <c r="FR46">
        <f t="shared" si="52"/>
        <v>32834</v>
      </c>
      <c r="FS46">
        <f t="shared" si="53"/>
        <v>45334</v>
      </c>
      <c r="FT46">
        <f t="shared" si="54"/>
        <v>45334</v>
      </c>
      <c r="FU46">
        <f t="shared" si="55"/>
        <v>1813.3600000000001</v>
      </c>
      <c r="FV46">
        <f t="shared" si="56"/>
        <v>47147</v>
      </c>
      <c r="FW46">
        <v>0</v>
      </c>
      <c r="FX46">
        <f t="shared" si="57"/>
        <v>47147</v>
      </c>
      <c r="FY46" t="b">
        <f t="shared" si="58"/>
        <v>1</v>
      </c>
      <c r="FZ46">
        <f t="shared" ca="1" si="59"/>
        <v>889</v>
      </c>
      <c r="GA46">
        <f t="shared" ca="1" si="60"/>
        <v>801461</v>
      </c>
      <c r="GB46">
        <f t="shared" si="61"/>
        <v>75000</v>
      </c>
      <c r="GC46">
        <f t="shared" ca="1" si="62"/>
        <v>726461</v>
      </c>
      <c r="GD46">
        <f t="shared" ca="1" si="63"/>
        <v>0</v>
      </c>
      <c r="GE46">
        <f t="shared" ca="1" si="64"/>
        <v>0</v>
      </c>
      <c r="GF46">
        <f t="shared" ca="1" si="65"/>
        <v>0</v>
      </c>
      <c r="GG46">
        <f t="shared" ca="1" si="66"/>
        <v>0</v>
      </c>
      <c r="GH46">
        <f t="shared" ca="1" si="67"/>
        <v>0</v>
      </c>
      <c r="GI46">
        <f t="shared" ca="1" si="68"/>
        <v>0</v>
      </c>
      <c r="GJ46">
        <f ca="1">IF(GC46&gt;1200000,GC46-1200000-IF(F46="YES",50000,0)-GH46,0)</f>
        <v>0</v>
      </c>
      <c r="GK46">
        <f t="shared" ca="1" si="69"/>
        <v>0</v>
      </c>
      <c r="GL46">
        <f t="shared" ca="1" si="70"/>
        <v>0</v>
      </c>
      <c r="GM46">
        <f t="shared" ca="1" si="71"/>
        <v>0</v>
      </c>
      <c r="GN46">
        <f t="shared" ca="1" si="72"/>
        <v>326461</v>
      </c>
      <c r="GO46">
        <f t="shared" ca="1" si="73"/>
        <v>16323.050000000001</v>
      </c>
      <c r="GP46">
        <f t="shared" ca="1" si="74"/>
        <v>16323</v>
      </c>
      <c r="GQ46">
        <f t="shared" ca="1" si="75"/>
        <v>0</v>
      </c>
      <c r="GR46">
        <f t="shared" ca="1" si="76"/>
        <v>0</v>
      </c>
      <c r="GS46">
        <f t="shared" ca="1" si="77"/>
        <v>16323</v>
      </c>
      <c r="GT46">
        <f t="shared" ca="1" si="78"/>
        <v>0</v>
      </c>
      <c r="GU46" t="b">
        <f t="shared" ca="1" si="79"/>
        <v>0</v>
      </c>
      <c r="GV46">
        <f t="shared" ca="1" si="80"/>
        <v>0</v>
      </c>
      <c r="GW46">
        <f t="shared" ca="1" si="81"/>
        <v>16323</v>
      </c>
      <c r="GX46">
        <f t="shared" ca="1" si="82"/>
        <v>0</v>
      </c>
      <c r="GY46">
        <f t="shared" ca="1" si="83"/>
        <v>0</v>
      </c>
      <c r="GZ46">
        <f t="shared" ca="1" si="84"/>
        <v>0</v>
      </c>
    </row>
    <row r="47" spans="1:208" x14ac:dyDescent="0.25">
      <c r="A47">
        <f>_xlfn.AGGREGATE(3,5,$B$2:B47)</f>
        <v>46</v>
      </c>
      <c r="B47" t="s">
        <v>209</v>
      </c>
      <c r="C47" t="s">
        <v>210</v>
      </c>
      <c r="D47" t="s">
        <v>762</v>
      </c>
      <c r="E47" t="s">
        <v>831</v>
      </c>
      <c r="F47" t="s">
        <v>957</v>
      </c>
      <c r="G47" t="s">
        <v>878</v>
      </c>
      <c r="H47">
        <f t="shared" si="177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>IF(J47&gt;0,SUM(J47:N47),0)</f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85"/>
        <v>200</v>
      </c>
      <c r="S47">
        <f t="shared" si="86"/>
        <v>38770</v>
      </c>
      <c r="T47">
        <f>_xlfn.XLOOKUP(B47,'[2]april-2025'!$A:$A,'[2]april-2025'!$C:$C,0,0)</f>
        <v>34500</v>
      </c>
      <c r="U47">
        <f t="shared" si="3"/>
        <v>6210</v>
      </c>
      <c r="V47">
        <f t="shared" si="4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87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5"/>
        <v>200</v>
      </c>
      <c r="AC47">
        <f t="shared" si="6"/>
        <v>40150</v>
      </c>
      <c r="AD47">
        <f>_xlfn.XLOOKUP(B47,'[3]may-2025'!$A:$A,'[3]may-2025'!$C:$C,0,0)</f>
        <v>34500</v>
      </c>
      <c r="AE47">
        <f t="shared" si="7"/>
        <v>6210</v>
      </c>
      <c r="AF47">
        <f t="shared" si="8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88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9"/>
        <v>200</v>
      </c>
      <c r="AM47">
        <f t="shared" si="10"/>
        <v>40150</v>
      </c>
      <c r="AN47">
        <f>_xlfn.XLOOKUP(B47,'[4]june-2025'!$A:$A,'[4]june-2025'!$C:$C,0,0)</f>
        <v>34500</v>
      </c>
      <c r="AO47">
        <f t="shared" si="11"/>
        <v>6210</v>
      </c>
      <c r="AP47">
        <f t="shared" si="12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89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3"/>
        <v>200</v>
      </c>
      <c r="AW47">
        <f t="shared" si="14"/>
        <v>40150</v>
      </c>
      <c r="AX47">
        <f>_xlfn.XLOOKUP(B47,'[5]july-2025'!$A:$A,'[5]july-2025'!$C:$C,0,0)</f>
        <v>35500</v>
      </c>
      <c r="AY47">
        <f t="shared" si="15"/>
        <v>6390</v>
      </c>
      <c r="AZ47">
        <v>0</v>
      </c>
      <c r="BA47">
        <f t="shared" si="16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>IF(AX47&gt;0,SUM(AX47:BC47),0)</f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17"/>
        <v>200</v>
      </c>
      <c r="BH47">
        <f t="shared" si="18"/>
        <v>41450</v>
      </c>
      <c r="BI47">
        <f>_xlfn.XLOOKUP(B47,'[6]august-2025'!$A:$A,'[6]august-2025'!$C:$C,0,0)</f>
        <v>35500</v>
      </c>
      <c r="BJ47">
        <f t="shared" si="19"/>
        <v>6390</v>
      </c>
      <c r="BK47">
        <f t="shared" si="20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1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>IF($F47="YES",0,IF(BN47&gt;40000,200,IF(BN47&gt;25000,150,IF(BN47&gt;15000,130,IF(BN47&gt;10000,110,0)))))</f>
        <v>200</v>
      </c>
      <c r="BR47">
        <f>BN47-BO47-BP47-BQ47</f>
        <v>41450</v>
      </c>
      <c r="BS47">
        <f>_xlfn.XLOOKUP(B47,'[7]september-2025'!$A:$A,'[7]september-2025'!$C:$C,0,0)</f>
        <v>35500</v>
      </c>
      <c r="BT47">
        <f t="shared" si="22"/>
        <v>6390</v>
      </c>
      <c r="BU47">
        <f t="shared" si="23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>IF(BS47&gt;0,SUM(BS47:BW47),0)</f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24"/>
        <v>200</v>
      </c>
      <c r="CB47">
        <f t="shared" si="25"/>
        <v>41450</v>
      </c>
      <c r="CC47">
        <f>_xlfn.XLOOKUP(B47,'[8]october-2025'!$A:$A,'[8]october-2025'!$C:$C,0,0)</f>
        <v>35500</v>
      </c>
      <c r="CD47">
        <f t="shared" si="26"/>
        <v>6390</v>
      </c>
      <c r="CE47">
        <f t="shared" si="27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>IF(CC47&gt;0,SUM(CC47:CG47),0)</f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28"/>
        <v>200</v>
      </c>
      <c r="CL47">
        <f t="shared" si="29"/>
        <v>41450</v>
      </c>
      <c r="CM47">
        <f>_xlfn.XLOOKUP(B47,'[9]november-2025'!$A:$A,'[9]november-2025'!$C:$C,0,0)</f>
        <v>35500</v>
      </c>
      <c r="CN47">
        <f t="shared" si="30"/>
        <v>6390</v>
      </c>
      <c r="CO47">
        <f t="shared" si="31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>IF(CM47&gt;0,SUM(CM47:CQ47),0)</f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32"/>
        <v>200</v>
      </c>
      <c r="CV47">
        <f t="shared" si="33"/>
        <v>41450</v>
      </c>
      <c r="CW47">
        <f>_xlfn.XLOOKUP(B47,'[10]december-2025'!$A:$A,'[10]december-2025'!$C:$C,0,0)</f>
        <v>35500</v>
      </c>
      <c r="CX47">
        <f t="shared" si="34"/>
        <v>6390</v>
      </c>
      <c r="CY47">
        <f t="shared" si="35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>IF(CW47&gt;0,SUM(CW47:DA47),0)</f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36"/>
        <v>200</v>
      </c>
      <c r="DF47">
        <f t="shared" si="37"/>
        <v>41450</v>
      </c>
      <c r="DG47">
        <f>_xlfn.XLOOKUP(B47,'[11]january-2026'!$A:$A,'[11]january-2026'!$C:$C,0,0)</f>
        <v>35500</v>
      </c>
      <c r="DH47">
        <f t="shared" si="38"/>
        <v>6390</v>
      </c>
      <c r="DI47">
        <f t="shared" si="39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>IF(DG47&gt;0,SUM(DG47:DK47),0)</f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40"/>
        <v>200</v>
      </c>
      <c r="DP47">
        <f t="shared" si="41"/>
        <v>41450</v>
      </c>
      <c r="DQ47">
        <f>_xlfn.XLOOKUP(B47,'[12]february-2026'!$A:$A,'[12]february-2026'!$C:$C,0,0)</f>
        <v>35500</v>
      </c>
      <c r="DR47">
        <f t="shared" si="42"/>
        <v>6390</v>
      </c>
      <c r="DS47">
        <f t="shared" si="43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>IF(DQ47&gt;0,SUM(DQ47:DU47),0)</f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44"/>
        <v>200</v>
      </c>
      <c r="DZ47">
        <f t="shared" si="45"/>
        <v>41450</v>
      </c>
      <c r="EA47">
        <f>_xlfn.XLOOKUP(B47,'[1]march-2025'!$A:$A,'[1]march-2025'!$J:$J,0,0)</f>
        <v>0</v>
      </c>
      <c r="EB47">
        <f>_xlfn.XLOOKUP(B47,'[2]april-2025'!$A:$A,'[2]april-2025'!$J:$J,0,0)</f>
        <v>0</v>
      </c>
      <c r="EC47">
        <f>_xlfn.XLOOKUP(B47,'[3]may-2025'!$A:$A,'[3]may-2025'!$J:$J,0,0)</f>
        <v>0</v>
      </c>
      <c r="ED47">
        <f>_xlfn.XLOOKUP(B47,'[4]june-2025'!$A:$A,'[4]june-2025'!$J:$J,0,0)</f>
        <v>0</v>
      </c>
      <c r="EE47">
        <f>_xlfn.XLOOKUP(B47,'[5]july-2025'!$A:$A,'[5]july-2025'!$J:$J,0,0)</f>
        <v>0</v>
      </c>
      <c r="EF47">
        <f>_xlfn.XLOOKUP(B47,'[6]august-2025'!$A:$A,'[6]august-2025'!$J:$J,0,0)</f>
        <v>0</v>
      </c>
      <c r="EG47">
        <f>_xlfn.XLOOKUP(B47,'[7]september-2025'!$A:$A,'[7]september-2025'!$J:$J,0,0)</f>
        <v>0</v>
      </c>
      <c r="EH47">
        <f>_xlfn.XLOOKUP(B47,'[8]october-2025'!$A:$A,'[8]october-2025'!$J:$J,0,0)</f>
        <v>0</v>
      </c>
      <c r="EI47">
        <f>_xlfn.XLOOKUP(C47,'[9]november-2025'!$A:$A,'[9]november-2025'!$J:$J,0,0)</f>
        <v>0</v>
      </c>
      <c r="EJ47">
        <f>_xlfn.XLOOKUP(B47,'[10]december-2025'!$A:$A,'[10]december-2025'!$J:$J,0,0)</f>
        <v>0</v>
      </c>
      <c r="EK47">
        <f>_xlfn.XLOOKUP(B47,'[11]january-2026'!$A:$A,'[11]january-2026'!$J:$J,0,0)</f>
        <v>0</v>
      </c>
      <c r="EL47">
        <f>_xlfn.XLOOKUP(B47,'[12]february-2026'!$A:$A,'[12]february-2026'!$J:$J,0,0)</f>
        <v>0</v>
      </c>
      <c r="EM47">
        <f t="shared" si="90"/>
        <v>0</v>
      </c>
      <c r="EN47">
        <f>DV47+DL47+DB47+CR47+CH47+BX47+BN47+BD47+AS47+AI47+Y47+O47+H47+I47</f>
        <v>560020</v>
      </c>
      <c r="EO47">
        <f>DY47+DO47+DE47+CU47+CK47+CA47+BQ47+BG47+AV47+AL47+AB47+R47</f>
        <v>2400</v>
      </c>
      <c r="EP47">
        <f t="shared" si="46"/>
        <v>50000</v>
      </c>
      <c r="EQ47">
        <v>0</v>
      </c>
      <c r="ER47">
        <f t="shared" si="91"/>
        <v>507620</v>
      </c>
      <c r="ES47">
        <f>DW47+DM47+DC47+CS47+CI47+BY47+BO47+BE47+AT47+AJ47+Z47+P47</f>
        <v>60000</v>
      </c>
      <c r="ET47">
        <f>DX47+DN47+DD47+CT47+CJ47+BZ47+BP47+BF47+AU47+AK47+AA47+Q47</f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47"/>
        <v>60000</v>
      </c>
      <c r="FF47">
        <f t="shared" si="48"/>
        <v>60000</v>
      </c>
      <c r="FG47">
        <f t="shared" si="49"/>
        <v>447620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>SUM(FH47:FN47)+(IF(F47="YES",50000,0))</f>
        <v>0</v>
      </c>
      <c r="FP47">
        <f t="shared" si="50"/>
        <v>447620</v>
      </c>
      <c r="FQ47">
        <f t="shared" si="51"/>
        <v>9881</v>
      </c>
      <c r="FR47">
        <f t="shared" si="52"/>
        <v>0</v>
      </c>
      <c r="FS47">
        <f t="shared" si="53"/>
        <v>9881</v>
      </c>
      <c r="FT47">
        <f t="shared" si="54"/>
        <v>0</v>
      </c>
      <c r="FU47">
        <f t="shared" si="55"/>
        <v>0</v>
      </c>
      <c r="FV47">
        <f t="shared" si="56"/>
        <v>0</v>
      </c>
      <c r="FW47">
        <v>0</v>
      </c>
      <c r="FX47">
        <f t="shared" si="57"/>
        <v>0</v>
      </c>
      <c r="FY47" t="b">
        <f t="shared" si="58"/>
        <v>1</v>
      </c>
      <c r="FZ47">
        <f t="shared" ca="1" si="59"/>
        <v>822</v>
      </c>
      <c r="GA47">
        <f t="shared" ca="1" si="60"/>
        <v>560842</v>
      </c>
      <c r="GB47">
        <f t="shared" si="61"/>
        <v>75000</v>
      </c>
      <c r="GC47">
        <f t="shared" ca="1" si="62"/>
        <v>485842</v>
      </c>
      <c r="GD47">
        <f t="shared" ca="1" si="63"/>
        <v>0</v>
      </c>
      <c r="GE47">
        <f t="shared" ca="1" si="64"/>
        <v>0</v>
      </c>
      <c r="GF47">
        <f t="shared" ca="1" si="65"/>
        <v>0</v>
      </c>
      <c r="GG47">
        <f t="shared" ca="1" si="66"/>
        <v>0</v>
      </c>
      <c r="GH47">
        <f t="shared" ca="1" si="67"/>
        <v>0</v>
      </c>
      <c r="GI47">
        <f t="shared" ca="1" si="68"/>
        <v>0</v>
      </c>
      <c r="GJ47">
        <f ca="1">IF(GC47&gt;1200000,GC47-1200000-IF(F47="YES",50000,0)-GH47,0)</f>
        <v>0</v>
      </c>
      <c r="GK47">
        <f t="shared" ca="1" si="69"/>
        <v>0</v>
      </c>
      <c r="GL47">
        <f t="shared" ca="1" si="70"/>
        <v>0</v>
      </c>
      <c r="GM47">
        <f t="shared" ca="1" si="71"/>
        <v>0</v>
      </c>
      <c r="GN47">
        <f t="shared" ca="1" si="72"/>
        <v>85842</v>
      </c>
      <c r="GO47">
        <f t="shared" ca="1" si="73"/>
        <v>4292.1000000000004</v>
      </c>
      <c r="GP47">
        <f t="shared" ca="1" si="74"/>
        <v>4292</v>
      </c>
      <c r="GQ47">
        <f t="shared" ca="1" si="75"/>
        <v>0</v>
      </c>
      <c r="GR47">
        <f t="shared" ca="1" si="76"/>
        <v>0</v>
      </c>
      <c r="GS47">
        <f t="shared" ca="1" si="77"/>
        <v>4292</v>
      </c>
      <c r="GT47">
        <f t="shared" ca="1" si="78"/>
        <v>0</v>
      </c>
      <c r="GU47" t="b">
        <f t="shared" ca="1" si="79"/>
        <v>0</v>
      </c>
      <c r="GV47">
        <f t="shared" ca="1" si="80"/>
        <v>0</v>
      </c>
      <c r="GW47">
        <f t="shared" ca="1" si="81"/>
        <v>4292</v>
      </c>
      <c r="GX47">
        <f t="shared" ca="1" si="82"/>
        <v>0</v>
      </c>
      <c r="GY47">
        <f t="shared" ca="1" si="83"/>
        <v>0</v>
      </c>
      <c r="GZ47">
        <f t="shared" ca="1" si="84"/>
        <v>0</v>
      </c>
    </row>
    <row r="48" spans="1:208" x14ac:dyDescent="0.25">
      <c r="A48">
        <f>_xlfn.AGGREGATE(3,5,$B$2:B48)</f>
        <v>47</v>
      </c>
      <c r="B48" t="s">
        <v>211</v>
      </c>
      <c r="C48" t="s">
        <v>212</v>
      </c>
      <c r="D48" t="s">
        <v>762</v>
      </c>
      <c r="E48" t="s">
        <v>831</v>
      </c>
      <c r="F48" t="s">
        <v>957</v>
      </c>
      <c r="G48" t="s">
        <v>878</v>
      </c>
      <c r="H48">
        <f t="shared" si="177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>IF(J48&gt;0,SUM(J48:N48),0)</f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85"/>
        <v>200</v>
      </c>
      <c r="S48">
        <f t="shared" si="86"/>
        <v>35770</v>
      </c>
      <c r="T48">
        <f>_xlfn.XLOOKUP(B48,'[2]april-2025'!$A:$A,'[2]april-2025'!$C:$C,0,0)</f>
        <v>34500</v>
      </c>
      <c r="U48">
        <f t="shared" si="3"/>
        <v>6210</v>
      </c>
      <c r="V48">
        <f t="shared" si="4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87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5"/>
        <v>200</v>
      </c>
      <c r="AC48">
        <f t="shared" si="6"/>
        <v>37150</v>
      </c>
      <c r="AD48">
        <f>_xlfn.XLOOKUP(B48,'[3]may-2025'!$A:$A,'[3]may-2025'!$C:$C,0,0)</f>
        <v>34500</v>
      </c>
      <c r="AE48">
        <f t="shared" si="7"/>
        <v>6210</v>
      </c>
      <c r="AF48">
        <f t="shared" si="8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88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9"/>
        <v>200</v>
      </c>
      <c r="AM48">
        <f t="shared" si="10"/>
        <v>37150</v>
      </c>
      <c r="AN48">
        <f>_xlfn.XLOOKUP(B48,'[4]june-2025'!$A:$A,'[4]june-2025'!$C:$C,0,0)</f>
        <v>34500</v>
      </c>
      <c r="AO48">
        <f t="shared" si="11"/>
        <v>6210</v>
      </c>
      <c r="AP48">
        <f t="shared" si="12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89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3"/>
        <v>200</v>
      </c>
      <c r="AW48">
        <f t="shared" si="14"/>
        <v>37150</v>
      </c>
      <c r="AX48">
        <f>_xlfn.XLOOKUP(B48,'[5]july-2025'!$A:$A,'[5]july-2025'!$C:$C,0,0)</f>
        <v>35500</v>
      </c>
      <c r="AY48">
        <f t="shared" si="15"/>
        <v>6390</v>
      </c>
      <c r="AZ48">
        <v>0</v>
      </c>
      <c r="BA48">
        <f t="shared" si="16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>IF(AX48&gt;0,SUM(AX48:BC48),0)</f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17"/>
        <v>200</v>
      </c>
      <c r="BH48">
        <f t="shared" si="18"/>
        <v>38450</v>
      </c>
      <c r="BI48">
        <f>_xlfn.XLOOKUP(B48,'[6]august-2025'!$A:$A,'[6]august-2025'!$C:$C,0,0)</f>
        <v>35500</v>
      </c>
      <c r="BJ48">
        <f t="shared" si="19"/>
        <v>6390</v>
      </c>
      <c r="BK48">
        <f t="shared" si="20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1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>IF($F48="YES",0,IF(BN48&gt;40000,200,IF(BN48&gt;25000,150,IF(BN48&gt;15000,130,IF(BN48&gt;10000,110,0)))))</f>
        <v>200</v>
      </c>
      <c r="BR48">
        <f>BN48-BO48-BP48-BQ48</f>
        <v>38450</v>
      </c>
      <c r="BS48">
        <f>_xlfn.XLOOKUP(B48,'[7]september-2025'!$A:$A,'[7]september-2025'!$C:$C,0,0)</f>
        <v>35500</v>
      </c>
      <c r="BT48">
        <f t="shared" si="22"/>
        <v>6390</v>
      </c>
      <c r="BU48">
        <f t="shared" si="23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>IF(BS48&gt;0,SUM(BS48:BW48),0)</f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24"/>
        <v>200</v>
      </c>
      <c r="CB48">
        <f t="shared" si="25"/>
        <v>38450</v>
      </c>
      <c r="CC48">
        <f>_xlfn.XLOOKUP(B48,'[8]october-2025'!$A:$A,'[8]october-2025'!$C:$C,0,0)</f>
        <v>35500</v>
      </c>
      <c r="CD48">
        <f t="shared" si="26"/>
        <v>6390</v>
      </c>
      <c r="CE48">
        <f t="shared" si="27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>IF(CC48&gt;0,SUM(CC48:CG48),0)</f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28"/>
        <v>200</v>
      </c>
      <c r="CL48">
        <f t="shared" si="29"/>
        <v>38450</v>
      </c>
      <c r="CM48">
        <f>_xlfn.XLOOKUP(B48,'[9]november-2025'!$A:$A,'[9]november-2025'!$C:$C,0,0)</f>
        <v>35500</v>
      </c>
      <c r="CN48">
        <f t="shared" si="30"/>
        <v>6390</v>
      </c>
      <c r="CO48">
        <f t="shared" si="31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>IF(CM48&gt;0,SUM(CM48:CQ48),0)</f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32"/>
        <v>200</v>
      </c>
      <c r="CV48">
        <f t="shared" si="33"/>
        <v>38450</v>
      </c>
      <c r="CW48">
        <f>_xlfn.XLOOKUP(B48,'[10]december-2025'!$A:$A,'[10]december-2025'!$C:$C,0,0)</f>
        <v>35500</v>
      </c>
      <c r="CX48">
        <f t="shared" si="34"/>
        <v>6390</v>
      </c>
      <c r="CY48">
        <f t="shared" si="35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>IF(CW48&gt;0,SUM(CW48:DA48),0)</f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36"/>
        <v>200</v>
      </c>
      <c r="DF48">
        <f t="shared" si="37"/>
        <v>38450</v>
      </c>
      <c r="DG48">
        <f>_xlfn.XLOOKUP(B48,'[11]january-2026'!$A:$A,'[11]january-2026'!$C:$C,0,0)</f>
        <v>35500</v>
      </c>
      <c r="DH48">
        <f t="shared" si="38"/>
        <v>6390</v>
      </c>
      <c r="DI48">
        <f t="shared" si="39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>IF(DG48&gt;0,SUM(DG48:DK48),0)</f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40"/>
        <v>200</v>
      </c>
      <c r="DP48">
        <f t="shared" si="41"/>
        <v>38450</v>
      </c>
      <c r="DQ48">
        <f>_xlfn.XLOOKUP(B48,'[12]february-2026'!$A:$A,'[12]february-2026'!$C:$C,0,0)</f>
        <v>35500</v>
      </c>
      <c r="DR48">
        <f t="shared" si="42"/>
        <v>6390</v>
      </c>
      <c r="DS48">
        <f t="shared" si="43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>IF(DQ48&gt;0,SUM(DQ48:DU48),0)</f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44"/>
        <v>200</v>
      </c>
      <c r="DZ48">
        <f t="shared" si="45"/>
        <v>38450</v>
      </c>
      <c r="EA48">
        <f>_xlfn.XLOOKUP(B48,'[1]march-2025'!$A:$A,'[1]march-2025'!$J:$J,0,0)</f>
        <v>0</v>
      </c>
      <c r="EB48">
        <f>_xlfn.XLOOKUP(B48,'[2]april-2025'!$A:$A,'[2]april-2025'!$J:$J,0,0)</f>
        <v>0</v>
      </c>
      <c r="EC48">
        <f>_xlfn.XLOOKUP(B48,'[3]may-2025'!$A:$A,'[3]may-2025'!$J:$J,0,0)</f>
        <v>0</v>
      </c>
      <c r="ED48">
        <f>_xlfn.XLOOKUP(B48,'[4]june-2025'!$A:$A,'[4]june-2025'!$J:$J,0,0)</f>
        <v>0</v>
      </c>
      <c r="EE48">
        <f>_xlfn.XLOOKUP(B48,'[5]july-2025'!$A:$A,'[5]july-2025'!$J:$J,0,0)</f>
        <v>0</v>
      </c>
      <c r="EF48">
        <f>_xlfn.XLOOKUP(B48,'[6]august-2025'!$A:$A,'[6]august-2025'!$J:$J,0,0)</f>
        <v>0</v>
      </c>
      <c r="EG48">
        <f>_xlfn.XLOOKUP(B48,'[7]september-2025'!$A:$A,'[7]september-2025'!$J:$J,0,0)</f>
        <v>0</v>
      </c>
      <c r="EH48">
        <f>_xlfn.XLOOKUP(B48,'[8]october-2025'!$A:$A,'[8]october-2025'!$J:$J,0,0)</f>
        <v>0</v>
      </c>
      <c r="EI48">
        <f>_xlfn.XLOOKUP(C48,'[9]november-2025'!$A:$A,'[9]november-2025'!$J:$J,0,0)</f>
        <v>0</v>
      </c>
      <c r="EJ48">
        <f>_xlfn.XLOOKUP(B48,'[10]december-2025'!$A:$A,'[10]december-2025'!$J:$J,0,0)</f>
        <v>0</v>
      </c>
      <c r="EK48">
        <f>_xlfn.XLOOKUP(B48,'[11]january-2026'!$A:$A,'[11]january-2026'!$J:$J,0,0)</f>
        <v>0</v>
      </c>
      <c r="EL48">
        <f>_xlfn.XLOOKUP(B48,'[12]february-2026'!$A:$A,'[12]february-2026'!$J:$J,0,0)</f>
        <v>0</v>
      </c>
      <c r="EM48">
        <f t="shared" si="90"/>
        <v>0</v>
      </c>
      <c r="EN48">
        <f>DV48+DL48+DB48+CR48+CH48+BX48+BN48+BD48+AS48+AI48+Y48+O48+H48+I48</f>
        <v>560020</v>
      </c>
      <c r="EO48">
        <f>DY48+DO48+DE48+CU48+CK48+CA48+BQ48+BG48+AV48+AL48+AB48+R48</f>
        <v>2400</v>
      </c>
      <c r="EP48">
        <f t="shared" si="46"/>
        <v>50000</v>
      </c>
      <c r="EQ48">
        <v>0</v>
      </c>
      <c r="ER48">
        <f t="shared" si="91"/>
        <v>507620</v>
      </c>
      <c r="ES48">
        <f>DW48+DM48+DC48+CS48+CI48+BY48+BO48+BE48+AT48+AJ48+Z48+P48</f>
        <v>96000</v>
      </c>
      <c r="ET48">
        <f>DX48+DN48+DD48+CT48+CJ48+BZ48+BP48+BF48+AU48+AK48+AA48+Q48</f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47"/>
        <v>96000</v>
      </c>
      <c r="FF48">
        <f t="shared" si="48"/>
        <v>96000</v>
      </c>
      <c r="FG48">
        <f t="shared" si="49"/>
        <v>411620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>SUM(FH48:FN48)+(IF(F48="YES",50000,0))</f>
        <v>0</v>
      </c>
      <c r="FP48">
        <f t="shared" si="50"/>
        <v>411620</v>
      </c>
      <c r="FQ48">
        <f t="shared" si="51"/>
        <v>8081</v>
      </c>
      <c r="FR48">
        <f t="shared" si="52"/>
        <v>0</v>
      </c>
      <c r="FS48">
        <f t="shared" si="53"/>
        <v>8081</v>
      </c>
      <c r="FT48">
        <f t="shared" si="54"/>
        <v>0</v>
      </c>
      <c r="FU48">
        <f t="shared" si="55"/>
        <v>0</v>
      </c>
      <c r="FV48">
        <f t="shared" si="56"/>
        <v>0</v>
      </c>
      <c r="FW48">
        <v>0</v>
      </c>
      <c r="FX48">
        <f t="shared" si="57"/>
        <v>0</v>
      </c>
      <c r="FY48" t="b">
        <f t="shared" si="58"/>
        <v>1</v>
      </c>
      <c r="FZ48">
        <f t="shared" ca="1" si="59"/>
        <v>727</v>
      </c>
      <c r="GA48">
        <f t="shared" ca="1" si="60"/>
        <v>560747</v>
      </c>
      <c r="GB48">
        <f t="shared" si="61"/>
        <v>75000</v>
      </c>
      <c r="GC48">
        <f t="shared" ca="1" si="62"/>
        <v>485747</v>
      </c>
      <c r="GD48">
        <f t="shared" ca="1" si="63"/>
        <v>0</v>
      </c>
      <c r="GE48">
        <f t="shared" ca="1" si="64"/>
        <v>0</v>
      </c>
      <c r="GF48">
        <f t="shared" ca="1" si="65"/>
        <v>0</v>
      </c>
      <c r="GG48">
        <f t="shared" ca="1" si="66"/>
        <v>0</v>
      </c>
      <c r="GH48">
        <f t="shared" ca="1" si="67"/>
        <v>0</v>
      </c>
      <c r="GI48">
        <f t="shared" ca="1" si="68"/>
        <v>0</v>
      </c>
      <c r="GJ48">
        <f ca="1">IF(GC48&gt;1200000,GC48-1200000-IF(F48="YES",50000,0)-GH48,0)</f>
        <v>0</v>
      </c>
      <c r="GK48">
        <f t="shared" ca="1" si="69"/>
        <v>0</v>
      </c>
      <c r="GL48">
        <f t="shared" ca="1" si="70"/>
        <v>0</v>
      </c>
      <c r="GM48">
        <f t="shared" ca="1" si="71"/>
        <v>0</v>
      </c>
      <c r="GN48">
        <f t="shared" ca="1" si="72"/>
        <v>85747</v>
      </c>
      <c r="GO48">
        <f t="shared" ca="1" si="73"/>
        <v>4287.3500000000004</v>
      </c>
      <c r="GP48">
        <f t="shared" ca="1" si="74"/>
        <v>4287</v>
      </c>
      <c r="GQ48">
        <f t="shared" ca="1" si="75"/>
        <v>0</v>
      </c>
      <c r="GR48">
        <f t="shared" ca="1" si="76"/>
        <v>0</v>
      </c>
      <c r="GS48">
        <f t="shared" ca="1" si="77"/>
        <v>4287</v>
      </c>
      <c r="GT48">
        <f t="shared" ca="1" si="78"/>
        <v>0</v>
      </c>
      <c r="GU48" t="b">
        <f t="shared" ca="1" si="79"/>
        <v>0</v>
      </c>
      <c r="GV48">
        <f t="shared" ca="1" si="80"/>
        <v>0</v>
      </c>
      <c r="GW48">
        <f t="shared" ca="1" si="81"/>
        <v>4287</v>
      </c>
      <c r="GX48">
        <f t="shared" ca="1" si="82"/>
        <v>0</v>
      </c>
      <c r="GY48">
        <f t="shared" ca="1" si="83"/>
        <v>0</v>
      </c>
      <c r="GZ48">
        <f t="shared" ca="1" si="84"/>
        <v>0</v>
      </c>
    </row>
    <row r="49" spans="1:208" x14ac:dyDescent="0.25">
      <c r="A49">
        <f>_xlfn.AGGREGATE(3,5,$B$2:B49)</f>
        <v>48</v>
      </c>
      <c r="B49" t="s">
        <v>213</v>
      </c>
      <c r="C49" t="s">
        <v>214</v>
      </c>
      <c r="D49" t="s">
        <v>762</v>
      </c>
      <c r="E49" t="s">
        <v>831</v>
      </c>
      <c r="F49" t="s">
        <v>957</v>
      </c>
      <c r="G49" t="s">
        <v>900</v>
      </c>
      <c r="H49">
        <f t="shared" si="177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>IF(J49&gt;0,SUM(J49:N49),0)</f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85"/>
        <v>200</v>
      </c>
      <c r="S49">
        <f t="shared" si="86"/>
        <v>38770</v>
      </c>
      <c r="T49">
        <f>_xlfn.XLOOKUP(B49,'[2]april-2025'!$A:$A,'[2]april-2025'!$C:$C,0,0)</f>
        <v>34500</v>
      </c>
      <c r="U49">
        <f t="shared" si="3"/>
        <v>6210</v>
      </c>
      <c r="V49">
        <f t="shared" si="4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87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5"/>
        <v>200</v>
      </c>
      <c r="AC49">
        <f t="shared" si="6"/>
        <v>40150</v>
      </c>
      <c r="AD49">
        <f>_xlfn.XLOOKUP(B49,'[3]may-2025'!$A:$A,'[3]may-2025'!$C:$C,0,0)</f>
        <v>34500</v>
      </c>
      <c r="AE49">
        <f t="shared" si="7"/>
        <v>6210</v>
      </c>
      <c r="AF49">
        <f t="shared" si="8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88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9"/>
        <v>200</v>
      </c>
      <c r="AM49">
        <f t="shared" si="10"/>
        <v>40150</v>
      </c>
      <c r="AN49">
        <f>_xlfn.XLOOKUP(B49,'[4]june-2025'!$A:$A,'[4]june-2025'!$C:$C,0,0)</f>
        <v>34500</v>
      </c>
      <c r="AO49">
        <f t="shared" si="11"/>
        <v>6210</v>
      </c>
      <c r="AP49">
        <f t="shared" si="12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89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3"/>
        <v>200</v>
      </c>
      <c r="AW49">
        <f t="shared" si="14"/>
        <v>40150</v>
      </c>
      <c r="AX49">
        <f>_xlfn.XLOOKUP(B49,'[5]july-2025'!$A:$A,'[5]july-2025'!$C:$C,0,0)</f>
        <v>35500</v>
      </c>
      <c r="AY49">
        <f t="shared" si="15"/>
        <v>6390</v>
      </c>
      <c r="AZ49">
        <v>0</v>
      </c>
      <c r="BA49">
        <f t="shared" si="16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>IF(AX49&gt;0,SUM(AX49:BC49),0)</f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17"/>
        <v>200</v>
      </c>
      <c r="BH49">
        <f t="shared" si="18"/>
        <v>41450</v>
      </c>
      <c r="BI49">
        <f>_xlfn.XLOOKUP(B49,'[6]august-2025'!$A:$A,'[6]august-2025'!$C:$C,0,0)</f>
        <v>35500</v>
      </c>
      <c r="BJ49">
        <f t="shared" si="19"/>
        <v>6390</v>
      </c>
      <c r="BK49">
        <f t="shared" si="20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1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>IF($F49="YES",0,IF(BN49&gt;40000,200,IF(BN49&gt;25000,150,IF(BN49&gt;15000,130,IF(BN49&gt;10000,110,0)))))</f>
        <v>200</v>
      </c>
      <c r="BR49">
        <f>BN49-BO49-BP49-BQ49</f>
        <v>41450</v>
      </c>
      <c r="BS49">
        <f>_xlfn.XLOOKUP(B49,'[7]september-2025'!$A:$A,'[7]september-2025'!$C:$C,0,0)</f>
        <v>35500</v>
      </c>
      <c r="BT49">
        <f t="shared" si="22"/>
        <v>6390</v>
      </c>
      <c r="BU49">
        <f t="shared" si="23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>IF(BS49&gt;0,SUM(BS49:BW49),0)</f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24"/>
        <v>200</v>
      </c>
      <c r="CB49">
        <f t="shared" si="25"/>
        <v>41450</v>
      </c>
      <c r="CC49">
        <f>_xlfn.XLOOKUP(B49,'[8]october-2025'!$A:$A,'[8]october-2025'!$C:$C,0,0)</f>
        <v>35500</v>
      </c>
      <c r="CD49">
        <f t="shared" si="26"/>
        <v>6390</v>
      </c>
      <c r="CE49">
        <f t="shared" si="27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>IF(CC49&gt;0,SUM(CC49:CG49),0)</f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28"/>
        <v>200</v>
      </c>
      <c r="CL49">
        <f t="shared" si="29"/>
        <v>41450</v>
      </c>
      <c r="CM49">
        <f>_xlfn.XLOOKUP(B49,'[9]november-2025'!$A:$A,'[9]november-2025'!$C:$C,0,0)</f>
        <v>35500</v>
      </c>
      <c r="CN49">
        <f t="shared" si="30"/>
        <v>6390</v>
      </c>
      <c r="CO49">
        <f t="shared" si="31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>IF(CM49&gt;0,SUM(CM49:CQ49),0)</f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32"/>
        <v>200</v>
      </c>
      <c r="CV49">
        <f t="shared" si="33"/>
        <v>41450</v>
      </c>
      <c r="CW49">
        <f>_xlfn.XLOOKUP(B49,'[10]december-2025'!$A:$A,'[10]december-2025'!$C:$C,0,0)</f>
        <v>35500</v>
      </c>
      <c r="CX49">
        <f t="shared" si="34"/>
        <v>6390</v>
      </c>
      <c r="CY49">
        <f t="shared" si="35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>IF(CW49&gt;0,SUM(CW49:DA49),0)</f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36"/>
        <v>200</v>
      </c>
      <c r="DF49">
        <f t="shared" si="37"/>
        <v>41450</v>
      </c>
      <c r="DG49">
        <f>_xlfn.XLOOKUP(B49,'[11]january-2026'!$A:$A,'[11]january-2026'!$C:$C,0,0)</f>
        <v>35500</v>
      </c>
      <c r="DH49">
        <f t="shared" si="38"/>
        <v>6390</v>
      </c>
      <c r="DI49">
        <f t="shared" si="39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>IF(DG49&gt;0,SUM(DG49:DK49),0)</f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40"/>
        <v>200</v>
      </c>
      <c r="DP49">
        <f t="shared" si="41"/>
        <v>41450</v>
      </c>
      <c r="DQ49">
        <f>_xlfn.XLOOKUP(B49,'[12]february-2026'!$A:$A,'[12]february-2026'!$C:$C,0,0)</f>
        <v>35500</v>
      </c>
      <c r="DR49">
        <f t="shared" si="42"/>
        <v>6390</v>
      </c>
      <c r="DS49">
        <f t="shared" si="43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>IF(DQ49&gt;0,SUM(DQ49:DU49),0)</f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44"/>
        <v>200</v>
      </c>
      <c r="DZ49">
        <f t="shared" si="45"/>
        <v>41450</v>
      </c>
      <c r="EA49">
        <f>_xlfn.XLOOKUP(B49,'[1]march-2025'!$A:$A,'[1]march-2025'!$J:$J,0,0)</f>
        <v>0</v>
      </c>
      <c r="EB49">
        <f>_xlfn.XLOOKUP(B49,'[2]april-2025'!$A:$A,'[2]april-2025'!$J:$J,0,0)</f>
        <v>0</v>
      </c>
      <c r="EC49">
        <f>_xlfn.XLOOKUP(B49,'[3]may-2025'!$A:$A,'[3]may-2025'!$J:$J,0,0)</f>
        <v>0</v>
      </c>
      <c r="ED49">
        <f>_xlfn.XLOOKUP(B49,'[4]june-2025'!$A:$A,'[4]june-2025'!$J:$J,0,0)</f>
        <v>0</v>
      </c>
      <c r="EE49">
        <f>_xlfn.XLOOKUP(B49,'[5]july-2025'!$A:$A,'[5]july-2025'!$J:$J,0,0)</f>
        <v>0</v>
      </c>
      <c r="EF49">
        <f>_xlfn.XLOOKUP(B49,'[6]august-2025'!$A:$A,'[6]august-2025'!$J:$J,0,0)</f>
        <v>0</v>
      </c>
      <c r="EG49">
        <f>_xlfn.XLOOKUP(B49,'[7]september-2025'!$A:$A,'[7]september-2025'!$J:$J,0,0)</f>
        <v>0</v>
      </c>
      <c r="EH49">
        <f>_xlfn.XLOOKUP(B49,'[8]october-2025'!$A:$A,'[8]october-2025'!$J:$J,0,0)</f>
        <v>0</v>
      </c>
      <c r="EI49">
        <f>_xlfn.XLOOKUP(C49,'[9]november-2025'!$A:$A,'[9]november-2025'!$J:$J,0,0)</f>
        <v>0</v>
      </c>
      <c r="EJ49">
        <f>_xlfn.XLOOKUP(B49,'[10]december-2025'!$A:$A,'[10]december-2025'!$J:$J,0,0)</f>
        <v>0</v>
      </c>
      <c r="EK49">
        <f>_xlfn.XLOOKUP(B49,'[11]january-2026'!$A:$A,'[11]january-2026'!$J:$J,0,0)</f>
        <v>0</v>
      </c>
      <c r="EL49">
        <f>_xlfn.XLOOKUP(B49,'[12]february-2026'!$A:$A,'[12]february-2026'!$J:$J,0,0)</f>
        <v>0</v>
      </c>
      <c r="EM49">
        <f t="shared" si="90"/>
        <v>0</v>
      </c>
      <c r="EN49">
        <f>DV49+DL49+DB49+CR49+CH49+BX49+BN49+BD49+AS49+AI49+Y49+O49+H49+I49</f>
        <v>560020</v>
      </c>
      <c r="EO49">
        <f>DY49+DO49+DE49+CU49+CK49+CA49+BQ49+BG49+AV49+AL49+AB49+R49</f>
        <v>2400</v>
      </c>
      <c r="EP49">
        <f t="shared" si="46"/>
        <v>50000</v>
      </c>
      <c r="EQ49">
        <v>0</v>
      </c>
      <c r="ER49">
        <f t="shared" si="91"/>
        <v>507620</v>
      </c>
      <c r="ES49">
        <f>DW49+DM49+DC49+CS49+CI49+BY49+BO49+BE49+AT49+AJ49+Z49+P49</f>
        <v>60000</v>
      </c>
      <c r="ET49">
        <f>DX49+DN49+DD49+CT49+CJ49+BZ49+BP49+BF49+AU49+AK49+AA49+Q49</f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47"/>
        <v>60000</v>
      </c>
      <c r="FF49">
        <f t="shared" si="48"/>
        <v>60000</v>
      </c>
      <c r="FG49">
        <f t="shared" si="49"/>
        <v>447620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>SUM(FH49:FN49)+(IF(F49="YES",50000,0))</f>
        <v>0</v>
      </c>
      <c r="FP49">
        <f t="shared" si="50"/>
        <v>447620</v>
      </c>
      <c r="FQ49">
        <f t="shared" si="51"/>
        <v>9881</v>
      </c>
      <c r="FR49">
        <f t="shared" si="52"/>
        <v>0</v>
      </c>
      <c r="FS49">
        <f t="shared" si="53"/>
        <v>9881</v>
      </c>
      <c r="FT49">
        <f t="shared" si="54"/>
        <v>0</v>
      </c>
      <c r="FU49">
        <f t="shared" si="55"/>
        <v>0</v>
      </c>
      <c r="FV49">
        <f t="shared" si="56"/>
        <v>0</v>
      </c>
      <c r="FW49">
        <v>0</v>
      </c>
      <c r="FX49">
        <f t="shared" si="57"/>
        <v>0</v>
      </c>
      <c r="FY49" t="b">
        <f t="shared" si="58"/>
        <v>1</v>
      </c>
      <c r="FZ49">
        <f t="shared" ca="1" si="59"/>
        <v>807</v>
      </c>
      <c r="GA49">
        <f t="shared" ca="1" si="60"/>
        <v>560827</v>
      </c>
      <c r="GB49">
        <f t="shared" si="61"/>
        <v>75000</v>
      </c>
      <c r="GC49">
        <f t="shared" ca="1" si="62"/>
        <v>485827</v>
      </c>
      <c r="GD49">
        <f t="shared" ca="1" si="63"/>
        <v>0</v>
      </c>
      <c r="GE49">
        <f t="shared" ca="1" si="64"/>
        <v>0</v>
      </c>
      <c r="GF49">
        <f t="shared" ca="1" si="65"/>
        <v>0</v>
      </c>
      <c r="GG49">
        <f t="shared" ca="1" si="66"/>
        <v>0</v>
      </c>
      <c r="GH49">
        <f t="shared" ca="1" si="67"/>
        <v>0</v>
      </c>
      <c r="GI49">
        <f t="shared" ca="1" si="68"/>
        <v>0</v>
      </c>
      <c r="GJ49">
        <f ca="1">IF(GC49&gt;1200000,GC49-1200000-IF(F49="YES",50000,0)-GH49,0)</f>
        <v>0</v>
      </c>
      <c r="GK49">
        <f t="shared" ca="1" si="69"/>
        <v>0</v>
      </c>
      <c r="GL49">
        <f t="shared" ca="1" si="70"/>
        <v>0</v>
      </c>
      <c r="GM49">
        <f t="shared" ca="1" si="71"/>
        <v>0</v>
      </c>
      <c r="GN49">
        <f t="shared" ca="1" si="72"/>
        <v>85827</v>
      </c>
      <c r="GO49">
        <f t="shared" ca="1" si="73"/>
        <v>4291.3500000000004</v>
      </c>
      <c r="GP49">
        <f t="shared" ca="1" si="74"/>
        <v>4291</v>
      </c>
      <c r="GQ49">
        <f t="shared" ca="1" si="75"/>
        <v>0</v>
      </c>
      <c r="GR49">
        <f t="shared" ca="1" si="76"/>
        <v>0</v>
      </c>
      <c r="GS49">
        <f t="shared" ca="1" si="77"/>
        <v>4291</v>
      </c>
      <c r="GT49">
        <f t="shared" ca="1" si="78"/>
        <v>0</v>
      </c>
      <c r="GU49" t="b">
        <f t="shared" ca="1" si="79"/>
        <v>0</v>
      </c>
      <c r="GV49">
        <f t="shared" ca="1" si="80"/>
        <v>0</v>
      </c>
      <c r="GW49">
        <f t="shared" ca="1" si="81"/>
        <v>4291</v>
      </c>
      <c r="GX49">
        <f t="shared" ca="1" si="82"/>
        <v>0</v>
      </c>
      <c r="GY49">
        <f t="shared" ca="1" si="83"/>
        <v>0</v>
      </c>
      <c r="GZ49">
        <f t="shared" ca="1" si="84"/>
        <v>0</v>
      </c>
    </row>
    <row r="50" spans="1:208" x14ac:dyDescent="0.25">
      <c r="A50">
        <f>_xlfn.AGGREGATE(3,5,$B$2:B50)</f>
        <v>49</v>
      </c>
      <c r="B50" t="s">
        <v>215</v>
      </c>
      <c r="C50" t="s">
        <v>216</v>
      </c>
      <c r="D50" t="s">
        <v>763</v>
      </c>
      <c r="E50" t="s">
        <v>831</v>
      </c>
      <c r="F50" t="s">
        <v>957</v>
      </c>
      <c r="G50" t="s">
        <v>885</v>
      </c>
      <c r="H50">
        <f t="shared" si="177"/>
        <v>6800</v>
      </c>
      <c r="I50">
        <f>_xlfn.XLOOKUP(B50,'[1]march-2025'!$A:$A,'[1]march-2025'!$J:$J,0,0)</f>
        <v>7405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>IF(J50&gt;0,SUM(J50:N50),0)</f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85"/>
        <v>200</v>
      </c>
      <c r="S50">
        <f t="shared" si="86"/>
        <v>56062</v>
      </c>
      <c r="T50">
        <f>_xlfn.XLOOKUP(B50,'[2]april-2025'!$A:$A,'[2]april-2025'!$C:$C,0,0)</f>
        <v>48700</v>
      </c>
      <c r="U50">
        <f t="shared" si="3"/>
        <v>8766</v>
      </c>
      <c r="V50">
        <f t="shared" si="4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87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5"/>
        <v>200</v>
      </c>
      <c r="AC50">
        <f t="shared" si="6"/>
        <v>58010</v>
      </c>
      <c r="AD50">
        <f>_xlfn.XLOOKUP(B50,'[3]may-2025'!$A:$A,'[3]may-2025'!$C:$C,0,0)</f>
        <v>48700</v>
      </c>
      <c r="AE50">
        <f t="shared" si="7"/>
        <v>8766</v>
      </c>
      <c r="AF50">
        <f t="shared" si="8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88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9"/>
        <v>200</v>
      </c>
      <c r="AM50">
        <f t="shared" si="10"/>
        <v>58010</v>
      </c>
      <c r="AN50">
        <f>_xlfn.XLOOKUP(B50,'[4]june-2025'!$A:$A,'[4]june-2025'!$C:$C,0,0)</f>
        <v>48700</v>
      </c>
      <c r="AO50">
        <f t="shared" si="11"/>
        <v>8766</v>
      </c>
      <c r="AP50">
        <f t="shared" si="12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89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3"/>
        <v>200</v>
      </c>
      <c r="AW50">
        <f t="shared" si="14"/>
        <v>58010</v>
      </c>
      <c r="AX50">
        <f>_xlfn.XLOOKUP(B50,'[5]july-2025'!$A:$A,'[5]july-2025'!$C:$C,0,0)</f>
        <v>50200</v>
      </c>
      <c r="AY50">
        <f t="shared" si="15"/>
        <v>9036</v>
      </c>
      <c r="AZ50">
        <v>0</v>
      </c>
      <c r="BA50">
        <f t="shared" si="16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>IF(AX50&gt;0,SUM(AX50:BC50),0)</f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17"/>
        <v>200</v>
      </c>
      <c r="BH50">
        <f t="shared" si="18"/>
        <v>59960</v>
      </c>
      <c r="BI50">
        <f>_xlfn.XLOOKUP(B50,'[6]august-2025'!$A:$A,'[6]august-2025'!$C:$C,0,0)</f>
        <v>50200</v>
      </c>
      <c r="BJ50">
        <f t="shared" si="19"/>
        <v>9036</v>
      </c>
      <c r="BK50">
        <f t="shared" si="20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1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>IF($F50="YES",0,IF(BN50&gt;40000,200,IF(BN50&gt;25000,150,IF(BN50&gt;15000,130,IF(BN50&gt;10000,110,0)))))</f>
        <v>200</v>
      </c>
      <c r="BR50">
        <f>BN50-BO50-BP50-BQ50</f>
        <v>59960</v>
      </c>
      <c r="BS50">
        <f>_xlfn.XLOOKUP(B50,'[7]september-2025'!$A:$A,'[7]september-2025'!$C:$C,0,0)</f>
        <v>50200</v>
      </c>
      <c r="BT50">
        <f t="shared" si="22"/>
        <v>9036</v>
      </c>
      <c r="BU50">
        <f t="shared" si="23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>IF(BS50&gt;0,SUM(BS50:BW50),0)</f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24"/>
        <v>200</v>
      </c>
      <c r="CB50">
        <f t="shared" si="25"/>
        <v>59960</v>
      </c>
      <c r="CC50">
        <f>_xlfn.XLOOKUP(B50,'[8]october-2025'!$A:$A,'[8]october-2025'!$C:$C,0,0)</f>
        <v>50200</v>
      </c>
      <c r="CD50">
        <f t="shared" si="26"/>
        <v>9036</v>
      </c>
      <c r="CE50">
        <f t="shared" si="27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>IF(CC50&gt;0,SUM(CC50:CG50),0)</f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28"/>
        <v>200</v>
      </c>
      <c r="CL50">
        <f t="shared" si="29"/>
        <v>59960</v>
      </c>
      <c r="CM50">
        <f>_xlfn.XLOOKUP(B50,'[9]november-2025'!$A:$A,'[9]november-2025'!$C:$C,0,0)</f>
        <v>50200</v>
      </c>
      <c r="CN50">
        <f t="shared" si="30"/>
        <v>9036</v>
      </c>
      <c r="CO50">
        <f t="shared" si="31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>IF(CM50&gt;0,SUM(CM50:CQ50),0)</f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32"/>
        <v>200</v>
      </c>
      <c r="CV50">
        <f t="shared" si="33"/>
        <v>59960</v>
      </c>
      <c r="CW50">
        <f>_xlfn.XLOOKUP(B50,'[10]december-2025'!$A:$A,'[10]december-2025'!$C:$C,0,0)</f>
        <v>50200</v>
      </c>
      <c r="CX50">
        <f t="shared" si="34"/>
        <v>9036</v>
      </c>
      <c r="CY50">
        <f t="shared" si="35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>IF(CW50&gt;0,SUM(CW50:DA50),0)</f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36"/>
        <v>200</v>
      </c>
      <c r="DF50">
        <f t="shared" si="37"/>
        <v>59960</v>
      </c>
      <c r="DG50">
        <f>_xlfn.XLOOKUP(B50,'[11]january-2026'!$A:$A,'[11]january-2026'!$C:$C,0,0)</f>
        <v>50200</v>
      </c>
      <c r="DH50">
        <f t="shared" si="38"/>
        <v>9036</v>
      </c>
      <c r="DI50">
        <f t="shared" si="39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>IF(DG50&gt;0,SUM(DG50:DK50),0)</f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40"/>
        <v>200</v>
      </c>
      <c r="DP50">
        <f t="shared" si="41"/>
        <v>59960</v>
      </c>
      <c r="DQ50">
        <f>_xlfn.XLOOKUP(B50,'[12]february-2026'!$A:$A,'[12]february-2026'!$C:$C,0,0)</f>
        <v>50200</v>
      </c>
      <c r="DR50">
        <f t="shared" si="42"/>
        <v>9036</v>
      </c>
      <c r="DS50">
        <f t="shared" si="43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>IF(DQ50&gt;0,SUM(DQ50:DU50),0)</f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44"/>
        <v>200</v>
      </c>
      <c r="DZ50">
        <f t="shared" si="45"/>
        <v>59960</v>
      </c>
      <c r="EA50">
        <f>_xlfn.XLOOKUP(B50,'[1]march-2025'!$A:$A,'[1]march-2025'!$J:$J,0,0)</f>
        <v>7405</v>
      </c>
      <c r="EB50">
        <f>_xlfn.XLOOKUP(B50,'[2]april-2025'!$A:$A,'[2]april-2025'!$J:$J,0,0)</f>
        <v>0</v>
      </c>
      <c r="EC50">
        <f>_xlfn.XLOOKUP(B50,'[3]may-2025'!$A:$A,'[3]may-2025'!$J:$J,0,0)</f>
        <v>0</v>
      </c>
      <c r="ED50">
        <f>_xlfn.XLOOKUP(B50,'[4]june-2025'!$A:$A,'[4]june-2025'!$J:$J,0,0)</f>
        <v>0</v>
      </c>
      <c r="EE50">
        <f>_xlfn.XLOOKUP(B50,'[5]july-2025'!$A:$A,'[5]july-2025'!$J:$J,0,0)</f>
        <v>0</v>
      </c>
      <c r="EF50">
        <f>_xlfn.XLOOKUP(B50,'[6]august-2025'!$A:$A,'[6]august-2025'!$J:$J,0,0)</f>
        <v>0</v>
      </c>
      <c r="EG50">
        <f>_xlfn.XLOOKUP(B50,'[7]september-2025'!$A:$A,'[7]september-2025'!$J:$J,0,0)</f>
        <v>0</v>
      </c>
      <c r="EH50">
        <f>_xlfn.XLOOKUP(B50,'[8]october-2025'!$A:$A,'[8]october-2025'!$J:$J,0,0)</f>
        <v>0</v>
      </c>
      <c r="EI50">
        <f>_xlfn.XLOOKUP(C50,'[9]november-2025'!$A:$A,'[9]november-2025'!$J:$J,0,0)</f>
        <v>0</v>
      </c>
      <c r="EJ50">
        <f>_xlfn.XLOOKUP(B50,'[10]december-2025'!$A:$A,'[10]december-2025'!$J:$J,0,0)</f>
        <v>0</v>
      </c>
      <c r="EK50">
        <f>_xlfn.XLOOKUP(B50,'[11]january-2026'!$A:$A,'[11]january-2026'!$J:$J,0,0)</f>
        <v>0</v>
      </c>
      <c r="EL50">
        <f>_xlfn.XLOOKUP(B50,'[12]february-2026'!$A:$A,'[12]february-2026'!$J:$J,0,0)</f>
        <v>0</v>
      </c>
      <c r="EM50">
        <f t="shared" si="90"/>
        <v>7405</v>
      </c>
      <c r="EN50">
        <f>DV50+DL50+DB50+CR50+CH50+BX50+BN50+BD50+AS50+AI50+Y50+O50+H50+I50</f>
        <v>798377</v>
      </c>
      <c r="EO50">
        <f>DY50+DO50+DE50+CU50+CK50+CA50+BQ50+BG50+AV50+AL50+AB50+R50</f>
        <v>2400</v>
      </c>
      <c r="EP50">
        <f t="shared" si="46"/>
        <v>50000</v>
      </c>
      <c r="EQ50">
        <v>0</v>
      </c>
      <c r="ER50">
        <f t="shared" si="91"/>
        <v>753382</v>
      </c>
      <c r="ES50">
        <f>DW50+DM50+DC50+CS50+CI50+BY50+BO50+BE50+AT50+AJ50+Z50+P50</f>
        <v>72000</v>
      </c>
      <c r="ET50">
        <f>DX50+DN50+DD50+CT50+CJ50+BZ50+BP50+BF50+AU50+AK50+AA50+Q50</f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47"/>
        <v>72000</v>
      </c>
      <c r="FF50">
        <f t="shared" si="48"/>
        <v>72000</v>
      </c>
      <c r="FG50">
        <f t="shared" si="49"/>
        <v>681382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>SUM(FH50:FN50)+(IF(F50="YES",50000,0))</f>
        <v>0</v>
      </c>
      <c r="FP50">
        <f t="shared" si="50"/>
        <v>681382</v>
      </c>
      <c r="FQ50">
        <f t="shared" si="51"/>
        <v>12500</v>
      </c>
      <c r="FR50">
        <f t="shared" si="52"/>
        <v>36276</v>
      </c>
      <c r="FS50">
        <f t="shared" si="53"/>
        <v>48776</v>
      </c>
      <c r="FT50">
        <f t="shared" si="54"/>
        <v>48776</v>
      </c>
      <c r="FU50">
        <f t="shared" si="55"/>
        <v>1951.04</v>
      </c>
      <c r="FV50">
        <f t="shared" si="56"/>
        <v>50727</v>
      </c>
      <c r="FW50">
        <v>0</v>
      </c>
      <c r="FX50">
        <f t="shared" si="57"/>
        <v>50727</v>
      </c>
      <c r="FY50" t="b">
        <f t="shared" si="58"/>
        <v>1</v>
      </c>
      <c r="FZ50">
        <f t="shared" ca="1" si="59"/>
        <v>803</v>
      </c>
      <c r="GA50">
        <f t="shared" ca="1" si="60"/>
        <v>799180</v>
      </c>
      <c r="GB50">
        <f t="shared" si="61"/>
        <v>75000</v>
      </c>
      <c r="GC50">
        <f t="shared" ca="1" si="62"/>
        <v>724180</v>
      </c>
      <c r="GD50">
        <f t="shared" ca="1" si="63"/>
        <v>0</v>
      </c>
      <c r="GE50">
        <f t="shared" ca="1" si="64"/>
        <v>0</v>
      </c>
      <c r="GF50">
        <f t="shared" ca="1" si="65"/>
        <v>0</v>
      </c>
      <c r="GG50">
        <f t="shared" ca="1" si="66"/>
        <v>0</v>
      </c>
      <c r="GH50">
        <f t="shared" ca="1" si="67"/>
        <v>0</v>
      </c>
      <c r="GI50">
        <f t="shared" ca="1" si="68"/>
        <v>0</v>
      </c>
      <c r="GJ50">
        <f ca="1">IF(GC50&gt;1200000,GC50-1200000-IF(F50="YES",50000,0)-GH50,0)</f>
        <v>0</v>
      </c>
      <c r="GK50">
        <f t="shared" ca="1" si="69"/>
        <v>0</v>
      </c>
      <c r="GL50">
        <f t="shared" ca="1" si="70"/>
        <v>0</v>
      </c>
      <c r="GM50">
        <f t="shared" ca="1" si="71"/>
        <v>0</v>
      </c>
      <c r="GN50">
        <f t="shared" ca="1" si="72"/>
        <v>324180</v>
      </c>
      <c r="GO50">
        <f t="shared" ca="1" si="73"/>
        <v>16209</v>
      </c>
      <c r="GP50">
        <f t="shared" ca="1" si="74"/>
        <v>16209</v>
      </c>
      <c r="GQ50">
        <f t="shared" ca="1" si="75"/>
        <v>0</v>
      </c>
      <c r="GR50">
        <f t="shared" ca="1" si="76"/>
        <v>0</v>
      </c>
      <c r="GS50">
        <f t="shared" ca="1" si="77"/>
        <v>16209</v>
      </c>
      <c r="GT50">
        <f t="shared" ca="1" si="78"/>
        <v>0</v>
      </c>
      <c r="GU50" t="b">
        <f t="shared" ca="1" si="79"/>
        <v>0</v>
      </c>
      <c r="GV50">
        <f t="shared" ca="1" si="80"/>
        <v>0</v>
      </c>
      <c r="GW50">
        <f t="shared" ca="1" si="81"/>
        <v>16209</v>
      </c>
      <c r="GX50">
        <f t="shared" ca="1" si="82"/>
        <v>0</v>
      </c>
      <c r="GY50">
        <f t="shared" ca="1" si="83"/>
        <v>0</v>
      </c>
      <c r="GZ50">
        <f t="shared" ca="1" si="84"/>
        <v>0</v>
      </c>
    </row>
    <row r="51" spans="1:208" x14ac:dyDescent="0.25">
      <c r="A51">
        <f>_xlfn.AGGREGATE(3,5,$B$2:B51)</f>
        <v>50</v>
      </c>
      <c r="B51" t="s">
        <v>217</v>
      </c>
      <c r="C51" t="s">
        <v>218</v>
      </c>
      <c r="D51" t="s">
        <v>763</v>
      </c>
      <c r="E51" t="s">
        <v>831</v>
      </c>
      <c r="F51" t="s">
        <v>957</v>
      </c>
      <c r="G51" t="s">
        <v>901</v>
      </c>
      <c r="H51">
        <f t="shared" si="177"/>
        <v>6800</v>
      </c>
      <c r="I51">
        <f>_xlfn.XLOOKUP(B51,'[1]march-2025'!$A:$A,'[1]march-2025'!$J:$J,0,0)</f>
        <v>5072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>IF(J51&gt;0,SUM(J51:N51),0)</f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85"/>
        <v>200</v>
      </c>
      <c r="S51">
        <f t="shared" si="86"/>
        <v>36510</v>
      </c>
      <c r="T51">
        <f>_xlfn.XLOOKUP(B51,'[2]april-2025'!$A:$A,'[2]april-2025'!$C:$C,0,0)</f>
        <v>33500</v>
      </c>
      <c r="U51">
        <f t="shared" si="3"/>
        <v>6030</v>
      </c>
      <c r="V51">
        <f t="shared" si="4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87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5"/>
        <v>200</v>
      </c>
      <c r="AC51">
        <f t="shared" si="6"/>
        <v>37850</v>
      </c>
      <c r="AD51">
        <f>_xlfn.XLOOKUP(B51,'[3]may-2025'!$A:$A,'[3]may-2025'!$C:$C,0,0)</f>
        <v>33500</v>
      </c>
      <c r="AE51">
        <f t="shared" si="7"/>
        <v>6030</v>
      </c>
      <c r="AF51">
        <f t="shared" si="8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88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9"/>
        <v>200</v>
      </c>
      <c r="AM51">
        <f t="shared" si="10"/>
        <v>37850</v>
      </c>
      <c r="AN51">
        <f>_xlfn.XLOOKUP(B51,'[4]june-2025'!$A:$A,'[4]june-2025'!$C:$C,0,0)</f>
        <v>33500</v>
      </c>
      <c r="AO51">
        <f t="shared" si="11"/>
        <v>6030</v>
      </c>
      <c r="AP51">
        <f t="shared" si="12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89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3"/>
        <v>200</v>
      </c>
      <c r="AW51">
        <f t="shared" si="14"/>
        <v>37850</v>
      </c>
      <c r="AX51">
        <f>_xlfn.XLOOKUP(B51,'[5]july-2025'!$A:$A,'[5]july-2025'!$C:$C,0,0)</f>
        <v>35500</v>
      </c>
      <c r="AY51">
        <f t="shared" si="15"/>
        <v>6390</v>
      </c>
      <c r="AZ51">
        <v>0</v>
      </c>
      <c r="BA51">
        <f t="shared" si="16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>IF(AX51&gt;0,SUM(AX51:BC51),0)</f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17"/>
        <v>200</v>
      </c>
      <c r="BH51">
        <f t="shared" si="18"/>
        <v>40450</v>
      </c>
      <c r="BI51">
        <f>_xlfn.XLOOKUP(B51,'[6]august-2025'!$A:$A,'[6]august-2025'!$C:$C,0,0)</f>
        <v>35500</v>
      </c>
      <c r="BJ51">
        <f t="shared" si="19"/>
        <v>6390</v>
      </c>
      <c r="BK51">
        <f t="shared" si="20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1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>IF($F51="YES",0,IF(BN51&gt;40000,200,IF(BN51&gt;25000,150,IF(BN51&gt;15000,130,IF(BN51&gt;10000,110,0)))))</f>
        <v>200</v>
      </c>
      <c r="BR51">
        <f>BN51-BO51-BP51-BQ51</f>
        <v>40450</v>
      </c>
      <c r="BS51">
        <f>_xlfn.XLOOKUP(B51,'[7]september-2025'!$A:$A,'[7]september-2025'!$C:$C,0,0)</f>
        <v>35500</v>
      </c>
      <c r="BT51">
        <f t="shared" si="22"/>
        <v>6390</v>
      </c>
      <c r="BU51">
        <f t="shared" si="23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>IF(BS51&gt;0,SUM(BS51:BW51),0)</f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24"/>
        <v>200</v>
      </c>
      <c r="CB51">
        <f t="shared" si="25"/>
        <v>40450</v>
      </c>
      <c r="CC51">
        <f>_xlfn.XLOOKUP(B51,'[8]october-2025'!$A:$A,'[8]october-2025'!$C:$C,0,0)</f>
        <v>35500</v>
      </c>
      <c r="CD51">
        <f t="shared" si="26"/>
        <v>6390</v>
      </c>
      <c r="CE51">
        <f t="shared" si="27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>IF(CC51&gt;0,SUM(CC51:CG51),0)</f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28"/>
        <v>200</v>
      </c>
      <c r="CL51">
        <f t="shared" si="29"/>
        <v>40450</v>
      </c>
      <c r="CM51">
        <f>_xlfn.XLOOKUP(B51,'[9]november-2025'!$A:$A,'[9]november-2025'!$C:$C,0,0)</f>
        <v>35500</v>
      </c>
      <c r="CN51">
        <f t="shared" si="30"/>
        <v>6390</v>
      </c>
      <c r="CO51">
        <f t="shared" si="31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>IF(CM51&gt;0,SUM(CM51:CQ51),0)</f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32"/>
        <v>200</v>
      </c>
      <c r="CV51">
        <f t="shared" si="33"/>
        <v>40450</v>
      </c>
      <c r="CW51">
        <f>_xlfn.XLOOKUP(B51,'[10]december-2025'!$A:$A,'[10]december-2025'!$C:$C,0,0)</f>
        <v>35500</v>
      </c>
      <c r="CX51">
        <f t="shared" si="34"/>
        <v>6390</v>
      </c>
      <c r="CY51">
        <f t="shared" si="35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>IF(CW51&gt;0,SUM(CW51:DA51),0)</f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36"/>
        <v>200</v>
      </c>
      <c r="DF51">
        <f t="shared" si="37"/>
        <v>40450</v>
      </c>
      <c r="DG51">
        <f>_xlfn.XLOOKUP(B51,'[11]january-2026'!$A:$A,'[11]january-2026'!$C:$C,0,0)</f>
        <v>35500</v>
      </c>
      <c r="DH51">
        <f t="shared" si="38"/>
        <v>6390</v>
      </c>
      <c r="DI51">
        <f t="shared" si="39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>IF(DG51&gt;0,SUM(DG51:DK51),0)</f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40"/>
        <v>200</v>
      </c>
      <c r="DP51">
        <f t="shared" si="41"/>
        <v>40450</v>
      </c>
      <c r="DQ51">
        <f>_xlfn.XLOOKUP(B51,'[12]february-2026'!$A:$A,'[12]february-2026'!$C:$C,0,0)</f>
        <v>35500</v>
      </c>
      <c r="DR51">
        <f t="shared" si="42"/>
        <v>6390</v>
      </c>
      <c r="DS51">
        <f t="shared" si="43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>IF(DQ51&gt;0,SUM(DQ51:DU51),0)</f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44"/>
        <v>200</v>
      </c>
      <c r="DZ51">
        <f t="shared" si="45"/>
        <v>40450</v>
      </c>
      <c r="EA51">
        <f>_xlfn.XLOOKUP(B51,'[1]march-2025'!$A:$A,'[1]march-2025'!$J:$J,0,0)</f>
        <v>5072</v>
      </c>
      <c r="EB51">
        <f>_xlfn.XLOOKUP(B51,'[2]april-2025'!$A:$A,'[2]april-2025'!$J:$J,0,0)</f>
        <v>0</v>
      </c>
      <c r="EC51">
        <f>_xlfn.XLOOKUP(B51,'[3]may-2025'!$A:$A,'[3]may-2025'!$J:$J,0,0)</f>
        <v>0</v>
      </c>
      <c r="ED51">
        <f>_xlfn.XLOOKUP(B51,'[4]june-2025'!$A:$A,'[4]june-2025'!$J:$J,0,0)</f>
        <v>0</v>
      </c>
      <c r="EE51">
        <f>_xlfn.XLOOKUP(B51,'[5]july-2025'!$A:$A,'[5]july-2025'!$J:$J,0,0)</f>
        <v>0</v>
      </c>
      <c r="EF51">
        <f>_xlfn.XLOOKUP(B51,'[6]august-2025'!$A:$A,'[6]august-2025'!$J:$J,0,0)</f>
        <v>0</v>
      </c>
      <c r="EG51">
        <f>_xlfn.XLOOKUP(B51,'[7]september-2025'!$A:$A,'[7]september-2025'!$J:$J,0,0)</f>
        <v>0</v>
      </c>
      <c r="EH51">
        <f>_xlfn.XLOOKUP(B51,'[8]october-2025'!$A:$A,'[8]october-2025'!$J:$J,0,0)</f>
        <v>0</v>
      </c>
      <c r="EI51">
        <f>_xlfn.XLOOKUP(C51,'[9]november-2025'!$A:$A,'[9]november-2025'!$J:$J,0,0)</f>
        <v>0</v>
      </c>
      <c r="EJ51">
        <f>_xlfn.XLOOKUP(B51,'[10]december-2025'!$A:$A,'[10]december-2025'!$J:$J,0,0)</f>
        <v>0</v>
      </c>
      <c r="EK51">
        <f>_xlfn.XLOOKUP(B51,'[11]january-2026'!$A:$A,'[11]january-2026'!$J:$J,0,0)</f>
        <v>0</v>
      </c>
      <c r="EL51">
        <f>_xlfn.XLOOKUP(B51,'[12]february-2026'!$A:$A,'[12]february-2026'!$J:$J,0,0)</f>
        <v>0</v>
      </c>
      <c r="EM51">
        <f t="shared" si="90"/>
        <v>5072</v>
      </c>
      <c r="EN51">
        <f>DV51+DL51+DB51+CR51+CH51+BX51+BN51+BD51+AS51+AI51+Y51+O51+H51+I51</f>
        <v>559932</v>
      </c>
      <c r="EO51">
        <f>DY51+DO51+DE51+CU51+CK51+CA51+BQ51+BG51+AV51+AL51+AB51+R51</f>
        <v>2400</v>
      </c>
      <c r="EP51">
        <f t="shared" si="46"/>
        <v>50000</v>
      </c>
      <c r="EQ51">
        <v>0</v>
      </c>
      <c r="ER51">
        <f t="shared" si="91"/>
        <v>512604</v>
      </c>
      <c r="ES51">
        <f>DW51+DM51+DC51+CS51+CI51+BY51+BO51+BE51+AT51+AJ51+Z51+P51</f>
        <v>72000</v>
      </c>
      <c r="ET51">
        <f>DX51+DN51+DD51+CT51+CJ51+BZ51+BP51+BF51+AU51+AK51+AA51+Q51</f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47"/>
        <v>72000</v>
      </c>
      <c r="FF51">
        <f t="shared" si="48"/>
        <v>72000</v>
      </c>
      <c r="FG51">
        <f t="shared" si="49"/>
        <v>440604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>SUM(FH51:FN51)+(IF(F51="YES",50000,0))</f>
        <v>0</v>
      </c>
      <c r="FP51">
        <f t="shared" si="50"/>
        <v>440604</v>
      </c>
      <c r="FQ51">
        <f t="shared" si="51"/>
        <v>9530</v>
      </c>
      <c r="FR51">
        <f t="shared" si="52"/>
        <v>0</v>
      </c>
      <c r="FS51">
        <f t="shared" si="53"/>
        <v>9530</v>
      </c>
      <c r="FT51">
        <f t="shared" si="54"/>
        <v>0</v>
      </c>
      <c r="FU51">
        <f t="shared" si="55"/>
        <v>0</v>
      </c>
      <c r="FV51">
        <f t="shared" si="56"/>
        <v>0</v>
      </c>
      <c r="FW51">
        <v>0</v>
      </c>
      <c r="FX51">
        <f t="shared" si="57"/>
        <v>0</v>
      </c>
      <c r="FY51" t="b">
        <f t="shared" si="58"/>
        <v>1</v>
      </c>
      <c r="FZ51">
        <f t="shared" ca="1" si="59"/>
        <v>702</v>
      </c>
      <c r="GA51">
        <f t="shared" ca="1" si="60"/>
        <v>560634</v>
      </c>
      <c r="GB51">
        <f t="shared" si="61"/>
        <v>75000</v>
      </c>
      <c r="GC51">
        <f t="shared" ca="1" si="62"/>
        <v>485634</v>
      </c>
      <c r="GD51">
        <f t="shared" ca="1" si="63"/>
        <v>0</v>
      </c>
      <c r="GE51">
        <f t="shared" ca="1" si="64"/>
        <v>0</v>
      </c>
      <c r="GF51">
        <f t="shared" ca="1" si="65"/>
        <v>0</v>
      </c>
      <c r="GG51">
        <f t="shared" ca="1" si="66"/>
        <v>0</v>
      </c>
      <c r="GH51">
        <f t="shared" ca="1" si="67"/>
        <v>0</v>
      </c>
      <c r="GI51">
        <f t="shared" ca="1" si="68"/>
        <v>0</v>
      </c>
      <c r="GJ51">
        <f ca="1">IF(GC51&gt;1200000,GC51-1200000-IF(F51="YES",50000,0)-GH51,0)</f>
        <v>0</v>
      </c>
      <c r="GK51">
        <f t="shared" ca="1" si="69"/>
        <v>0</v>
      </c>
      <c r="GL51">
        <f t="shared" ca="1" si="70"/>
        <v>0</v>
      </c>
      <c r="GM51">
        <f t="shared" ca="1" si="71"/>
        <v>0</v>
      </c>
      <c r="GN51">
        <f t="shared" ca="1" si="72"/>
        <v>85634</v>
      </c>
      <c r="GO51">
        <f t="shared" ca="1" si="73"/>
        <v>4281.7</v>
      </c>
      <c r="GP51">
        <f t="shared" ca="1" si="74"/>
        <v>4282</v>
      </c>
      <c r="GQ51">
        <f t="shared" ca="1" si="75"/>
        <v>0</v>
      </c>
      <c r="GR51">
        <f t="shared" ca="1" si="76"/>
        <v>0</v>
      </c>
      <c r="GS51">
        <f t="shared" ca="1" si="77"/>
        <v>4282</v>
      </c>
      <c r="GT51">
        <f t="shared" ca="1" si="78"/>
        <v>0</v>
      </c>
      <c r="GU51" t="b">
        <f t="shared" ca="1" si="79"/>
        <v>0</v>
      </c>
      <c r="GV51">
        <f t="shared" ca="1" si="80"/>
        <v>0</v>
      </c>
      <c r="GW51">
        <f t="shared" ca="1" si="81"/>
        <v>4282</v>
      </c>
      <c r="GX51">
        <f t="shared" ca="1" si="82"/>
        <v>0</v>
      </c>
      <c r="GY51">
        <f t="shared" ca="1" si="83"/>
        <v>0</v>
      </c>
      <c r="GZ51">
        <f t="shared" ca="1" si="84"/>
        <v>0</v>
      </c>
    </row>
    <row r="52" spans="1:208" x14ac:dyDescent="0.25">
      <c r="A52">
        <f>_xlfn.AGGREGATE(3,5,$B$2:B52)</f>
        <v>51</v>
      </c>
      <c r="B52" t="s">
        <v>219</v>
      </c>
      <c r="C52" t="s">
        <v>220</v>
      </c>
      <c r="D52" t="s">
        <v>763</v>
      </c>
      <c r="E52" t="s">
        <v>831</v>
      </c>
      <c r="F52" t="s">
        <v>957</v>
      </c>
      <c r="G52" t="s">
        <v>902</v>
      </c>
      <c r="H52">
        <f t="shared" si="177"/>
        <v>6800</v>
      </c>
      <c r="I52">
        <f>_xlfn.XLOOKUP(B52,'[1]march-2025'!$A:$A,'[1]march-2025'!$J:$J,0,0)</f>
        <v>5072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>IF(J52&gt;0,SUM(J52:N52),0)</f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85"/>
        <v>200</v>
      </c>
      <c r="S52">
        <f t="shared" si="86"/>
        <v>39510</v>
      </c>
      <c r="T52">
        <f>_xlfn.XLOOKUP(B52,'[2]april-2025'!$A:$A,'[2]april-2025'!$C:$C,0,0)</f>
        <v>33500</v>
      </c>
      <c r="U52">
        <f t="shared" si="3"/>
        <v>6030</v>
      </c>
      <c r="V52">
        <f t="shared" si="4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87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5"/>
        <v>200</v>
      </c>
      <c r="AC52">
        <f t="shared" si="6"/>
        <v>40850</v>
      </c>
      <c r="AD52">
        <f>_xlfn.XLOOKUP(B52,'[3]may-2025'!$A:$A,'[3]may-2025'!$C:$C,0,0)</f>
        <v>33500</v>
      </c>
      <c r="AE52">
        <f t="shared" si="7"/>
        <v>6030</v>
      </c>
      <c r="AF52">
        <f t="shared" si="8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88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9"/>
        <v>200</v>
      </c>
      <c r="AM52">
        <f t="shared" si="10"/>
        <v>40850</v>
      </c>
      <c r="AN52">
        <f>_xlfn.XLOOKUP(B52,'[4]june-2025'!$A:$A,'[4]june-2025'!$C:$C,0,0)</f>
        <v>33500</v>
      </c>
      <c r="AO52">
        <f t="shared" si="11"/>
        <v>6030</v>
      </c>
      <c r="AP52">
        <f t="shared" si="12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89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3"/>
        <v>200</v>
      </c>
      <c r="AW52">
        <f t="shared" si="14"/>
        <v>40850</v>
      </c>
      <c r="AX52">
        <f>_xlfn.XLOOKUP(B52,'[5]july-2025'!$A:$A,'[5]july-2025'!$C:$C,0,0)</f>
        <v>35500</v>
      </c>
      <c r="AY52">
        <f t="shared" si="15"/>
        <v>6390</v>
      </c>
      <c r="AZ52">
        <v>0</v>
      </c>
      <c r="BA52">
        <f t="shared" si="16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>IF(AX52&gt;0,SUM(AX52:BC52),0)</f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17"/>
        <v>200</v>
      </c>
      <c r="BH52">
        <f t="shared" si="18"/>
        <v>43450</v>
      </c>
      <c r="BI52">
        <f>_xlfn.XLOOKUP(B52,'[6]august-2025'!$A:$A,'[6]august-2025'!$C:$C,0,0)</f>
        <v>35500</v>
      </c>
      <c r="BJ52">
        <f t="shared" si="19"/>
        <v>6390</v>
      </c>
      <c r="BK52">
        <f t="shared" si="20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1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>IF($F52="YES",0,IF(BN52&gt;40000,200,IF(BN52&gt;25000,150,IF(BN52&gt;15000,130,IF(BN52&gt;10000,110,0)))))</f>
        <v>200</v>
      </c>
      <c r="BR52">
        <f>BN52-BO52-BP52-BQ52</f>
        <v>43450</v>
      </c>
      <c r="BS52">
        <f>_xlfn.XLOOKUP(B52,'[7]september-2025'!$A:$A,'[7]september-2025'!$C:$C,0,0)</f>
        <v>35500</v>
      </c>
      <c r="BT52">
        <f t="shared" si="22"/>
        <v>6390</v>
      </c>
      <c r="BU52">
        <f t="shared" si="23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>IF(BS52&gt;0,SUM(BS52:BW52),0)</f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24"/>
        <v>200</v>
      </c>
      <c r="CB52">
        <f t="shared" si="25"/>
        <v>43450</v>
      </c>
      <c r="CC52">
        <f>_xlfn.XLOOKUP(B52,'[8]october-2025'!$A:$A,'[8]october-2025'!$C:$C,0,0)</f>
        <v>35500</v>
      </c>
      <c r="CD52">
        <f t="shared" si="26"/>
        <v>6390</v>
      </c>
      <c r="CE52">
        <f t="shared" si="27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>IF(CC52&gt;0,SUM(CC52:CG52),0)</f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28"/>
        <v>200</v>
      </c>
      <c r="CL52">
        <f t="shared" si="29"/>
        <v>43450</v>
      </c>
      <c r="CM52">
        <f>_xlfn.XLOOKUP(B52,'[9]november-2025'!$A:$A,'[9]november-2025'!$C:$C,0,0)</f>
        <v>35500</v>
      </c>
      <c r="CN52">
        <f t="shared" si="30"/>
        <v>6390</v>
      </c>
      <c r="CO52">
        <f t="shared" si="31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>IF(CM52&gt;0,SUM(CM52:CQ52),0)</f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32"/>
        <v>200</v>
      </c>
      <c r="CV52">
        <f t="shared" si="33"/>
        <v>43450</v>
      </c>
      <c r="CW52">
        <f>_xlfn.XLOOKUP(B52,'[10]december-2025'!$A:$A,'[10]december-2025'!$C:$C,0,0)</f>
        <v>35500</v>
      </c>
      <c r="CX52">
        <f t="shared" si="34"/>
        <v>6390</v>
      </c>
      <c r="CY52">
        <f t="shared" si="35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>IF(CW52&gt;0,SUM(CW52:DA52),0)</f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36"/>
        <v>200</v>
      </c>
      <c r="DF52">
        <f t="shared" si="37"/>
        <v>43450</v>
      </c>
      <c r="DG52">
        <f>_xlfn.XLOOKUP(B52,'[11]january-2026'!$A:$A,'[11]january-2026'!$C:$C,0,0)</f>
        <v>35500</v>
      </c>
      <c r="DH52">
        <f t="shared" si="38"/>
        <v>6390</v>
      </c>
      <c r="DI52">
        <f t="shared" si="39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>IF(DG52&gt;0,SUM(DG52:DK52),0)</f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40"/>
        <v>200</v>
      </c>
      <c r="DP52">
        <f t="shared" si="41"/>
        <v>43450</v>
      </c>
      <c r="DQ52">
        <f>_xlfn.XLOOKUP(B52,'[12]february-2026'!$A:$A,'[12]february-2026'!$C:$C,0,0)</f>
        <v>35500</v>
      </c>
      <c r="DR52">
        <f t="shared" si="42"/>
        <v>6390</v>
      </c>
      <c r="DS52">
        <f t="shared" si="43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>IF(DQ52&gt;0,SUM(DQ52:DU52),0)</f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44"/>
        <v>200</v>
      </c>
      <c r="DZ52">
        <f t="shared" si="45"/>
        <v>43450</v>
      </c>
      <c r="EA52">
        <f>_xlfn.XLOOKUP(B52,'[1]march-2025'!$A:$A,'[1]march-2025'!$J:$J,0,0)</f>
        <v>5072</v>
      </c>
      <c r="EB52">
        <f>_xlfn.XLOOKUP(B52,'[2]april-2025'!$A:$A,'[2]april-2025'!$J:$J,0,0)</f>
        <v>0</v>
      </c>
      <c r="EC52">
        <f>_xlfn.XLOOKUP(B52,'[3]may-2025'!$A:$A,'[3]may-2025'!$J:$J,0,0)</f>
        <v>0</v>
      </c>
      <c r="ED52">
        <f>_xlfn.XLOOKUP(B52,'[4]june-2025'!$A:$A,'[4]june-2025'!$J:$J,0,0)</f>
        <v>0</v>
      </c>
      <c r="EE52">
        <f>_xlfn.XLOOKUP(B52,'[5]july-2025'!$A:$A,'[5]july-2025'!$J:$J,0,0)</f>
        <v>0</v>
      </c>
      <c r="EF52">
        <f>_xlfn.XLOOKUP(B52,'[6]august-2025'!$A:$A,'[6]august-2025'!$J:$J,0,0)</f>
        <v>0</v>
      </c>
      <c r="EG52">
        <f>_xlfn.XLOOKUP(B52,'[7]september-2025'!$A:$A,'[7]september-2025'!$J:$J,0,0)</f>
        <v>0</v>
      </c>
      <c r="EH52">
        <f>_xlfn.XLOOKUP(B52,'[8]october-2025'!$A:$A,'[8]october-2025'!$J:$J,0,0)</f>
        <v>0</v>
      </c>
      <c r="EI52">
        <f>_xlfn.XLOOKUP(C52,'[9]november-2025'!$A:$A,'[9]november-2025'!$J:$J,0,0)</f>
        <v>0</v>
      </c>
      <c r="EJ52">
        <f>_xlfn.XLOOKUP(B52,'[10]december-2025'!$A:$A,'[10]december-2025'!$J:$J,0,0)</f>
        <v>0</v>
      </c>
      <c r="EK52">
        <f>_xlfn.XLOOKUP(B52,'[11]january-2026'!$A:$A,'[11]january-2026'!$J:$J,0,0)</f>
        <v>0</v>
      </c>
      <c r="EL52">
        <f>_xlfn.XLOOKUP(B52,'[12]february-2026'!$A:$A,'[12]february-2026'!$J:$J,0,0)</f>
        <v>0</v>
      </c>
      <c r="EM52">
        <f t="shared" si="90"/>
        <v>5072</v>
      </c>
      <c r="EN52">
        <f>DV52+DL52+DB52+CR52+CH52+BX52+BN52+BD52+AS52+AI52+Y52+O52+H52+I52</f>
        <v>553932</v>
      </c>
      <c r="EO52">
        <f>DY52+DO52+DE52+CU52+CK52+CA52+BQ52+BG52+AV52+AL52+AB52+R52</f>
        <v>2400</v>
      </c>
      <c r="EP52">
        <f t="shared" si="46"/>
        <v>50000</v>
      </c>
      <c r="EQ52">
        <v>0</v>
      </c>
      <c r="ER52">
        <f t="shared" si="91"/>
        <v>506604</v>
      </c>
      <c r="ES52">
        <f>DW52+DM52+DC52+CS52+CI52+BY52+BO52+BE52+AT52+AJ52+Z52+P52</f>
        <v>30000</v>
      </c>
      <c r="ET52">
        <f>DX52+DN52+DD52+CT52+CJ52+BZ52+BP52+BF52+AU52+AK52+AA52+Q52</f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47"/>
        <v>30000</v>
      </c>
      <c r="FF52">
        <f t="shared" si="48"/>
        <v>30000</v>
      </c>
      <c r="FG52">
        <f t="shared" si="49"/>
        <v>476604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>SUM(FH52:FN52)+(IF(F52="YES",50000,0))</f>
        <v>0</v>
      </c>
      <c r="FP52">
        <f t="shared" si="50"/>
        <v>476604</v>
      </c>
      <c r="FQ52">
        <f t="shared" si="51"/>
        <v>11330</v>
      </c>
      <c r="FR52">
        <f t="shared" si="52"/>
        <v>0</v>
      </c>
      <c r="FS52">
        <f t="shared" si="53"/>
        <v>11330</v>
      </c>
      <c r="FT52">
        <f t="shared" si="54"/>
        <v>0</v>
      </c>
      <c r="FU52">
        <f t="shared" si="55"/>
        <v>0</v>
      </c>
      <c r="FV52">
        <f t="shared" si="56"/>
        <v>0</v>
      </c>
      <c r="FW52">
        <v>0</v>
      </c>
      <c r="FX52">
        <f t="shared" si="57"/>
        <v>0</v>
      </c>
      <c r="FY52" t="b">
        <f t="shared" si="58"/>
        <v>1</v>
      </c>
      <c r="FZ52">
        <f t="shared" ca="1" si="59"/>
        <v>958</v>
      </c>
      <c r="GA52">
        <f t="shared" ca="1" si="60"/>
        <v>554890</v>
      </c>
      <c r="GB52">
        <f t="shared" si="61"/>
        <v>75000</v>
      </c>
      <c r="GC52">
        <f t="shared" ca="1" si="62"/>
        <v>479890</v>
      </c>
      <c r="GD52">
        <f t="shared" ca="1" si="63"/>
        <v>0</v>
      </c>
      <c r="GE52">
        <f t="shared" ca="1" si="64"/>
        <v>0</v>
      </c>
      <c r="GF52">
        <f t="shared" ca="1" si="65"/>
        <v>0</v>
      </c>
      <c r="GG52">
        <f t="shared" ca="1" si="66"/>
        <v>0</v>
      </c>
      <c r="GH52">
        <f t="shared" ca="1" si="67"/>
        <v>0</v>
      </c>
      <c r="GI52">
        <f t="shared" ca="1" si="68"/>
        <v>0</v>
      </c>
      <c r="GJ52">
        <f ca="1">IF(GC52&gt;1200000,GC52-1200000-IF(F52="YES",50000,0)-GH52,0)</f>
        <v>0</v>
      </c>
      <c r="GK52">
        <f t="shared" ca="1" si="69"/>
        <v>0</v>
      </c>
      <c r="GL52">
        <f t="shared" ca="1" si="70"/>
        <v>0</v>
      </c>
      <c r="GM52">
        <f t="shared" ca="1" si="71"/>
        <v>0</v>
      </c>
      <c r="GN52">
        <f t="shared" ca="1" si="72"/>
        <v>79890</v>
      </c>
      <c r="GO52">
        <f t="shared" ca="1" si="73"/>
        <v>3994.5</v>
      </c>
      <c r="GP52">
        <f t="shared" ca="1" si="74"/>
        <v>3995</v>
      </c>
      <c r="GQ52">
        <f t="shared" ca="1" si="75"/>
        <v>0</v>
      </c>
      <c r="GR52">
        <f t="shared" ca="1" si="76"/>
        <v>0</v>
      </c>
      <c r="GS52">
        <f t="shared" ca="1" si="77"/>
        <v>3995</v>
      </c>
      <c r="GT52">
        <f t="shared" ca="1" si="78"/>
        <v>0</v>
      </c>
      <c r="GU52" t="b">
        <f t="shared" ca="1" si="79"/>
        <v>0</v>
      </c>
      <c r="GV52">
        <f t="shared" ca="1" si="80"/>
        <v>0</v>
      </c>
      <c r="GW52">
        <f t="shared" ca="1" si="81"/>
        <v>3995</v>
      </c>
      <c r="GX52">
        <f t="shared" ca="1" si="82"/>
        <v>0</v>
      </c>
      <c r="GY52">
        <f t="shared" ca="1" si="83"/>
        <v>0</v>
      </c>
      <c r="GZ52">
        <f t="shared" ca="1" si="84"/>
        <v>0</v>
      </c>
    </row>
    <row r="53" spans="1:208" x14ac:dyDescent="0.25">
      <c r="A53">
        <f>_xlfn.AGGREGATE(3,5,$B$2:B53)</f>
        <v>52</v>
      </c>
      <c r="B53" t="s">
        <v>221</v>
      </c>
      <c r="C53" t="s">
        <v>222</v>
      </c>
      <c r="D53" t="s">
        <v>764</v>
      </c>
      <c r="E53" t="s">
        <v>831</v>
      </c>
      <c r="F53" t="s">
        <v>957</v>
      </c>
      <c r="G53" t="s">
        <v>878</v>
      </c>
      <c r="H53">
        <f t="shared" si="177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>IF(J53&gt;0,SUM(J53:N53),0)</f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85"/>
        <v>200</v>
      </c>
      <c r="S53">
        <f t="shared" si="86"/>
        <v>39170</v>
      </c>
      <c r="T53">
        <f>_xlfn.XLOOKUP(B53,'[2]april-2025'!$A:$A,'[2]april-2025'!$C:$C,0,0)</f>
        <v>34500</v>
      </c>
      <c r="U53">
        <f t="shared" si="3"/>
        <v>6210</v>
      </c>
      <c r="V53">
        <f t="shared" si="4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87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5"/>
        <v>200</v>
      </c>
      <c r="AC53">
        <f t="shared" si="6"/>
        <v>40550</v>
      </c>
      <c r="AD53">
        <f>_xlfn.XLOOKUP(B53,'[3]may-2025'!$A:$A,'[3]may-2025'!$C:$C,0,0)</f>
        <v>34500</v>
      </c>
      <c r="AE53">
        <f t="shared" si="7"/>
        <v>6210</v>
      </c>
      <c r="AF53">
        <f t="shared" si="8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88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9"/>
        <v>200</v>
      </c>
      <c r="AM53">
        <f t="shared" si="10"/>
        <v>40550</v>
      </c>
      <c r="AN53">
        <f>_xlfn.XLOOKUP(B53,'[4]june-2025'!$A:$A,'[4]june-2025'!$C:$C,0,0)</f>
        <v>34500</v>
      </c>
      <c r="AO53">
        <f t="shared" si="11"/>
        <v>6210</v>
      </c>
      <c r="AP53">
        <f t="shared" si="12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89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3"/>
        <v>200</v>
      </c>
      <c r="AW53">
        <f t="shared" si="14"/>
        <v>40550</v>
      </c>
      <c r="AX53">
        <f>_xlfn.XLOOKUP(B53,'[5]july-2025'!$A:$A,'[5]july-2025'!$C:$C,0,0)</f>
        <v>35500</v>
      </c>
      <c r="AY53">
        <f t="shared" si="15"/>
        <v>6390</v>
      </c>
      <c r="AZ53">
        <v>0</v>
      </c>
      <c r="BA53">
        <f t="shared" si="16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>IF(AX53&gt;0,SUM(AX53:BC53),0)</f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17"/>
        <v>200</v>
      </c>
      <c r="BH53">
        <f t="shared" si="18"/>
        <v>41850</v>
      </c>
      <c r="BI53">
        <f>_xlfn.XLOOKUP(B53,'[6]august-2025'!$A:$A,'[6]august-2025'!$C:$C,0,0)</f>
        <v>35500</v>
      </c>
      <c r="BJ53">
        <f t="shared" si="19"/>
        <v>6390</v>
      </c>
      <c r="BK53">
        <f t="shared" si="20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1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>IF($F53="YES",0,IF(BN53&gt;40000,200,IF(BN53&gt;25000,150,IF(BN53&gt;15000,130,IF(BN53&gt;10000,110,0)))))</f>
        <v>200</v>
      </c>
      <c r="BR53">
        <f>BN53-BO53-BP53-BQ53</f>
        <v>41850</v>
      </c>
      <c r="BS53">
        <f>_xlfn.XLOOKUP(B53,'[7]september-2025'!$A:$A,'[7]september-2025'!$C:$C,0,0)</f>
        <v>35500</v>
      </c>
      <c r="BT53">
        <f t="shared" si="22"/>
        <v>6390</v>
      </c>
      <c r="BU53">
        <f t="shared" si="23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>IF(BS53&gt;0,SUM(BS53:BW53),0)</f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24"/>
        <v>200</v>
      </c>
      <c r="CB53">
        <f t="shared" si="25"/>
        <v>41850</v>
      </c>
      <c r="CC53">
        <f>_xlfn.XLOOKUP(B53,'[8]october-2025'!$A:$A,'[8]october-2025'!$C:$C,0,0)</f>
        <v>35500</v>
      </c>
      <c r="CD53">
        <f t="shared" si="26"/>
        <v>6390</v>
      </c>
      <c r="CE53">
        <f t="shared" si="27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>IF(CC53&gt;0,SUM(CC53:CG53),0)</f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28"/>
        <v>200</v>
      </c>
      <c r="CL53">
        <f t="shared" si="29"/>
        <v>41850</v>
      </c>
      <c r="CM53">
        <f>_xlfn.XLOOKUP(B53,'[9]november-2025'!$A:$A,'[9]november-2025'!$C:$C,0,0)</f>
        <v>35500</v>
      </c>
      <c r="CN53">
        <f t="shared" si="30"/>
        <v>6390</v>
      </c>
      <c r="CO53">
        <f t="shared" si="31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>IF(CM53&gt;0,SUM(CM53:CQ53),0)</f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32"/>
        <v>200</v>
      </c>
      <c r="CV53">
        <f t="shared" si="33"/>
        <v>41850</v>
      </c>
      <c r="CW53">
        <f>_xlfn.XLOOKUP(B53,'[10]december-2025'!$A:$A,'[10]december-2025'!$C:$C,0,0)</f>
        <v>35500</v>
      </c>
      <c r="CX53">
        <f t="shared" si="34"/>
        <v>6390</v>
      </c>
      <c r="CY53">
        <f t="shared" si="35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>IF(CW53&gt;0,SUM(CW53:DA53),0)</f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36"/>
        <v>200</v>
      </c>
      <c r="DF53">
        <f t="shared" si="37"/>
        <v>41850</v>
      </c>
      <c r="DG53">
        <f>_xlfn.XLOOKUP(B53,'[11]january-2026'!$A:$A,'[11]january-2026'!$C:$C,0,0)</f>
        <v>35500</v>
      </c>
      <c r="DH53">
        <f t="shared" si="38"/>
        <v>6390</v>
      </c>
      <c r="DI53">
        <f t="shared" si="39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>IF(DG53&gt;0,SUM(DG53:DK53),0)</f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40"/>
        <v>200</v>
      </c>
      <c r="DP53">
        <f t="shared" si="41"/>
        <v>41850</v>
      </c>
      <c r="DQ53">
        <f>_xlfn.XLOOKUP(B53,'[12]february-2026'!$A:$A,'[12]february-2026'!$C:$C,0,0)</f>
        <v>35500</v>
      </c>
      <c r="DR53">
        <f t="shared" si="42"/>
        <v>6390</v>
      </c>
      <c r="DS53">
        <f t="shared" si="43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>IF(DQ53&gt;0,SUM(DQ53:DU53),0)</f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44"/>
        <v>200</v>
      </c>
      <c r="DZ53">
        <f t="shared" si="45"/>
        <v>41850</v>
      </c>
      <c r="EA53">
        <f>_xlfn.XLOOKUP(B53,'[1]march-2025'!$A:$A,'[1]march-2025'!$J:$J,0,0)</f>
        <v>0</v>
      </c>
      <c r="EB53">
        <f>_xlfn.XLOOKUP(B53,'[2]april-2025'!$A:$A,'[2]april-2025'!$J:$J,0,0)</f>
        <v>0</v>
      </c>
      <c r="EC53">
        <f>_xlfn.XLOOKUP(B53,'[3]may-2025'!$A:$A,'[3]may-2025'!$J:$J,0,0)</f>
        <v>0</v>
      </c>
      <c r="ED53">
        <f>_xlfn.XLOOKUP(B53,'[4]june-2025'!$A:$A,'[4]june-2025'!$J:$J,0,0)</f>
        <v>0</v>
      </c>
      <c r="EE53">
        <f>_xlfn.XLOOKUP(B53,'[5]july-2025'!$A:$A,'[5]july-2025'!$J:$J,0,0)</f>
        <v>0</v>
      </c>
      <c r="EF53">
        <f>_xlfn.XLOOKUP(B53,'[6]august-2025'!$A:$A,'[6]august-2025'!$J:$J,0,0)</f>
        <v>0</v>
      </c>
      <c r="EG53">
        <f>_xlfn.XLOOKUP(B53,'[7]september-2025'!$A:$A,'[7]september-2025'!$J:$J,0,0)</f>
        <v>0</v>
      </c>
      <c r="EH53">
        <f>_xlfn.XLOOKUP(B53,'[8]october-2025'!$A:$A,'[8]october-2025'!$J:$J,0,0)</f>
        <v>0</v>
      </c>
      <c r="EI53">
        <f>_xlfn.XLOOKUP(C53,'[9]november-2025'!$A:$A,'[9]november-2025'!$J:$J,0,0)</f>
        <v>0</v>
      </c>
      <c r="EJ53">
        <f>_xlfn.XLOOKUP(B53,'[10]december-2025'!$A:$A,'[10]december-2025'!$J:$J,0,0)</f>
        <v>0</v>
      </c>
      <c r="EK53">
        <f>_xlfn.XLOOKUP(B53,'[11]january-2026'!$A:$A,'[11]january-2026'!$J:$J,0,0)</f>
        <v>0</v>
      </c>
      <c r="EL53">
        <f>_xlfn.XLOOKUP(B53,'[12]february-2026'!$A:$A,'[12]february-2026'!$J:$J,0,0)</f>
        <v>0</v>
      </c>
      <c r="EM53">
        <f t="shared" si="90"/>
        <v>0</v>
      </c>
      <c r="EN53">
        <f>DV53+DL53+DB53+CR53+CH53+BX53+BN53+BD53+AS53+AI53+Y53+O53+H53+I53</f>
        <v>564820</v>
      </c>
      <c r="EO53">
        <f>DY53+DO53+DE53+CU53+CK53+CA53+BQ53+BG53+AV53+AL53+AB53+R53</f>
        <v>2400</v>
      </c>
      <c r="EP53">
        <f t="shared" si="46"/>
        <v>50000</v>
      </c>
      <c r="EQ53">
        <v>0</v>
      </c>
      <c r="ER53">
        <f t="shared" si="91"/>
        <v>512420</v>
      </c>
      <c r="ES53">
        <f>DW53+DM53+DC53+CS53+CI53+BY53+BO53+BE53+AT53+AJ53+Z53+P53</f>
        <v>60000</v>
      </c>
      <c r="ET53">
        <f>DX53+DN53+DD53+CT53+CJ53+BZ53+BP53+BF53+AU53+AK53+AA53+Q53</f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47"/>
        <v>60000</v>
      </c>
      <c r="FF53">
        <f t="shared" si="48"/>
        <v>60000</v>
      </c>
      <c r="FG53">
        <f t="shared" si="49"/>
        <v>452420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>SUM(FH53:FN53)+(IF(F53="YES",50000,0))</f>
        <v>0</v>
      </c>
      <c r="FP53">
        <f t="shared" si="50"/>
        <v>452420</v>
      </c>
      <c r="FQ53">
        <f t="shared" si="51"/>
        <v>10121</v>
      </c>
      <c r="FR53">
        <f t="shared" si="52"/>
        <v>0</v>
      </c>
      <c r="FS53">
        <f t="shared" si="53"/>
        <v>10121</v>
      </c>
      <c r="FT53">
        <f t="shared" si="54"/>
        <v>0</v>
      </c>
      <c r="FU53">
        <f t="shared" si="55"/>
        <v>0</v>
      </c>
      <c r="FV53">
        <f t="shared" si="56"/>
        <v>0</v>
      </c>
      <c r="FW53">
        <v>0</v>
      </c>
      <c r="FX53">
        <f t="shared" si="57"/>
        <v>0</v>
      </c>
      <c r="FY53" t="b">
        <f t="shared" si="58"/>
        <v>1</v>
      </c>
      <c r="FZ53">
        <f t="shared" ca="1" si="59"/>
        <v>977</v>
      </c>
      <c r="GA53">
        <f t="shared" ca="1" si="60"/>
        <v>565797</v>
      </c>
      <c r="GB53">
        <f t="shared" si="61"/>
        <v>75000</v>
      </c>
      <c r="GC53">
        <f t="shared" ca="1" si="62"/>
        <v>490797</v>
      </c>
      <c r="GD53">
        <f t="shared" ca="1" si="63"/>
        <v>0</v>
      </c>
      <c r="GE53">
        <f t="shared" ca="1" si="64"/>
        <v>0</v>
      </c>
      <c r="GF53">
        <f t="shared" ca="1" si="65"/>
        <v>0</v>
      </c>
      <c r="GG53">
        <f t="shared" ca="1" si="66"/>
        <v>0</v>
      </c>
      <c r="GH53">
        <f t="shared" ca="1" si="67"/>
        <v>0</v>
      </c>
      <c r="GI53">
        <f t="shared" ca="1" si="68"/>
        <v>0</v>
      </c>
      <c r="GJ53">
        <f ca="1">IF(GC53&gt;1200000,GC53-1200000-IF(F53="YES",50000,0)-GH53,0)</f>
        <v>0</v>
      </c>
      <c r="GK53">
        <f t="shared" ca="1" si="69"/>
        <v>0</v>
      </c>
      <c r="GL53">
        <f t="shared" ca="1" si="70"/>
        <v>0</v>
      </c>
      <c r="GM53">
        <f t="shared" ca="1" si="71"/>
        <v>0</v>
      </c>
      <c r="GN53">
        <f t="shared" ca="1" si="72"/>
        <v>90797</v>
      </c>
      <c r="GO53">
        <f t="shared" ca="1" si="73"/>
        <v>4539.8500000000004</v>
      </c>
      <c r="GP53">
        <f t="shared" ca="1" si="74"/>
        <v>4540</v>
      </c>
      <c r="GQ53">
        <f t="shared" ca="1" si="75"/>
        <v>0</v>
      </c>
      <c r="GR53">
        <f t="shared" ca="1" si="76"/>
        <v>0</v>
      </c>
      <c r="GS53">
        <f t="shared" ca="1" si="77"/>
        <v>4540</v>
      </c>
      <c r="GT53">
        <f t="shared" ca="1" si="78"/>
        <v>0</v>
      </c>
      <c r="GU53" t="b">
        <f t="shared" ca="1" si="79"/>
        <v>0</v>
      </c>
      <c r="GV53">
        <f t="shared" ca="1" si="80"/>
        <v>0</v>
      </c>
      <c r="GW53">
        <f t="shared" ca="1" si="81"/>
        <v>4540</v>
      </c>
      <c r="GX53">
        <f t="shared" ca="1" si="82"/>
        <v>0</v>
      </c>
      <c r="GY53">
        <f t="shared" ca="1" si="83"/>
        <v>0</v>
      </c>
      <c r="GZ53">
        <f t="shared" ca="1" si="84"/>
        <v>0</v>
      </c>
    </row>
    <row r="54" spans="1:208" x14ac:dyDescent="0.25">
      <c r="A54">
        <f>_xlfn.AGGREGATE(3,5,$B$2:B54)</f>
        <v>53</v>
      </c>
      <c r="B54" t="s">
        <v>223</v>
      </c>
      <c r="C54" t="s">
        <v>224</v>
      </c>
      <c r="D54" t="s">
        <v>764</v>
      </c>
      <c r="E54" t="s">
        <v>831</v>
      </c>
      <c r="F54" t="s">
        <v>957</v>
      </c>
      <c r="G54" t="s">
        <v>878</v>
      </c>
      <c r="H54">
        <f t="shared" si="177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>IF(J54&gt;0,SUM(J54:N54),0)</f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85"/>
        <v>200</v>
      </c>
      <c r="S54">
        <f t="shared" si="86"/>
        <v>41270</v>
      </c>
      <c r="T54">
        <f>_xlfn.XLOOKUP(B54,'[2]april-2025'!$A:$A,'[2]april-2025'!$C:$C,0,0)</f>
        <v>34500</v>
      </c>
      <c r="U54">
        <f t="shared" si="3"/>
        <v>6210</v>
      </c>
      <c r="V54">
        <f t="shared" si="4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87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5"/>
        <v>200</v>
      </c>
      <c r="AC54">
        <f t="shared" si="6"/>
        <v>42650</v>
      </c>
      <c r="AD54">
        <f>_xlfn.XLOOKUP(B54,'[3]may-2025'!$A:$A,'[3]may-2025'!$C:$C,0,0)</f>
        <v>34500</v>
      </c>
      <c r="AE54">
        <f t="shared" si="7"/>
        <v>6210</v>
      </c>
      <c r="AF54">
        <f t="shared" si="8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88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9"/>
        <v>200</v>
      </c>
      <c r="AM54">
        <f t="shared" si="10"/>
        <v>42650</v>
      </c>
      <c r="AN54">
        <f>_xlfn.XLOOKUP(B54,'[4]june-2025'!$A:$A,'[4]june-2025'!$C:$C,0,0)</f>
        <v>34500</v>
      </c>
      <c r="AO54">
        <f t="shared" si="11"/>
        <v>6210</v>
      </c>
      <c r="AP54">
        <f t="shared" si="12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89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3"/>
        <v>200</v>
      </c>
      <c r="AW54">
        <f t="shared" si="14"/>
        <v>42650</v>
      </c>
      <c r="AX54">
        <f>_xlfn.XLOOKUP(B54,'[5]july-2025'!$A:$A,'[5]july-2025'!$C:$C,0,0)</f>
        <v>35500</v>
      </c>
      <c r="AY54">
        <f t="shared" si="15"/>
        <v>6390</v>
      </c>
      <c r="AZ54">
        <v>0</v>
      </c>
      <c r="BA54">
        <f t="shared" si="16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>IF(AX54&gt;0,SUM(AX54:BC54),0)</f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17"/>
        <v>200</v>
      </c>
      <c r="BH54">
        <f t="shared" si="18"/>
        <v>43950</v>
      </c>
      <c r="BI54">
        <f>_xlfn.XLOOKUP(B54,'[6]august-2025'!$A:$A,'[6]august-2025'!$C:$C,0,0)</f>
        <v>35500</v>
      </c>
      <c r="BJ54">
        <f t="shared" si="19"/>
        <v>6390</v>
      </c>
      <c r="BK54">
        <f t="shared" si="20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1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>IF($F54="YES",0,IF(BN54&gt;40000,200,IF(BN54&gt;25000,150,IF(BN54&gt;15000,130,IF(BN54&gt;10000,110,0)))))</f>
        <v>200</v>
      </c>
      <c r="BR54">
        <f>BN54-BO54-BP54-BQ54</f>
        <v>43950</v>
      </c>
      <c r="BS54">
        <f>_xlfn.XLOOKUP(B54,'[7]september-2025'!$A:$A,'[7]september-2025'!$C:$C,0,0)</f>
        <v>35500</v>
      </c>
      <c r="BT54">
        <f t="shared" si="22"/>
        <v>6390</v>
      </c>
      <c r="BU54">
        <f t="shared" si="23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>IF(BS54&gt;0,SUM(BS54:BW54),0)</f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24"/>
        <v>200</v>
      </c>
      <c r="CB54">
        <f t="shared" si="25"/>
        <v>43950</v>
      </c>
      <c r="CC54">
        <f>_xlfn.XLOOKUP(B54,'[8]october-2025'!$A:$A,'[8]october-2025'!$C:$C,0,0)</f>
        <v>35500</v>
      </c>
      <c r="CD54">
        <f t="shared" si="26"/>
        <v>6390</v>
      </c>
      <c r="CE54">
        <f t="shared" si="27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>IF(CC54&gt;0,SUM(CC54:CG54),0)</f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28"/>
        <v>200</v>
      </c>
      <c r="CL54">
        <f t="shared" si="29"/>
        <v>43950</v>
      </c>
      <c r="CM54">
        <f>_xlfn.XLOOKUP(B54,'[9]november-2025'!$A:$A,'[9]november-2025'!$C:$C,0,0)</f>
        <v>35500</v>
      </c>
      <c r="CN54">
        <f t="shared" si="30"/>
        <v>6390</v>
      </c>
      <c r="CO54">
        <f t="shared" si="31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>IF(CM54&gt;0,SUM(CM54:CQ54),0)</f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32"/>
        <v>200</v>
      </c>
      <c r="CV54">
        <f t="shared" si="33"/>
        <v>43950</v>
      </c>
      <c r="CW54">
        <f>_xlfn.XLOOKUP(B54,'[10]december-2025'!$A:$A,'[10]december-2025'!$C:$C,0,0)</f>
        <v>35500</v>
      </c>
      <c r="CX54">
        <f t="shared" si="34"/>
        <v>6390</v>
      </c>
      <c r="CY54">
        <f t="shared" si="35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>IF(CW54&gt;0,SUM(CW54:DA54),0)</f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36"/>
        <v>200</v>
      </c>
      <c r="DF54">
        <f t="shared" si="37"/>
        <v>43950</v>
      </c>
      <c r="DG54">
        <f>_xlfn.XLOOKUP(B54,'[11]january-2026'!$A:$A,'[11]january-2026'!$C:$C,0,0)</f>
        <v>35500</v>
      </c>
      <c r="DH54">
        <f t="shared" si="38"/>
        <v>6390</v>
      </c>
      <c r="DI54">
        <f t="shared" si="39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>IF(DG54&gt;0,SUM(DG54:DK54),0)</f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40"/>
        <v>200</v>
      </c>
      <c r="DP54">
        <f t="shared" si="41"/>
        <v>43950</v>
      </c>
      <c r="DQ54">
        <f>_xlfn.XLOOKUP(B54,'[12]february-2026'!$A:$A,'[12]february-2026'!$C:$C,0,0)</f>
        <v>35500</v>
      </c>
      <c r="DR54">
        <f t="shared" si="42"/>
        <v>6390</v>
      </c>
      <c r="DS54">
        <f t="shared" si="43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>IF(DQ54&gt;0,SUM(DQ54:DU54),0)</f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44"/>
        <v>200</v>
      </c>
      <c r="DZ54">
        <f t="shared" si="45"/>
        <v>43950</v>
      </c>
      <c r="EA54">
        <f>_xlfn.XLOOKUP(B54,'[1]march-2025'!$A:$A,'[1]march-2025'!$J:$J,0,0)</f>
        <v>0</v>
      </c>
      <c r="EB54">
        <f>_xlfn.XLOOKUP(B54,'[2]april-2025'!$A:$A,'[2]april-2025'!$J:$J,0,0)</f>
        <v>0</v>
      </c>
      <c r="EC54">
        <f>_xlfn.XLOOKUP(B54,'[3]may-2025'!$A:$A,'[3]may-2025'!$J:$J,0,0)</f>
        <v>0</v>
      </c>
      <c r="ED54">
        <f>_xlfn.XLOOKUP(B54,'[4]june-2025'!$A:$A,'[4]june-2025'!$J:$J,0,0)</f>
        <v>0</v>
      </c>
      <c r="EE54">
        <f>_xlfn.XLOOKUP(B54,'[5]july-2025'!$A:$A,'[5]july-2025'!$J:$J,0,0)</f>
        <v>0</v>
      </c>
      <c r="EF54">
        <f>_xlfn.XLOOKUP(B54,'[6]august-2025'!$A:$A,'[6]august-2025'!$J:$J,0,0)</f>
        <v>0</v>
      </c>
      <c r="EG54">
        <f>_xlfn.XLOOKUP(B54,'[7]september-2025'!$A:$A,'[7]september-2025'!$J:$J,0,0)</f>
        <v>0</v>
      </c>
      <c r="EH54">
        <f>_xlfn.XLOOKUP(B54,'[8]october-2025'!$A:$A,'[8]october-2025'!$J:$J,0,0)</f>
        <v>0</v>
      </c>
      <c r="EI54">
        <f>_xlfn.XLOOKUP(C54,'[9]november-2025'!$A:$A,'[9]november-2025'!$J:$J,0,0)</f>
        <v>0</v>
      </c>
      <c r="EJ54">
        <f>_xlfn.XLOOKUP(B54,'[10]december-2025'!$A:$A,'[10]december-2025'!$J:$J,0,0)</f>
        <v>0</v>
      </c>
      <c r="EK54">
        <f>_xlfn.XLOOKUP(B54,'[11]january-2026'!$A:$A,'[11]january-2026'!$J:$J,0,0)</f>
        <v>0</v>
      </c>
      <c r="EL54">
        <f>_xlfn.XLOOKUP(B54,'[12]february-2026'!$A:$A,'[12]february-2026'!$J:$J,0,0)</f>
        <v>0</v>
      </c>
      <c r="EM54">
        <f t="shared" si="90"/>
        <v>0</v>
      </c>
      <c r="EN54">
        <f>DV54+DL54+DB54+CR54+CH54+BX54+BN54+BD54+AS54+AI54+Y54+O54+H54+I54</f>
        <v>560020</v>
      </c>
      <c r="EO54">
        <f>DY54+DO54+DE54+CU54+CK54+CA54+BQ54+BG54+AV54+AL54+AB54+R54</f>
        <v>2400</v>
      </c>
      <c r="EP54">
        <f t="shared" si="46"/>
        <v>50000</v>
      </c>
      <c r="EQ54">
        <v>0</v>
      </c>
      <c r="ER54">
        <f t="shared" si="91"/>
        <v>507620</v>
      </c>
      <c r="ES54">
        <f>DW54+DM54+DC54+CS54+CI54+BY54+BO54+BE54+AT54+AJ54+Z54+P54</f>
        <v>30000</v>
      </c>
      <c r="ET54">
        <f>DX54+DN54+DD54+CT54+CJ54+BZ54+BP54+BF54+AU54+AK54+AA54+Q54</f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47"/>
        <v>30000</v>
      </c>
      <c r="FF54">
        <f t="shared" si="48"/>
        <v>30000</v>
      </c>
      <c r="FG54">
        <f t="shared" si="49"/>
        <v>477620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>SUM(FH54:FN54)+(IF(F54="YES",50000,0))</f>
        <v>0</v>
      </c>
      <c r="FP54">
        <f t="shared" si="50"/>
        <v>477620</v>
      </c>
      <c r="FQ54">
        <f t="shared" si="51"/>
        <v>11381</v>
      </c>
      <c r="FR54">
        <f t="shared" si="52"/>
        <v>0</v>
      </c>
      <c r="FS54">
        <f t="shared" si="53"/>
        <v>11381</v>
      </c>
      <c r="FT54">
        <f t="shared" si="54"/>
        <v>0</v>
      </c>
      <c r="FU54">
        <f t="shared" si="55"/>
        <v>0</v>
      </c>
      <c r="FV54">
        <f t="shared" si="56"/>
        <v>0</v>
      </c>
      <c r="FW54">
        <v>0</v>
      </c>
      <c r="FX54">
        <f t="shared" si="57"/>
        <v>0</v>
      </c>
      <c r="FY54" t="b">
        <f t="shared" si="58"/>
        <v>1</v>
      </c>
      <c r="FZ54">
        <f t="shared" ca="1" si="59"/>
        <v>721</v>
      </c>
      <c r="GA54">
        <f t="shared" ca="1" si="60"/>
        <v>560741</v>
      </c>
      <c r="GB54">
        <f t="shared" si="61"/>
        <v>75000</v>
      </c>
      <c r="GC54">
        <f t="shared" ca="1" si="62"/>
        <v>485741</v>
      </c>
      <c r="GD54">
        <f t="shared" ca="1" si="63"/>
        <v>0</v>
      </c>
      <c r="GE54">
        <f t="shared" ca="1" si="64"/>
        <v>0</v>
      </c>
      <c r="GF54">
        <f t="shared" ca="1" si="65"/>
        <v>0</v>
      </c>
      <c r="GG54">
        <f t="shared" ca="1" si="66"/>
        <v>0</v>
      </c>
      <c r="GH54">
        <f t="shared" ca="1" si="67"/>
        <v>0</v>
      </c>
      <c r="GI54">
        <f t="shared" ca="1" si="68"/>
        <v>0</v>
      </c>
      <c r="GJ54">
        <f ca="1">IF(GC54&gt;1200000,GC54-1200000-IF(F54="YES",50000,0)-GH54,0)</f>
        <v>0</v>
      </c>
      <c r="GK54">
        <f t="shared" ca="1" si="69"/>
        <v>0</v>
      </c>
      <c r="GL54">
        <f t="shared" ca="1" si="70"/>
        <v>0</v>
      </c>
      <c r="GM54">
        <f t="shared" ca="1" si="71"/>
        <v>0</v>
      </c>
      <c r="GN54">
        <f t="shared" ca="1" si="72"/>
        <v>85741</v>
      </c>
      <c r="GO54">
        <f t="shared" ca="1" si="73"/>
        <v>4287.05</v>
      </c>
      <c r="GP54">
        <f t="shared" ca="1" si="74"/>
        <v>4287</v>
      </c>
      <c r="GQ54">
        <f t="shared" ca="1" si="75"/>
        <v>0</v>
      </c>
      <c r="GR54">
        <f t="shared" ca="1" si="76"/>
        <v>0</v>
      </c>
      <c r="GS54">
        <f t="shared" ca="1" si="77"/>
        <v>4287</v>
      </c>
      <c r="GT54">
        <f t="shared" ca="1" si="78"/>
        <v>0</v>
      </c>
      <c r="GU54" t="b">
        <f t="shared" ca="1" si="79"/>
        <v>0</v>
      </c>
      <c r="GV54">
        <f t="shared" ca="1" si="80"/>
        <v>0</v>
      </c>
      <c r="GW54">
        <f t="shared" ca="1" si="81"/>
        <v>4287</v>
      </c>
      <c r="GX54">
        <f t="shared" ca="1" si="82"/>
        <v>0</v>
      </c>
      <c r="GY54">
        <f t="shared" ca="1" si="83"/>
        <v>0</v>
      </c>
      <c r="GZ54">
        <f t="shared" ca="1" si="84"/>
        <v>0</v>
      </c>
    </row>
    <row r="55" spans="1:208" x14ac:dyDescent="0.25">
      <c r="A55">
        <f>_xlfn.AGGREGATE(3,5,$B$2:B55)</f>
        <v>54</v>
      </c>
      <c r="B55" t="s">
        <v>225</v>
      </c>
      <c r="C55" t="s">
        <v>226</v>
      </c>
      <c r="D55" t="s">
        <v>764</v>
      </c>
      <c r="E55" t="s">
        <v>832</v>
      </c>
      <c r="F55" t="s">
        <v>957</v>
      </c>
      <c r="G55" t="s">
        <v>897</v>
      </c>
      <c r="H55">
        <f t="shared" si="177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>IF(J55&gt;0,SUM(J55:N55),0)</f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85"/>
        <v>200</v>
      </c>
      <c r="S55">
        <f t="shared" si="86"/>
        <v>39010</v>
      </c>
      <c r="T55">
        <f>_xlfn.XLOOKUP(B55,'[2]april-2025'!$A:$A,'[2]april-2025'!$C:$C,0,0)</f>
        <v>33500</v>
      </c>
      <c r="U55">
        <f t="shared" si="3"/>
        <v>6030</v>
      </c>
      <c r="V55">
        <f t="shared" si="4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87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5"/>
        <v>200</v>
      </c>
      <c r="AC55">
        <f t="shared" si="6"/>
        <v>40350</v>
      </c>
      <c r="AD55">
        <f>_xlfn.XLOOKUP(B55,'[3]may-2025'!$A:$A,'[3]may-2025'!$C:$C,0,0)</f>
        <v>33500</v>
      </c>
      <c r="AE55">
        <f t="shared" si="7"/>
        <v>6030</v>
      </c>
      <c r="AF55">
        <f t="shared" si="8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88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9"/>
        <v>200</v>
      </c>
      <c r="AM55">
        <f t="shared" si="10"/>
        <v>40350</v>
      </c>
      <c r="AN55">
        <f>_xlfn.XLOOKUP(B55,'[4]june-2025'!$A:$A,'[4]june-2025'!$C:$C,0,0)</f>
        <v>33500</v>
      </c>
      <c r="AO55">
        <f t="shared" si="11"/>
        <v>6030</v>
      </c>
      <c r="AP55">
        <f t="shared" si="12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89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3"/>
        <v>200</v>
      </c>
      <c r="AW55">
        <f t="shared" si="14"/>
        <v>40350</v>
      </c>
      <c r="AX55">
        <f>_xlfn.XLOOKUP(B55,'[5]july-2025'!$A:$A,'[5]july-2025'!$C:$C,0,0)</f>
        <v>34500</v>
      </c>
      <c r="AY55">
        <f t="shared" si="15"/>
        <v>6210</v>
      </c>
      <c r="AZ55">
        <v>0</v>
      </c>
      <c r="BA55">
        <f t="shared" si="16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>IF(AX55&gt;0,SUM(AX55:BC55),0)</f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17"/>
        <v>200</v>
      </c>
      <c r="BH55">
        <f t="shared" si="18"/>
        <v>41650</v>
      </c>
      <c r="BI55">
        <f>_xlfn.XLOOKUP(B55,'[6]august-2025'!$A:$A,'[6]august-2025'!$C:$C,0,0)</f>
        <v>34500</v>
      </c>
      <c r="BJ55">
        <f t="shared" si="19"/>
        <v>6210</v>
      </c>
      <c r="BK55">
        <f t="shared" si="20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1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>IF($F55="YES",0,IF(BN55&gt;40000,200,IF(BN55&gt;25000,150,IF(BN55&gt;15000,130,IF(BN55&gt;10000,110,0)))))</f>
        <v>200</v>
      </c>
      <c r="BR55">
        <f>BN55-BO55-BP55-BQ55</f>
        <v>41650</v>
      </c>
      <c r="BS55">
        <f>_xlfn.XLOOKUP(B55,'[7]september-2025'!$A:$A,'[7]september-2025'!$C:$C,0,0)</f>
        <v>34500</v>
      </c>
      <c r="BT55">
        <f t="shared" si="22"/>
        <v>6210</v>
      </c>
      <c r="BU55">
        <f t="shared" si="23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>IF(BS55&gt;0,SUM(BS55:BW55),0)</f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24"/>
        <v>200</v>
      </c>
      <c r="CB55">
        <f t="shared" si="25"/>
        <v>41650</v>
      </c>
      <c r="CC55">
        <f>_xlfn.XLOOKUP(B55,'[8]october-2025'!$A:$A,'[8]october-2025'!$C:$C,0,0)</f>
        <v>34500</v>
      </c>
      <c r="CD55">
        <f t="shared" si="26"/>
        <v>6210</v>
      </c>
      <c r="CE55">
        <f t="shared" si="27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>IF(CC55&gt;0,SUM(CC55:CG55),0)</f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28"/>
        <v>200</v>
      </c>
      <c r="CL55">
        <f t="shared" si="29"/>
        <v>41650</v>
      </c>
      <c r="CM55">
        <f>_xlfn.XLOOKUP(B55,'[9]november-2025'!$A:$A,'[9]november-2025'!$C:$C,0,0)</f>
        <v>34500</v>
      </c>
      <c r="CN55">
        <f t="shared" si="30"/>
        <v>6210</v>
      </c>
      <c r="CO55">
        <f t="shared" si="31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>IF(CM55&gt;0,SUM(CM55:CQ55),0)</f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32"/>
        <v>200</v>
      </c>
      <c r="CV55">
        <f t="shared" si="33"/>
        <v>41650</v>
      </c>
      <c r="CW55">
        <f>_xlfn.XLOOKUP(B55,'[10]december-2025'!$A:$A,'[10]december-2025'!$C:$C,0,0)</f>
        <v>34500</v>
      </c>
      <c r="CX55">
        <f t="shared" si="34"/>
        <v>6210</v>
      </c>
      <c r="CY55">
        <f t="shared" si="35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>IF(CW55&gt;0,SUM(CW55:DA55),0)</f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36"/>
        <v>200</v>
      </c>
      <c r="DF55">
        <f t="shared" si="37"/>
        <v>41650</v>
      </c>
      <c r="DG55">
        <f>_xlfn.XLOOKUP(B55,'[11]january-2026'!$A:$A,'[11]january-2026'!$C:$C,0,0)</f>
        <v>34500</v>
      </c>
      <c r="DH55">
        <f t="shared" si="38"/>
        <v>6210</v>
      </c>
      <c r="DI55">
        <f t="shared" si="39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>IF(DG55&gt;0,SUM(DG55:DK55),0)</f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40"/>
        <v>200</v>
      </c>
      <c r="DP55">
        <f t="shared" si="41"/>
        <v>41650</v>
      </c>
      <c r="DQ55">
        <f>_xlfn.XLOOKUP(B55,'[12]february-2026'!$A:$A,'[12]february-2026'!$C:$C,0,0)</f>
        <v>34500</v>
      </c>
      <c r="DR55">
        <f t="shared" si="42"/>
        <v>6210</v>
      </c>
      <c r="DS55">
        <f t="shared" si="43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>IF(DQ55&gt;0,SUM(DQ55:DU55),0)</f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44"/>
        <v>200</v>
      </c>
      <c r="DZ55">
        <f t="shared" si="45"/>
        <v>41650</v>
      </c>
      <c r="EA55">
        <f>_xlfn.XLOOKUP(B55,'[1]march-2025'!$A:$A,'[1]march-2025'!$J:$J,0,0)</f>
        <v>0</v>
      </c>
      <c r="EB55">
        <f>_xlfn.XLOOKUP(B55,'[2]april-2025'!$A:$A,'[2]april-2025'!$J:$J,0,0)</f>
        <v>0</v>
      </c>
      <c r="EC55">
        <f>_xlfn.XLOOKUP(B55,'[3]may-2025'!$A:$A,'[3]may-2025'!$J:$J,0,0)</f>
        <v>0</v>
      </c>
      <c r="ED55">
        <f>_xlfn.XLOOKUP(B55,'[4]june-2025'!$A:$A,'[4]june-2025'!$J:$J,0,0)</f>
        <v>0</v>
      </c>
      <c r="EE55">
        <f>_xlfn.XLOOKUP(B55,'[5]july-2025'!$A:$A,'[5]july-2025'!$J:$J,0,0)</f>
        <v>0</v>
      </c>
      <c r="EF55">
        <f>_xlfn.XLOOKUP(B55,'[6]august-2025'!$A:$A,'[6]august-2025'!$J:$J,0,0)</f>
        <v>0</v>
      </c>
      <c r="EG55">
        <f>_xlfn.XLOOKUP(B55,'[7]september-2025'!$A:$A,'[7]september-2025'!$J:$J,0,0)</f>
        <v>0</v>
      </c>
      <c r="EH55">
        <f>_xlfn.XLOOKUP(B55,'[8]october-2025'!$A:$A,'[8]october-2025'!$J:$J,0,0)</f>
        <v>0</v>
      </c>
      <c r="EI55">
        <f>_xlfn.XLOOKUP(C55,'[9]november-2025'!$A:$A,'[9]november-2025'!$J:$J,0,0)</f>
        <v>0</v>
      </c>
      <c r="EJ55">
        <f>_xlfn.XLOOKUP(B55,'[10]december-2025'!$A:$A,'[10]december-2025'!$J:$J,0,0)</f>
        <v>0</v>
      </c>
      <c r="EK55">
        <f>_xlfn.XLOOKUP(B55,'[11]january-2026'!$A:$A,'[11]january-2026'!$J:$J,0,0)</f>
        <v>0</v>
      </c>
      <c r="EL55">
        <f>_xlfn.XLOOKUP(B55,'[12]february-2026'!$A:$A,'[12]february-2026'!$J:$J,0,0)</f>
        <v>0</v>
      </c>
      <c r="EM55">
        <f t="shared" si="90"/>
        <v>0</v>
      </c>
      <c r="EN55">
        <f>DV55+DL55+DB55+CR55+CH55+BX55+BN55+BD55+AS55+AI55+Y55+O55+H55+I55</f>
        <v>544460</v>
      </c>
      <c r="EO55">
        <f>DY55+DO55+DE55+CU55+CK55+CA55+BQ55+BG55+AV55+AL55+AB55+R55</f>
        <v>2400</v>
      </c>
      <c r="EP55">
        <f t="shared" si="46"/>
        <v>50000</v>
      </c>
      <c r="EQ55">
        <v>0</v>
      </c>
      <c r="ER55">
        <f t="shared" si="91"/>
        <v>492060</v>
      </c>
      <c r="ES55">
        <f>DW55+DM55+DC55+CS55+CI55+BY55+BO55+BE55+AT55+AJ55+Z55+P55</f>
        <v>42000</v>
      </c>
      <c r="ET55">
        <f>DX55+DN55+DD55+CT55+CJ55+BZ55+BP55+BF55+AU55+AK55+AA55+Q55</f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47"/>
        <v>42000</v>
      </c>
      <c r="FF55">
        <f t="shared" si="48"/>
        <v>42000</v>
      </c>
      <c r="FG55">
        <f t="shared" si="49"/>
        <v>450060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>SUM(FH55:FN55)+(IF(F55="YES",50000,0))</f>
        <v>0</v>
      </c>
      <c r="FP55">
        <f t="shared" si="50"/>
        <v>450060</v>
      </c>
      <c r="FQ55">
        <f t="shared" si="51"/>
        <v>10003</v>
      </c>
      <c r="FR55">
        <f t="shared" si="52"/>
        <v>0</v>
      </c>
      <c r="FS55">
        <f t="shared" si="53"/>
        <v>10003</v>
      </c>
      <c r="FT55">
        <f t="shared" si="54"/>
        <v>0</v>
      </c>
      <c r="FU55">
        <f t="shared" si="55"/>
        <v>0</v>
      </c>
      <c r="FV55">
        <f t="shared" si="56"/>
        <v>0</v>
      </c>
      <c r="FW55">
        <v>0</v>
      </c>
      <c r="FX55">
        <f t="shared" si="57"/>
        <v>0</v>
      </c>
      <c r="FY55" t="b">
        <f t="shared" si="58"/>
        <v>1</v>
      </c>
      <c r="FZ55">
        <f t="shared" ca="1" si="59"/>
        <v>522</v>
      </c>
      <c r="GA55">
        <f t="shared" ca="1" si="60"/>
        <v>544982</v>
      </c>
      <c r="GB55">
        <f t="shared" si="61"/>
        <v>75000</v>
      </c>
      <c r="GC55">
        <f t="shared" ca="1" si="62"/>
        <v>469982</v>
      </c>
      <c r="GD55">
        <f t="shared" ca="1" si="63"/>
        <v>0</v>
      </c>
      <c r="GE55">
        <f t="shared" ca="1" si="64"/>
        <v>0</v>
      </c>
      <c r="GF55">
        <f t="shared" ca="1" si="65"/>
        <v>0</v>
      </c>
      <c r="GG55">
        <f t="shared" ca="1" si="66"/>
        <v>0</v>
      </c>
      <c r="GH55">
        <f t="shared" ca="1" si="67"/>
        <v>0</v>
      </c>
      <c r="GI55">
        <f t="shared" ca="1" si="68"/>
        <v>0</v>
      </c>
      <c r="GJ55">
        <f ca="1">IF(GC55&gt;1200000,GC55-1200000-IF(F55="YES",50000,0)-GH55,0)</f>
        <v>0</v>
      </c>
      <c r="GK55">
        <f t="shared" ca="1" si="69"/>
        <v>0</v>
      </c>
      <c r="GL55">
        <f t="shared" ca="1" si="70"/>
        <v>0</v>
      </c>
      <c r="GM55">
        <f t="shared" ca="1" si="71"/>
        <v>0</v>
      </c>
      <c r="GN55">
        <f t="shared" ca="1" si="72"/>
        <v>69982</v>
      </c>
      <c r="GO55">
        <f t="shared" ca="1" si="73"/>
        <v>3499.1000000000004</v>
      </c>
      <c r="GP55">
        <f t="shared" ca="1" si="74"/>
        <v>3499</v>
      </c>
      <c r="GQ55">
        <f t="shared" ca="1" si="75"/>
        <v>0</v>
      </c>
      <c r="GR55">
        <f t="shared" ca="1" si="76"/>
        <v>0</v>
      </c>
      <c r="GS55">
        <f t="shared" ca="1" si="77"/>
        <v>3499</v>
      </c>
      <c r="GT55">
        <f t="shared" ca="1" si="78"/>
        <v>0</v>
      </c>
      <c r="GU55" t="b">
        <f t="shared" ca="1" si="79"/>
        <v>0</v>
      </c>
      <c r="GV55">
        <f t="shared" ca="1" si="80"/>
        <v>0</v>
      </c>
      <c r="GW55">
        <f t="shared" ca="1" si="81"/>
        <v>3499</v>
      </c>
      <c r="GX55">
        <f t="shared" ca="1" si="82"/>
        <v>0</v>
      </c>
      <c r="GY55">
        <f t="shared" ca="1" si="83"/>
        <v>0</v>
      </c>
      <c r="GZ55">
        <f t="shared" ca="1" si="84"/>
        <v>0</v>
      </c>
    </row>
    <row r="56" spans="1:208" x14ac:dyDescent="0.25">
      <c r="A56">
        <f>_xlfn.AGGREGATE(3,5,$B$2:B56)</f>
        <v>55</v>
      </c>
      <c r="B56" t="s">
        <v>227</v>
      </c>
      <c r="C56" t="s">
        <v>228</v>
      </c>
      <c r="D56" t="s">
        <v>764</v>
      </c>
      <c r="E56" t="s">
        <v>831</v>
      </c>
      <c r="F56" t="s">
        <v>957</v>
      </c>
      <c r="G56" t="s">
        <v>879</v>
      </c>
      <c r="H56">
        <f t="shared" si="177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>IF(J56&gt;0,SUM(J56:N56),0)</f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85"/>
        <v>150</v>
      </c>
      <c r="S56">
        <f t="shared" si="86"/>
        <v>36666</v>
      </c>
      <c r="T56">
        <f>_xlfn.XLOOKUP(B56,'[2]april-2025'!$A:$A,'[2]april-2025'!$C:$C,0,0)</f>
        <v>31600</v>
      </c>
      <c r="U56">
        <f t="shared" si="3"/>
        <v>5688</v>
      </c>
      <c r="V56">
        <f t="shared" si="4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87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5"/>
        <v>200</v>
      </c>
      <c r="AC56">
        <f t="shared" si="6"/>
        <v>37880</v>
      </c>
      <c r="AD56">
        <f>_xlfn.XLOOKUP(B56,'[3]may-2025'!$A:$A,'[3]may-2025'!$C:$C,0,0)</f>
        <v>31600</v>
      </c>
      <c r="AE56">
        <f t="shared" si="7"/>
        <v>5688</v>
      </c>
      <c r="AF56">
        <f t="shared" si="8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88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9"/>
        <v>200</v>
      </c>
      <c r="AM56">
        <f t="shared" si="10"/>
        <v>37880</v>
      </c>
      <c r="AN56">
        <f>_xlfn.XLOOKUP(B56,'[4]june-2025'!$A:$A,'[4]june-2025'!$C:$C,0,0)</f>
        <v>31600</v>
      </c>
      <c r="AO56">
        <f t="shared" si="11"/>
        <v>5688</v>
      </c>
      <c r="AP56">
        <f t="shared" si="12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89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3"/>
        <v>200</v>
      </c>
      <c r="AW56">
        <f t="shared" si="14"/>
        <v>37880</v>
      </c>
      <c r="AX56">
        <f>_xlfn.XLOOKUP(B56,'[5]july-2025'!$A:$A,'[5]july-2025'!$C:$C,0,0)</f>
        <v>32500</v>
      </c>
      <c r="AY56">
        <f t="shared" si="15"/>
        <v>5850</v>
      </c>
      <c r="AZ56">
        <v>0</v>
      </c>
      <c r="BA56">
        <f t="shared" si="16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>IF(AX56&gt;0,SUM(AX56:BC56),0)</f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17"/>
        <v>200</v>
      </c>
      <c r="BH56">
        <f t="shared" si="18"/>
        <v>39050</v>
      </c>
      <c r="BI56">
        <f>_xlfn.XLOOKUP(B56,'[6]august-2025'!$A:$A,'[6]august-2025'!$C:$C,0,0)</f>
        <v>32500</v>
      </c>
      <c r="BJ56">
        <f t="shared" si="19"/>
        <v>5850</v>
      </c>
      <c r="BK56">
        <f t="shared" si="20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1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>IF($F56="YES",0,IF(BN56&gt;40000,200,IF(BN56&gt;25000,150,IF(BN56&gt;15000,130,IF(BN56&gt;10000,110,0)))))</f>
        <v>200</v>
      </c>
      <c r="BR56">
        <f>BN56-BO56-BP56-BQ56</f>
        <v>39050</v>
      </c>
      <c r="BS56">
        <f>_xlfn.XLOOKUP(B56,'[7]september-2025'!$A:$A,'[7]september-2025'!$C:$C,0,0)</f>
        <v>32500</v>
      </c>
      <c r="BT56">
        <f t="shared" si="22"/>
        <v>5850</v>
      </c>
      <c r="BU56">
        <f t="shared" si="23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>IF(BS56&gt;0,SUM(BS56:BW56),0)</f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24"/>
        <v>200</v>
      </c>
      <c r="CB56">
        <f t="shared" si="25"/>
        <v>39050</v>
      </c>
      <c r="CC56">
        <f>_xlfn.XLOOKUP(B56,'[8]october-2025'!$A:$A,'[8]october-2025'!$C:$C,0,0)</f>
        <v>32500</v>
      </c>
      <c r="CD56">
        <f t="shared" si="26"/>
        <v>5850</v>
      </c>
      <c r="CE56">
        <f t="shared" si="27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>IF(CC56&gt;0,SUM(CC56:CG56),0)</f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28"/>
        <v>200</v>
      </c>
      <c r="CL56">
        <f t="shared" si="29"/>
        <v>39050</v>
      </c>
      <c r="CM56">
        <f>_xlfn.XLOOKUP(B56,'[9]november-2025'!$A:$A,'[9]november-2025'!$C:$C,0,0)</f>
        <v>32500</v>
      </c>
      <c r="CN56">
        <f t="shared" si="30"/>
        <v>5850</v>
      </c>
      <c r="CO56">
        <f t="shared" si="31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>IF(CM56&gt;0,SUM(CM56:CQ56),0)</f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32"/>
        <v>200</v>
      </c>
      <c r="CV56">
        <f t="shared" si="33"/>
        <v>39050</v>
      </c>
      <c r="CW56">
        <f>_xlfn.XLOOKUP(B56,'[10]december-2025'!$A:$A,'[10]december-2025'!$C:$C,0,0)</f>
        <v>32500</v>
      </c>
      <c r="CX56">
        <f t="shared" si="34"/>
        <v>5850</v>
      </c>
      <c r="CY56">
        <f t="shared" si="35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>IF(CW56&gt;0,SUM(CW56:DA56),0)</f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36"/>
        <v>200</v>
      </c>
      <c r="DF56">
        <f t="shared" si="37"/>
        <v>39050</v>
      </c>
      <c r="DG56">
        <f>_xlfn.XLOOKUP(B56,'[11]january-2026'!$A:$A,'[11]january-2026'!$C:$C,0,0)</f>
        <v>32500</v>
      </c>
      <c r="DH56">
        <f t="shared" si="38"/>
        <v>5850</v>
      </c>
      <c r="DI56">
        <f t="shared" si="39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>IF(DG56&gt;0,SUM(DG56:DK56),0)</f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40"/>
        <v>200</v>
      </c>
      <c r="DP56">
        <f t="shared" si="41"/>
        <v>39050</v>
      </c>
      <c r="DQ56">
        <f>_xlfn.XLOOKUP(B56,'[12]february-2026'!$A:$A,'[12]february-2026'!$C:$C,0,0)</f>
        <v>32500</v>
      </c>
      <c r="DR56">
        <f t="shared" si="42"/>
        <v>5850</v>
      </c>
      <c r="DS56">
        <f t="shared" si="43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>IF(DQ56&gt;0,SUM(DQ56:DU56),0)</f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44"/>
        <v>200</v>
      </c>
      <c r="DZ56">
        <f t="shared" si="45"/>
        <v>39050</v>
      </c>
      <c r="EA56">
        <f>_xlfn.XLOOKUP(B56,'[1]march-2025'!$A:$A,'[1]march-2025'!$J:$J,0,0)</f>
        <v>0</v>
      </c>
      <c r="EB56">
        <f>_xlfn.XLOOKUP(B56,'[2]april-2025'!$A:$A,'[2]april-2025'!$J:$J,0,0)</f>
        <v>0</v>
      </c>
      <c r="EC56">
        <f>_xlfn.XLOOKUP(B56,'[3]may-2025'!$A:$A,'[3]may-2025'!$J:$J,0,0)</f>
        <v>0</v>
      </c>
      <c r="ED56">
        <f>_xlfn.XLOOKUP(B56,'[4]june-2025'!$A:$A,'[4]june-2025'!$J:$J,0,0)</f>
        <v>0</v>
      </c>
      <c r="EE56">
        <f>_xlfn.XLOOKUP(B56,'[5]july-2025'!$A:$A,'[5]july-2025'!$J:$J,0,0)</f>
        <v>0</v>
      </c>
      <c r="EF56">
        <f>_xlfn.XLOOKUP(B56,'[6]august-2025'!$A:$A,'[6]august-2025'!$J:$J,0,0)</f>
        <v>0</v>
      </c>
      <c r="EG56">
        <f>_xlfn.XLOOKUP(B56,'[7]september-2025'!$A:$A,'[7]september-2025'!$J:$J,0,0)</f>
        <v>0</v>
      </c>
      <c r="EH56">
        <f>_xlfn.XLOOKUP(B56,'[8]october-2025'!$A:$A,'[8]october-2025'!$J:$J,0,0)</f>
        <v>0</v>
      </c>
      <c r="EI56">
        <f>_xlfn.XLOOKUP(C56,'[9]november-2025'!$A:$A,'[9]november-2025'!$J:$J,0,0)</f>
        <v>0</v>
      </c>
      <c r="EJ56">
        <f>_xlfn.XLOOKUP(B56,'[10]december-2025'!$A:$A,'[10]december-2025'!$J:$J,0,0)</f>
        <v>0</v>
      </c>
      <c r="EK56">
        <f>_xlfn.XLOOKUP(B56,'[11]january-2026'!$A:$A,'[11]january-2026'!$J:$J,0,0)</f>
        <v>0</v>
      </c>
      <c r="EL56">
        <f>_xlfn.XLOOKUP(B56,'[12]february-2026'!$A:$A,'[12]february-2026'!$J:$J,0,0)</f>
        <v>0</v>
      </c>
      <c r="EM56">
        <f t="shared" si="90"/>
        <v>0</v>
      </c>
      <c r="EN56">
        <f>DV56+DL56+DB56+CR56+CH56+BX56+BN56+BD56+AS56+AI56+Y56+O56+H56+I56</f>
        <v>507856</v>
      </c>
      <c r="EO56">
        <f>DY56+DO56+DE56+CU56+CK56+CA56+BQ56+BG56+AV56+AL56+AB56+R56</f>
        <v>2350</v>
      </c>
      <c r="EP56">
        <f t="shared" si="46"/>
        <v>50000</v>
      </c>
      <c r="EQ56">
        <v>0</v>
      </c>
      <c r="ER56">
        <f t="shared" si="91"/>
        <v>455506</v>
      </c>
      <c r="ES56">
        <f>DW56+DM56+DC56+CS56+CI56+BY56+BO56+BE56+AT56+AJ56+Z56+P56</f>
        <v>36000</v>
      </c>
      <c r="ET56">
        <f>DX56+DN56+DD56+CT56+CJ56+BZ56+BP56+BF56+AU56+AK56+AA56+Q56</f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47"/>
        <v>36000</v>
      </c>
      <c r="FF56">
        <f t="shared" si="48"/>
        <v>36000</v>
      </c>
      <c r="FG56">
        <f t="shared" si="49"/>
        <v>419506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>SUM(FH56:FN56)+(IF(F56="YES",50000,0))</f>
        <v>0</v>
      </c>
      <c r="FP56">
        <f t="shared" si="50"/>
        <v>419506</v>
      </c>
      <c r="FQ56">
        <f t="shared" si="51"/>
        <v>8475</v>
      </c>
      <c r="FR56">
        <f t="shared" si="52"/>
        <v>0</v>
      </c>
      <c r="FS56">
        <f t="shared" si="53"/>
        <v>8475</v>
      </c>
      <c r="FT56">
        <f t="shared" si="54"/>
        <v>0</v>
      </c>
      <c r="FU56">
        <f t="shared" si="55"/>
        <v>0</v>
      </c>
      <c r="FV56">
        <f t="shared" si="56"/>
        <v>0</v>
      </c>
      <c r="FW56">
        <v>0</v>
      </c>
      <c r="FX56">
        <f t="shared" si="57"/>
        <v>0</v>
      </c>
      <c r="FY56" t="b">
        <f t="shared" si="58"/>
        <v>1</v>
      </c>
      <c r="FZ56">
        <f t="shared" ca="1" si="59"/>
        <v>651</v>
      </c>
      <c r="GA56">
        <f t="shared" ca="1" si="60"/>
        <v>508507</v>
      </c>
      <c r="GB56">
        <f t="shared" si="61"/>
        <v>75000</v>
      </c>
      <c r="GC56">
        <f t="shared" ca="1" si="62"/>
        <v>433507</v>
      </c>
      <c r="GD56">
        <f t="shared" ca="1" si="63"/>
        <v>0</v>
      </c>
      <c r="GE56">
        <f t="shared" ca="1" si="64"/>
        <v>0</v>
      </c>
      <c r="GF56">
        <f t="shared" ca="1" si="65"/>
        <v>0</v>
      </c>
      <c r="GG56">
        <f t="shared" ca="1" si="66"/>
        <v>0</v>
      </c>
      <c r="GH56">
        <f t="shared" ca="1" si="67"/>
        <v>0</v>
      </c>
      <c r="GI56">
        <f t="shared" ca="1" si="68"/>
        <v>0</v>
      </c>
      <c r="GJ56">
        <f ca="1">IF(GC56&gt;1200000,GC56-1200000-IF(F56="YES",50000,0)-GH56,0)</f>
        <v>0</v>
      </c>
      <c r="GK56">
        <f t="shared" ca="1" si="69"/>
        <v>0</v>
      </c>
      <c r="GL56">
        <f t="shared" ca="1" si="70"/>
        <v>0</v>
      </c>
      <c r="GM56">
        <f t="shared" ca="1" si="71"/>
        <v>0</v>
      </c>
      <c r="GN56">
        <f t="shared" ca="1" si="72"/>
        <v>33507</v>
      </c>
      <c r="GO56">
        <f t="shared" ca="1" si="73"/>
        <v>1675.3500000000001</v>
      </c>
      <c r="GP56">
        <f t="shared" ca="1" si="74"/>
        <v>1675</v>
      </c>
      <c r="GQ56">
        <f t="shared" ca="1" si="75"/>
        <v>0</v>
      </c>
      <c r="GR56">
        <f t="shared" ca="1" si="76"/>
        <v>0</v>
      </c>
      <c r="GS56">
        <f t="shared" ca="1" si="77"/>
        <v>1675</v>
      </c>
      <c r="GT56">
        <f t="shared" ca="1" si="78"/>
        <v>0</v>
      </c>
      <c r="GU56" t="b">
        <f t="shared" ca="1" si="79"/>
        <v>0</v>
      </c>
      <c r="GV56">
        <f t="shared" ca="1" si="80"/>
        <v>0</v>
      </c>
      <c r="GW56">
        <f t="shared" ca="1" si="81"/>
        <v>1675</v>
      </c>
      <c r="GX56">
        <f t="shared" ca="1" si="82"/>
        <v>0</v>
      </c>
      <c r="GY56">
        <f t="shared" ca="1" si="83"/>
        <v>0</v>
      </c>
      <c r="GZ56">
        <f t="shared" ca="1" si="84"/>
        <v>0</v>
      </c>
    </row>
    <row r="57" spans="1:208" x14ac:dyDescent="0.25">
      <c r="A57">
        <f>_xlfn.AGGREGATE(3,5,$B$2:B57)</f>
        <v>56</v>
      </c>
      <c r="B57" t="s">
        <v>229</v>
      </c>
      <c r="C57" t="s">
        <v>230</v>
      </c>
      <c r="D57" t="s">
        <v>764</v>
      </c>
      <c r="E57" t="s">
        <v>831</v>
      </c>
      <c r="F57" t="s">
        <v>957</v>
      </c>
      <c r="G57" t="s">
        <v>897</v>
      </c>
      <c r="H57">
        <f t="shared" si="177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>IF(J57&gt;0,SUM(J57:N57),0)</f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85"/>
        <v>200</v>
      </c>
      <c r="S57">
        <f t="shared" si="86"/>
        <v>40010</v>
      </c>
      <c r="T57">
        <f>_xlfn.XLOOKUP(B57,'[2]april-2025'!$A:$A,'[2]april-2025'!$C:$C,0,0)</f>
        <v>33500</v>
      </c>
      <c r="U57">
        <f t="shared" si="3"/>
        <v>6030</v>
      </c>
      <c r="V57">
        <f t="shared" si="4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87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5"/>
        <v>200</v>
      </c>
      <c r="AC57">
        <f t="shared" si="6"/>
        <v>41350</v>
      </c>
      <c r="AD57">
        <f>_xlfn.XLOOKUP(B57,'[3]may-2025'!$A:$A,'[3]may-2025'!$C:$C,0,0)</f>
        <v>33500</v>
      </c>
      <c r="AE57">
        <f t="shared" si="7"/>
        <v>6030</v>
      </c>
      <c r="AF57">
        <f t="shared" si="8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88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9"/>
        <v>200</v>
      </c>
      <c r="AM57">
        <f t="shared" si="10"/>
        <v>41350</v>
      </c>
      <c r="AN57">
        <f>_xlfn.XLOOKUP(B57,'[4]june-2025'!$A:$A,'[4]june-2025'!$C:$C,0,0)</f>
        <v>33500</v>
      </c>
      <c r="AO57">
        <f t="shared" si="11"/>
        <v>6030</v>
      </c>
      <c r="AP57">
        <f t="shared" si="12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89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3"/>
        <v>200</v>
      </c>
      <c r="AW57">
        <f t="shared" si="14"/>
        <v>41350</v>
      </c>
      <c r="AX57">
        <f>_xlfn.XLOOKUP(B57,'[5]july-2025'!$A:$A,'[5]july-2025'!$C:$C,0,0)</f>
        <v>34500</v>
      </c>
      <c r="AY57">
        <f t="shared" si="15"/>
        <v>6210</v>
      </c>
      <c r="AZ57">
        <v>0</v>
      </c>
      <c r="BA57">
        <f t="shared" si="16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>IF(AX57&gt;0,SUM(AX57:BC57),0)</f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17"/>
        <v>200</v>
      </c>
      <c r="BH57">
        <f t="shared" si="18"/>
        <v>42650</v>
      </c>
      <c r="BI57">
        <f>_xlfn.XLOOKUP(B57,'[6]august-2025'!$A:$A,'[6]august-2025'!$C:$C,0,0)</f>
        <v>34500</v>
      </c>
      <c r="BJ57">
        <f t="shared" si="19"/>
        <v>6210</v>
      </c>
      <c r="BK57">
        <f t="shared" si="20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1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>IF($F57="YES",0,IF(BN57&gt;40000,200,IF(BN57&gt;25000,150,IF(BN57&gt;15000,130,IF(BN57&gt;10000,110,0)))))</f>
        <v>200</v>
      </c>
      <c r="BR57">
        <f>BN57-BO57-BP57-BQ57</f>
        <v>42650</v>
      </c>
      <c r="BS57">
        <f>_xlfn.XLOOKUP(B57,'[7]september-2025'!$A:$A,'[7]september-2025'!$C:$C,0,0)</f>
        <v>34500</v>
      </c>
      <c r="BT57">
        <f t="shared" si="22"/>
        <v>6210</v>
      </c>
      <c r="BU57">
        <f t="shared" si="23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>IF(BS57&gt;0,SUM(BS57:BW57),0)</f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24"/>
        <v>200</v>
      </c>
      <c r="CB57">
        <f t="shared" si="25"/>
        <v>42650</v>
      </c>
      <c r="CC57">
        <f>_xlfn.XLOOKUP(B57,'[8]october-2025'!$A:$A,'[8]october-2025'!$C:$C,0,0)</f>
        <v>34500</v>
      </c>
      <c r="CD57">
        <f t="shared" si="26"/>
        <v>6210</v>
      </c>
      <c r="CE57">
        <f t="shared" si="27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>IF(CC57&gt;0,SUM(CC57:CG57),0)</f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28"/>
        <v>200</v>
      </c>
      <c r="CL57">
        <f t="shared" si="29"/>
        <v>42650</v>
      </c>
      <c r="CM57">
        <f>_xlfn.XLOOKUP(B57,'[9]november-2025'!$A:$A,'[9]november-2025'!$C:$C,0,0)</f>
        <v>34500</v>
      </c>
      <c r="CN57">
        <f t="shared" si="30"/>
        <v>6210</v>
      </c>
      <c r="CO57">
        <f t="shared" si="31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>IF(CM57&gt;0,SUM(CM57:CQ57),0)</f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32"/>
        <v>200</v>
      </c>
      <c r="CV57">
        <f t="shared" si="33"/>
        <v>42650</v>
      </c>
      <c r="CW57">
        <f>_xlfn.XLOOKUP(B57,'[10]december-2025'!$A:$A,'[10]december-2025'!$C:$C,0,0)</f>
        <v>34500</v>
      </c>
      <c r="CX57">
        <f t="shared" si="34"/>
        <v>6210</v>
      </c>
      <c r="CY57">
        <f t="shared" si="35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>IF(CW57&gt;0,SUM(CW57:DA57),0)</f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36"/>
        <v>200</v>
      </c>
      <c r="DF57">
        <f t="shared" si="37"/>
        <v>42650</v>
      </c>
      <c r="DG57">
        <f>_xlfn.XLOOKUP(B57,'[11]january-2026'!$A:$A,'[11]january-2026'!$C:$C,0,0)</f>
        <v>34500</v>
      </c>
      <c r="DH57">
        <f t="shared" si="38"/>
        <v>6210</v>
      </c>
      <c r="DI57">
        <f t="shared" si="39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>IF(DG57&gt;0,SUM(DG57:DK57),0)</f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40"/>
        <v>200</v>
      </c>
      <c r="DP57">
        <f t="shared" si="41"/>
        <v>42650</v>
      </c>
      <c r="DQ57">
        <f>_xlfn.XLOOKUP(B57,'[12]february-2026'!$A:$A,'[12]february-2026'!$C:$C,0,0)</f>
        <v>34500</v>
      </c>
      <c r="DR57">
        <f t="shared" si="42"/>
        <v>6210</v>
      </c>
      <c r="DS57">
        <f t="shared" si="43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>IF(DQ57&gt;0,SUM(DQ57:DU57),0)</f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44"/>
        <v>200</v>
      </c>
      <c r="DZ57">
        <f t="shared" si="45"/>
        <v>42650</v>
      </c>
      <c r="EA57">
        <f>_xlfn.XLOOKUP(B57,'[1]march-2025'!$A:$A,'[1]march-2025'!$J:$J,0,0)</f>
        <v>0</v>
      </c>
      <c r="EB57">
        <f>_xlfn.XLOOKUP(B57,'[2]april-2025'!$A:$A,'[2]april-2025'!$J:$J,0,0)</f>
        <v>0</v>
      </c>
      <c r="EC57">
        <f>_xlfn.XLOOKUP(B57,'[3]may-2025'!$A:$A,'[3]may-2025'!$J:$J,0,0)</f>
        <v>0</v>
      </c>
      <c r="ED57">
        <f>_xlfn.XLOOKUP(B57,'[4]june-2025'!$A:$A,'[4]june-2025'!$J:$J,0,0)</f>
        <v>0</v>
      </c>
      <c r="EE57">
        <f>_xlfn.XLOOKUP(B57,'[5]july-2025'!$A:$A,'[5]july-2025'!$J:$J,0,0)</f>
        <v>0</v>
      </c>
      <c r="EF57">
        <f>_xlfn.XLOOKUP(B57,'[6]august-2025'!$A:$A,'[6]august-2025'!$J:$J,0,0)</f>
        <v>0</v>
      </c>
      <c r="EG57">
        <f>_xlfn.XLOOKUP(B57,'[7]september-2025'!$A:$A,'[7]september-2025'!$J:$J,0,0)</f>
        <v>0</v>
      </c>
      <c r="EH57">
        <f>_xlfn.XLOOKUP(B57,'[8]october-2025'!$A:$A,'[8]october-2025'!$J:$J,0,0)</f>
        <v>0</v>
      </c>
      <c r="EI57">
        <f>_xlfn.XLOOKUP(C57,'[9]november-2025'!$A:$A,'[9]november-2025'!$J:$J,0,0)</f>
        <v>0</v>
      </c>
      <c r="EJ57">
        <f>_xlfn.XLOOKUP(B57,'[10]december-2025'!$A:$A,'[10]december-2025'!$J:$J,0,0)</f>
        <v>0</v>
      </c>
      <c r="EK57">
        <f>_xlfn.XLOOKUP(B57,'[11]january-2026'!$A:$A,'[11]january-2026'!$J:$J,0,0)</f>
        <v>0</v>
      </c>
      <c r="EL57">
        <f>_xlfn.XLOOKUP(B57,'[12]february-2026'!$A:$A,'[12]february-2026'!$J:$J,0,0)</f>
        <v>0</v>
      </c>
      <c r="EM57">
        <f t="shared" si="90"/>
        <v>0</v>
      </c>
      <c r="EN57">
        <f>DV57+DL57+DB57+CR57+CH57+BX57+BN57+BD57+AS57+AI57+Y57+O57+H57+I57</f>
        <v>544460</v>
      </c>
      <c r="EO57">
        <f>DY57+DO57+DE57+CU57+CK57+CA57+BQ57+BG57+AV57+AL57+AB57+R57</f>
        <v>2400</v>
      </c>
      <c r="EP57">
        <f t="shared" si="46"/>
        <v>50000</v>
      </c>
      <c r="EQ57">
        <v>0</v>
      </c>
      <c r="ER57">
        <f t="shared" si="91"/>
        <v>492060</v>
      </c>
      <c r="ES57">
        <f>DW57+DM57+DC57+CS57+CI57+BY57+BO57+BE57+AT57+AJ57+Z57+P57</f>
        <v>30000</v>
      </c>
      <c r="ET57">
        <f>DX57+DN57+DD57+CT57+CJ57+BZ57+BP57+BF57+AU57+AK57+AA57+Q57</f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47"/>
        <v>30000</v>
      </c>
      <c r="FF57">
        <f t="shared" si="48"/>
        <v>30000</v>
      </c>
      <c r="FG57">
        <f t="shared" si="49"/>
        <v>462060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>SUM(FH57:FN57)+(IF(F57="YES",50000,0))</f>
        <v>0</v>
      </c>
      <c r="FP57">
        <f t="shared" si="50"/>
        <v>462060</v>
      </c>
      <c r="FQ57">
        <f t="shared" si="51"/>
        <v>10603</v>
      </c>
      <c r="FR57">
        <f t="shared" si="52"/>
        <v>0</v>
      </c>
      <c r="FS57">
        <f t="shared" si="53"/>
        <v>10603</v>
      </c>
      <c r="FT57">
        <f t="shared" si="54"/>
        <v>0</v>
      </c>
      <c r="FU57">
        <f t="shared" si="55"/>
        <v>0</v>
      </c>
      <c r="FV57">
        <f t="shared" si="56"/>
        <v>0</v>
      </c>
      <c r="FW57">
        <v>0</v>
      </c>
      <c r="FX57">
        <f t="shared" si="57"/>
        <v>0</v>
      </c>
      <c r="FY57" t="b">
        <f t="shared" si="58"/>
        <v>1</v>
      </c>
      <c r="FZ57">
        <f t="shared" ca="1" si="59"/>
        <v>596</v>
      </c>
      <c r="GA57">
        <f t="shared" ca="1" si="60"/>
        <v>545056</v>
      </c>
      <c r="GB57">
        <f t="shared" si="61"/>
        <v>75000</v>
      </c>
      <c r="GC57">
        <f t="shared" ca="1" si="62"/>
        <v>470056</v>
      </c>
      <c r="GD57">
        <f t="shared" ca="1" si="63"/>
        <v>0</v>
      </c>
      <c r="GE57">
        <f t="shared" ca="1" si="64"/>
        <v>0</v>
      </c>
      <c r="GF57">
        <f t="shared" ca="1" si="65"/>
        <v>0</v>
      </c>
      <c r="GG57">
        <f t="shared" ca="1" si="66"/>
        <v>0</v>
      </c>
      <c r="GH57">
        <f t="shared" ca="1" si="67"/>
        <v>0</v>
      </c>
      <c r="GI57">
        <f t="shared" ca="1" si="68"/>
        <v>0</v>
      </c>
      <c r="GJ57">
        <f ca="1">IF(GC57&gt;1200000,GC57-1200000-IF(F57="YES",50000,0)-GH57,0)</f>
        <v>0</v>
      </c>
      <c r="GK57">
        <f t="shared" ca="1" si="69"/>
        <v>0</v>
      </c>
      <c r="GL57">
        <f t="shared" ca="1" si="70"/>
        <v>0</v>
      </c>
      <c r="GM57">
        <f t="shared" ca="1" si="71"/>
        <v>0</v>
      </c>
      <c r="GN57">
        <f t="shared" ca="1" si="72"/>
        <v>70056</v>
      </c>
      <c r="GO57">
        <f t="shared" ca="1" si="73"/>
        <v>3502.8</v>
      </c>
      <c r="GP57">
        <f t="shared" ca="1" si="74"/>
        <v>3503</v>
      </c>
      <c r="GQ57">
        <f t="shared" ca="1" si="75"/>
        <v>0</v>
      </c>
      <c r="GR57">
        <f t="shared" ca="1" si="76"/>
        <v>0</v>
      </c>
      <c r="GS57">
        <f t="shared" ca="1" si="77"/>
        <v>3503</v>
      </c>
      <c r="GT57">
        <f t="shared" ca="1" si="78"/>
        <v>0</v>
      </c>
      <c r="GU57" t="b">
        <f t="shared" ca="1" si="79"/>
        <v>0</v>
      </c>
      <c r="GV57">
        <f t="shared" ca="1" si="80"/>
        <v>0</v>
      </c>
      <c r="GW57">
        <f t="shared" ca="1" si="81"/>
        <v>3503</v>
      </c>
      <c r="GX57">
        <f t="shared" ca="1" si="82"/>
        <v>0</v>
      </c>
      <c r="GY57">
        <f t="shared" ca="1" si="83"/>
        <v>0</v>
      </c>
      <c r="GZ57">
        <f t="shared" ca="1" si="84"/>
        <v>0</v>
      </c>
    </row>
    <row r="58" spans="1:208" x14ac:dyDescent="0.25">
      <c r="A58">
        <f>_xlfn.AGGREGATE(3,5,$B$2:B58)</f>
        <v>57</v>
      </c>
      <c r="B58" t="s">
        <v>231</v>
      </c>
      <c r="C58" t="s">
        <v>232</v>
      </c>
      <c r="D58" t="s">
        <v>765</v>
      </c>
      <c r="E58" t="s">
        <v>832</v>
      </c>
      <c r="F58" t="s">
        <v>957</v>
      </c>
      <c r="G58" t="s">
        <v>888</v>
      </c>
      <c r="H58">
        <f t="shared" si="177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>IF(J58&gt;0,SUM(J58:N58),0)</f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85"/>
        <v>200</v>
      </c>
      <c r="S58">
        <f t="shared" si="86"/>
        <v>45202</v>
      </c>
      <c r="T58">
        <f>_xlfn.XLOOKUP(B58,'[2]april-2025'!$A:$A,'[2]april-2025'!$C:$C,0,0)</f>
        <v>37700</v>
      </c>
      <c r="U58">
        <f t="shared" si="3"/>
        <v>6786</v>
      </c>
      <c r="V58">
        <f t="shared" si="4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87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5"/>
        <v>200</v>
      </c>
      <c r="AC58">
        <f t="shared" si="6"/>
        <v>46710</v>
      </c>
      <c r="AD58">
        <f>_xlfn.XLOOKUP(B58,'[3]may-2025'!$A:$A,'[3]may-2025'!$C:$C,0,0)</f>
        <v>37700</v>
      </c>
      <c r="AE58">
        <f t="shared" si="7"/>
        <v>6786</v>
      </c>
      <c r="AF58">
        <f t="shared" si="8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88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9"/>
        <v>200</v>
      </c>
      <c r="AM58">
        <f t="shared" si="10"/>
        <v>46710</v>
      </c>
      <c r="AN58">
        <f>_xlfn.XLOOKUP(B58,'[4]june-2025'!$A:$A,'[4]june-2025'!$C:$C,0,0)</f>
        <v>37700</v>
      </c>
      <c r="AO58">
        <f t="shared" si="11"/>
        <v>6786</v>
      </c>
      <c r="AP58">
        <f t="shared" si="12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89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3"/>
        <v>200</v>
      </c>
      <c r="AW58">
        <f t="shared" si="14"/>
        <v>46710</v>
      </c>
      <c r="AX58">
        <f>_xlfn.XLOOKUP(B58,'[5]july-2025'!$A:$A,'[5]july-2025'!$C:$C,0,0)</f>
        <v>38800</v>
      </c>
      <c r="AY58">
        <f t="shared" si="15"/>
        <v>6984</v>
      </c>
      <c r="AZ58">
        <v>0</v>
      </c>
      <c r="BA58">
        <f t="shared" si="16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>IF(AX58&gt;0,SUM(AX58:BC58),0)</f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17"/>
        <v>200</v>
      </c>
      <c r="BH58">
        <f t="shared" si="18"/>
        <v>48140</v>
      </c>
      <c r="BI58">
        <f>_xlfn.XLOOKUP(B58,'[6]august-2025'!$A:$A,'[6]august-2025'!$C:$C,0,0)</f>
        <v>38800</v>
      </c>
      <c r="BJ58">
        <f t="shared" si="19"/>
        <v>6984</v>
      </c>
      <c r="BK58">
        <f t="shared" si="20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1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>IF($F58="YES",0,IF(BN58&gt;40000,200,IF(BN58&gt;25000,150,IF(BN58&gt;15000,130,IF(BN58&gt;10000,110,0)))))</f>
        <v>200</v>
      </c>
      <c r="BR58">
        <f>BN58-BO58-BP58-BQ58</f>
        <v>48140</v>
      </c>
      <c r="BS58">
        <f>_xlfn.XLOOKUP(B58,'[7]september-2025'!$A:$A,'[7]september-2025'!$C:$C,0,0)</f>
        <v>38800</v>
      </c>
      <c r="BT58">
        <f t="shared" si="22"/>
        <v>6984</v>
      </c>
      <c r="BU58">
        <f t="shared" si="23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>IF(BS58&gt;0,SUM(BS58:BW58),0)</f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24"/>
        <v>200</v>
      </c>
      <c r="CB58">
        <f t="shared" si="25"/>
        <v>48140</v>
      </c>
      <c r="CC58">
        <f>_xlfn.XLOOKUP(B58,'[8]october-2025'!$A:$A,'[8]october-2025'!$C:$C,0,0)</f>
        <v>38800</v>
      </c>
      <c r="CD58">
        <f t="shared" si="26"/>
        <v>6984</v>
      </c>
      <c r="CE58">
        <f t="shared" si="27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>IF(CC58&gt;0,SUM(CC58:CG58),0)</f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28"/>
        <v>200</v>
      </c>
      <c r="CL58">
        <f t="shared" si="29"/>
        <v>48140</v>
      </c>
      <c r="CM58">
        <f>_xlfn.XLOOKUP(B58,'[9]november-2025'!$A:$A,'[9]november-2025'!$C:$C,0,0)</f>
        <v>38800</v>
      </c>
      <c r="CN58">
        <f t="shared" si="30"/>
        <v>6984</v>
      </c>
      <c r="CO58">
        <f t="shared" si="31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>IF(CM58&gt;0,SUM(CM58:CQ58),0)</f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32"/>
        <v>200</v>
      </c>
      <c r="CV58">
        <f t="shared" si="33"/>
        <v>48140</v>
      </c>
      <c r="CW58">
        <f>_xlfn.XLOOKUP(B58,'[10]december-2025'!$A:$A,'[10]december-2025'!$C:$C,0,0)</f>
        <v>38800</v>
      </c>
      <c r="CX58">
        <f t="shared" si="34"/>
        <v>6984</v>
      </c>
      <c r="CY58">
        <f t="shared" si="35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>IF(CW58&gt;0,SUM(CW58:DA58),0)</f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36"/>
        <v>200</v>
      </c>
      <c r="DF58">
        <f t="shared" si="37"/>
        <v>48140</v>
      </c>
      <c r="DG58">
        <f>_xlfn.XLOOKUP(B58,'[11]january-2026'!$A:$A,'[11]january-2026'!$C:$C,0,0)</f>
        <v>38800</v>
      </c>
      <c r="DH58">
        <f t="shared" si="38"/>
        <v>6984</v>
      </c>
      <c r="DI58">
        <f t="shared" si="39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>IF(DG58&gt;0,SUM(DG58:DK58),0)</f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40"/>
        <v>200</v>
      </c>
      <c r="DP58">
        <f t="shared" si="41"/>
        <v>48140</v>
      </c>
      <c r="DQ58">
        <f>_xlfn.XLOOKUP(B58,'[12]february-2026'!$A:$A,'[12]february-2026'!$C:$C,0,0)</f>
        <v>38800</v>
      </c>
      <c r="DR58">
        <f t="shared" si="42"/>
        <v>6984</v>
      </c>
      <c r="DS58">
        <f t="shared" si="43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>IF(DQ58&gt;0,SUM(DQ58:DU58),0)</f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44"/>
        <v>200</v>
      </c>
      <c r="DZ58">
        <f t="shared" si="45"/>
        <v>48140</v>
      </c>
      <c r="EA58">
        <f>_xlfn.XLOOKUP(B58,'[1]march-2025'!$A:$A,'[1]march-2025'!$J:$J,0,0)</f>
        <v>0</v>
      </c>
      <c r="EB58">
        <f>_xlfn.XLOOKUP(B58,'[2]april-2025'!$A:$A,'[2]april-2025'!$J:$J,0,0)</f>
        <v>0</v>
      </c>
      <c r="EC58">
        <f>_xlfn.XLOOKUP(B58,'[3]may-2025'!$A:$A,'[3]may-2025'!$J:$J,0,0)</f>
        <v>0</v>
      </c>
      <c r="ED58">
        <f>_xlfn.XLOOKUP(B58,'[4]june-2025'!$A:$A,'[4]june-2025'!$J:$J,0,0)</f>
        <v>0</v>
      </c>
      <c r="EE58">
        <f>_xlfn.XLOOKUP(B58,'[5]july-2025'!$A:$A,'[5]july-2025'!$J:$J,0,0)</f>
        <v>0</v>
      </c>
      <c r="EF58">
        <f>_xlfn.XLOOKUP(B58,'[6]august-2025'!$A:$A,'[6]august-2025'!$J:$J,0,0)</f>
        <v>0</v>
      </c>
      <c r="EG58">
        <f>_xlfn.XLOOKUP(B58,'[7]september-2025'!$A:$A,'[7]september-2025'!$J:$J,0,0)</f>
        <v>0</v>
      </c>
      <c r="EH58">
        <f>_xlfn.XLOOKUP(B58,'[8]october-2025'!$A:$A,'[8]october-2025'!$J:$J,0,0)</f>
        <v>0</v>
      </c>
      <c r="EI58">
        <f>_xlfn.XLOOKUP(C58,'[9]november-2025'!$A:$A,'[9]november-2025'!$J:$J,0,0)</f>
        <v>0</v>
      </c>
      <c r="EJ58">
        <f>_xlfn.XLOOKUP(B58,'[10]december-2025'!$A:$A,'[10]december-2025'!$J:$J,0,0)</f>
        <v>0</v>
      </c>
      <c r="EK58">
        <f>_xlfn.XLOOKUP(B58,'[11]january-2026'!$A:$A,'[11]january-2026'!$J:$J,0,0)</f>
        <v>0</v>
      </c>
      <c r="EL58">
        <f>_xlfn.XLOOKUP(B58,'[12]february-2026'!$A:$A,'[12]february-2026'!$J:$J,0,0)</f>
        <v>0</v>
      </c>
      <c r="EM58">
        <f t="shared" si="90"/>
        <v>0</v>
      </c>
      <c r="EN58">
        <f>DV58+DL58+DB58+CR58+CH58+BX58+BN58+BD58+AS58+AI58+Y58+O58+H58+I58</f>
        <v>615652</v>
      </c>
      <c r="EO58">
        <f>DY58+DO58+DE58+CU58+CK58+CA58+BQ58+BG58+AV58+AL58+AB58+R58</f>
        <v>2400</v>
      </c>
      <c r="EP58">
        <f t="shared" si="46"/>
        <v>50000</v>
      </c>
      <c r="EQ58">
        <v>0</v>
      </c>
      <c r="ER58">
        <f t="shared" si="91"/>
        <v>563252</v>
      </c>
      <c r="ES58">
        <f>DW58+DM58+DC58+CS58+CI58+BY58+BO58+BE58+AT58+AJ58+Z58+P58</f>
        <v>36000</v>
      </c>
      <c r="ET58">
        <f>DX58+DN58+DD58+CT58+CJ58+BZ58+BP58+BF58+AU58+AK58+AA58+Q58</f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47"/>
        <v>36000</v>
      </c>
      <c r="FF58">
        <f t="shared" si="48"/>
        <v>36000</v>
      </c>
      <c r="FG58">
        <f t="shared" si="49"/>
        <v>527252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>SUM(FH58:FN58)+(IF(F58="YES",50000,0))</f>
        <v>0</v>
      </c>
      <c r="FP58">
        <f t="shared" si="50"/>
        <v>527252</v>
      </c>
      <c r="FQ58">
        <f t="shared" si="51"/>
        <v>12500</v>
      </c>
      <c r="FR58">
        <f t="shared" si="52"/>
        <v>5450</v>
      </c>
      <c r="FS58">
        <f t="shared" si="53"/>
        <v>17950</v>
      </c>
      <c r="FT58">
        <f t="shared" si="54"/>
        <v>17950</v>
      </c>
      <c r="FU58">
        <f t="shared" si="55"/>
        <v>718</v>
      </c>
      <c r="FV58">
        <f t="shared" si="56"/>
        <v>18668</v>
      </c>
      <c r="FW58">
        <v>0</v>
      </c>
      <c r="FX58">
        <f t="shared" si="57"/>
        <v>18668</v>
      </c>
      <c r="FY58" t="b">
        <f t="shared" si="58"/>
        <v>1</v>
      </c>
      <c r="FZ58">
        <f t="shared" ca="1" si="59"/>
        <v>585</v>
      </c>
      <c r="GA58">
        <f t="shared" ca="1" si="60"/>
        <v>616237</v>
      </c>
      <c r="GB58">
        <f t="shared" si="61"/>
        <v>75000</v>
      </c>
      <c r="GC58">
        <f t="shared" ca="1" si="62"/>
        <v>541237</v>
      </c>
      <c r="GD58">
        <f t="shared" ca="1" si="63"/>
        <v>0</v>
      </c>
      <c r="GE58">
        <f t="shared" ca="1" si="64"/>
        <v>0</v>
      </c>
      <c r="GF58">
        <f t="shared" ca="1" si="65"/>
        <v>0</v>
      </c>
      <c r="GG58">
        <f t="shared" ca="1" si="66"/>
        <v>0</v>
      </c>
      <c r="GH58">
        <f t="shared" ca="1" si="67"/>
        <v>0</v>
      </c>
      <c r="GI58">
        <f t="shared" ca="1" si="68"/>
        <v>0</v>
      </c>
      <c r="GJ58">
        <f ca="1">IF(GC58&gt;1200000,GC58-1200000-IF(F58="YES",50000,0)-GH58,0)</f>
        <v>0</v>
      </c>
      <c r="GK58">
        <f t="shared" ca="1" si="69"/>
        <v>0</v>
      </c>
      <c r="GL58">
        <f t="shared" ca="1" si="70"/>
        <v>0</v>
      </c>
      <c r="GM58">
        <f t="shared" ca="1" si="71"/>
        <v>0</v>
      </c>
      <c r="GN58">
        <f t="shared" ca="1" si="72"/>
        <v>141237</v>
      </c>
      <c r="GO58">
        <f t="shared" ca="1" si="73"/>
        <v>7061.85</v>
      </c>
      <c r="GP58">
        <f t="shared" ca="1" si="74"/>
        <v>7062</v>
      </c>
      <c r="GQ58">
        <f t="shared" ca="1" si="75"/>
        <v>0</v>
      </c>
      <c r="GR58">
        <f t="shared" ca="1" si="76"/>
        <v>0</v>
      </c>
      <c r="GS58">
        <f t="shared" ca="1" si="77"/>
        <v>7062</v>
      </c>
      <c r="GT58">
        <f t="shared" ca="1" si="78"/>
        <v>0</v>
      </c>
      <c r="GU58" t="b">
        <f t="shared" ca="1" si="79"/>
        <v>0</v>
      </c>
      <c r="GV58">
        <f t="shared" ca="1" si="80"/>
        <v>0</v>
      </c>
      <c r="GW58">
        <f t="shared" ca="1" si="81"/>
        <v>7062</v>
      </c>
      <c r="GX58">
        <f t="shared" ca="1" si="82"/>
        <v>0</v>
      </c>
      <c r="GY58">
        <f t="shared" ca="1" si="83"/>
        <v>0</v>
      </c>
      <c r="GZ58">
        <f t="shared" ca="1" si="84"/>
        <v>0</v>
      </c>
    </row>
    <row r="59" spans="1:208" x14ac:dyDescent="0.25">
      <c r="A59">
        <f>_xlfn.AGGREGATE(3,5,$B$2:B59)</f>
        <v>58</v>
      </c>
      <c r="B59" t="s">
        <v>233</v>
      </c>
      <c r="C59" t="s">
        <v>234</v>
      </c>
      <c r="D59" t="s">
        <v>765</v>
      </c>
      <c r="E59" t="s">
        <v>831</v>
      </c>
      <c r="F59" t="s">
        <v>957</v>
      </c>
      <c r="G59" t="s">
        <v>897</v>
      </c>
      <c r="H59">
        <f t="shared" si="177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>IF(J59&gt;0,SUM(J59:N59),0)</f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85"/>
        <v>200</v>
      </c>
      <c r="S59">
        <f t="shared" si="86"/>
        <v>40010</v>
      </c>
      <c r="T59">
        <f>_xlfn.XLOOKUP(B59,'[2]april-2025'!$A:$A,'[2]april-2025'!$C:$C,0,0)</f>
        <v>33500</v>
      </c>
      <c r="U59">
        <f t="shared" si="3"/>
        <v>6030</v>
      </c>
      <c r="V59">
        <f t="shared" si="4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87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5"/>
        <v>200</v>
      </c>
      <c r="AC59">
        <f t="shared" si="6"/>
        <v>41350</v>
      </c>
      <c r="AD59">
        <f>_xlfn.XLOOKUP(B59,'[3]may-2025'!$A:$A,'[3]may-2025'!$C:$C,0,0)</f>
        <v>33500</v>
      </c>
      <c r="AE59">
        <f t="shared" si="7"/>
        <v>6030</v>
      </c>
      <c r="AF59">
        <f t="shared" si="8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88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9"/>
        <v>200</v>
      </c>
      <c r="AM59">
        <f t="shared" si="10"/>
        <v>41350</v>
      </c>
      <c r="AN59">
        <f>_xlfn.XLOOKUP(B59,'[4]june-2025'!$A:$A,'[4]june-2025'!$C:$C,0,0)</f>
        <v>33500</v>
      </c>
      <c r="AO59">
        <f t="shared" si="11"/>
        <v>6030</v>
      </c>
      <c r="AP59">
        <f t="shared" si="12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89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3"/>
        <v>200</v>
      </c>
      <c r="AW59">
        <f t="shared" si="14"/>
        <v>41350</v>
      </c>
      <c r="AX59">
        <f>_xlfn.XLOOKUP(B59,'[5]july-2025'!$A:$A,'[5]july-2025'!$C:$C,0,0)</f>
        <v>34500</v>
      </c>
      <c r="AY59">
        <f t="shared" si="15"/>
        <v>6210</v>
      </c>
      <c r="AZ59">
        <v>0</v>
      </c>
      <c r="BA59">
        <f t="shared" si="16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>IF(AX59&gt;0,SUM(AX59:BC59),0)</f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17"/>
        <v>200</v>
      </c>
      <c r="BH59">
        <f t="shared" si="18"/>
        <v>42650</v>
      </c>
      <c r="BI59">
        <f>_xlfn.XLOOKUP(B59,'[6]august-2025'!$A:$A,'[6]august-2025'!$C:$C,0,0)</f>
        <v>34500</v>
      </c>
      <c r="BJ59">
        <f t="shared" si="19"/>
        <v>6210</v>
      </c>
      <c r="BK59">
        <f t="shared" si="20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1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>IF($F59="YES",0,IF(BN59&gt;40000,200,IF(BN59&gt;25000,150,IF(BN59&gt;15000,130,IF(BN59&gt;10000,110,0)))))</f>
        <v>200</v>
      </c>
      <c r="BR59">
        <f>BN59-BO59-BP59-BQ59</f>
        <v>42650</v>
      </c>
      <c r="BS59">
        <f>_xlfn.XLOOKUP(B59,'[7]september-2025'!$A:$A,'[7]september-2025'!$C:$C,0,0)</f>
        <v>34500</v>
      </c>
      <c r="BT59">
        <f t="shared" si="22"/>
        <v>6210</v>
      </c>
      <c r="BU59">
        <f t="shared" si="23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>IF(BS59&gt;0,SUM(BS59:BW59),0)</f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24"/>
        <v>200</v>
      </c>
      <c r="CB59">
        <f t="shared" si="25"/>
        <v>42650</v>
      </c>
      <c r="CC59">
        <f>_xlfn.XLOOKUP(B59,'[8]october-2025'!$A:$A,'[8]october-2025'!$C:$C,0,0)</f>
        <v>34500</v>
      </c>
      <c r="CD59">
        <f t="shared" si="26"/>
        <v>6210</v>
      </c>
      <c r="CE59">
        <f t="shared" si="27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>IF(CC59&gt;0,SUM(CC59:CG59),0)</f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28"/>
        <v>200</v>
      </c>
      <c r="CL59">
        <f t="shared" si="29"/>
        <v>42650</v>
      </c>
      <c r="CM59">
        <f>_xlfn.XLOOKUP(B59,'[9]november-2025'!$A:$A,'[9]november-2025'!$C:$C,0,0)</f>
        <v>34500</v>
      </c>
      <c r="CN59">
        <f t="shared" si="30"/>
        <v>6210</v>
      </c>
      <c r="CO59">
        <f t="shared" si="31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>IF(CM59&gt;0,SUM(CM59:CQ59),0)</f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32"/>
        <v>200</v>
      </c>
      <c r="CV59">
        <f t="shared" si="33"/>
        <v>42650</v>
      </c>
      <c r="CW59">
        <f>_xlfn.XLOOKUP(B59,'[10]december-2025'!$A:$A,'[10]december-2025'!$C:$C,0,0)</f>
        <v>34500</v>
      </c>
      <c r="CX59">
        <f t="shared" si="34"/>
        <v>6210</v>
      </c>
      <c r="CY59">
        <f t="shared" si="35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>IF(CW59&gt;0,SUM(CW59:DA59),0)</f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36"/>
        <v>200</v>
      </c>
      <c r="DF59">
        <f t="shared" si="37"/>
        <v>42650</v>
      </c>
      <c r="DG59">
        <f>_xlfn.XLOOKUP(B59,'[11]january-2026'!$A:$A,'[11]january-2026'!$C:$C,0,0)</f>
        <v>34500</v>
      </c>
      <c r="DH59">
        <f t="shared" si="38"/>
        <v>6210</v>
      </c>
      <c r="DI59">
        <f t="shared" si="39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>IF(DG59&gt;0,SUM(DG59:DK59),0)</f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40"/>
        <v>200</v>
      </c>
      <c r="DP59">
        <f t="shared" si="41"/>
        <v>42650</v>
      </c>
      <c r="DQ59">
        <f>_xlfn.XLOOKUP(B59,'[12]february-2026'!$A:$A,'[12]february-2026'!$C:$C,0,0)</f>
        <v>34500</v>
      </c>
      <c r="DR59">
        <f t="shared" si="42"/>
        <v>6210</v>
      </c>
      <c r="DS59">
        <f t="shared" si="43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>IF(DQ59&gt;0,SUM(DQ59:DU59),0)</f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44"/>
        <v>200</v>
      </c>
      <c r="DZ59">
        <f t="shared" si="45"/>
        <v>42650</v>
      </c>
      <c r="EA59">
        <f>_xlfn.XLOOKUP(B59,'[1]march-2025'!$A:$A,'[1]march-2025'!$J:$J,0,0)</f>
        <v>0</v>
      </c>
      <c r="EB59">
        <f>_xlfn.XLOOKUP(B59,'[2]april-2025'!$A:$A,'[2]april-2025'!$J:$J,0,0)</f>
        <v>0</v>
      </c>
      <c r="EC59">
        <f>_xlfn.XLOOKUP(B59,'[3]may-2025'!$A:$A,'[3]may-2025'!$J:$J,0,0)</f>
        <v>0</v>
      </c>
      <c r="ED59">
        <f>_xlfn.XLOOKUP(B59,'[4]june-2025'!$A:$A,'[4]june-2025'!$J:$J,0,0)</f>
        <v>0</v>
      </c>
      <c r="EE59">
        <f>_xlfn.XLOOKUP(B59,'[5]july-2025'!$A:$A,'[5]july-2025'!$J:$J,0,0)</f>
        <v>0</v>
      </c>
      <c r="EF59">
        <f>_xlfn.XLOOKUP(B59,'[6]august-2025'!$A:$A,'[6]august-2025'!$J:$J,0,0)</f>
        <v>0</v>
      </c>
      <c r="EG59">
        <f>_xlfn.XLOOKUP(B59,'[7]september-2025'!$A:$A,'[7]september-2025'!$J:$J,0,0)</f>
        <v>0</v>
      </c>
      <c r="EH59">
        <f>_xlfn.XLOOKUP(B59,'[8]october-2025'!$A:$A,'[8]october-2025'!$J:$J,0,0)</f>
        <v>0</v>
      </c>
      <c r="EI59">
        <f>_xlfn.XLOOKUP(C59,'[9]november-2025'!$A:$A,'[9]november-2025'!$J:$J,0,0)</f>
        <v>0</v>
      </c>
      <c r="EJ59">
        <f>_xlfn.XLOOKUP(B59,'[10]december-2025'!$A:$A,'[10]december-2025'!$J:$J,0,0)</f>
        <v>0</v>
      </c>
      <c r="EK59">
        <f>_xlfn.XLOOKUP(B59,'[11]january-2026'!$A:$A,'[11]january-2026'!$J:$J,0,0)</f>
        <v>0</v>
      </c>
      <c r="EL59">
        <f>_xlfn.XLOOKUP(B59,'[12]february-2026'!$A:$A,'[12]february-2026'!$J:$J,0,0)</f>
        <v>0</v>
      </c>
      <c r="EM59">
        <f t="shared" si="90"/>
        <v>0</v>
      </c>
      <c r="EN59">
        <f>DV59+DL59+DB59+CR59+CH59+BX59+BN59+BD59+AS59+AI59+Y59+O59+H59+I59</f>
        <v>544460</v>
      </c>
      <c r="EO59">
        <f>DY59+DO59+DE59+CU59+CK59+CA59+BQ59+BG59+AV59+AL59+AB59+R59</f>
        <v>2400</v>
      </c>
      <c r="EP59">
        <f t="shared" si="46"/>
        <v>50000</v>
      </c>
      <c r="EQ59">
        <v>0</v>
      </c>
      <c r="ER59">
        <f t="shared" si="91"/>
        <v>492060</v>
      </c>
      <c r="ES59">
        <f>DW59+DM59+DC59+CS59+CI59+BY59+BO59+BE59+AT59+AJ59+Z59+P59</f>
        <v>30000</v>
      </c>
      <c r="ET59">
        <f>DX59+DN59+DD59+CT59+CJ59+BZ59+BP59+BF59+AU59+AK59+AA59+Q59</f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47"/>
        <v>30000</v>
      </c>
      <c r="FF59">
        <f t="shared" si="48"/>
        <v>30000</v>
      </c>
      <c r="FG59">
        <f t="shared" si="49"/>
        <v>462060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>SUM(FH59:FN59)+(IF(F59="YES",50000,0))</f>
        <v>0</v>
      </c>
      <c r="FP59">
        <f t="shared" si="50"/>
        <v>462060</v>
      </c>
      <c r="FQ59">
        <f t="shared" si="51"/>
        <v>10603</v>
      </c>
      <c r="FR59">
        <f t="shared" si="52"/>
        <v>0</v>
      </c>
      <c r="FS59">
        <f t="shared" si="53"/>
        <v>10603</v>
      </c>
      <c r="FT59">
        <f t="shared" si="54"/>
        <v>0</v>
      </c>
      <c r="FU59">
        <f t="shared" si="55"/>
        <v>0</v>
      </c>
      <c r="FV59">
        <f t="shared" si="56"/>
        <v>0</v>
      </c>
      <c r="FW59">
        <v>0</v>
      </c>
      <c r="FX59">
        <f t="shared" si="57"/>
        <v>0</v>
      </c>
      <c r="FY59" t="b">
        <f t="shared" si="58"/>
        <v>1</v>
      </c>
      <c r="FZ59">
        <f t="shared" ca="1" si="59"/>
        <v>560</v>
      </c>
      <c r="GA59">
        <f t="shared" ca="1" si="60"/>
        <v>545020</v>
      </c>
      <c r="GB59">
        <f t="shared" si="61"/>
        <v>75000</v>
      </c>
      <c r="GC59">
        <f t="shared" ca="1" si="62"/>
        <v>470020</v>
      </c>
      <c r="GD59">
        <f t="shared" ca="1" si="63"/>
        <v>0</v>
      </c>
      <c r="GE59">
        <f t="shared" ca="1" si="64"/>
        <v>0</v>
      </c>
      <c r="GF59">
        <f t="shared" ca="1" si="65"/>
        <v>0</v>
      </c>
      <c r="GG59">
        <f t="shared" ca="1" si="66"/>
        <v>0</v>
      </c>
      <c r="GH59">
        <f t="shared" ca="1" si="67"/>
        <v>0</v>
      </c>
      <c r="GI59">
        <f t="shared" ca="1" si="68"/>
        <v>0</v>
      </c>
      <c r="GJ59">
        <f ca="1">IF(GC59&gt;1200000,GC59-1200000-IF(F59="YES",50000,0)-GH59,0)</f>
        <v>0</v>
      </c>
      <c r="GK59">
        <f t="shared" ca="1" si="69"/>
        <v>0</v>
      </c>
      <c r="GL59">
        <f t="shared" ca="1" si="70"/>
        <v>0</v>
      </c>
      <c r="GM59">
        <f t="shared" ca="1" si="71"/>
        <v>0</v>
      </c>
      <c r="GN59">
        <f t="shared" ca="1" si="72"/>
        <v>70020</v>
      </c>
      <c r="GO59">
        <f t="shared" ca="1" si="73"/>
        <v>3501</v>
      </c>
      <c r="GP59">
        <f t="shared" ca="1" si="74"/>
        <v>3501</v>
      </c>
      <c r="GQ59">
        <f t="shared" ca="1" si="75"/>
        <v>0</v>
      </c>
      <c r="GR59">
        <f t="shared" ca="1" si="76"/>
        <v>0</v>
      </c>
      <c r="GS59">
        <f t="shared" ca="1" si="77"/>
        <v>3501</v>
      </c>
      <c r="GT59">
        <f t="shared" ca="1" si="78"/>
        <v>0</v>
      </c>
      <c r="GU59" t="b">
        <f t="shared" ca="1" si="79"/>
        <v>0</v>
      </c>
      <c r="GV59">
        <f t="shared" ca="1" si="80"/>
        <v>0</v>
      </c>
      <c r="GW59">
        <f t="shared" ca="1" si="81"/>
        <v>3501</v>
      </c>
      <c r="GX59">
        <f t="shared" ca="1" si="82"/>
        <v>0</v>
      </c>
      <c r="GY59">
        <f t="shared" ca="1" si="83"/>
        <v>0</v>
      </c>
      <c r="GZ59">
        <f t="shared" ca="1" si="84"/>
        <v>0</v>
      </c>
    </row>
    <row r="60" spans="1:208" x14ac:dyDescent="0.25">
      <c r="A60">
        <f>_xlfn.AGGREGATE(3,5,$B$2:B60)</f>
        <v>59</v>
      </c>
      <c r="B60" t="s">
        <v>235</v>
      </c>
      <c r="C60" t="s">
        <v>236</v>
      </c>
      <c r="D60" t="s">
        <v>765</v>
      </c>
      <c r="E60" t="s">
        <v>831</v>
      </c>
      <c r="F60" t="s">
        <v>957</v>
      </c>
      <c r="G60" t="s">
        <v>903</v>
      </c>
      <c r="H60">
        <f t="shared" si="177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>IF(J60&gt;0,SUM(J60:N60),0)</f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85"/>
        <v>200</v>
      </c>
      <c r="S60">
        <f t="shared" si="86"/>
        <v>40010</v>
      </c>
      <c r="T60">
        <f>_xlfn.XLOOKUP(B60,'[2]april-2025'!$A:$A,'[2]april-2025'!$C:$C,0,0)</f>
        <v>33500</v>
      </c>
      <c r="U60">
        <f t="shared" si="3"/>
        <v>6030</v>
      </c>
      <c r="V60">
        <f t="shared" si="4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87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5"/>
        <v>200</v>
      </c>
      <c r="AC60">
        <f t="shared" si="6"/>
        <v>41350</v>
      </c>
      <c r="AD60">
        <f>_xlfn.XLOOKUP(B60,'[3]may-2025'!$A:$A,'[3]may-2025'!$C:$C,0,0)</f>
        <v>33500</v>
      </c>
      <c r="AE60">
        <f t="shared" si="7"/>
        <v>6030</v>
      </c>
      <c r="AF60">
        <f t="shared" si="8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88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9"/>
        <v>200</v>
      </c>
      <c r="AM60">
        <f t="shared" si="10"/>
        <v>41350</v>
      </c>
      <c r="AN60">
        <f>_xlfn.XLOOKUP(B60,'[4]june-2025'!$A:$A,'[4]june-2025'!$C:$C,0,0)</f>
        <v>33500</v>
      </c>
      <c r="AO60">
        <f t="shared" si="11"/>
        <v>6030</v>
      </c>
      <c r="AP60">
        <f t="shared" si="12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89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3"/>
        <v>200</v>
      </c>
      <c r="AW60">
        <f t="shared" si="14"/>
        <v>41350</v>
      </c>
      <c r="AX60">
        <f>_xlfn.XLOOKUP(B60,'[5]july-2025'!$A:$A,'[5]july-2025'!$C:$C,0,0)</f>
        <v>34500</v>
      </c>
      <c r="AY60">
        <f t="shared" si="15"/>
        <v>6210</v>
      </c>
      <c r="AZ60">
        <v>0</v>
      </c>
      <c r="BA60">
        <f t="shared" si="16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>IF(AX60&gt;0,SUM(AX60:BC60),0)</f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17"/>
        <v>200</v>
      </c>
      <c r="BH60">
        <f t="shared" si="18"/>
        <v>42650</v>
      </c>
      <c r="BI60">
        <f>_xlfn.XLOOKUP(B60,'[6]august-2025'!$A:$A,'[6]august-2025'!$C:$C,0,0)</f>
        <v>34500</v>
      </c>
      <c r="BJ60">
        <f t="shared" si="19"/>
        <v>6210</v>
      </c>
      <c r="BK60">
        <f t="shared" si="20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1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>IF($F60="YES",0,IF(BN60&gt;40000,200,IF(BN60&gt;25000,150,IF(BN60&gt;15000,130,IF(BN60&gt;10000,110,0)))))</f>
        <v>200</v>
      </c>
      <c r="BR60">
        <f>BN60-BO60-BP60-BQ60</f>
        <v>42650</v>
      </c>
      <c r="BS60">
        <f>_xlfn.XLOOKUP(B60,'[7]september-2025'!$A:$A,'[7]september-2025'!$C:$C,0,0)</f>
        <v>34500</v>
      </c>
      <c r="BT60">
        <f t="shared" si="22"/>
        <v>6210</v>
      </c>
      <c r="BU60">
        <f t="shared" si="23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>IF(BS60&gt;0,SUM(BS60:BW60),0)</f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24"/>
        <v>200</v>
      </c>
      <c r="CB60">
        <f t="shared" si="25"/>
        <v>42650</v>
      </c>
      <c r="CC60">
        <f>_xlfn.XLOOKUP(B60,'[8]october-2025'!$A:$A,'[8]october-2025'!$C:$C,0,0)</f>
        <v>34500</v>
      </c>
      <c r="CD60">
        <f t="shared" si="26"/>
        <v>6210</v>
      </c>
      <c r="CE60">
        <f t="shared" si="27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>IF(CC60&gt;0,SUM(CC60:CG60),0)</f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28"/>
        <v>200</v>
      </c>
      <c r="CL60">
        <f t="shared" si="29"/>
        <v>42650</v>
      </c>
      <c r="CM60">
        <f>_xlfn.XLOOKUP(B60,'[9]november-2025'!$A:$A,'[9]november-2025'!$C:$C,0,0)</f>
        <v>34500</v>
      </c>
      <c r="CN60">
        <f t="shared" si="30"/>
        <v>6210</v>
      </c>
      <c r="CO60">
        <f t="shared" si="31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>IF(CM60&gt;0,SUM(CM60:CQ60),0)</f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32"/>
        <v>200</v>
      </c>
      <c r="CV60">
        <f t="shared" si="33"/>
        <v>42650</v>
      </c>
      <c r="CW60">
        <f>_xlfn.XLOOKUP(B60,'[10]december-2025'!$A:$A,'[10]december-2025'!$C:$C,0,0)</f>
        <v>34500</v>
      </c>
      <c r="CX60">
        <f t="shared" si="34"/>
        <v>6210</v>
      </c>
      <c r="CY60">
        <f t="shared" si="35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>IF(CW60&gt;0,SUM(CW60:DA60),0)</f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36"/>
        <v>200</v>
      </c>
      <c r="DF60">
        <f t="shared" si="37"/>
        <v>42650</v>
      </c>
      <c r="DG60">
        <f>_xlfn.XLOOKUP(B60,'[11]january-2026'!$A:$A,'[11]january-2026'!$C:$C,0,0)</f>
        <v>34500</v>
      </c>
      <c r="DH60">
        <f t="shared" si="38"/>
        <v>6210</v>
      </c>
      <c r="DI60">
        <f t="shared" si="39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>IF(DG60&gt;0,SUM(DG60:DK60),0)</f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40"/>
        <v>200</v>
      </c>
      <c r="DP60">
        <f t="shared" si="41"/>
        <v>42650</v>
      </c>
      <c r="DQ60">
        <f>_xlfn.XLOOKUP(B60,'[12]february-2026'!$A:$A,'[12]february-2026'!$C:$C,0,0)</f>
        <v>34500</v>
      </c>
      <c r="DR60">
        <f t="shared" si="42"/>
        <v>6210</v>
      </c>
      <c r="DS60">
        <f t="shared" si="43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>IF(DQ60&gt;0,SUM(DQ60:DU60),0)</f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44"/>
        <v>200</v>
      </c>
      <c r="DZ60">
        <f t="shared" si="45"/>
        <v>42650</v>
      </c>
      <c r="EA60">
        <f>_xlfn.XLOOKUP(B60,'[1]march-2025'!$A:$A,'[1]march-2025'!$J:$J,0,0)</f>
        <v>0</v>
      </c>
      <c r="EB60">
        <f>_xlfn.XLOOKUP(B60,'[2]april-2025'!$A:$A,'[2]april-2025'!$J:$J,0,0)</f>
        <v>0</v>
      </c>
      <c r="EC60">
        <f>_xlfn.XLOOKUP(B60,'[3]may-2025'!$A:$A,'[3]may-2025'!$J:$J,0,0)</f>
        <v>0</v>
      </c>
      <c r="ED60">
        <f>_xlfn.XLOOKUP(B60,'[4]june-2025'!$A:$A,'[4]june-2025'!$J:$J,0,0)</f>
        <v>0</v>
      </c>
      <c r="EE60">
        <f>_xlfn.XLOOKUP(B60,'[5]july-2025'!$A:$A,'[5]july-2025'!$J:$J,0,0)</f>
        <v>0</v>
      </c>
      <c r="EF60">
        <f>_xlfn.XLOOKUP(B60,'[6]august-2025'!$A:$A,'[6]august-2025'!$J:$J,0,0)</f>
        <v>0</v>
      </c>
      <c r="EG60">
        <f>_xlfn.XLOOKUP(B60,'[7]september-2025'!$A:$A,'[7]september-2025'!$J:$J,0,0)</f>
        <v>0</v>
      </c>
      <c r="EH60">
        <f>_xlfn.XLOOKUP(B60,'[8]october-2025'!$A:$A,'[8]october-2025'!$J:$J,0,0)</f>
        <v>0</v>
      </c>
      <c r="EI60">
        <f>_xlfn.XLOOKUP(C60,'[9]november-2025'!$A:$A,'[9]november-2025'!$J:$J,0,0)</f>
        <v>0</v>
      </c>
      <c r="EJ60">
        <f>_xlfn.XLOOKUP(B60,'[10]december-2025'!$A:$A,'[10]december-2025'!$J:$J,0,0)</f>
        <v>0</v>
      </c>
      <c r="EK60">
        <f>_xlfn.XLOOKUP(B60,'[11]january-2026'!$A:$A,'[11]january-2026'!$J:$J,0,0)</f>
        <v>0</v>
      </c>
      <c r="EL60">
        <f>_xlfn.XLOOKUP(B60,'[12]february-2026'!$A:$A,'[12]february-2026'!$J:$J,0,0)</f>
        <v>0</v>
      </c>
      <c r="EM60">
        <f t="shared" si="90"/>
        <v>0</v>
      </c>
      <c r="EN60">
        <f>DV60+DL60+DB60+CR60+CH60+BX60+BN60+BD60+AS60+AI60+Y60+O60+H60+I60</f>
        <v>544460</v>
      </c>
      <c r="EO60">
        <f>DY60+DO60+DE60+CU60+CK60+CA60+BQ60+BG60+AV60+AL60+AB60+R60</f>
        <v>2400</v>
      </c>
      <c r="EP60">
        <f t="shared" si="46"/>
        <v>50000</v>
      </c>
      <c r="EQ60">
        <v>0</v>
      </c>
      <c r="ER60">
        <f t="shared" si="91"/>
        <v>492060</v>
      </c>
      <c r="ES60">
        <f>DW60+DM60+DC60+CS60+CI60+BY60+BO60+BE60+AT60+AJ60+Z60+P60</f>
        <v>30000</v>
      </c>
      <c r="ET60">
        <f>DX60+DN60+DD60+CT60+CJ60+BZ60+BP60+BF60+AU60+AK60+AA60+Q60</f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47"/>
        <v>30000</v>
      </c>
      <c r="FF60">
        <f t="shared" si="48"/>
        <v>30000</v>
      </c>
      <c r="FG60">
        <f t="shared" si="49"/>
        <v>462060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>SUM(FH60:FN60)+(IF(F60="YES",50000,0))</f>
        <v>0</v>
      </c>
      <c r="FP60">
        <f t="shared" si="50"/>
        <v>462060</v>
      </c>
      <c r="FQ60">
        <f t="shared" si="51"/>
        <v>10603</v>
      </c>
      <c r="FR60">
        <f t="shared" si="52"/>
        <v>0</v>
      </c>
      <c r="FS60">
        <f t="shared" si="53"/>
        <v>10603</v>
      </c>
      <c r="FT60">
        <f t="shared" si="54"/>
        <v>0</v>
      </c>
      <c r="FU60">
        <f t="shared" si="55"/>
        <v>0</v>
      </c>
      <c r="FV60">
        <f t="shared" si="56"/>
        <v>0</v>
      </c>
      <c r="FW60">
        <v>0</v>
      </c>
      <c r="FX60">
        <f t="shared" si="57"/>
        <v>0</v>
      </c>
      <c r="FY60" t="b">
        <f t="shared" si="58"/>
        <v>1</v>
      </c>
      <c r="FZ60">
        <f t="shared" ca="1" si="59"/>
        <v>666</v>
      </c>
      <c r="GA60">
        <f t="shared" ca="1" si="60"/>
        <v>545126</v>
      </c>
      <c r="GB60">
        <f t="shared" si="61"/>
        <v>75000</v>
      </c>
      <c r="GC60">
        <f t="shared" ca="1" si="62"/>
        <v>470126</v>
      </c>
      <c r="GD60">
        <f t="shared" ca="1" si="63"/>
        <v>0</v>
      </c>
      <c r="GE60">
        <f t="shared" ca="1" si="64"/>
        <v>0</v>
      </c>
      <c r="GF60">
        <f t="shared" ca="1" si="65"/>
        <v>0</v>
      </c>
      <c r="GG60">
        <f t="shared" ca="1" si="66"/>
        <v>0</v>
      </c>
      <c r="GH60">
        <f t="shared" ca="1" si="67"/>
        <v>0</v>
      </c>
      <c r="GI60">
        <f t="shared" ca="1" si="68"/>
        <v>0</v>
      </c>
      <c r="GJ60">
        <f ca="1">IF(GC60&gt;1200000,GC60-1200000-IF(F60="YES",50000,0)-GH60,0)</f>
        <v>0</v>
      </c>
      <c r="GK60">
        <f t="shared" ca="1" si="69"/>
        <v>0</v>
      </c>
      <c r="GL60">
        <f t="shared" ca="1" si="70"/>
        <v>0</v>
      </c>
      <c r="GM60">
        <f t="shared" ca="1" si="71"/>
        <v>0</v>
      </c>
      <c r="GN60">
        <f t="shared" ca="1" si="72"/>
        <v>70126</v>
      </c>
      <c r="GO60">
        <f t="shared" ca="1" si="73"/>
        <v>3506.3</v>
      </c>
      <c r="GP60">
        <f t="shared" ca="1" si="74"/>
        <v>3506</v>
      </c>
      <c r="GQ60">
        <f t="shared" ca="1" si="75"/>
        <v>0</v>
      </c>
      <c r="GR60">
        <f t="shared" ca="1" si="76"/>
        <v>0</v>
      </c>
      <c r="GS60">
        <f t="shared" ca="1" si="77"/>
        <v>3506</v>
      </c>
      <c r="GT60">
        <f t="shared" ca="1" si="78"/>
        <v>0</v>
      </c>
      <c r="GU60" t="b">
        <f t="shared" ca="1" si="79"/>
        <v>0</v>
      </c>
      <c r="GV60">
        <f t="shared" ca="1" si="80"/>
        <v>0</v>
      </c>
      <c r="GW60">
        <f t="shared" ca="1" si="81"/>
        <v>3506</v>
      </c>
      <c r="GX60">
        <f t="shared" ca="1" si="82"/>
        <v>0</v>
      </c>
      <c r="GY60">
        <f t="shared" ca="1" si="83"/>
        <v>0</v>
      </c>
      <c r="GZ60">
        <f t="shared" ca="1" si="84"/>
        <v>0</v>
      </c>
    </row>
    <row r="61" spans="1:208" x14ac:dyDescent="0.25">
      <c r="A61">
        <f>_xlfn.AGGREGATE(3,5,$B$2:B61)</f>
        <v>60</v>
      </c>
      <c r="B61" t="s">
        <v>237</v>
      </c>
      <c r="C61" t="s">
        <v>238</v>
      </c>
      <c r="D61" t="s">
        <v>765</v>
      </c>
      <c r="E61" t="s">
        <v>831</v>
      </c>
      <c r="F61" t="s">
        <v>958</v>
      </c>
      <c r="G61" t="s">
        <v>892</v>
      </c>
      <c r="H61">
        <f t="shared" si="177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>IF(J61&gt;0,SUM(J61:N61),0)</f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85"/>
        <v>0</v>
      </c>
      <c r="S61">
        <f t="shared" si="86"/>
        <v>32520</v>
      </c>
      <c r="T61">
        <f>_xlfn.XLOOKUP(B61,'[2]april-2025'!$A:$A,'[2]april-2025'!$C:$C,0,0)</f>
        <v>27000</v>
      </c>
      <c r="U61">
        <f t="shared" si="3"/>
        <v>4860</v>
      </c>
      <c r="V61">
        <f t="shared" si="4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87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5"/>
        <v>0</v>
      </c>
      <c r="AC61">
        <f t="shared" si="6"/>
        <v>33600</v>
      </c>
      <c r="AD61">
        <f>_xlfn.XLOOKUP(B61,'[3]may-2025'!$A:$A,'[3]may-2025'!$C:$C,0,0)</f>
        <v>31600</v>
      </c>
      <c r="AE61">
        <f t="shared" si="7"/>
        <v>5688</v>
      </c>
      <c r="AF61">
        <f t="shared" si="8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88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9"/>
        <v>0</v>
      </c>
      <c r="AM61">
        <f t="shared" si="10"/>
        <v>39580</v>
      </c>
      <c r="AN61">
        <f>_xlfn.XLOOKUP(B61,'[4]june-2025'!$A:$A,'[4]june-2025'!$C:$C,0,0)</f>
        <v>31600</v>
      </c>
      <c r="AO61">
        <f t="shared" si="11"/>
        <v>5688</v>
      </c>
      <c r="AP61">
        <f t="shared" si="12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89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3"/>
        <v>0</v>
      </c>
      <c r="AW61">
        <f t="shared" si="14"/>
        <v>39580</v>
      </c>
      <c r="AX61">
        <f>_xlfn.XLOOKUP(B61,'[5]july-2025'!$A:$A,'[5]july-2025'!$C:$C,0,0)</f>
        <v>32500</v>
      </c>
      <c r="AY61">
        <f t="shared" si="15"/>
        <v>5850</v>
      </c>
      <c r="AZ61">
        <v>0</v>
      </c>
      <c r="BA61">
        <f t="shared" si="16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>IF(AX61&gt;0,SUM(AX61:BC61),0)</f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17"/>
        <v>0</v>
      </c>
      <c r="BH61">
        <f t="shared" si="18"/>
        <v>40750</v>
      </c>
      <c r="BI61">
        <f>_xlfn.XLOOKUP(B61,'[6]august-2025'!$A:$A,'[6]august-2025'!$C:$C,0,0)</f>
        <v>32500</v>
      </c>
      <c r="BJ61">
        <f t="shared" si="19"/>
        <v>5850</v>
      </c>
      <c r="BK61">
        <f t="shared" si="20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1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>IF($F61="YES",0,IF(BN61&gt;40000,200,IF(BN61&gt;25000,150,IF(BN61&gt;15000,130,IF(BN61&gt;10000,110,0)))))</f>
        <v>0</v>
      </c>
      <c r="BR61">
        <f>BN61-BO61-BP61-BQ61</f>
        <v>40750</v>
      </c>
      <c r="BS61">
        <f>_xlfn.XLOOKUP(B61,'[7]september-2025'!$A:$A,'[7]september-2025'!$C:$C,0,0)</f>
        <v>32500</v>
      </c>
      <c r="BT61">
        <f t="shared" si="22"/>
        <v>5850</v>
      </c>
      <c r="BU61">
        <f t="shared" si="23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>IF(BS61&gt;0,SUM(BS61:BW61),0)</f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24"/>
        <v>0</v>
      </c>
      <c r="CB61">
        <f t="shared" si="25"/>
        <v>40750</v>
      </c>
      <c r="CC61">
        <f>_xlfn.XLOOKUP(B61,'[8]october-2025'!$A:$A,'[8]october-2025'!$C:$C,0,0)</f>
        <v>32500</v>
      </c>
      <c r="CD61">
        <f t="shared" si="26"/>
        <v>5850</v>
      </c>
      <c r="CE61">
        <f t="shared" si="27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>IF(CC61&gt;0,SUM(CC61:CG61),0)</f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28"/>
        <v>0</v>
      </c>
      <c r="CL61">
        <f t="shared" si="29"/>
        <v>40750</v>
      </c>
      <c r="CM61">
        <f>_xlfn.XLOOKUP(B61,'[9]november-2025'!$A:$A,'[9]november-2025'!$C:$C,0,0)</f>
        <v>32500</v>
      </c>
      <c r="CN61">
        <f t="shared" si="30"/>
        <v>5850</v>
      </c>
      <c r="CO61">
        <f t="shared" si="31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>IF(CM61&gt;0,SUM(CM61:CQ61),0)</f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32"/>
        <v>0</v>
      </c>
      <c r="CV61">
        <f t="shared" si="33"/>
        <v>40750</v>
      </c>
      <c r="CW61">
        <f>_xlfn.XLOOKUP(B61,'[10]december-2025'!$A:$A,'[10]december-2025'!$C:$C,0,0)</f>
        <v>32500</v>
      </c>
      <c r="CX61">
        <f t="shared" si="34"/>
        <v>5850</v>
      </c>
      <c r="CY61">
        <f t="shared" si="35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>IF(CW61&gt;0,SUM(CW61:DA61),0)</f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36"/>
        <v>0</v>
      </c>
      <c r="DF61">
        <f t="shared" si="37"/>
        <v>40750</v>
      </c>
      <c r="DG61">
        <f>_xlfn.XLOOKUP(B61,'[11]january-2026'!$A:$A,'[11]january-2026'!$C:$C,0,0)</f>
        <v>32500</v>
      </c>
      <c r="DH61">
        <f t="shared" si="38"/>
        <v>5850</v>
      </c>
      <c r="DI61">
        <f t="shared" si="39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>IF(DG61&gt;0,SUM(DG61:DK61),0)</f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40"/>
        <v>0</v>
      </c>
      <c r="DP61">
        <f t="shared" si="41"/>
        <v>40750</v>
      </c>
      <c r="DQ61">
        <f>_xlfn.XLOOKUP(B61,'[12]february-2026'!$A:$A,'[12]february-2026'!$C:$C,0,0)</f>
        <v>32500</v>
      </c>
      <c r="DR61">
        <f t="shared" si="42"/>
        <v>5850</v>
      </c>
      <c r="DS61">
        <f t="shared" si="43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>IF(DQ61&gt;0,SUM(DQ61:DU61),0)</f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44"/>
        <v>0</v>
      </c>
      <c r="DZ61">
        <f t="shared" si="45"/>
        <v>40750</v>
      </c>
      <c r="EA61">
        <f>_xlfn.XLOOKUP(B61,'[1]march-2025'!$A:$A,'[1]march-2025'!$J:$J,0,0)</f>
        <v>0</v>
      </c>
      <c r="EB61">
        <f>_xlfn.XLOOKUP(B61,'[2]april-2025'!$A:$A,'[2]april-2025'!$J:$J,0,0)</f>
        <v>0</v>
      </c>
      <c r="EC61">
        <f>_xlfn.XLOOKUP(B61,'[3]may-2025'!$A:$A,'[3]may-2025'!$J:$J,0,0)</f>
        <v>0</v>
      </c>
      <c r="ED61">
        <f>_xlfn.XLOOKUP(B61,'[4]june-2025'!$A:$A,'[4]june-2025'!$J:$J,0,0)</f>
        <v>0</v>
      </c>
      <c r="EE61">
        <f>_xlfn.XLOOKUP(B61,'[5]july-2025'!$A:$A,'[5]july-2025'!$J:$J,0,0)</f>
        <v>0</v>
      </c>
      <c r="EF61">
        <f>_xlfn.XLOOKUP(B61,'[6]august-2025'!$A:$A,'[6]august-2025'!$J:$J,0,0)</f>
        <v>0</v>
      </c>
      <c r="EG61">
        <f>_xlfn.XLOOKUP(B61,'[7]september-2025'!$A:$A,'[7]september-2025'!$J:$J,0,0)</f>
        <v>0</v>
      </c>
      <c r="EH61">
        <f>_xlfn.XLOOKUP(B61,'[8]october-2025'!$A:$A,'[8]october-2025'!$J:$J,0,0)</f>
        <v>0</v>
      </c>
      <c r="EI61">
        <f>_xlfn.XLOOKUP(C61,'[9]november-2025'!$A:$A,'[9]november-2025'!$J:$J,0,0)</f>
        <v>0</v>
      </c>
      <c r="EJ61">
        <f>_xlfn.XLOOKUP(B61,'[10]december-2025'!$A:$A,'[10]december-2025'!$J:$J,0,0)</f>
        <v>0</v>
      </c>
      <c r="EK61">
        <f>_xlfn.XLOOKUP(B61,'[11]january-2026'!$A:$A,'[11]january-2026'!$J:$J,0,0)</f>
        <v>0</v>
      </c>
      <c r="EL61">
        <f>_xlfn.XLOOKUP(B61,'[12]february-2026'!$A:$A,'[12]february-2026'!$J:$J,0,0)</f>
        <v>0</v>
      </c>
      <c r="EM61">
        <f t="shared" si="90"/>
        <v>0</v>
      </c>
      <c r="EN61">
        <f>DV61+DL61+DB61+CR61+CH61+BX61+BN61+BD61+AS61+AI61+Y61+O61+H61+I61</f>
        <v>502080</v>
      </c>
      <c r="EO61">
        <f>DY61+DO61+DE61+CU61+CK61+CA61+BQ61+BG61+AV61+AL61+AB61+R61</f>
        <v>0</v>
      </c>
      <c r="EP61">
        <f t="shared" si="46"/>
        <v>50000</v>
      </c>
      <c r="EQ61">
        <v>0</v>
      </c>
      <c r="ER61">
        <f t="shared" si="91"/>
        <v>452080</v>
      </c>
      <c r="ES61">
        <f>DW61+DM61+DC61+CS61+CI61+BY61+BO61+BE61+AT61+AJ61+Z61+P61</f>
        <v>24000</v>
      </c>
      <c r="ET61">
        <f>DX61+DN61+DD61+CT61+CJ61+BZ61+BP61+BF61+AU61+AK61+AA61+Q61</f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47"/>
        <v>24000</v>
      </c>
      <c r="FF61">
        <f t="shared" si="48"/>
        <v>24000</v>
      </c>
      <c r="FG61">
        <f t="shared" si="49"/>
        <v>428080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>SUM(FH61:FN61)+(IF(F61="YES",50000,0))</f>
        <v>50000</v>
      </c>
      <c r="FP61">
        <f t="shared" si="50"/>
        <v>378080</v>
      </c>
      <c r="FQ61">
        <f t="shared" si="51"/>
        <v>6404</v>
      </c>
      <c r="FR61">
        <f t="shared" si="52"/>
        <v>0</v>
      </c>
      <c r="FS61">
        <f t="shared" si="53"/>
        <v>6404</v>
      </c>
      <c r="FT61">
        <f t="shared" si="54"/>
        <v>0</v>
      </c>
      <c r="FU61">
        <f t="shared" si="55"/>
        <v>0</v>
      </c>
      <c r="FV61">
        <f t="shared" si="56"/>
        <v>0</v>
      </c>
      <c r="FW61">
        <v>0</v>
      </c>
      <c r="FX61">
        <f t="shared" si="57"/>
        <v>0</v>
      </c>
      <c r="FY61" t="b">
        <f t="shared" si="58"/>
        <v>1</v>
      </c>
      <c r="FZ61">
        <f t="shared" ca="1" si="59"/>
        <v>649</v>
      </c>
      <c r="GA61">
        <f t="shared" ca="1" si="60"/>
        <v>502729</v>
      </c>
      <c r="GB61">
        <f t="shared" si="61"/>
        <v>75000</v>
      </c>
      <c r="GC61">
        <f t="shared" ca="1" si="62"/>
        <v>427729</v>
      </c>
      <c r="GD61">
        <f t="shared" ca="1" si="63"/>
        <v>0</v>
      </c>
      <c r="GE61">
        <f t="shared" ca="1" si="64"/>
        <v>0</v>
      </c>
      <c r="GF61">
        <f t="shared" ca="1" si="65"/>
        <v>0</v>
      </c>
      <c r="GG61">
        <f t="shared" ca="1" si="66"/>
        <v>0</v>
      </c>
      <c r="GH61">
        <f t="shared" ca="1" si="67"/>
        <v>0</v>
      </c>
      <c r="GI61">
        <f t="shared" ca="1" si="68"/>
        <v>0</v>
      </c>
      <c r="GJ61">
        <f ca="1">IF(GC61&gt;1200000,GC61-1200000-IF(F61="YES",50000,0)-GH61,0)</f>
        <v>0</v>
      </c>
      <c r="GK61">
        <f t="shared" ca="1" si="69"/>
        <v>0</v>
      </c>
      <c r="GL61">
        <f t="shared" ca="1" si="70"/>
        <v>0</v>
      </c>
      <c r="GM61">
        <f t="shared" ca="1" si="71"/>
        <v>0</v>
      </c>
      <c r="GN61">
        <f t="shared" ca="1" si="72"/>
        <v>27729</v>
      </c>
      <c r="GO61">
        <f t="shared" ca="1" si="73"/>
        <v>1386.45</v>
      </c>
      <c r="GP61">
        <f t="shared" ca="1" si="74"/>
        <v>1386</v>
      </c>
      <c r="GQ61">
        <f t="shared" ca="1" si="75"/>
        <v>0</v>
      </c>
      <c r="GR61">
        <f t="shared" ca="1" si="76"/>
        <v>0</v>
      </c>
      <c r="GS61">
        <f t="shared" ca="1" si="77"/>
        <v>1386</v>
      </c>
      <c r="GT61">
        <f t="shared" ca="1" si="78"/>
        <v>0</v>
      </c>
      <c r="GU61" t="b">
        <f t="shared" ca="1" si="79"/>
        <v>0</v>
      </c>
      <c r="GV61">
        <f t="shared" ca="1" si="80"/>
        <v>0</v>
      </c>
      <c r="GW61">
        <f t="shared" ca="1" si="81"/>
        <v>1386</v>
      </c>
      <c r="GX61">
        <f t="shared" ca="1" si="82"/>
        <v>0</v>
      </c>
      <c r="GY61">
        <f t="shared" ca="1" si="83"/>
        <v>0</v>
      </c>
      <c r="GZ61">
        <f t="shared" ca="1" si="84"/>
        <v>0</v>
      </c>
    </row>
    <row r="62" spans="1:208" x14ac:dyDescent="0.25">
      <c r="A62">
        <f>_xlfn.AGGREGATE(3,5,$B$2:B62)</f>
        <v>61</v>
      </c>
      <c r="B62" t="s">
        <v>239</v>
      </c>
      <c r="C62" t="s">
        <v>240</v>
      </c>
      <c r="D62" t="s">
        <v>766</v>
      </c>
      <c r="E62" t="s">
        <v>831</v>
      </c>
      <c r="F62" t="s">
        <v>957</v>
      </c>
      <c r="G62" t="s">
        <v>900</v>
      </c>
      <c r="H62">
        <f t="shared" si="177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>IF(J62&gt;0,SUM(J62:N62),0)</f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85"/>
        <v>200</v>
      </c>
      <c r="S62">
        <f t="shared" si="86"/>
        <v>39170</v>
      </c>
      <c r="T62">
        <f>_xlfn.XLOOKUP(B62,'[2]april-2025'!$A:$A,'[2]april-2025'!$C:$C,0,0)</f>
        <v>34500</v>
      </c>
      <c r="U62">
        <f t="shared" si="3"/>
        <v>6210</v>
      </c>
      <c r="V62">
        <f t="shared" si="4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87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5"/>
        <v>200</v>
      </c>
      <c r="AC62">
        <f t="shared" si="6"/>
        <v>40550</v>
      </c>
      <c r="AD62">
        <f>_xlfn.XLOOKUP(B62,'[3]may-2025'!$A:$A,'[3]may-2025'!$C:$C,0,0)</f>
        <v>34500</v>
      </c>
      <c r="AE62">
        <f t="shared" si="7"/>
        <v>6210</v>
      </c>
      <c r="AF62">
        <f t="shared" si="8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88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9"/>
        <v>200</v>
      </c>
      <c r="AM62">
        <f t="shared" si="10"/>
        <v>40550</v>
      </c>
      <c r="AN62">
        <f>_xlfn.XLOOKUP(B62,'[4]june-2025'!$A:$A,'[4]june-2025'!$C:$C,0,0)</f>
        <v>34500</v>
      </c>
      <c r="AO62">
        <f t="shared" si="11"/>
        <v>6210</v>
      </c>
      <c r="AP62">
        <f t="shared" si="12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89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3"/>
        <v>200</v>
      </c>
      <c r="AW62">
        <f t="shared" si="14"/>
        <v>40550</v>
      </c>
      <c r="AX62">
        <f>_xlfn.XLOOKUP(B62,'[5]july-2025'!$A:$A,'[5]july-2025'!$C:$C,0,0)</f>
        <v>35500</v>
      </c>
      <c r="AY62">
        <f t="shared" si="15"/>
        <v>6390</v>
      </c>
      <c r="AZ62">
        <v>0</v>
      </c>
      <c r="BA62">
        <f t="shared" si="16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>IF(AX62&gt;0,SUM(AX62:BC62),0)</f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17"/>
        <v>200</v>
      </c>
      <c r="BH62">
        <f t="shared" si="18"/>
        <v>41850</v>
      </c>
      <c r="BI62">
        <f>_xlfn.XLOOKUP(B62,'[6]august-2025'!$A:$A,'[6]august-2025'!$C:$C,0,0)</f>
        <v>35500</v>
      </c>
      <c r="BJ62">
        <f t="shared" si="19"/>
        <v>6390</v>
      </c>
      <c r="BK62">
        <f t="shared" si="20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1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>IF($F62="YES",0,IF(BN62&gt;40000,200,IF(BN62&gt;25000,150,IF(BN62&gt;15000,130,IF(BN62&gt;10000,110,0)))))</f>
        <v>200</v>
      </c>
      <c r="BR62">
        <f>BN62-BO62-BP62-BQ62</f>
        <v>41850</v>
      </c>
      <c r="BS62">
        <f>_xlfn.XLOOKUP(B62,'[7]september-2025'!$A:$A,'[7]september-2025'!$C:$C,0,0)</f>
        <v>35500</v>
      </c>
      <c r="BT62">
        <f t="shared" si="22"/>
        <v>6390</v>
      </c>
      <c r="BU62">
        <f t="shared" si="23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>IF(BS62&gt;0,SUM(BS62:BW62),0)</f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24"/>
        <v>200</v>
      </c>
      <c r="CB62">
        <f t="shared" si="25"/>
        <v>41850</v>
      </c>
      <c r="CC62">
        <f>_xlfn.XLOOKUP(B62,'[8]october-2025'!$A:$A,'[8]october-2025'!$C:$C,0,0)</f>
        <v>35500</v>
      </c>
      <c r="CD62">
        <f t="shared" si="26"/>
        <v>6390</v>
      </c>
      <c r="CE62">
        <f t="shared" si="27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>IF(CC62&gt;0,SUM(CC62:CG62),0)</f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28"/>
        <v>200</v>
      </c>
      <c r="CL62">
        <f t="shared" si="29"/>
        <v>41850</v>
      </c>
      <c r="CM62">
        <f>_xlfn.XLOOKUP(B62,'[9]november-2025'!$A:$A,'[9]november-2025'!$C:$C,0,0)</f>
        <v>35500</v>
      </c>
      <c r="CN62">
        <f t="shared" si="30"/>
        <v>6390</v>
      </c>
      <c r="CO62">
        <f t="shared" si="31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>IF(CM62&gt;0,SUM(CM62:CQ62),0)</f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32"/>
        <v>200</v>
      </c>
      <c r="CV62">
        <f t="shared" si="33"/>
        <v>41850</v>
      </c>
      <c r="CW62">
        <f>_xlfn.XLOOKUP(B62,'[10]december-2025'!$A:$A,'[10]december-2025'!$C:$C,0,0)</f>
        <v>35500</v>
      </c>
      <c r="CX62">
        <f t="shared" si="34"/>
        <v>6390</v>
      </c>
      <c r="CY62">
        <f t="shared" si="35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>IF(CW62&gt;0,SUM(CW62:DA62),0)</f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36"/>
        <v>200</v>
      </c>
      <c r="DF62">
        <f t="shared" si="37"/>
        <v>41850</v>
      </c>
      <c r="DG62">
        <f>_xlfn.XLOOKUP(B62,'[11]january-2026'!$A:$A,'[11]january-2026'!$C:$C,0,0)</f>
        <v>35500</v>
      </c>
      <c r="DH62">
        <f t="shared" si="38"/>
        <v>6390</v>
      </c>
      <c r="DI62">
        <f t="shared" si="39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>IF(DG62&gt;0,SUM(DG62:DK62),0)</f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40"/>
        <v>200</v>
      </c>
      <c r="DP62">
        <f t="shared" si="41"/>
        <v>41850</v>
      </c>
      <c r="DQ62">
        <f>_xlfn.XLOOKUP(B62,'[12]february-2026'!$A:$A,'[12]february-2026'!$C:$C,0,0)</f>
        <v>35500</v>
      </c>
      <c r="DR62">
        <f t="shared" si="42"/>
        <v>6390</v>
      </c>
      <c r="DS62">
        <f t="shared" si="43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>IF(DQ62&gt;0,SUM(DQ62:DU62),0)</f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44"/>
        <v>200</v>
      </c>
      <c r="DZ62">
        <f t="shared" si="45"/>
        <v>41850</v>
      </c>
      <c r="EA62">
        <f>_xlfn.XLOOKUP(B62,'[1]march-2025'!$A:$A,'[1]march-2025'!$J:$J,0,0)</f>
        <v>0</v>
      </c>
      <c r="EB62">
        <f>_xlfn.XLOOKUP(B62,'[2]april-2025'!$A:$A,'[2]april-2025'!$J:$J,0,0)</f>
        <v>0</v>
      </c>
      <c r="EC62">
        <f>_xlfn.XLOOKUP(B62,'[3]may-2025'!$A:$A,'[3]may-2025'!$J:$J,0,0)</f>
        <v>0</v>
      </c>
      <c r="ED62">
        <f>_xlfn.XLOOKUP(B62,'[4]june-2025'!$A:$A,'[4]june-2025'!$J:$J,0,0)</f>
        <v>0</v>
      </c>
      <c r="EE62">
        <f>_xlfn.XLOOKUP(B62,'[5]july-2025'!$A:$A,'[5]july-2025'!$J:$J,0,0)</f>
        <v>0</v>
      </c>
      <c r="EF62">
        <f>_xlfn.XLOOKUP(B62,'[6]august-2025'!$A:$A,'[6]august-2025'!$J:$J,0,0)</f>
        <v>0</v>
      </c>
      <c r="EG62">
        <f>_xlfn.XLOOKUP(B62,'[7]september-2025'!$A:$A,'[7]september-2025'!$J:$J,0,0)</f>
        <v>0</v>
      </c>
      <c r="EH62">
        <f>_xlfn.XLOOKUP(B62,'[8]october-2025'!$A:$A,'[8]october-2025'!$J:$J,0,0)</f>
        <v>0</v>
      </c>
      <c r="EI62">
        <f>_xlfn.XLOOKUP(C62,'[9]november-2025'!$A:$A,'[9]november-2025'!$J:$J,0,0)</f>
        <v>0</v>
      </c>
      <c r="EJ62">
        <f>_xlfn.XLOOKUP(B62,'[10]december-2025'!$A:$A,'[10]december-2025'!$J:$J,0,0)</f>
        <v>0</v>
      </c>
      <c r="EK62">
        <f>_xlfn.XLOOKUP(B62,'[11]january-2026'!$A:$A,'[11]january-2026'!$J:$J,0,0)</f>
        <v>0</v>
      </c>
      <c r="EL62">
        <f>_xlfn.XLOOKUP(B62,'[12]february-2026'!$A:$A,'[12]february-2026'!$J:$J,0,0)</f>
        <v>0</v>
      </c>
      <c r="EM62">
        <f t="shared" si="90"/>
        <v>0</v>
      </c>
      <c r="EN62">
        <f>DV62+DL62+DB62+CR62+CH62+BX62+BN62+BD62+AS62+AI62+Y62+O62+H62+I62</f>
        <v>564820</v>
      </c>
      <c r="EO62">
        <f>DY62+DO62+DE62+CU62+CK62+CA62+BQ62+BG62+AV62+AL62+AB62+R62</f>
        <v>2400</v>
      </c>
      <c r="EP62">
        <f t="shared" si="46"/>
        <v>50000</v>
      </c>
      <c r="EQ62">
        <v>0</v>
      </c>
      <c r="ER62">
        <f t="shared" si="91"/>
        <v>512420</v>
      </c>
      <c r="ES62">
        <f>DW62+DM62+DC62+CS62+CI62+BY62+BO62+BE62+AT62+AJ62+Z62+P62</f>
        <v>60000</v>
      </c>
      <c r="ET62">
        <f>DX62+DN62+DD62+CT62+CJ62+BZ62+BP62+BF62+AU62+AK62+AA62+Q62</f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47"/>
        <v>60000</v>
      </c>
      <c r="FF62">
        <f t="shared" si="48"/>
        <v>60000</v>
      </c>
      <c r="FG62">
        <f t="shared" si="49"/>
        <v>452420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>SUM(FH62:FN62)+(IF(F62="YES",50000,0))</f>
        <v>0</v>
      </c>
      <c r="FP62">
        <f t="shared" si="50"/>
        <v>452420</v>
      </c>
      <c r="FQ62">
        <f t="shared" si="51"/>
        <v>10121</v>
      </c>
      <c r="FR62">
        <f t="shared" si="52"/>
        <v>0</v>
      </c>
      <c r="FS62">
        <f t="shared" si="53"/>
        <v>10121</v>
      </c>
      <c r="FT62">
        <f t="shared" si="54"/>
        <v>0</v>
      </c>
      <c r="FU62">
        <f t="shared" si="55"/>
        <v>0</v>
      </c>
      <c r="FV62">
        <f t="shared" si="56"/>
        <v>0</v>
      </c>
      <c r="FW62">
        <v>0</v>
      </c>
      <c r="FX62">
        <f t="shared" si="57"/>
        <v>0</v>
      </c>
      <c r="FY62" t="b">
        <f t="shared" si="58"/>
        <v>1</v>
      </c>
      <c r="FZ62">
        <f t="shared" ca="1" si="59"/>
        <v>636</v>
      </c>
      <c r="GA62">
        <f t="shared" ca="1" si="60"/>
        <v>565456</v>
      </c>
      <c r="GB62">
        <f t="shared" si="61"/>
        <v>75000</v>
      </c>
      <c r="GC62">
        <f t="shared" ca="1" si="62"/>
        <v>490456</v>
      </c>
      <c r="GD62">
        <f t="shared" ca="1" si="63"/>
        <v>0</v>
      </c>
      <c r="GE62">
        <f t="shared" ca="1" si="64"/>
        <v>0</v>
      </c>
      <c r="GF62">
        <f t="shared" ca="1" si="65"/>
        <v>0</v>
      </c>
      <c r="GG62">
        <f t="shared" ca="1" si="66"/>
        <v>0</v>
      </c>
      <c r="GH62">
        <f t="shared" ca="1" si="67"/>
        <v>0</v>
      </c>
      <c r="GI62">
        <f t="shared" ca="1" si="68"/>
        <v>0</v>
      </c>
      <c r="GJ62">
        <f ca="1">IF(GC62&gt;1200000,GC62-1200000-IF(F62="YES",50000,0)-GH62,0)</f>
        <v>0</v>
      </c>
      <c r="GK62">
        <f t="shared" ca="1" si="69"/>
        <v>0</v>
      </c>
      <c r="GL62">
        <f t="shared" ca="1" si="70"/>
        <v>0</v>
      </c>
      <c r="GM62">
        <f t="shared" ca="1" si="71"/>
        <v>0</v>
      </c>
      <c r="GN62">
        <f t="shared" ca="1" si="72"/>
        <v>90456</v>
      </c>
      <c r="GO62">
        <f t="shared" ca="1" si="73"/>
        <v>4522.8</v>
      </c>
      <c r="GP62">
        <f t="shared" ca="1" si="74"/>
        <v>4523</v>
      </c>
      <c r="GQ62">
        <f t="shared" ca="1" si="75"/>
        <v>0</v>
      </c>
      <c r="GR62">
        <f t="shared" ca="1" si="76"/>
        <v>0</v>
      </c>
      <c r="GS62">
        <f t="shared" ca="1" si="77"/>
        <v>4523</v>
      </c>
      <c r="GT62">
        <f t="shared" ca="1" si="78"/>
        <v>0</v>
      </c>
      <c r="GU62" t="b">
        <f t="shared" ca="1" si="79"/>
        <v>0</v>
      </c>
      <c r="GV62">
        <f t="shared" ca="1" si="80"/>
        <v>0</v>
      </c>
      <c r="GW62">
        <f t="shared" ca="1" si="81"/>
        <v>4523</v>
      </c>
      <c r="GX62">
        <f t="shared" ca="1" si="82"/>
        <v>0</v>
      </c>
      <c r="GY62">
        <f t="shared" ca="1" si="83"/>
        <v>0</v>
      </c>
      <c r="GZ62">
        <f t="shared" ca="1" si="84"/>
        <v>0</v>
      </c>
    </row>
    <row r="63" spans="1:208" x14ac:dyDescent="0.25">
      <c r="A63">
        <f>_xlfn.AGGREGATE(3,5,$B$2:B63)</f>
        <v>62</v>
      </c>
      <c r="B63" t="s">
        <v>241</v>
      </c>
      <c r="C63" t="s">
        <v>242</v>
      </c>
      <c r="D63" t="s">
        <v>766</v>
      </c>
      <c r="E63" t="s">
        <v>832</v>
      </c>
      <c r="F63" t="s">
        <v>957</v>
      </c>
      <c r="G63" t="s">
        <v>891</v>
      </c>
      <c r="H63">
        <f t="shared" si="177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>IF(J63&gt;0,SUM(J63:N63),0)</f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85"/>
        <v>200</v>
      </c>
      <c r="S63">
        <f t="shared" si="86"/>
        <v>41270</v>
      </c>
      <c r="T63">
        <f>_xlfn.XLOOKUP(B63,'[2]april-2025'!$A:$A,'[2]april-2025'!$C:$C,0,0)</f>
        <v>34500</v>
      </c>
      <c r="U63">
        <f t="shared" si="3"/>
        <v>6210</v>
      </c>
      <c r="V63">
        <f t="shared" si="4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87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5"/>
        <v>200</v>
      </c>
      <c r="AC63">
        <f t="shared" si="6"/>
        <v>42650</v>
      </c>
      <c r="AD63">
        <f>_xlfn.XLOOKUP(B63,'[3]may-2025'!$A:$A,'[3]may-2025'!$C:$C,0,0)</f>
        <v>34500</v>
      </c>
      <c r="AE63">
        <f t="shared" si="7"/>
        <v>6210</v>
      </c>
      <c r="AF63">
        <f t="shared" si="8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88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9"/>
        <v>200</v>
      </c>
      <c r="AM63">
        <f t="shared" si="10"/>
        <v>42650</v>
      </c>
      <c r="AN63">
        <f>_xlfn.XLOOKUP(B63,'[4]june-2025'!$A:$A,'[4]june-2025'!$C:$C,0,0)</f>
        <v>34500</v>
      </c>
      <c r="AO63">
        <f t="shared" si="11"/>
        <v>6210</v>
      </c>
      <c r="AP63">
        <f t="shared" si="12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89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3"/>
        <v>200</v>
      </c>
      <c r="AW63">
        <f t="shared" si="14"/>
        <v>42650</v>
      </c>
      <c r="AX63">
        <f>_xlfn.XLOOKUP(B63,'[5]july-2025'!$A:$A,'[5]july-2025'!$C:$C,0,0)</f>
        <v>35500</v>
      </c>
      <c r="AY63">
        <f t="shared" si="15"/>
        <v>6390</v>
      </c>
      <c r="AZ63">
        <v>0</v>
      </c>
      <c r="BA63">
        <f t="shared" si="16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>IF(AX63&gt;0,SUM(AX63:BC63),0)</f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17"/>
        <v>200</v>
      </c>
      <c r="BH63">
        <f t="shared" si="18"/>
        <v>43950</v>
      </c>
      <c r="BI63">
        <f>_xlfn.XLOOKUP(B63,'[6]august-2025'!$A:$A,'[6]august-2025'!$C:$C,0,0)</f>
        <v>35500</v>
      </c>
      <c r="BJ63">
        <f t="shared" si="19"/>
        <v>6390</v>
      </c>
      <c r="BK63">
        <f t="shared" si="20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1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>IF($F63="YES",0,IF(BN63&gt;40000,200,IF(BN63&gt;25000,150,IF(BN63&gt;15000,130,IF(BN63&gt;10000,110,0)))))</f>
        <v>200</v>
      </c>
      <c r="BR63">
        <f>BN63-BO63-BP63-BQ63</f>
        <v>43950</v>
      </c>
      <c r="BS63">
        <f>_xlfn.XLOOKUP(B63,'[7]september-2025'!$A:$A,'[7]september-2025'!$C:$C,0,0)</f>
        <v>35500</v>
      </c>
      <c r="BT63">
        <f t="shared" si="22"/>
        <v>6390</v>
      </c>
      <c r="BU63">
        <f t="shared" si="23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>IF(BS63&gt;0,SUM(BS63:BW63),0)</f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24"/>
        <v>200</v>
      </c>
      <c r="CB63">
        <f t="shared" si="25"/>
        <v>43950</v>
      </c>
      <c r="CC63">
        <f>_xlfn.XLOOKUP(B63,'[8]october-2025'!$A:$A,'[8]october-2025'!$C:$C,0,0)</f>
        <v>35500</v>
      </c>
      <c r="CD63">
        <f t="shared" si="26"/>
        <v>6390</v>
      </c>
      <c r="CE63">
        <f t="shared" si="27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>IF(CC63&gt;0,SUM(CC63:CG63),0)</f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28"/>
        <v>200</v>
      </c>
      <c r="CL63">
        <f t="shared" si="29"/>
        <v>43950</v>
      </c>
      <c r="CM63">
        <f>_xlfn.XLOOKUP(B63,'[9]november-2025'!$A:$A,'[9]november-2025'!$C:$C,0,0)</f>
        <v>35500</v>
      </c>
      <c r="CN63">
        <f t="shared" si="30"/>
        <v>6390</v>
      </c>
      <c r="CO63">
        <f t="shared" si="31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>IF(CM63&gt;0,SUM(CM63:CQ63),0)</f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32"/>
        <v>200</v>
      </c>
      <c r="CV63">
        <f t="shared" si="33"/>
        <v>43950</v>
      </c>
      <c r="CW63">
        <f>_xlfn.XLOOKUP(B63,'[10]december-2025'!$A:$A,'[10]december-2025'!$C:$C,0,0)</f>
        <v>35500</v>
      </c>
      <c r="CX63">
        <f t="shared" si="34"/>
        <v>6390</v>
      </c>
      <c r="CY63">
        <f t="shared" si="35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>IF(CW63&gt;0,SUM(CW63:DA63),0)</f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36"/>
        <v>200</v>
      </c>
      <c r="DF63">
        <f t="shared" si="37"/>
        <v>43950</v>
      </c>
      <c r="DG63">
        <f>_xlfn.XLOOKUP(B63,'[11]january-2026'!$A:$A,'[11]january-2026'!$C:$C,0,0)</f>
        <v>35500</v>
      </c>
      <c r="DH63">
        <f t="shared" si="38"/>
        <v>6390</v>
      </c>
      <c r="DI63">
        <f t="shared" si="39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>IF(DG63&gt;0,SUM(DG63:DK63),0)</f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40"/>
        <v>200</v>
      </c>
      <c r="DP63">
        <f t="shared" si="41"/>
        <v>43950</v>
      </c>
      <c r="DQ63">
        <f>_xlfn.XLOOKUP(B63,'[12]february-2026'!$A:$A,'[12]february-2026'!$C:$C,0,0)</f>
        <v>35500</v>
      </c>
      <c r="DR63">
        <f t="shared" si="42"/>
        <v>6390</v>
      </c>
      <c r="DS63">
        <f t="shared" si="43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>IF(DQ63&gt;0,SUM(DQ63:DU63),0)</f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44"/>
        <v>200</v>
      </c>
      <c r="DZ63">
        <f t="shared" si="45"/>
        <v>43950</v>
      </c>
      <c r="EA63">
        <f>_xlfn.XLOOKUP(B63,'[1]march-2025'!$A:$A,'[1]march-2025'!$J:$J,0,0)</f>
        <v>0</v>
      </c>
      <c r="EB63">
        <f>_xlfn.XLOOKUP(B63,'[2]april-2025'!$A:$A,'[2]april-2025'!$J:$J,0,0)</f>
        <v>0</v>
      </c>
      <c r="EC63">
        <f>_xlfn.XLOOKUP(B63,'[3]may-2025'!$A:$A,'[3]may-2025'!$J:$J,0,0)</f>
        <v>0</v>
      </c>
      <c r="ED63">
        <f>_xlfn.XLOOKUP(B63,'[4]june-2025'!$A:$A,'[4]june-2025'!$J:$J,0,0)</f>
        <v>0</v>
      </c>
      <c r="EE63">
        <f>_xlfn.XLOOKUP(B63,'[5]july-2025'!$A:$A,'[5]july-2025'!$J:$J,0,0)</f>
        <v>0</v>
      </c>
      <c r="EF63">
        <f>_xlfn.XLOOKUP(B63,'[6]august-2025'!$A:$A,'[6]august-2025'!$J:$J,0,0)</f>
        <v>0</v>
      </c>
      <c r="EG63">
        <f>_xlfn.XLOOKUP(B63,'[7]september-2025'!$A:$A,'[7]september-2025'!$J:$J,0,0)</f>
        <v>0</v>
      </c>
      <c r="EH63">
        <f>_xlfn.XLOOKUP(B63,'[8]october-2025'!$A:$A,'[8]october-2025'!$J:$J,0,0)</f>
        <v>0</v>
      </c>
      <c r="EI63">
        <f>_xlfn.XLOOKUP(C63,'[9]november-2025'!$A:$A,'[9]november-2025'!$J:$J,0,0)</f>
        <v>0</v>
      </c>
      <c r="EJ63">
        <f>_xlfn.XLOOKUP(B63,'[10]december-2025'!$A:$A,'[10]december-2025'!$J:$J,0,0)</f>
        <v>0</v>
      </c>
      <c r="EK63">
        <f>_xlfn.XLOOKUP(B63,'[11]january-2026'!$A:$A,'[11]january-2026'!$J:$J,0,0)</f>
        <v>0</v>
      </c>
      <c r="EL63">
        <f>_xlfn.XLOOKUP(B63,'[12]february-2026'!$A:$A,'[12]february-2026'!$J:$J,0,0)</f>
        <v>0</v>
      </c>
      <c r="EM63">
        <f t="shared" si="90"/>
        <v>0</v>
      </c>
      <c r="EN63">
        <f>DV63+DL63+DB63+CR63+CH63+BX63+BN63+BD63+AS63+AI63+Y63+O63+H63+I63</f>
        <v>560020</v>
      </c>
      <c r="EO63">
        <f>DY63+DO63+DE63+CU63+CK63+CA63+BQ63+BG63+AV63+AL63+AB63+R63</f>
        <v>2400</v>
      </c>
      <c r="EP63">
        <f t="shared" si="46"/>
        <v>50000</v>
      </c>
      <c r="EQ63">
        <v>0</v>
      </c>
      <c r="ER63">
        <f t="shared" si="91"/>
        <v>507620</v>
      </c>
      <c r="ES63">
        <f>DW63+DM63+DC63+CS63+CI63+BY63+BO63+BE63+AT63+AJ63+Z63+P63</f>
        <v>30000</v>
      </c>
      <c r="ET63">
        <f>DX63+DN63+DD63+CT63+CJ63+BZ63+BP63+BF63+AU63+AK63+AA63+Q63</f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47"/>
        <v>30000</v>
      </c>
      <c r="FF63">
        <f t="shared" si="48"/>
        <v>30000</v>
      </c>
      <c r="FG63">
        <f t="shared" si="49"/>
        <v>477620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>SUM(FH63:FN63)+(IF(F63="YES",50000,0))</f>
        <v>0</v>
      </c>
      <c r="FP63">
        <f t="shared" si="50"/>
        <v>477620</v>
      </c>
      <c r="FQ63">
        <f t="shared" si="51"/>
        <v>11381</v>
      </c>
      <c r="FR63">
        <f t="shared" si="52"/>
        <v>0</v>
      </c>
      <c r="FS63">
        <f t="shared" si="53"/>
        <v>11381</v>
      </c>
      <c r="FT63">
        <f t="shared" si="54"/>
        <v>0</v>
      </c>
      <c r="FU63">
        <f t="shared" si="55"/>
        <v>0</v>
      </c>
      <c r="FV63">
        <f t="shared" si="56"/>
        <v>0</v>
      </c>
      <c r="FW63">
        <v>0</v>
      </c>
      <c r="FX63">
        <f t="shared" si="57"/>
        <v>0</v>
      </c>
      <c r="FY63" t="b">
        <f t="shared" si="58"/>
        <v>1</v>
      </c>
      <c r="FZ63">
        <f t="shared" ca="1" si="59"/>
        <v>985</v>
      </c>
      <c r="GA63">
        <f t="shared" ca="1" si="60"/>
        <v>561005</v>
      </c>
      <c r="GB63">
        <f t="shared" si="61"/>
        <v>75000</v>
      </c>
      <c r="GC63">
        <f t="shared" ca="1" si="62"/>
        <v>486005</v>
      </c>
      <c r="GD63">
        <f t="shared" ca="1" si="63"/>
        <v>0</v>
      </c>
      <c r="GE63">
        <f t="shared" ca="1" si="64"/>
        <v>0</v>
      </c>
      <c r="GF63">
        <f t="shared" ca="1" si="65"/>
        <v>0</v>
      </c>
      <c r="GG63">
        <f t="shared" ca="1" si="66"/>
        <v>0</v>
      </c>
      <c r="GH63">
        <f t="shared" ca="1" si="67"/>
        <v>0</v>
      </c>
      <c r="GI63">
        <f t="shared" ca="1" si="68"/>
        <v>0</v>
      </c>
      <c r="GJ63">
        <f ca="1">IF(GC63&gt;1200000,GC63-1200000-IF(F63="YES",50000,0)-GH63,0)</f>
        <v>0</v>
      </c>
      <c r="GK63">
        <f t="shared" ca="1" si="69"/>
        <v>0</v>
      </c>
      <c r="GL63">
        <f t="shared" ca="1" si="70"/>
        <v>0</v>
      </c>
      <c r="GM63">
        <f t="shared" ca="1" si="71"/>
        <v>0</v>
      </c>
      <c r="GN63">
        <f t="shared" ca="1" si="72"/>
        <v>86005</v>
      </c>
      <c r="GO63">
        <f t="shared" ca="1" si="73"/>
        <v>4300.25</v>
      </c>
      <c r="GP63">
        <f t="shared" ca="1" si="74"/>
        <v>4300</v>
      </c>
      <c r="GQ63">
        <f t="shared" ca="1" si="75"/>
        <v>0</v>
      </c>
      <c r="GR63">
        <f t="shared" ca="1" si="76"/>
        <v>0</v>
      </c>
      <c r="GS63">
        <f t="shared" ca="1" si="77"/>
        <v>4300</v>
      </c>
      <c r="GT63">
        <f t="shared" ca="1" si="78"/>
        <v>0</v>
      </c>
      <c r="GU63" t="b">
        <f t="shared" ca="1" si="79"/>
        <v>0</v>
      </c>
      <c r="GV63">
        <f t="shared" ca="1" si="80"/>
        <v>0</v>
      </c>
      <c r="GW63">
        <f t="shared" ca="1" si="81"/>
        <v>4300</v>
      </c>
      <c r="GX63">
        <f t="shared" ca="1" si="82"/>
        <v>0</v>
      </c>
      <c r="GY63">
        <f t="shared" ca="1" si="83"/>
        <v>0</v>
      </c>
      <c r="GZ63">
        <f t="shared" ca="1" si="84"/>
        <v>0</v>
      </c>
    </row>
    <row r="64" spans="1:208" x14ac:dyDescent="0.25">
      <c r="A64">
        <f>_xlfn.AGGREGATE(3,5,$B$2:B64)</f>
        <v>63</v>
      </c>
      <c r="B64" t="s">
        <v>243</v>
      </c>
      <c r="C64" t="s">
        <v>244</v>
      </c>
      <c r="D64" t="s">
        <v>766</v>
      </c>
      <c r="E64" t="s">
        <v>831</v>
      </c>
      <c r="F64" t="s">
        <v>957</v>
      </c>
      <c r="G64" t="s">
        <v>897</v>
      </c>
      <c r="H64">
        <f t="shared" si="177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>IF(J64&gt;0,SUM(J64:N64),0)</f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85"/>
        <v>200</v>
      </c>
      <c r="S64">
        <f t="shared" si="86"/>
        <v>39510</v>
      </c>
      <c r="T64">
        <f>_xlfn.XLOOKUP(B64,'[2]april-2025'!$A:$A,'[2]april-2025'!$C:$C,0,0)</f>
        <v>33500</v>
      </c>
      <c r="U64">
        <f t="shared" si="3"/>
        <v>6030</v>
      </c>
      <c r="V64">
        <f t="shared" si="4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87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5"/>
        <v>200</v>
      </c>
      <c r="AC64">
        <f t="shared" si="6"/>
        <v>40850</v>
      </c>
      <c r="AD64">
        <f>_xlfn.XLOOKUP(B64,'[3]may-2025'!$A:$A,'[3]may-2025'!$C:$C,0,0)</f>
        <v>33500</v>
      </c>
      <c r="AE64">
        <f t="shared" si="7"/>
        <v>6030</v>
      </c>
      <c r="AF64">
        <f t="shared" si="8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88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9"/>
        <v>200</v>
      </c>
      <c r="AM64">
        <f t="shared" si="10"/>
        <v>40850</v>
      </c>
      <c r="AN64">
        <f>_xlfn.XLOOKUP(B64,'[4]june-2025'!$A:$A,'[4]june-2025'!$C:$C,0,0)</f>
        <v>33500</v>
      </c>
      <c r="AO64">
        <f t="shared" si="11"/>
        <v>6030</v>
      </c>
      <c r="AP64">
        <f t="shared" si="12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89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3"/>
        <v>200</v>
      </c>
      <c r="AW64">
        <f t="shared" si="14"/>
        <v>40850</v>
      </c>
      <c r="AX64">
        <f>_xlfn.XLOOKUP(B64,'[5]july-2025'!$A:$A,'[5]july-2025'!$C:$C,0,0)</f>
        <v>34500</v>
      </c>
      <c r="AY64">
        <f t="shared" si="15"/>
        <v>6210</v>
      </c>
      <c r="AZ64">
        <v>0</v>
      </c>
      <c r="BA64">
        <f t="shared" si="16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>IF(AX64&gt;0,SUM(AX64:BC64),0)</f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17"/>
        <v>200</v>
      </c>
      <c r="BH64">
        <f t="shared" si="18"/>
        <v>42150</v>
      </c>
      <c r="BI64">
        <f>_xlfn.XLOOKUP(B64,'[6]august-2025'!$A:$A,'[6]august-2025'!$C:$C,0,0)</f>
        <v>34500</v>
      </c>
      <c r="BJ64">
        <f t="shared" si="19"/>
        <v>6210</v>
      </c>
      <c r="BK64">
        <f t="shared" si="20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1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>IF($F64="YES",0,IF(BN64&gt;40000,200,IF(BN64&gt;25000,150,IF(BN64&gt;15000,130,IF(BN64&gt;10000,110,0)))))</f>
        <v>200</v>
      </c>
      <c r="BR64">
        <f>BN64-BO64-BP64-BQ64</f>
        <v>42150</v>
      </c>
      <c r="BS64">
        <f>_xlfn.XLOOKUP(B64,'[7]september-2025'!$A:$A,'[7]september-2025'!$C:$C,0,0)</f>
        <v>34500</v>
      </c>
      <c r="BT64">
        <f t="shared" si="22"/>
        <v>6210</v>
      </c>
      <c r="BU64">
        <f t="shared" si="23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>IF(BS64&gt;0,SUM(BS64:BW64),0)</f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24"/>
        <v>200</v>
      </c>
      <c r="CB64">
        <f t="shared" si="25"/>
        <v>42150</v>
      </c>
      <c r="CC64">
        <f>_xlfn.XLOOKUP(B64,'[8]october-2025'!$A:$A,'[8]october-2025'!$C:$C,0,0)</f>
        <v>34500</v>
      </c>
      <c r="CD64">
        <f t="shared" si="26"/>
        <v>6210</v>
      </c>
      <c r="CE64">
        <f t="shared" si="27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>IF(CC64&gt;0,SUM(CC64:CG64),0)</f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28"/>
        <v>200</v>
      </c>
      <c r="CL64">
        <f t="shared" si="29"/>
        <v>42150</v>
      </c>
      <c r="CM64">
        <f>_xlfn.XLOOKUP(B64,'[9]november-2025'!$A:$A,'[9]november-2025'!$C:$C,0,0)</f>
        <v>34500</v>
      </c>
      <c r="CN64">
        <f t="shared" si="30"/>
        <v>6210</v>
      </c>
      <c r="CO64">
        <f t="shared" si="31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>IF(CM64&gt;0,SUM(CM64:CQ64),0)</f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32"/>
        <v>200</v>
      </c>
      <c r="CV64">
        <f t="shared" si="33"/>
        <v>42150</v>
      </c>
      <c r="CW64">
        <f>_xlfn.XLOOKUP(B64,'[10]december-2025'!$A:$A,'[10]december-2025'!$C:$C,0,0)</f>
        <v>34500</v>
      </c>
      <c r="CX64">
        <f t="shared" si="34"/>
        <v>6210</v>
      </c>
      <c r="CY64">
        <f t="shared" si="35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>IF(CW64&gt;0,SUM(CW64:DA64),0)</f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36"/>
        <v>200</v>
      </c>
      <c r="DF64">
        <f t="shared" si="37"/>
        <v>42150</v>
      </c>
      <c r="DG64">
        <f>_xlfn.XLOOKUP(B64,'[11]january-2026'!$A:$A,'[11]january-2026'!$C:$C,0,0)</f>
        <v>34500</v>
      </c>
      <c r="DH64">
        <f t="shared" si="38"/>
        <v>6210</v>
      </c>
      <c r="DI64">
        <f t="shared" si="39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>IF(DG64&gt;0,SUM(DG64:DK64),0)</f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40"/>
        <v>200</v>
      </c>
      <c r="DP64">
        <f t="shared" si="41"/>
        <v>42150</v>
      </c>
      <c r="DQ64">
        <f>_xlfn.XLOOKUP(B64,'[12]february-2026'!$A:$A,'[12]february-2026'!$C:$C,0,0)</f>
        <v>34500</v>
      </c>
      <c r="DR64">
        <f t="shared" si="42"/>
        <v>6210</v>
      </c>
      <c r="DS64">
        <f t="shared" si="43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>IF(DQ64&gt;0,SUM(DQ64:DU64),0)</f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44"/>
        <v>200</v>
      </c>
      <c r="DZ64">
        <f t="shared" si="45"/>
        <v>42150</v>
      </c>
      <c r="EA64">
        <f>_xlfn.XLOOKUP(B64,'[1]march-2025'!$A:$A,'[1]march-2025'!$J:$J,0,0)</f>
        <v>0</v>
      </c>
      <c r="EB64">
        <f>_xlfn.XLOOKUP(B64,'[2]april-2025'!$A:$A,'[2]april-2025'!$J:$J,0,0)</f>
        <v>0</v>
      </c>
      <c r="EC64">
        <f>_xlfn.XLOOKUP(B64,'[3]may-2025'!$A:$A,'[3]may-2025'!$J:$J,0,0)</f>
        <v>0</v>
      </c>
      <c r="ED64">
        <f>_xlfn.XLOOKUP(B64,'[4]june-2025'!$A:$A,'[4]june-2025'!$J:$J,0,0)</f>
        <v>0</v>
      </c>
      <c r="EE64">
        <f>_xlfn.XLOOKUP(B64,'[5]july-2025'!$A:$A,'[5]july-2025'!$J:$J,0,0)</f>
        <v>0</v>
      </c>
      <c r="EF64">
        <f>_xlfn.XLOOKUP(B64,'[6]august-2025'!$A:$A,'[6]august-2025'!$J:$J,0,0)</f>
        <v>0</v>
      </c>
      <c r="EG64">
        <f>_xlfn.XLOOKUP(B64,'[7]september-2025'!$A:$A,'[7]september-2025'!$J:$J,0,0)</f>
        <v>0</v>
      </c>
      <c r="EH64">
        <f>_xlfn.XLOOKUP(B64,'[8]october-2025'!$A:$A,'[8]october-2025'!$J:$J,0,0)</f>
        <v>0</v>
      </c>
      <c r="EI64">
        <f>_xlfn.XLOOKUP(C64,'[9]november-2025'!$A:$A,'[9]november-2025'!$J:$J,0,0)</f>
        <v>0</v>
      </c>
      <c r="EJ64">
        <f>_xlfn.XLOOKUP(B64,'[10]december-2025'!$A:$A,'[10]december-2025'!$J:$J,0,0)</f>
        <v>0</v>
      </c>
      <c r="EK64">
        <f>_xlfn.XLOOKUP(B64,'[11]january-2026'!$A:$A,'[11]january-2026'!$J:$J,0,0)</f>
        <v>0</v>
      </c>
      <c r="EL64">
        <f>_xlfn.XLOOKUP(B64,'[12]february-2026'!$A:$A,'[12]february-2026'!$J:$J,0,0)</f>
        <v>0</v>
      </c>
      <c r="EM64">
        <f t="shared" si="90"/>
        <v>0</v>
      </c>
      <c r="EN64">
        <f>DV64+DL64+DB64+CR64+CH64+BX64+BN64+BD64+AS64+AI64+Y64+O64+H64+I64</f>
        <v>538460</v>
      </c>
      <c r="EO64">
        <f>DY64+DO64+DE64+CU64+CK64+CA64+BQ64+BG64+AV64+AL64+AB64+R64</f>
        <v>2400</v>
      </c>
      <c r="EP64">
        <f t="shared" si="46"/>
        <v>50000</v>
      </c>
      <c r="EQ64">
        <v>0</v>
      </c>
      <c r="ER64">
        <f t="shared" si="91"/>
        <v>486060</v>
      </c>
      <c r="ES64">
        <f>DW64+DM64+DC64+CS64+CI64+BY64+BO64+BE64+AT64+AJ64+Z64+P64</f>
        <v>30000</v>
      </c>
      <c r="ET64">
        <f>DX64+DN64+DD64+CT64+CJ64+BZ64+BP64+BF64+AU64+AK64+AA64+Q64</f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47"/>
        <v>30000</v>
      </c>
      <c r="FF64">
        <f t="shared" si="48"/>
        <v>30000</v>
      </c>
      <c r="FG64">
        <f t="shared" si="49"/>
        <v>456060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>SUM(FH64:FN64)+(IF(F64="YES",50000,0))</f>
        <v>0</v>
      </c>
      <c r="FP64">
        <f t="shared" si="50"/>
        <v>456060</v>
      </c>
      <c r="FQ64">
        <f t="shared" si="51"/>
        <v>10303</v>
      </c>
      <c r="FR64">
        <f t="shared" si="52"/>
        <v>0</v>
      </c>
      <c r="FS64">
        <f t="shared" si="53"/>
        <v>10303</v>
      </c>
      <c r="FT64">
        <f t="shared" si="54"/>
        <v>0</v>
      </c>
      <c r="FU64">
        <f t="shared" si="55"/>
        <v>0</v>
      </c>
      <c r="FV64">
        <f t="shared" si="56"/>
        <v>0</v>
      </c>
      <c r="FW64">
        <v>0</v>
      </c>
      <c r="FX64">
        <f t="shared" si="57"/>
        <v>0</v>
      </c>
      <c r="FY64" t="b">
        <f t="shared" si="58"/>
        <v>1</v>
      </c>
      <c r="FZ64">
        <f t="shared" ca="1" si="59"/>
        <v>832</v>
      </c>
      <c r="GA64">
        <f t="shared" ca="1" si="60"/>
        <v>539292</v>
      </c>
      <c r="GB64">
        <f t="shared" si="61"/>
        <v>75000</v>
      </c>
      <c r="GC64">
        <f t="shared" ca="1" si="62"/>
        <v>464292</v>
      </c>
      <c r="GD64">
        <f t="shared" ca="1" si="63"/>
        <v>0</v>
      </c>
      <c r="GE64">
        <f t="shared" ca="1" si="64"/>
        <v>0</v>
      </c>
      <c r="GF64">
        <f t="shared" ca="1" si="65"/>
        <v>0</v>
      </c>
      <c r="GG64">
        <f t="shared" ca="1" si="66"/>
        <v>0</v>
      </c>
      <c r="GH64">
        <f t="shared" ca="1" si="67"/>
        <v>0</v>
      </c>
      <c r="GI64">
        <f t="shared" ca="1" si="68"/>
        <v>0</v>
      </c>
      <c r="GJ64">
        <f ca="1">IF(GC64&gt;1200000,GC64-1200000-IF(F64="YES",50000,0)-GH64,0)</f>
        <v>0</v>
      </c>
      <c r="GK64">
        <f t="shared" ca="1" si="69"/>
        <v>0</v>
      </c>
      <c r="GL64">
        <f t="shared" ca="1" si="70"/>
        <v>0</v>
      </c>
      <c r="GM64">
        <f t="shared" ca="1" si="71"/>
        <v>0</v>
      </c>
      <c r="GN64">
        <f t="shared" ca="1" si="72"/>
        <v>64292</v>
      </c>
      <c r="GO64">
        <f t="shared" ca="1" si="73"/>
        <v>3214.6000000000004</v>
      </c>
      <c r="GP64">
        <f t="shared" ca="1" si="74"/>
        <v>3215</v>
      </c>
      <c r="GQ64">
        <f t="shared" ca="1" si="75"/>
        <v>0</v>
      </c>
      <c r="GR64">
        <f t="shared" ca="1" si="76"/>
        <v>0</v>
      </c>
      <c r="GS64">
        <f t="shared" ca="1" si="77"/>
        <v>3215</v>
      </c>
      <c r="GT64">
        <f t="shared" ca="1" si="78"/>
        <v>0</v>
      </c>
      <c r="GU64" t="b">
        <f t="shared" ca="1" si="79"/>
        <v>0</v>
      </c>
      <c r="GV64">
        <f t="shared" ca="1" si="80"/>
        <v>0</v>
      </c>
      <c r="GW64">
        <f t="shared" ca="1" si="81"/>
        <v>3215</v>
      </c>
      <c r="GX64">
        <f t="shared" ca="1" si="82"/>
        <v>0</v>
      </c>
      <c r="GY64">
        <f t="shared" ca="1" si="83"/>
        <v>0</v>
      </c>
      <c r="GZ64">
        <f t="shared" ca="1" si="84"/>
        <v>0</v>
      </c>
    </row>
    <row r="65" spans="1:208" x14ac:dyDescent="0.25">
      <c r="A65">
        <f>_xlfn.AGGREGATE(3,5,$B$2:B65)</f>
        <v>64</v>
      </c>
      <c r="B65" t="s">
        <v>245</v>
      </c>
      <c r="C65" t="s">
        <v>246</v>
      </c>
      <c r="D65" t="s">
        <v>766</v>
      </c>
      <c r="E65" t="s">
        <v>832</v>
      </c>
      <c r="F65" t="s">
        <v>957</v>
      </c>
      <c r="G65" t="s">
        <v>891</v>
      </c>
      <c r="H65">
        <f t="shared" si="177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>IF(J65&gt;0,SUM(J65:N65),0)</f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85"/>
        <v>200</v>
      </c>
      <c r="S65">
        <f t="shared" si="86"/>
        <v>39510</v>
      </c>
      <c r="T65">
        <f>_xlfn.XLOOKUP(B65,'[2]april-2025'!$A:$A,'[2]april-2025'!$C:$C,0,0)</f>
        <v>33500</v>
      </c>
      <c r="U65">
        <f t="shared" si="3"/>
        <v>6030</v>
      </c>
      <c r="V65">
        <f t="shared" si="4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87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5"/>
        <v>200</v>
      </c>
      <c r="AC65">
        <f t="shared" si="6"/>
        <v>40850</v>
      </c>
      <c r="AD65">
        <f>_xlfn.XLOOKUP(B65,'[3]may-2025'!$A:$A,'[3]may-2025'!$C:$C,0,0)</f>
        <v>33500</v>
      </c>
      <c r="AE65">
        <f t="shared" si="7"/>
        <v>6030</v>
      </c>
      <c r="AF65">
        <f t="shared" si="8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88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9"/>
        <v>200</v>
      </c>
      <c r="AM65">
        <f t="shared" si="10"/>
        <v>40850</v>
      </c>
      <c r="AN65">
        <f>_xlfn.XLOOKUP(B65,'[4]june-2025'!$A:$A,'[4]june-2025'!$C:$C,0,0)</f>
        <v>33500</v>
      </c>
      <c r="AO65">
        <f t="shared" si="11"/>
        <v>6030</v>
      </c>
      <c r="AP65">
        <f t="shared" si="12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89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3"/>
        <v>200</v>
      </c>
      <c r="AW65">
        <f t="shared" si="14"/>
        <v>40850</v>
      </c>
      <c r="AX65">
        <f>_xlfn.XLOOKUP(B65,'[5]july-2025'!$A:$A,'[5]july-2025'!$C:$C,0,0)</f>
        <v>35500</v>
      </c>
      <c r="AY65">
        <f t="shared" si="15"/>
        <v>6390</v>
      </c>
      <c r="AZ65">
        <v>0</v>
      </c>
      <c r="BA65">
        <f t="shared" si="16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>IF(AX65&gt;0,SUM(AX65:BC65),0)</f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17"/>
        <v>200</v>
      </c>
      <c r="BH65">
        <f t="shared" si="18"/>
        <v>43450</v>
      </c>
      <c r="BI65">
        <f>_xlfn.XLOOKUP(B65,'[6]august-2025'!$A:$A,'[6]august-2025'!$C:$C,0,0)</f>
        <v>35500</v>
      </c>
      <c r="BJ65">
        <f t="shared" si="19"/>
        <v>6390</v>
      </c>
      <c r="BK65">
        <f t="shared" si="20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1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>IF($F65="YES",0,IF(BN65&gt;40000,200,IF(BN65&gt;25000,150,IF(BN65&gt;15000,130,IF(BN65&gt;10000,110,0)))))</f>
        <v>200</v>
      </c>
      <c r="BR65">
        <f>BN65-BO65-BP65-BQ65</f>
        <v>43450</v>
      </c>
      <c r="BS65">
        <f>_xlfn.XLOOKUP(B65,'[7]september-2025'!$A:$A,'[7]september-2025'!$C:$C,0,0)</f>
        <v>35500</v>
      </c>
      <c r="BT65">
        <f t="shared" si="22"/>
        <v>6390</v>
      </c>
      <c r="BU65">
        <f t="shared" si="23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>IF(BS65&gt;0,SUM(BS65:BW65),0)</f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24"/>
        <v>200</v>
      </c>
      <c r="CB65">
        <f t="shared" si="25"/>
        <v>43450</v>
      </c>
      <c r="CC65">
        <f>_xlfn.XLOOKUP(B65,'[8]october-2025'!$A:$A,'[8]october-2025'!$C:$C,0,0)</f>
        <v>35500</v>
      </c>
      <c r="CD65">
        <f t="shared" si="26"/>
        <v>6390</v>
      </c>
      <c r="CE65">
        <f t="shared" si="27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>IF(CC65&gt;0,SUM(CC65:CG65),0)</f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28"/>
        <v>200</v>
      </c>
      <c r="CL65">
        <f t="shared" si="29"/>
        <v>43450</v>
      </c>
      <c r="CM65">
        <f>_xlfn.XLOOKUP(B65,'[9]november-2025'!$A:$A,'[9]november-2025'!$C:$C,0,0)</f>
        <v>35500</v>
      </c>
      <c r="CN65">
        <f t="shared" si="30"/>
        <v>6390</v>
      </c>
      <c r="CO65">
        <f t="shared" si="31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>IF(CM65&gt;0,SUM(CM65:CQ65),0)</f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32"/>
        <v>200</v>
      </c>
      <c r="CV65">
        <f t="shared" si="33"/>
        <v>43450</v>
      </c>
      <c r="CW65">
        <f>_xlfn.XLOOKUP(B65,'[10]december-2025'!$A:$A,'[10]december-2025'!$C:$C,0,0)</f>
        <v>35500</v>
      </c>
      <c r="CX65">
        <f t="shared" si="34"/>
        <v>6390</v>
      </c>
      <c r="CY65">
        <f t="shared" si="35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>IF(CW65&gt;0,SUM(CW65:DA65),0)</f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36"/>
        <v>200</v>
      </c>
      <c r="DF65">
        <f t="shared" si="37"/>
        <v>43450</v>
      </c>
      <c r="DG65">
        <f>_xlfn.XLOOKUP(B65,'[11]january-2026'!$A:$A,'[11]january-2026'!$C:$C,0,0)</f>
        <v>35500</v>
      </c>
      <c r="DH65">
        <f t="shared" si="38"/>
        <v>6390</v>
      </c>
      <c r="DI65">
        <f t="shared" si="39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>IF(DG65&gt;0,SUM(DG65:DK65),0)</f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40"/>
        <v>200</v>
      </c>
      <c r="DP65">
        <f t="shared" si="41"/>
        <v>43450</v>
      </c>
      <c r="DQ65">
        <f>_xlfn.XLOOKUP(B65,'[12]february-2026'!$A:$A,'[12]february-2026'!$C:$C,0,0)</f>
        <v>35500</v>
      </c>
      <c r="DR65">
        <f t="shared" si="42"/>
        <v>6390</v>
      </c>
      <c r="DS65">
        <f t="shared" si="43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>IF(DQ65&gt;0,SUM(DQ65:DU65),0)</f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44"/>
        <v>200</v>
      </c>
      <c r="DZ65">
        <f t="shared" si="45"/>
        <v>43450</v>
      </c>
      <c r="EA65">
        <f>_xlfn.XLOOKUP(B65,'[1]march-2025'!$A:$A,'[1]march-2025'!$J:$J,0,0)</f>
        <v>0</v>
      </c>
      <c r="EB65">
        <f>_xlfn.XLOOKUP(B65,'[2]april-2025'!$A:$A,'[2]april-2025'!$J:$J,0,0)</f>
        <v>0</v>
      </c>
      <c r="EC65">
        <f>_xlfn.XLOOKUP(B65,'[3]may-2025'!$A:$A,'[3]may-2025'!$J:$J,0,0)</f>
        <v>0</v>
      </c>
      <c r="ED65">
        <f>_xlfn.XLOOKUP(B65,'[4]june-2025'!$A:$A,'[4]june-2025'!$J:$J,0,0)</f>
        <v>0</v>
      </c>
      <c r="EE65">
        <f>_xlfn.XLOOKUP(B65,'[5]july-2025'!$A:$A,'[5]july-2025'!$J:$J,0,0)</f>
        <v>0</v>
      </c>
      <c r="EF65">
        <f>_xlfn.XLOOKUP(B65,'[6]august-2025'!$A:$A,'[6]august-2025'!$J:$J,0,0)</f>
        <v>0</v>
      </c>
      <c r="EG65">
        <f>_xlfn.XLOOKUP(B65,'[7]september-2025'!$A:$A,'[7]september-2025'!$J:$J,0,0)</f>
        <v>0</v>
      </c>
      <c r="EH65">
        <f>_xlfn.XLOOKUP(B65,'[8]october-2025'!$A:$A,'[8]october-2025'!$J:$J,0,0)</f>
        <v>0</v>
      </c>
      <c r="EI65">
        <f>_xlfn.XLOOKUP(C65,'[9]november-2025'!$A:$A,'[9]november-2025'!$J:$J,0,0)</f>
        <v>0</v>
      </c>
      <c r="EJ65">
        <f>_xlfn.XLOOKUP(B65,'[10]december-2025'!$A:$A,'[10]december-2025'!$J:$J,0,0)</f>
        <v>0</v>
      </c>
      <c r="EK65">
        <f>_xlfn.XLOOKUP(B65,'[11]january-2026'!$A:$A,'[11]january-2026'!$J:$J,0,0)</f>
        <v>0</v>
      </c>
      <c r="EL65">
        <f>_xlfn.XLOOKUP(B65,'[12]february-2026'!$A:$A,'[12]february-2026'!$J:$J,0,0)</f>
        <v>0</v>
      </c>
      <c r="EM65">
        <f t="shared" si="90"/>
        <v>0</v>
      </c>
      <c r="EN65">
        <f>DV65+DL65+DB65+CR65+CH65+BX65+BN65+BD65+AS65+AI65+Y65+O65+H65+I65</f>
        <v>548860</v>
      </c>
      <c r="EO65">
        <f>DY65+DO65+DE65+CU65+CK65+CA65+BQ65+BG65+AV65+AL65+AB65+R65</f>
        <v>2400</v>
      </c>
      <c r="EP65">
        <f t="shared" si="46"/>
        <v>50000</v>
      </c>
      <c r="EQ65">
        <v>0</v>
      </c>
      <c r="ER65">
        <f t="shared" si="91"/>
        <v>496460</v>
      </c>
      <c r="ES65">
        <f>DW65+DM65+DC65+CS65+CI65+BY65+BO65+BE65+AT65+AJ65+Z65+P65</f>
        <v>30000</v>
      </c>
      <c r="ET65">
        <f>DX65+DN65+DD65+CT65+CJ65+BZ65+BP65+BF65+AU65+AK65+AA65+Q65</f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47"/>
        <v>30000</v>
      </c>
      <c r="FF65">
        <f t="shared" si="48"/>
        <v>30000</v>
      </c>
      <c r="FG65">
        <f t="shared" si="49"/>
        <v>466460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>SUM(FH65:FN65)+(IF(F65="YES",50000,0))</f>
        <v>0</v>
      </c>
      <c r="FP65">
        <f t="shared" si="50"/>
        <v>466460</v>
      </c>
      <c r="FQ65">
        <f t="shared" si="51"/>
        <v>10823</v>
      </c>
      <c r="FR65">
        <f t="shared" si="52"/>
        <v>0</v>
      </c>
      <c r="FS65">
        <f t="shared" si="53"/>
        <v>10823</v>
      </c>
      <c r="FT65">
        <f t="shared" si="54"/>
        <v>0</v>
      </c>
      <c r="FU65">
        <f t="shared" si="55"/>
        <v>0</v>
      </c>
      <c r="FV65">
        <f t="shared" si="56"/>
        <v>0</v>
      </c>
      <c r="FW65">
        <v>0</v>
      </c>
      <c r="FX65">
        <f t="shared" si="57"/>
        <v>0</v>
      </c>
      <c r="FY65" t="b">
        <f t="shared" si="58"/>
        <v>1</v>
      </c>
      <c r="FZ65">
        <f t="shared" ca="1" si="59"/>
        <v>506</v>
      </c>
      <c r="GA65">
        <f t="shared" ca="1" si="60"/>
        <v>549366</v>
      </c>
      <c r="GB65">
        <f t="shared" si="61"/>
        <v>75000</v>
      </c>
      <c r="GC65">
        <f t="shared" ca="1" si="62"/>
        <v>474366</v>
      </c>
      <c r="GD65">
        <f t="shared" ca="1" si="63"/>
        <v>0</v>
      </c>
      <c r="GE65">
        <f t="shared" ca="1" si="64"/>
        <v>0</v>
      </c>
      <c r="GF65">
        <f t="shared" ca="1" si="65"/>
        <v>0</v>
      </c>
      <c r="GG65">
        <f t="shared" ca="1" si="66"/>
        <v>0</v>
      </c>
      <c r="GH65">
        <f t="shared" ca="1" si="67"/>
        <v>0</v>
      </c>
      <c r="GI65">
        <f t="shared" ca="1" si="68"/>
        <v>0</v>
      </c>
      <c r="GJ65">
        <f ca="1">IF(GC65&gt;1200000,GC65-1200000-IF(F65="YES",50000,0)-GH65,0)</f>
        <v>0</v>
      </c>
      <c r="GK65">
        <f t="shared" ca="1" si="69"/>
        <v>0</v>
      </c>
      <c r="GL65">
        <f t="shared" ca="1" si="70"/>
        <v>0</v>
      </c>
      <c r="GM65">
        <f t="shared" ca="1" si="71"/>
        <v>0</v>
      </c>
      <c r="GN65">
        <f t="shared" ca="1" si="72"/>
        <v>74366</v>
      </c>
      <c r="GO65">
        <f t="shared" ca="1" si="73"/>
        <v>3718.3</v>
      </c>
      <c r="GP65">
        <f t="shared" ca="1" si="74"/>
        <v>3718</v>
      </c>
      <c r="GQ65">
        <f t="shared" ca="1" si="75"/>
        <v>0</v>
      </c>
      <c r="GR65">
        <f t="shared" ca="1" si="76"/>
        <v>0</v>
      </c>
      <c r="GS65">
        <f t="shared" ca="1" si="77"/>
        <v>3718</v>
      </c>
      <c r="GT65">
        <f t="shared" ca="1" si="78"/>
        <v>0</v>
      </c>
      <c r="GU65" t="b">
        <f t="shared" ca="1" si="79"/>
        <v>0</v>
      </c>
      <c r="GV65">
        <f t="shared" ca="1" si="80"/>
        <v>0</v>
      </c>
      <c r="GW65">
        <f t="shared" ca="1" si="81"/>
        <v>3718</v>
      </c>
      <c r="GX65">
        <f t="shared" ca="1" si="82"/>
        <v>0</v>
      </c>
      <c r="GY65">
        <f t="shared" ca="1" si="83"/>
        <v>0</v>
      </c>
      <c r="GZ65">
        <f t="shared" ca="1" si="84"/>
        <v>0</v>
      </c>
    </row>
    <row r="66" spans="1:208" x14ac:dyDescent="0.25">
      <c r="A66">
        <f>_xlfn.AGGREGATE(3,5,$B$2:B66)</f>
        <v>65</v>
      </c>
      <c r="B66" t="s">
        <v>247</v>
      </c>
      <c r="C66" t="s">
        <v>248</v>
      </c>
      <c r="D66" t="s">
        <v>766</v>
      </c>
      <c r="E66" t="s">
        <v>831</v>
      </c>
      <c r="F66" t="s">
        <v>957</v>
      </c>
      <c r="G66" t="s">
        <v>879</v>
      </c>
      <c r="H66">
        <f t="shared" si="177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>IF(J66&gt;0,SUM(J66:N66),0)</f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85"/>
        <v>200</v>
      </c>
      <c r="S66">
        <f t="shared" si="86"/>
        <v>38116</v>
      </c>
      <c r="T66">
        <f>_xlfn.XLOOKUP(B66,'[2]april-2025'!$A:$A,'[2]april-2025'!$C:$C,0,0)</f>
        <v>31600</v>
      </c>
      <c r="U66">
        <f t="shared" si="3"/>
        <v>5688</v>
      </c>
      <c r="V66">
        <f t="shared" si="4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87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5"/>
        <v>200</v>
      </c>
      <c r="AC66">
        <f t="shared" si="6"/>
        <v>39380</v>
      </c>
      <c r="AD66">
        <f>_xlfn.XLOOKUP(B66,'[3]may-2025'!$A:$A,'[3]may-2025'!$C:$C,0,0)</f>
        <v>31600</v>
      </c>
      <c r="AE66">
        <f t="shared" si="7"/>
        <v>5688</v>
      </c>
      <c r="AF66">
        <f t="shared" si="8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88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9"/>
        <v>200</v>
      </c>
      <c r="AM66">
        <f t="shared" si="10"/>
        <v>39380</v>
      </c>
      <c r="AN66">
        <f>_xlfn.XLOOKUP(B66,'[4]june-2025'!$A:$A,'[4]june-2025'!$C:$C,0,0)</f>
        <v>31600</v>
      </c>
      <c r="AO66">
        <f t="shared" si="11"/>
        <v>5688</v>
      </c>
      <c r="AP66">
        <f t="shared" si="12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89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3"/>
        <v>200</v>
      </c>
      <c r="AW66">
        <f t="shared" si="14"/>
        <v>39380</v>
      </c>
      <c r="AX66">
        <f>_xlfn.XLOOKUP(B66,'[5]july-2025'!$A:$A,'[5]july-2025'!$C:$C,0,0)</f>
        <v>32500</v>
      </c>
      <c r="AY66">
        <f t="shared" si="15"/>
        <v>5850</v>
      </c>
      <c r="AZ66">
        <v>0</v>
      </c>
      <c r="BA66">
        <f t="shared" si="16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>IF(AX66&gt;0,SUM(AX66:BC66),0)</f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17"/>
        <v>200</v>
      </c>
      <c r="BH66">
        <f t="shared" si="18"/>
        <v>40550</v>
      </c>
      <c r="BI66">
        <f>_xlfn.XLOOKUP(B66,'[6]august-2025'!$A:$A,'[6]august-2025'!$C:$C,0,0)</f>
        <v>32500</v>
      </c>
      <c r="BJ66">
        <f t="shared" si="19"/>
        <v>5850</v>
      </c>
      <c r="BK66">
        <f t="shared" si="20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1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>IF($F66="YES",0,IF(BN66&gt;40000,200,IF(BN66&gt;25000,150,IF(BN66&gt;15000,130,IF(BN66&gt;10000,110,0)))))</f>
        <v>200</v>
      </c>
      <c r="BR66">
        <f>BN66-BO66-BP66-BQ66</f>
        <v>40550</v>
      </c>
      <c r="BS66">
        <f>_xlfn.XLOOKUP(B66,'[7]september-2025'!$A:$A,'[7]september-2025'!$C:$C,0,0)</f>
        <v>32500</v>
      </c>
      <c r="BT66">
        <f t="shared" si="22"/>
        <v>5850</v>
      </c>
      <c r="BU66">
        <f t="shared" si="23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>IF(BS66&gt;0,SUM(BS66:BW66),0)</f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24"/>
        <v>200</v>
      </c>
      <c r="CB66">
        <f t="shared" si="25"/>
        <v>40550</v>
      </c>
      <c r="CC66">
        <f>_xlfn.XLOOKUP(B66,'[8]october-2025'!$A:$A,'[8]october-2025'!$C:$C,0,0)</f>
        <v>32500</v>
      </c>
      <c r="CD66">
        <f t="shared" si="26"/>
        <v>5850</v>
      </c>
      <c r="CE66">
        <f t="shared" si="27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>IF(CC66&gt;0,SUM(CC66:CG66),0)</f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28"/>
        <v>200</v>
      </c>
      <c r="CL66">
        <f t="shared" si="29"/>
        <v>40550</v>
      </c>
      <c r="CM66">
        <f>_xlfn.XLOOKUP(B66,'[9]november-2025'!$A:$A,'[9]november-2025'!$C:$C,0,0)</f>
        <v>32500</v>
      </c>
      <c r="CN66">
        <f t="shared" si="30"/>
        <v>5850</v>
      </c>
      <c r="CO66">
        <f t="shared" si="31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>IF(CM66&gt;0,SUM(CM66:CQ66),0)</f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32"/>
        <v>200</v>
      </c>
      <c r="CV66">
        <f t="shared" si="33"/>
        <v>40550</v>
      </c>
      <c r="CW66">
        <f>_xlfn.XLOOKUP(B66,'[10]december-2025'!$A:$A,'[10]december-2025'!$C:$C,0,0)</f>
        <v>32500</v>
      </c>
      <c r="CX66">
        <f t="shared" si="34"/>
        <v>5850</v>
      </c>
      <c r="CY66">
        <f t="shared" si="35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>IF(CW66&gt;0,SUM(CW66:DA66),0)</f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36"/>
        <v>200</v>
      </c>
      <c r="DF66">
        <f t="shared" si="37"/>
        <v>40550</v>
      </c>
      <c r="DG66">
        <f>_xlfn.XLOOKUP(B66,'[11]january-2026'!$A:$A,'[11]january-2026'!$C:$C,0,0)</f>
        <v>32500</v>
      </c>
      <c r="DH66">
        <f t="shared" si="38"/>
        <v>5850</v>
      </c>
      <c r="DI66">
        <f t="shared" si="39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>IF(DG66&gt;0,SUM(DG66:DK66),0)</f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40"/>
        <v>200</v>
      </c>
      <c r="DP66">
        <f t="shared" si="41"/>
        <v>40550</v>
      </c>
      <c r="DQ66">
        <f>_xlfn.XLOOKUP(B66,'[12]february-2026'!$A:$A,'[12]february-2026'!$C:$C,0,0)</f>
        <v>32500</v>
      </c>
      <c r="DR66">
        <f t="shared" si="42"/>
        <v>5850</v>
      </c>
      <c r="DS66">
        <f t="shared" si="43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>IF(DQ66&gt;0,SUM(DQ66:DU66),0)</f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44"/>
        <v>200</v>
      </c>
      <c r="DZ66">
        <f t="shared" si="45"/>
        <v>40550</v>
      </c>
      <c r="EA66">
        <f>_xlfn.XLOOKUP(B66,'[1]march-2025'!$A:$A,'[1]march-2025'!$J:$J,0,0)</f>
        <v>0</v>
      </c>
      <c r="EB66">
        <f>_xlfn.XLOOKUP(B66,'[2]april-2025'!$A:$A,'[2]april-2025'!$J:$J,0,0)</f>
        <v>0</v>
      </c>
      <c r="EC66">
        <f>_xlfn.XLOOKUP(B66,'[3]may-2025'!$A:$A,'[3]may-2025'!$J:$J,0,0)</f>
        <v>0</v>
      </c>
      <c r="ED66">
        <f>_xlfn.XLOOKUP(B66,'[4]june-2025'!$A:$A,'[4]june-2025'!$J:$J,0,0)</f>
        <v>0</v>
      </c>
      <c r="EE66">
        <f>_xlfn.XLOOKUP(B66,'[5]july-2025'!$A:$A,'[5]july-2025'!$J:$J,0,0)</f>
        <v>0</v>
      </c>
      <c r="EF66">
        <f>_xlfn.XLOOKUP(B66,'[6]august-2025'!$A:$A,'[6]august-2025'!$J:$J,0,0)</f>
        <v>0</v>
      </c>
      <c r="EG66">
        <f>_xlfn.XLOOKUP(B66,'[7]september-2025'!$A:$A,'[7]september-2025'!$J:$J,0,0)</f>
        <v>0</v>
      </c>
      <c r="EH66">
        <f>_xlfn.XLOOKUP(B66,'[8]october-2025'!$A:$A,'[8]october-2025'!$J:$J,0,0)</f>
        <v>0</v>
      </c>
      <c r="EI66">
        <f>_xlfn.XLOOKUP(C66,'[9]november-2025'!$A:$A,'[9]november-2025'!$J:$J,0,0)</f>
        <v>0</v>
      </c>
      <c r="EJ66">
        <f>_xlfn.XLOOKUP(B66,'[10]december-2025'!$A:$A,'[10]december-2025'!$J:$J,0,0)</f>
        <v>0</v>
      </c>
      <c r="EK66">
        <f>_xlfn.XLOOKUP(B66,'[11]january-2026'!$A:$A,'[11]january-2026'!$J:$J,0,0)</f>
        <v>0</v>
      </c>
      <c r="EL66">
        <f>_xlfn.XLOOKUP(B66,'[12]february-2026'!$A:$A,'[12]february-2026'!$J:$J,0,0)</f>
        <v>0</v>
      </c>
      <c r="EM66">
        <f t="shared" si="90"/>
        <v>0</v>
      </c>
      <c r="EN66">
        <f>DV66+DL66+DB66+CR66+CH66+BX66+BN66+BD66+AS66+AI66+Y66+O66+H66+I66</f>
        <v>513856</v>
      </c>
      <c r="EO66">
        <f>DY66+DO66+DE66+CU66+CK66+CA66+BQ66+BG66+AV66+AL66+AB66+R66</f>
        <v>2400</v>
      </c>
      <c r="EP66">
        <f t="shared" si="46"/>
        <v>50000</v>
      </c>
      <c r="EQ66">
        <v>0</v>
      </c>
      <c r="ER66">
        <f t="shared" si="91"/>
        <v>461456</v>
      </c>
      <c r="ES66">
        <f>DW66+DM66+DC66+CS66+CI66+BY66+BO66+BE66+AT66+AJ66+Z66+P66</f>
        <v>24000</v>
      </c>
      <c r="ET66">
        <f>DX66+DN66+DD66+CT66+CJ66+BZ66+BP66+BF66+AU66+AK66+AA66+Q66</f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47"/>
        <v>24000</v>
      </c>
      <c r="FF66">
        <f t="shared" si="48"/>
        <v>24000</v>
      </c>
      <c r="FG66">
        <f t="shared" si="49"/>
        <v>437456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>SUM(FH66:FN66)+(IF(F66="YES",50000,0))</f>
        <v>0</v>
      </c>
      <c r="FP66">
        <f t="shared" si="50"/>
        <v>437456</v>
      </c>
      <c r="FQ66">
        <f t="shared" si="51"/>
        <v>9373</v>
      </c>
      <c r="FR66">
        <f t="shared" si="52"/>
        <v>0</v>
      </c>
      <c r="FS66">
        <f t="shared" si="53"/>
        <v>9373</v>
      </c>
      <c r="FT66">
        <f t="shared" si="54"/>
        <v>0</v>
      </c>
      <c r="FU66">
        <f t="shared" si="55"/>
        <v>0</v>
      </c>
      <c r="FV66">
        <f t="shared" si="56"/>
        <v>0</v>
      </c>
      <c r="FW66">
        <v>0</v>
      </c>
      <c r="FX66">
        <f t="shared" si="57"/>
        <v>0</v>
      </c>
      <c r="FY66" t="b">
        <f t="shared" si="58"/>
        <v>1</v>
      </c>
      <c r="FZ66">
        <f t="shared" ca="1" si="59"/>
        <v>583</v>
      </c>
      <c r="GA66">
        <f t="shared" ca="1" si="60"/>
        <v>514439</v>
      </c>
      <c r="GB66">
        <f t="shared" si="61"/>
        <v>75000</v>
      </c>
      <c r="GC66">
        <f t="shared" ca="1" si="62"/>
        <v>439439</v>
      </c>
      <c r="GD66">
        <f t="shared" ca="1" si="63"/>
        <v>0</v>
      </c>
      <c r="GE66">
        <f t="shared" ca="1" si="64"/>
        <v>0</v>
      </c>
      <c r="GF66">
        <f t="shared" ca="1" si="65"/>
        <v>0</v>
      </c>
      <c r="GG66">
        <f t="shared" ca="1" si="66"/>
        <v>0</v>
      </c>
      <c r="GH66">
        <f t="shared" ca="1" si="67"/>
        <v>0</v>
      </c>
      <c r="GI66">
        <f t="shared" ca="1" si="68"/>
        <v>0</v>
      </c>
      <c r="GJ66">
        <f ca="1">IF(GC66&gt;1200000,GC66-1200000-IF(F66="YES",50000,0)-GH66,0)</f>
        <v>0</v>
      </c>
      <c r="GK66">
        <f t="shared" ca="1" si="69"/>
        <v>0</v>
      </c>
      <c r="GL66">
        <f t="shared" ca="1" si="70"/>
        <v>0</v>
      </c>
      <c r="GM66">
        <f t="shared" ca="1" si="71"/>
        <v>0</v>
      </c>
      <c r="GN66">
        <f t="shared" ca="1" si="72"/>
        <v>39439</v>
      </c>
      <c r="GO66">
        <f t="shared" ca="1" si="73"/>
        <v>1971.95</v>
      </c>
      <c r="GP66">
        <f t="shared" ca="1" si="74"/>
        <v>1972</v>
      </c>
      <c r="GQ66">
        <f t="shared" ca="1" si="75"/>
        <v>0</v>
      </c>
      <c r="GR66">
        <f t="shared" ca="1" si="76"/>
        <v>0</v>
      </c>
      <c r="GS66">
        <f t="shared" ca="1" si="77"/>
        <v>1972</v>
      </c>
      <c r="GT66">
        <f t="shared" ca="1" si="78"/>
        <v>0</v>
      </c>
      <c r="GU66" t="b">
        <f t="shared" ca="1" si="79"/>
        <v>0</v>
      </c>
      <c r="GV66">
        <f t="shared" ca="1" si="80"/>
        <v>0</v>
      </c>
      <c r="GW66">
        <f t="shared" ca="1" si="81"/>
        <v>1972</v>
      </c>
      <c r="GX66">
        <f t="shared" ca="1" si="82"/>
        <v>0</v>
      </c>
      <c r="GY66">
        <f t="shared" ca="1" si="83"/>
        <v>0</v>
      </c>
      <c r="GZ66">
        <f t="shared" ca="1" si="84"/>
        <v>0</v>
      </c>
    </row>
    <row r="67" spans="1:208" x14ac:dyDescent="0.25">
      <c r="A67">
        <f>_xlfn.AGGREGATE(3,5,$B$2:B67)</f>
        <v>66</v>
      </c>
      <c r="B67" t="s">
        <v>249</v>
      </c>
      <c r="C67" t="s">
        <v>250</v>
      </c>
      <c r="D67" t="s">
        <v>766</v>
      </c>
      <c r="E67" t="s">
        <v>834</v>
      </c>
      <c r="F67" t="s">
        <v>959</v>
      </c>
      <c r="G67" t="s">
        <v>879</v>
      </c>
      <c r="H67">
        <f t="shared" ref="H67:H98" si="178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1" si="179">J67*0.14</f>
        <v>4298</v>
      </c>
      <c r="L67">
        <f t="shared" ref="L67:L131" si="180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>IF(J67&gt;0,SUM(J67:N67),0)</f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85"/>
        <v>150</v>
      </c>
      <c r="S67">
        <f t="shared" ref="S67:S130" si="181">O67-P67-Q67-R67</f>
        <v>37032</v>
      </c>
      <c r="T67">
        <f>_xlfn.XLOOKUP(B67,'[2]april-2025'!$A:$A,'[2]april-2025'!$C:$C,0,0)</f>
        <v>30700</v>
      </c>
      <c r="U67">
        <f t="shared" ref="U67:U131" si="182">T67*0.18</f>
        <v>5526</v>
      </c>
      <c r="V67">
        <f t="shared" ref="V67:V131" si="183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0" si="184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1" si="185">IF($F67="YES",0,IF(Y67&gt;40000,200,IF(Y67&gt;25000,150,IF(Y67&gt;15000,130,IF(Y67&gt;10000,110,0)))))</f>
        <v>200</v>
      </c>
      <c r="AC67">
        <f t="shared" ref="AC67:AC131" si="186">Y67-Z67-AA67-AB67</f>
        <v>38210</v>
      </c>
      <c r="AD67">
        <f>_xlfn.XLOOKUP(B67,'[3]may-2025'!$A:$A,'[3]may-2025'!$C:$C,0,0)</f>
        <v>30700</v>
      </c>
      <c r="AE67">
        <f t="shared" ref="AE67:AE131" si="187">AD67*0.18</f>
        <v>5526</v>
      </c>
      <c r="AF67">
        <f t="shared" ref="AF67:AF131" si="188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0" si="189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1" si="190">IF($F67="YES",0,IF(AI67&gt;40000,200,IF(AI67&gt;25000,150,IF(AI67&gt;15000,130,IF(AI67&gt;10000,110,0)))))</f>
        <v>200</v>
      </c>
      <c r="AM67">
        <f t="shared" ref="AM67:AM131" si="191">AI67-AJ67-AK67-AL67</f>
        <v>38210</v>
      </c>
      <c r="AN67">
        <f>_xlfn.XLOOKUP(B67,'[4]june-2025'!$A:$A,'[4]june-2025'!$C:$C,0,0)</f>
        <v>30700</v>
      </c>
      <c r="AO67">
        <f t="shared" ref="AO67:AO131" si="192">AN67*0.18</f>
        <v>5526</v>
      </c>
      <c r="AP67">
        <f t="shared" ref="AP67:AP131" si="193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0" si="194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1" si="195">IF($F67="YES",0,IF(AS67&gt;40000,200,IF(AS67&gt;25000,150,IF(AS67&gt;15000,130,IF(AS67&gt;10000,110,0)))))</f>
        <v>200</v>
      </c>
      <c r="AW67">
        <f t="shared" ref="AW67:AW131" si="196">AS67-AT67-AU67-AV67</f>
        <v>38210</v>
      </c>
      <c r="AX67">
        <f>_xlfn.XLOOKUP(B67,'[5]july-2025'!$A:$A,'[5]july-2025'!$C:$C,0,0)</f>
        <v>31600</v>
      </c>
      <c r="AY67">
        <f t="shared" ref="AY67:AY131" si="197">AX67*0.18</f>
        <v>5688</v>
      </c>
      <c r="AZ67">
        <v>0</v>
      </c>
      <c r="BA67">
        <f t="shared" ref="BA67:BA131" si="198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>IF(AX67&gt;0,SUM(AX67:BC67),0)</f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1" si="199">IF($F67="YES",0,IF(BD67&gt;40000,200,IF(BD67&gt;25000,150,IF(BD67&gt;15000,130,IF(BD67&gt;10000,110,0)))))</f>
        <v>200</v>
      </c>
      <c r="BH67">
        <f t="shared" ref="BH67:BH131" si="200">BD67-BE67-BF67-BG67</f>
        <v>39380</v>
      </c>
      <c r="BI67">
        <f>_xlfn.XLOOKUP(B67,'[6]august-2025'!$A:$A,'[6]august-2025'!$C:$C,0,0)</f>
        <v>31600</v>
      </c>
      <c r="BJ67">
        <f t="shared" ref="BJ67:BJ131" si="201">BI67*0.18</f>
        <v>5688</v>
      </c>
      <c r="BK67">
        <f t="shared" ref="BK67:BK131" si="202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1" si="203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>IF($F67="YES",0,IF(BN67&gt;40000,200,IF(BN67&gt;25000,150,IF(BN67&gt;15000,130,IF(BN67&gt;10000,110,0)))))</f>
        <v>200</v>
      </c>
      <c r="BR67">
        <f>BN67-BO67-BP67-BQ67</f>
        <v>39380</v>
      </c>
      <c r="BS67">
        <f>_xlfn.XLOOKUP(B67,'[7]september-2025'!$A:$A,'[7]september-2025'!$C:$C,0,0)</f>
        <v>31600</v>
      </c>
      <c r="BT67">
        <f t="shared" ref="BT67:BT131" si="204">BS67*0.18</f>
        <v>5688</v>
      </c>
      <c r="BU67">
        <f t="shared" ref="BU67:BU131" si="205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>IF(BS67&gt;0,SUM(BS67:BW67),0)</f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1" si="206">IF($F67="YES",0,IF(BX67&gt;40000,200,IF(BX67&gt;25000,150,IF(BX67&gt;15000,130,IF(BX67&gt;10000,110,0)))))</f>
        <v>200</v>
      </c>
      <c r="CB67">
        <f t="shared" ref="CB67:CB131" si="207">BX67-BY67-BZ67-CA67</f>
        <v>39380</v>
      </c>
      <c r="CC67">
        <f>_xlfn.XLOOKUP(B67,'[8]october-2025'!$A:$A,'[8]october-2025'!$C:$C,0,0)</f>
        <v>31600</v>
      </c>
      <c r="CD67">
        <f t="shared" ref="CD67:CD131" si="208">CC67*0.18</f>
        <v>5688</v>
      </c>
      <c r="CE67">
        <f t="shared" ref="CE67:CE131" si="209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>IF(CC67&gt;0,SUM(CC67:CG67),0)</f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1" si="210">IF($F67="YES",0,IF(CH67&gt;40000,200,IF(CH67&gt;25000,150,IF(CH67&gt;15000,130,IF(CH67&gt;10000,110,0)))))</f>
        <v>200</v>
      </c>
      <c r="CL67">
        <f t="shared" ref="CL67:CL131" si="211">CH67-CI67-CJ67-CK67</f>
        <v>39380</v>
      </c>
      <c r="CM67">
        <f>_xlfn.XLOOKUP(B67,'[9]november-2025'!$A:$A,'[9]november-2025'!$C:$C,0,0)</f>
        <v>31600</v>
      </c>
      <c r="CN67">
        <f t="shared" ref="CN67:CN131" si="212">CM67*0.18</f>
        <v>5688</v>
      </c>
      <c r="CO67">
        <f t="shared" ref="CO67:CO131" si="213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>IF(CM67&gt;0,SUM(CM67:CQ67),0)</f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1" si="214">IF($F67="YES",0,IF(CR67&gt;40000,200,IF(CR67&gt;25000,150,IF(CR67&gt;15000,130,IF(CR67&gt;10000,110,0)))))</f>
        <v>200</v>
      </c>
      <c r="CV67">
        <f t="shared" ref="CV67:CV131" si="215">CR67-CS67-CT67-CU67</f>
        <v>39380</v>
      </c>
      <c r="CW67">
        <f>_xlfn.XLOOKUP(B67,'[10]december-2025'!$A:$A,'[10]december-2025'!$C:$C,0,0)</f>
        <v>31600</v>
      </c>
      <c r="CX67">
        <f t="shared" ref="CX67:CX131" si="216">ROUND(CW67*0.18,0)</f>
        <v>5688</v>
      </c>
      <c r="CY67">
        <f t="shared" ref="CY67:CY131" si="217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>IF(CW67&gt;0,SUM(CW67:DA67),0)</f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1" si="218">IF($F67="YES",0,IF(DB67&gt;40000,200,IF(DB67&gt;25000,150,IF(DB67&gt;15000,130,IF(DB67&gt;10000,110,0)))))</f>
        <v>200</v>
      </c>
      <c r="DF67">
        <f t="shared" ref="DF67:DF131" si="219">DB67-DC67-DD67-DE67</f>
        <v>39380</v>
      </c>
      <c r="DG67">
        <f>_xlfn.XLOOKUP(B67,'[11]january-2026'!$A:$A,'[11]january-2026'!$C:$C,0,0)</f>
        <v>31600</v>
      </c>
      <c r="DH67">
        <f t="shared" ref="DH67:DH131" si="220">DG67*0.18</f>
        <v>5688</v>
      </c>
      <c r="DI67">
        <f t="shared" ref="DI67:DI131" si="221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>IF(DG67&gt;0,SUM(DG67:DK67),0)</f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22">IF($F67="YES",0,IF(DL67&gt;40000,200,IF(DL67&gt;25000,150,IF(DL67&gt;15000,130,IF(DL67&gt;10000,110,0)))))</f>
        <v>200</v>
      </c>
      <c r="DP67">
        <f t="shared" ref="DP67:DP131" si="223">DL67-DM67-DN67-DO67</f>
        <v>39380</v>
      </c>
      <c r="DQ67">
        <f>_xlfn.XLOOKUP(B67,'[12]february-2026'!$A:$A,'[12]february-2026'!$C:$C,0,0)</f>
        <v>31600</v>
      </c>
      <c r="DR67">
        <f t="shared" ref="DR67:DR131" si="224">DQ67*0.18</f>
        <v>5688</v>
      </c>
      <c r="DS67">
        <f t="shared" ref="DS67:DS131" si="225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>IF(DQ67&gt;0,SUM(DQ67:DU67),0)</f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26">IF($F67="YES",0,IF(DV67&gt;40000,200,IF(DV67&gt;25000,150,IF(DV67&gt;15000,130,IF(DV67&gt;10000,110,0)))))</f>
        <v>200</v>
      </c>
      <c r="DZ67">
        <f t="shared" ref="DZ67:DZ131" si="227">DV67-DW67-DX67-DY67</f>
        <v>39380</v>
      </c>
      <c r="EA67">
        <f>_xlfn.XLOOKUP(B67,'[1]march-2025'!$A:$A,'[1]march-2025'!$J:$J,0,0)</f>
        <v>0</v>
      </c>
      <c r="EB67">
        <f>_xlfn.XLOOKUP(B67,'[2]april-2025'!$A:$A,'[2]april-2025'!$J:$J,0,0)</f>
        <v>0</v>
      </c>
      <c r="EC67">
        <f>_xlfn.XLOOKUP(B67,'[3]may-2025'!$A:$A,'[3]may-2025'!$J:$J,0,0)</f>
        <v>0</v>
      </c>
      <c r="ED67">
        <f>_xlfn.XLOOKUP(B67,'[4]june-2025'!$A:$A,'[4]june-2025'!$J:$J,0,0)</f>
        <v>0</v>
      </c>
      <c r="EE67">
        <f>_xlfn.XLOOKUP(B67,'[5]july-2025'!$A:$A,'[5]july-2025'!$J:$J,0,0)</f>
        <v>0</v>
      </c>
      <c r="EF67">
        <f>_xlfn.XLOOKUP(B67,'[6]august-2025'!$A:$A,'[6]august-2025'!$J:$J,0,0)</f>
        <v>0</v>
      </c>
      <c r="EG67">
        <f>_xlfn.XLOOKUP(B67,'[7]september-2025'!$A:$A,'[7]september-2025'!$J:$J,0,0)</f>
        <v>0</v>
      </c>
      <c r="EH67">
        <f>_xlfn.XLOOKUP(B67,'[8]october-2025'!$A:$A,'[8]october-2025'!$J:$J,0,0)</f>
        <v>0</v>
      </c>
      <c r="EI67">
        <f>_xlfn.XLOOKUP(C67,'[9]november-2025'!$A:$A,'[9]november-2025'!$J:$J,0,0)</f>
        <v>0</v>
      </c>
      <c r="EJ67">
        <f>_xlfn.XLOOKUP(B67,'[10]december-2025'!$A:$A,'[10]december-2025'!$J:$J,0,0)</f>
        <v>0</v>
      </c>
      <c r="EK67">
        <f>_xlfn.XLOOKUP(B67,'[11]january-2026'!$A:$A,'[11]january-2026'!$J:$J,0,0)</f>
        <v>0</v>
      </c>
      <c r="EL67">
        <f>_xlfn.XLOOKUP(B67,'[12]february-2026'!$A:$A,'[12]february-2026'!$J:$J,0,0)</f>
        <v>0</v>
      </c>
      <c r="EM67">
        <f t="shared" ref="EM67:EM130" si="228">SUM(EA67:EL67)</f>
        <v>0</v>
      </c>
      <c r="EN67">
        <f>DV67+DL67+DB67+CR67+CH67+BX67+BN67+BD67+AS67+AI67+Y67+O67+H67+I67</f>
        <v>499852</v>
      </c>
      <c r="EO67">
        <f>DY67+DO67+DE67+CU67+CK67+CA67+BQ67+BG67+AV67+AL67+AB67+R67</f>
        <v>2350</v>
      </c>
      <c r="EP67">
        <f t="shared" ref="EP67:EP131" si="229">IF(EN67&gt;0,50000,0)</f>
        <v>50000</v>
      </c>
      <c r="EQ67">
        <v>0</v>
      </c>
      <c r="ER67">
        <f t="shared" ref="ER67:ER130" si="230">EN67-EO67-EP67+EM67</f>
        <v>447502</v>
      </c>
      <c r="ES67">
        <f>DW67+DM67+DC67+CS67+CI67+BY67+BO67+BE67+AT67+AJ67+Z67+P67</f>
        <v>24000</v>
      </c>
      <c r="ET67">
        <f>DX67+DN67+DD67+CT67+CJ67+BZ67+BP67+BF67+AU67+AK67+AA67+Q67</f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ref="FE67:FE131" si="231">SUM(ES67:FD67)</f>
        <v>24000</v>
      </c>
      <c r="FF67">
        <f t="shared" ref="FF67:FF131" si="232">IF(FE67&gt;=150000,150000,FE67)</f>
        <v>24000</v>
      </c>
      <c r="FG67">
        <f t="shared" ref="FG67:FG131" si="233">ER67-FF67</f>
        <v>423502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>SUM(FH67:FN67)+(IF(F67="YES",50000,0))</f>
        <v>0</v>
      </c>
      <c r="FP67">
        <f t="shared" ref="FP67:FP131" si="234">FG67-FO67</f>
        <v>423502</v>
      </c>
      <c r="FQ67">
        <f t="shared" ref="FQ67:FQ131" si="235">ROUND(IF(FP67&gt;0,IF(FP67&gt;500000,12500,(FP67-250000)*0.05),0),0)</f>
        <v>8675</v>
      </c>
      <c r="FR67">
        <f t="shared" ref="FR67:FR131" si="236">IF(ROUND(IF(FP67&gt;0,IF(FP67&gt;1000000,25000,(FP67-500000)*0.2),0),0)&lt;0,0,ROUND(IF(FP67&gt;0,IF(FP67&gt;1000000,25000,(FP67-500000)*0.2),0),0))</f>
        <v>0</v>
      </c>
      <c r="FS67">
        <f t="shared" ref="FS67:FS131" si="237">FQ67+FR67</f>
        <v>8675</v>
      </c>
      <c r="FT67">
        <f t="shared" ref="FT67:FT131" si="238">IF(FS67&lt;12500,0,FS67)</f>
        <v>0</v>
      </c>
      <c r="FU67">
        <f t="shared" ref="FU67:FU131" si="239">FT67*0.04</f>
        <v>0</v>
      </c>
      <c r="FV67">
        <f t="shared" ref="FV67:FV131" si="240">ROUND(FU67+FT67,0)</f>
        <v>0</v>
      </c>
      <c r="FW67">
        <v>0</v>
      </c>
      <c r="FX67">
        <f t="shared" ref="FX67:FX131" si="241">FV67-FW67</f>
        <v>0</v>
      </c>
      <c r="FY67" t="b">
        <f t="shared" ref="FY67:FY131" si="242">IF(EN67&gt;500000,TRUE,FALSE)</f>
        <v>0</v>
      </c>
      <c r="FZ67">
        <f t="shared" ref="FZ67:FZ131" ca="1" si="243">IF(FY67,RANDBETWEEN(500,1000),RANDBETWEEN(1000,3000))</f>
        <v>1233</v>
      </c>
      <c r="GA67">
        <f t="shared" ref="GA67:GA131" ca="1" si="244">EN67+FZ67</f>
        <v>501085</v>
      </c>
      <c r="GB67">
        <f t="shared" ref="GB67:GB131" si="245">IF(EN67&gt;0,75000,0)</f>
        <v>75000</v>
      </c>
      <c r="GC67">
        <f t="shared" ref="GC67:GC131" ca="1" si="246">GA67-GB67</f>
        <v>426085</v>
      </c>
      <c r="GD67">
        <f t="shared" ref="GD67:GD131" ca="1" si="247">IF(GC67&gt;2400000,GC67-2400000,0)</f>
        <v>0</v>
      </c>
      <c r="GE67">
        <f t="shared" ref="GE67:GE131" ca="1" si="248">GD67*0.3</f>
        <v>0</v>
      </c>
      <c r="GF67">
        <f t="shared" ref="GF67:GF131" ca="1" si="249">IF(GC67&gt;2000000,GC67-2000000,0)</f>
        <v>0</v>
      </c>
      <c r="GG67">
        <f t="shared" ref="GG67:GG131" ca="1" si="250">GF67*0.25</f>
        <v>0</v>
      </c>
      <c r="GH67">
        <f t="shared" ref="GH67:GH131" ca="1" si="251">IF(GC67&gt;1600000,GC67-1600000-GD67,0)</f>
        <v>0</v>
      </c>
      <c r="GI67">
        <f t="shared" ref="GI67:GI131" ca="1" si="252">GH67*0.2</f>
        <v>0</v>
      </c>
      <c r="GJ67">
        <f ca="1">IF(GC67&gt;1200000,GC67-1200000-IF(F67="YES",50000,0)-GH67,0)</f>
        <v>0</v>
      </c>
      <c r="GK67">
        <f t="shared" ref="GK67:GK131" ca="1" si="253">GJ67*0.15</f>
        <v>0</v>
      </c>
      <c r="GL67">
        <f t="shared" ref="GL67:GL131" ca="1" si="254">IF(GC67&gt;800000,GC67-800000-GD67-GH67-GJ67,0)</f>
        <v>0</v>
      </c>
      <c r="GM67">
        <f t="shared" ref="GM67:GM131" ca="1" si="255">GL67*0.1</f>
        <v>0</v>
      </c>
      <c r="GN67">
        <f t="shared" ref="GN67:GN131" ca="1" si="256">IF(GC67&gt;400000,GC67-400000-GD67-GH67-GJ67-GL67,0)</f>
        <v>26085</v>
      </c>
      <c r="GO67">
        <f t="shared" ref="GO67:GO131" ca="1" si="257">GN67*0.05</f>
        <v>1304.25</v>
      </c>
      <c r="GP67">
        <f t="shared" ref="GP67:GP131" ca="1" si="258">ROUND(GE67+GG67+GI67+GK67+GM67+GO67,0)</f>
        <v>1304</v>
      </c>
      <c r="GQ67">
        <f t="shared" ref="GQ67:GQ131" ca="1" si="259">IF(GC67&gt;1200000,GC67,0)</f>
        <v>0</v>
      </c>
      <c r="GR67">
        <f t="shared" ref="GR67:GR131" ca="1" si="260">IF(GC67&gt;1200000,GQ67-1200000,0)</f>
        <v>0</v>
      </c>
      <c r="GS67">
        <f t="shared" ref="GS67:GS131" ca="1" si="261">IF(GC67&lt;1200001,MIN(GP67,60000),0)</f>
        <v>1304</v>
      </c>
      <c r="GT67">
        <f t="shared" ref="GT67:GT131" ca="1" si="262">IF(GC67&gt;1200000,GP67-GR67,0)</f>
        <v>0</v>
      </c>
      <c r="GU67" t="b">
        <f t="shared" ref="GU67:GU131" ca="1" si="263">IF(GT67&gt;0,TRUE,FALSE)</f>
        <v>0</v>
      </c>
      <c r="GV67">
        <f t="shared" ref="GV67:GV131" ca="1" si="264">IF(GU67,GT67,0)</f>
        <v>0</v>
      </c>
      <c r="GW67">
        <f t="shared" ref="GW67:GW131" ca="1" si="265">GS67+GV67</f>
        <v>1304</v>
      </c>
      <c r="GX67">
        <f t="shared" ref="GX67:GX131" ca="1" si="266">ROUND(GP67-GW67,0)</f>
        <v>0</v>
      </c>
      <c r="GY67">
        <f t="shared" ref="GY67:GY131" ca="1" si="267">GX67*0.04</f>
        <v>0</v>
      </c>
      <c r="GZ67">
        <f t="shared" ref="GZ67:GZ131" ca="1" si="268">ROUNDUP(GX67+GY67,0)</f>
        <v>0</v>
      </c>
    </row>
    <row r="68" spans="1:208" x14ac:dyDescent="0.25">
      <c r="A68">
        <f>_xlfn.AGGREGATE(3,5,$B$2:B68)</f>
        <v>67</v>
      </c>
      <c r="B68" t="s">
        <v>251</v>
      </c>
      <c r="C68" t="s">
        <v>252</v>
      </c>
      <c r="D68" t="s">
        <v>766</v>
      </c>
      <c r="E68" t="s">
        <v>831</v>
      </c>
      <c r="F68" t="s">
        <v>957</v>
      </c>
      <c r="G68" t="s">
        <v>904</v>
      </c>
      <c r="H68">
        <f t="shared" si="178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179"/>
        <v>4046.0000000000005</v>
      </c>
      <c r="L68">
        <f t="shared" si="180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>IF(J68&gt;0,SUM(J68:N68),0)</f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2" si="269">IF($F68="YES",0,IF(O68&gt;40000,200,IF(O68&gt;25000,150,IF(O68&gt;15000,130,IF(O68&gt;10000,110,0)))))</f>
        <v>150</v>
      </c>
      <c r="S68">
        <f t="shared" si="181"/>
        <v>34764</v>
      </c>
      <c r="T68">
        <f>_xlfn.XLOOKUP(B68,'[2]april-2025'!$A:$A,'[2]april-2025'!$C:$C,0,0)</f>
        <v>28900</v>
      </c>
      <c r="U68">
        <f t="shared" si="182"/>
        <v>5202</v>
      </c>
      <c r="V68">
        <f t="shared" si="183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184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185"/>
        <v>150</v>
      </c>
      <c r="AC68">
        <f t="shared" si="186"/>
        <v>35920</v>
      </c>
      <c r="AD68">
        <f>_xlfn.XLOOKUP(B68,'[3]may-2025'!$A:$A,'[3]may-2025'!$C:$C,0,0)</f>
        <v>28900</v>
      </c>
      <c r="AE68">
        <f t="shared" si="187"/>
        <v>5202</v>
      </c>
      <c r="AF68">
        <f t="shared" si="188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189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190"/>
        <v>150</v>
      </c>
      <c r="AM68">
        <f t="shared" si="191"/>
        <v>35920</v>
      </c>
      <c r="AN68">
        <f>_xlfn.XLOOKUP(B68,'[4]june-2025'!$A:$A,'[4]june-2025'!$C:$C,0,0)</f>
        <v>28900</v>
      </c>
      <c r="AO68">
        <f t="shared" si="192"/>
        <v>5202</v>
      </c>
      <c r="AP68">
        <f t="shared" si="193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194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195"/>
        <v>150</v>
      </c>
      <c r="AW68">
        <f t="shared" si="196"/>
        <v>35920</v>
      </c>
      <c r="AX68">
        <f>_xlfn.XLOOKUP(B68,'[5]july-2025'!$A:$A,'[5]july-2025'!$C:$C,0,0)</f>
        <v>29800</v>
      </c>
      <c r="AY68">
        <f t="shared" si="197"/>
        <v>5364</v>
      </c>
      <c r="AZ68">
        <v>0</v>
      </c>
      <c r="BA68">
        <f t="shared" si="198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>IF(AX68&gt;0,SUM(AX68:BC68),0)</f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199"/>
        <v>150</v>
      </c>
      <c r="BH68">
        <f t="shared" si="200"/>
        <v>37090</v>
      </c>
      <c r="BI68">
        <f>_xlfn.XLOOKUP(B68,'[6]august-2025'!$A:$A,'[6]august-2025'!$C:$C,0,0)</f>
        <v>29800</v>
      </c>
      <c r="BJ68">
        <f t="shared" si="201"/>
        <v>5364</v>
      </c>
      <c r="BK68">
        <f t="shared" si="202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03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>IF($F68="YES",0,IF(BN68&gt;40000,200,IF(BN68&gt;25000,150,IF(BN68&gt;15000,130,IF(BN68&gt;10000,110,0)))))</f>
        <v>150</v>
      </c>
      <c r="BR68">
        <f>BN68-BO68-BP68-BQ68</f>
        <v>37090</v>
      </c>
      <c r="BS68">
        <f>_xlfn.XLOOKUP(B68,'[7]september-2025'!$A:$A,'[7]september-2025'!$C:$C,0,0)</f>
        <v>29800</v>
      </c>
      <c r="BT68">
        <f t="shared" si="204"/>
        <v>5364</v>
      </c>
      <c r="BU68">
        <f t="shared" si="205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>IF(BS68&gt;0,SUM(BS68:BW68),0)</f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06"/>
        <v>150</v>
      </c>
      <c r="CB68">
        <f t="shared" si="207"/>
        <v>37090</v>
      </c>
      <c r="CC68">
        <f>_xlfn.XLOOKUP(B68,'[8]october-2025'!$A:$A,'[8]october-2025'!$C:$C,0,0)</f>
        <v>29800</v>
      </c>
      <c r="CD68">
        <f t="shared" si="208"/>
        <v>5364</v>
      </c>
      <c r="CE68">
        <f t="shared" si="209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>IF(CC68&gt;0,SUM(CC68:CG68),0)</f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10"/>
        <v>150</v>
      </c>
      <c r="CL68">
        <f t="shared" si="211"/>
        <v>37090</v>
      </c>
      <c r="CM68">
        <f>_xlfn.XLOOKUP(B68,'[9]november-2025'!$A:$A,'[9]november-2025'!$C:$C,0,0)</f>
        <v>29800</v>
      </c>
      <c r="CN68">
        <f t="shared" si="212"/>
        <v>5364</v>
      </c>
      <c r="CO68">
        <f t="shared" si="213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>IF(CM68&gt;0,SUM(CM68:CQ68),0)</f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14"/>
        <v>150</v>
      </c>
      <c r="CV68">
        <f t="shared" si="215"/>
        <v>37090</v>
      </c>
      <c r="CW68">
        <f>_xlfn.XLOOKUP(B68,'[10]december-2025'!$A:$A,'[10]december-2025'!$C:$C,0,0)</f>
        <v>29800</v>
      </c>
      <c r="CX68">
        <f t="shared" si="216"/>
        <v>5364</v>
      </c>
      <c r="CY68">
        <f t="shared" si="217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>IF(CW68&gt;0,SUM(CW68:DA68),0)</f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18"/>
        <v>150</v>
      </c>
      <c r="DF68">
        <f t="shared" si="219"/>
        <v>37090</v>
      </c>
      <c r="DG68">
        <f>_xlfn.XLOOKUP(B68,'[11]january-2026'!$A:$A,'[11]january-2026'!$C:$C,0,0)</f>
        <v>29800</v>
      </c>
      <c r="DH68">
        <f t="shared" si="220"/>
        <v>5364</v>
      </c>
      <c r="DI68">
        <f t="shared" si="221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>IF(DG68&gt;0,SUM(DG68:DK68),0)</f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22"/>
        <v>150</v>
      </c>
      <c r="DP68">
        <f t="shared" si="223"/>
        <v>37090</v>
      </c>
      <c r="DQ68">
        <f>_xlfn.XLOOKUP(B68,'[12]february-2026'!$A:$A,'[12]february-2026'!$C:$C,0,0)</f>
        <v>29800</v>
      </c>
      <c r="DR68">
        <f t="shared" si="224"/>
        <v>5364</v>
      </c>
      <c r="DS68">
        <f t="shared" si="225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>IF(DQ68&gt;0,SUM(DQ68:DU68),0)</f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26"/>
        <v>150</v>
      </c>
      <c r="DZ68">
        <f t="shared" si="227"/>
        <v>37090</v>
      </c>
      <c r="EA68">
        <f>_xlfn.XLOOKUP(B68,'[1]march-2025'!$A:$A,'[1]march-2025'!$J:$J,0,0)</f>
        <v>0</v>
      </c>
      <c r="EB68">
        <f>_xlfn.XLOOKUP(B68,'[2]april-2025'!$A:$A,'[2]april-2025'!$J:$J,0,0)</f>
        <v>0</v>
      </c>
      <c r="EC68">
        <f>_xlfn.XLOOKUP(B68,'[3]may-2025'!$A:$A,'[3]may-2025'!$J:$J,0,0)</f>
        <v>34471</v>
      </c>
      <c r="ED68">
        <f>_xlfn.XLOOKUP(B68,'[4]june-2025'!$A:$A,'[4]june-2025'!$J:$J,0,0)</f>
        <v>0</v>
      </c>
      <c r="EE68">
        <f>_xlfn.XLOOKUP(B68,'[5]july-2025'!$A:$A,'[5]july-2025'!$J:$J,0,0)</f>
        <v>0</v>
      </c>
      <c r="EF68">
        <f>_xlfn.XLOOKUP(B68,'[6]august-2025'!$A:$A,'[6]august-2025'!$J:$J,0,0)</f>
        <v>0</v>
      </c>
      <c r="EG68">
        <f>_xlfn.XLOOKUP(B68,'[7]september-2025'!$A:$A,'[7]september-2025'!$J:$J,0,0)</f>
        <v>0</v>
      </c>
      <c r="EH68">
        <f>_xlfn.XLOOKUP(B68,'[8]october-2025'!$A:$A,'[8]october-2025'!$J:$J,0,0)</f>
        <v>0</v>
      </c>
      <c r="EI68">
        <f>_xlfn.XLOOKUP(C68,'[9]november-2025'!$A:$A,'[9]november-2025'!$J:$J,0,0)</f>
        <v>0</v>
      </c>
      <c r="EJ68">
        <f>_xlfn.XLOOKUP(B68,'[10]december-2025'!$A:$A,'[10]december-2025'!$J:$J,0,0)</f>
        <v>0</v>
      </c>
      <c r="EK68">
        <f>_xlfn.XLOOKUP(B68,'[11]january-2026'!$A:$A,'[11]january-2026'!$J:$J,0,0)</f>
        <v>0</v>
      </c>
      <c r="EL68">
        <f>_xlfn.XLOOKUP(B68,'[12]february-2026'!$A:$A,'[12]february-2026'!$J:$J,0,0)</f>
        <v>0</v>
      </c>
      <c r="EM68">
        <f t="shared" si="228"/>
        <v>34471</v>
      </c>
      <c r="EN68">
        <f>DV68+DL68+DB68+CR68+CH68+BX68+BN68+BD68+AS68+AI68+Y68+O68+H68+I68</f>
        <v>471844</v>
      </c>
      <c r="EO68">
        <f>DY68+DO68+DE68+CU68+CK68+CA68+BQ68+BG68+AV68+AL68+AB68+R68</f>
        <v>1800</v>
      </c>
      <c r="EP68">
        <f t="shared" si="229"/>
        <v>50000</v>
      </c>
      <c r="EQ68">
        <v>0</v>
      </c>
      <c r="ER68">
        <f t="shared" si="230"/>
        <v>454515</v>
      </c>
      <c r="ES68">
        <f>DW68+DM68+DC68+CS68+CI68+BY68+BO68+BE68+AT68+AJ68+Z68+P68</f>
        <v>24000</v>
      </c>
      <c r="ET68">
        <f>DX68+DN68+DD68+CT68+CJ68+BZ68+BP68+BF68+AU68+AK68+AA68+Q68</f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231"/>
        <v>24000</v>
      </c>
      <c r="FF68">
        <f t="shared" si="232"/>
        <v>24000</v>
      </c>
      <c r="FG68">
        <f t="shared" si="233"/>
        <v>430515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>SUM(FH68:FN68)+(IF(F68="YES",50000,0))</f>
        <v>0</v>
      </c>
      <c r="FP68">
        <f t="shared" si="234"/>
        <v>430515</v>
      </c>
      <c r="FQ68">
        <f t="shared" si="235"/>
        <v>9026</v>
      </c>
      <c r="FR68">
        <f t="shared" si="236"/>
        <v>0</v>
      </c>
      <c r="FS68">
        <f t="shared" si="237"/>
        <v>9026</v>
      </c>
      <c r="FT68">
        <f t="shared" si="238"/>
        <v>0</v>
      </c>
      <c r="FU68">
        <f t="shared" si="239"/>
        <v>0</v>
      </c>
      <c r="FV68">
        <f t="shared" si="240"/>
        <v>0</v>
      </c>
      <c r="FW68">
        <v>0</v>
      </c>
      <c r="FX68">
        <f t="shared" si="241"/>
        <v>0</v>
      </c>
      <c r="FY68" t="b">
        <f t="shared" si="242"/>
        <v>0</v>
      </c>
      <c r="FZ68">
        <f t="shared" ca="1" si="243"/>
        <v>2878</v>
      </c>
      <c r="GA68">
        <f t="shared" ca="1" si="244"/>
        <v>474722</v>
      </c>
      <c r="GB68">
        <f t="shared" si="245"/>
        <v>75000</v>
      </c>
      <c r="GC68">
        <f t="shared" ca="1" si="246"/>
        <v>399722</v>
      </c>
      <c r="GD68">
        <f t="shared" ca="1" si="247"/>
        <v>0</v>
      </c>
      <c r="GE68">
        <f t="shared" ca="1" si="248"/>
        <v>0</v>
      </c>
      <c r="GF68">
        <f t="shared" ca="1" si="249"/>
        <v>0</v>
      </c>
      <c r="GG68">
        <f t="shared" ca="1" si="250"/>
        <v>0</v>
      </c>
      <c r="GH68">
        <f t="shared" ca="1" si="251"/>
        <v>0</v>
      </c>
      <c r="GI68">
        <f t="shared" ca="1" si="252"/>
        <v>0</v>
      </c>
      <c r="GJ68">
        <f ca="1">IF(GC68&gt;1200000,GC68-1200000-IF(F68="YES",50000,0)-GH68,0)</f>
        <v>0</v>
      </c>
      <c r="GK68">
        <f t="shared" ca="1" si="253"/>
        <v>0</v>
      </c>
      <c r="GL68">
        <f t="shared" ca="1" si="254"/>
        <v>0</v>
      </c>
      <c r="GM68">
        <f t="shared" ca="1" si="255"/>
        <v>0</v>
      </c>
      <c r="GN68">
        <f t="shared" ca="1" si="256"/>
        <v>0</v>
      </c>
      <c r="GO68">
        <f t="shared" ca="1" si="257"/>
        <v>0</v>
      </c>
      <c r="GP68">
        <f t="shared" ca="1" si="258"/>
        <v>0</v>
      </c>
      <c r="GQ68">
        <f t="shared" ca="1" si="259"/>
        <v>0</v>
      </c>
      <c r="GR68">
        <f t="shared" ca="1" si="260"/>
        <v>0</v>
      </c>
      <c r="GS68">
        <f t="shared" ca="1" si="261"/>
        <v>0</v>
      </c>
      <c r="GT68">
        <f t="shared" ca="1" si="262"/>
        <v>0</v>
      </c>
      <c r="GU68" t="b">
        <f t="shared" ca="1" si="263"/>
        <v>0</v>
      </c>
      <c r="GV68">
        <f t="shared" ca="1" si="264"/>
        <v>0</v>
      </c>
      <c r="GW68">
        <f t="shared" ca="1" si="265"/>
        <v>0</v>
      </c>
      <c r="GX68">
        <f t="shared" ca="1" si="266"/>
        <v>0</v>
      </c>
      <c r="GY68">
        <f t="shared" ca="1" si="267"/>
        <v>0</v>
      </c>
      <c r="GZ68">
        <f t="shared" ca="1" si="268"/>
        <v>0</v>
      </c>
    </row>
    <row r="69" spans="1:208" x14ac:dyDescent="0.25">
      <c r="A69">
        <f>_xlfn.AGGREGATE(3,5,$B$2:B69)</f>
        <v>68</v>
      </c>
      <c r="B69" t="s">
        <v>253</v>
      </c>
      <c r="C69" t="s">
        <v>254</v>
      </c>
      <c r="D69" t="s">
        <v>767</v>
      </c>
      <c r="E69" t="s">
        <v>831</v>
      </c>
      <c r="F69" t="s">
        <v>957</v>
      </c>
      <c r="G69" t="s">
        <v>885</v>
      </c>
      <c r="H69">
        <f t="shared" si="178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179"/>
        <v>7238.0000000000009</v>
      </c>
      <c r="L69">
        <f t="shared" si="180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>IF(J69&gt;0,SUM(J69:N69),0)</f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269"/>
        <v>200</v>
      </c>
      <c r="S69">
        <f t="shared" si="181"/>
        <v>55782</v>
      </c>
      <c r="T69">
        <f>_xlfn.XLOOKUP(B69,'[2]april-2025'!$A:$A,'[2]april-2025'!$C:$C,0,0)</f>
        <v>51700</v>
      </c>
      <c r="U69">
        <f t="shared" si="182"/>
        <v>9306</v>
      </c>
      <c r="V69">
        <f t="shared" si="183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184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185"/>
        <v>200</v>
      </c>
      <c r="AC69">
        <f t="shared" si="186"/>
        <v>57850</v>
      </c>
      <c r="AD69">
        <f>_xlfn.XLOOKUP(B69,'[3]may-2025'!$A:$A,'[3]may-2025'!$C:$C,0,0)</f>
        <v>51700</v>
      </c>
      <c r="AE69">
        <f t="shared" si="187"/>
        <v>9306</v>
      </c>
      <c r="AF69">
        <f t="shared" si="188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189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190"/>
        <v>200</v>
      </c>
      <c r="AM69">
        <f t="shared" si="191"/>
        <v>57850</v>
      </c>
      <c r="AN69">
        <f>_xlfn.XLOOKUP(B69,'[4]june-2025'!$A:$A,'[4]june-2025'!$C:$C,0,0)</f>
        <v>51700</v>
      </c>
      <c r="AO69">
        <f t="shared" si="192"/>
        <v>9306</v>
      </c>
      <c r="AP69">
        <f t="shared" si="193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194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195"/>
        <v>200</v>
      </c>
      <c r="AW69">
        <f t="shared" si="196"/>
        <v>57850</v>
      </c>
      <c r="AX69">
        <f>_xlfn.XLOOKUP(B69,'[5]july-2025'!$A:$A,'[5]july-2025'!$C:$C,0,0)</f>
        <v>53300</v>
      </c>
      <c r="AY69">
        <f t="shared" si="197"/>
        <v>9594</v>
      </c>
      <c r="AZ69">
        <v>0</v>
      </c>
      <c r="BA69">
        <f t="shared" si="198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>IF(AX69&gt;0,SUM(AX69:BC69),0)</f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199"/>
        <v>200</v>
      </c>
      <c r="BH69">
        <f t="shared" si="200"/>
        <v>59930</v>
      </c>
      <c r="BI69">
        <f>_xlfn.XLOOKUP(B69,'[6]august-2025'!$A:$A,'[6]august-2025'!$C:$C,0,0)</f>
        <v>53300</v>
      </c>
      <c r="BJ69">
        <f t="shared" si="201"/>
        <v>9594</v>
      </c>
      <c r="BK69">
        <f t="shared" si="202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03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>IF($F69="YES",0,IF(BN69&gt;40000,200,IF(BN69&gt;25000,150,IF(BN69&gt;15000,130,IF(BN69&gt;10000,110,0)))))</f>
        <v>200</v>
      </c>
      <c r="BR69">
        <f>BN69-BO69-BP69-BQ69</f>
        <v>59930</v>
      </c>
      <c r="BS69">
        <f>_xlfn.XLOOKUP(B69,'[7]september-2025'!$A:$A,'[7]september-2025'!$C:$C,0,0)</f>
        <v>53300</v>
      </c>
      <c r="BT69">
        <f t="shared" si="204"/>
        <v>9594</v>
      </c>
      <c r="BU69">
        <f t="shared" si="205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>IF(BS69&gt;0,SUM(BS69:BW69),0)</f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06"/>
        <v>200</v>
      </c>
      <c r="CB69">
        <f t="shared" si="207"/>
        <v>59930</v>
      </c>
      <c r="CC69">
        <f>_xlfn.XLOOKUP(B69,'[8]october-2025'!$A:$A,'[8]october-2025'!$C:$C,0,0)</f>
        <v>53300</v>
      </c>
      <c r="CD69">
        <f t="shared" si="208"/>
        <v>9594</v>
      </c>
      <c r="CE69">
        <f t="shared" si="209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>IF(CC69&gt;0,SUM(CC69:CG69),0)</f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10"/>
        <v>200</v>
      </c>
      <c r="CL69">
        <f t="shared" si="211"/>
        <v>59930</v>
      </c>
      <c r="CM69">
        <f>_xlfn.XLOOKUP(B69,'[9]november-2025'!$A:$A,'[9]november-2025'!$C:$C,0,0)</f>
        <v>53300</v>
      </c>
      <c r="CN69">
        <f t="shared" si="212"/>
        <v>9594</v>
      </c>
      <c r="CO69">
        <f t="shared" si="213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>IF(CM69&gt;0,SUM(CM69:CQ69),0)</f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14"/>
        <v>200</v>
      </c>
      <c r="CV69">
        <f t="shared" si="215"/>
        <v>59930</v>
      </c>
      <c r="CW69">
        <f>_xlfn.XLOOKUP(B69,'[10]december-2025'!$A:$A,'[10]december-2025'!$C:$C,0,0)</f>
        <v>53300</v>
      </c>
      <c r="CX69">
        <f t="shared" si="216"/>
        <v>9594</v>
      </c>
      <c r="CY69">
        <f t="shared" si="217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>IF(CW69&gt;0,SUM(CW69:DA69),0)</f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18"/>
        <v>200</v>
      </c>
      <c r="DF69">
        <f t="shared" si="219"/>
        <v>59930</v>
      </c>
      <c r="DG69">
        <f>_xlfn.XLOOKUP(B69,'[11]january-2026'!$A:$A,'[11]january-2026'!$C:$C,0,0)</f>
        <v>53300</v>
      </c>
      <c r="DH69">
        <f t="shared" si="220"/>
        <v>9594</v>
      </c>
      <c r="DI69">
        <f t="shared" si="221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>IF(DG69&gt;0,SUM(DG69:DK69),0)</f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22"/>
        <v>200</v>
      </c>
      <c r="DP69">
        <f t="shared" si="223"/>
        <v>59930</v>
      </c>
      <c r="DQ69">
        <f>_xlfn.XLOOKUP(B69,'[12]february-2026'!$A:$A,'[12]february-2026'!$C:$C,0,0)</f>
        <v>53300</v>
      </c>
      <c r="DR69">
        <f t="shared" si="224"/>
        <v>9594</v>
      </c>
      <c r="DS69">
        <f t="shared" si="225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>IF(DQ69&gt;0,SUM(DQ69:DU69),0)</f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26"/>
        <v>200</v>
      </c>
      <c r="DZ69">
        <f t="shared" si="227"/>
        <v>59930</v>
      </c>
      <c r="EA69">
        <f>_xlfn.XLOOKUP(B69,'[1]march-2025'!$A:$A,'[1]march-2025'!$J:$J,0,0)</f>
        <v>0</v>
      </c>
      <c r="EB69">
        <f>_xlfn.XLOOKUP(B69,'[2]april-2025'!$A:$A,'[2]april-2025'!$J:$J,0,0)</f>
        <v>0</v>
      </c>
      <c r="EC69">
        <f>_xlfn.XLOOKUP(B69,'[3]may-2025'!$A:$A,'[3]may-2025'!$J:$J,0,0)</f>
        <v>0</v>
      </c>
      <c r="ED69">
        <f>_xlfn.XLOOKUP(B69,'[4]june-2025'!$A:$A,'[4]june-2025'!$J:$J,0,0)</f>
        <v>0</v>
      </c>
      <c r="EE69">
        <f>_xlfn.XLOOKUP(B69,'[5]july-2025'!$A:$A,'[5]july-2025'!$J:$J,0,0)</f>
        <v>0</v>
      </c>
      <c r="EF69">
        <f>_xlfn.XLOOKUP(B69,'[6]august-2025'!$A:$A,'[6]august-2025'!$J:$J,0,0)</f>
        <v>0</v>
      </c>
      <c r="EG69">
        <f>_xlfn.XLOOKUP(B69,'[7]september-2025'!$A:$A,'[7]september-2025'!$J:$J,0,0)</f>
        <v>0</v>
      </c>
      <c r="EH69">
        <f>_xlfn.XLOOKUP(B69,'[8]october-2025'!$A:$A,'[8]october-2025'!$J:$J,0,0)</f>
        <v>0</v>
      </c>
      <c r="EI69">
        <f>_xlfn.XLOOKUP(C69,'[9]november-2025'!$A:$A,'[9]november-2025'!$J:$J,0,0)</f>
        <v>0</v>
      </c>
      <c r="EJ69">
        <f>_xlfn.XLOOKUP(B69,'[10]december-2025'!$A:$A,'[10]december-2025'!$J:$J,0,0)</f>
        <v>0</v>
      </c>
      <c r="EK69">
        <f>_xlfn.XLOOKUP(B69,'[11]january-2026'!$A:$A,'[11]january-2026'!$J:$J,0,0)</f>
        <v>0</v>
      </c>
      <c r="EL69">
        <f>_xlfn.XLOOKUP(B69,'[12]february-2026'!$A:$A,'[12]february-2026'!$J:$J,0,0)</f>
        <v>0</v>
      </c>
      <c r="EM69">
        <f t="shared" si="228"/>
        <v>0</v>
      </c>
      <c r="EN69">
        <f>DV69+DL69+DB69+CR69+CH69+BX69+BN69+BD69+AS69+AI69+Y69+O69+H69+I69</f>
        <v>838692</v>
      </c>
      <c r="EO69">
        <f>DY69+DO69+DE69+CU69+CK69+CA69+BQ69+BG69+AV69+AL69+AB69+R69</f>
        <v>2400</v>
      </c>
      <c r="EP69">
        <f t="shared" si="229"/>
        <v>50000</v>
      </c>
      <c r="EQ69">
        <v>0</v>
      </c>
      <c r="ER69">
        <f t="shared" si="230"/>
        <v>786292</v>
      </c>
      <c r="ES69">
        <f>DW69+DM69+DC69+CS69+CI69+BY69+BO69+BE69+AT69+AJ69+Z69+P69</f>
        <v>120000</v>
      </c>
      <c r="ET69">
        <f>DX69+DN69+DD69+CT69+CJ69+BZ69+BP69+BF69+AU69+AK69+AA69+Q69</f>
        <v>720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si="231"/>
        <v>120720</v>
      </c>
      <c r="FF69">
        <f t="shared" si="232"/>
        <v>120720</v>
      </c>
      <c r="FG69">
        <f t="shared" si="233"/>
        <v>665572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>SUM(FH69:FN69)+(IF(F69="YES",50000,0))</f>
        <v>0</v>
      </c>
      <c r="FP69">
        <f t="shared" si="234"/>
        <v>665572</v>
      </c>
      <c r="FQ69">
        <f t="shared" si="235"/>
        <v>12500</v>
      </c>
      <c r="FR69">
        <f t="shared" si="236"/>
        <v>33114</v>
      </c>
      <c r="FS69">
        <f t="shared" si="237"/>
        <v>45614</v>
      </c>
      <c r="FT69">
        <f t="shared" si="238"/>
        <v>45614</v>
      </c>
      <c r="FU69">
        <f t="shared" si="239"/>
        <v>1824.56</v>
      </c>
      <c r="FV69">
        <f t="shared" si="240"/>
        <v>47439</v>
      </c>
      <c r="FW69">
        <v>0</v>
      </c>
      <c r="FX69">
        <f t="shared" si="241"/>
        <v>47439</v>
      </c>
      <c r="FY69" t="b">
        <f t="shared" si="242"/>
        <v>1</v>
      </c>
      <c r="FZ69">
        <f t="shared" ca="1" si="243"/>
        <v>531</v>
      </c>
      <c r="GA69">
        <f t="shared" ca="1" si="244"/>
        <v>839223</v>
      </c>
      <c r="GB69">
        <f t="shared" si="245"/>
        <v>75000</v>
      </c>
      <c r="GC69">
        <f t="shared" ca="1" si="246"/>
        <v>764223</v>
      </c>
      <c r="GD69">
        <f t="shared" ca="1" si="247"/>
        <v>0</v>
      </c>
      <c r="GE69">
        <f t="shared" ca="1" si="248"/>
        <v>0</v>
      </c>
      <c r="GF69">
        <f t="shared" ca="1" si="249"/>
        <v>0</v>
      </c>
      <c r="GG69">
        <f t="shared" ca="1" si="250"/>
        <v>0</v>
      </c>
      <c r="GH69">
        <f t="shared" ca="1" si="251"/>
        <v>0</v>
      </c>
      <c r="GI69">
        <f t="shared" ca="1" si="252"/>
        <v>0</v>
      </c>
      <c r="GJ69">
        <f ca="1">IF(GC69&gt;1200000,GC69-1200000-IF(F69="YES",50000,0)-GH69,0)</f>
        <v>0</v>
      </c>
      <c r="GK69">
        <f t="shared" ca="1" si="253"/>
        <v>0</v>
      </c>
      <c r="GL69">
        <f t="shared" ca="1" si="254"/>
        <v>0</v>
      </c>
      <c r="GM69">
        <f t="shared" ca="1" si="255"/>
        <v>0</v>
      </c>
      <c r="GN69">
        <f t="shared" ca="1" si="256"/>
        <v>364223</v>
      </c>
      <c r="GO69">
        <f t="shared" ca="1" si="257"/>
        <v>18211.150000000001</v>
      </c>
      <c r="GP69">
        <f t="shared" ca="1" si="258"/>
        <v>18211</v>
      </c>
      <c r="GQ69">
        <f t="shared" ca="1" si="259"/>
        <v>0</v>
      </c>
      <c r="GR69">
        <f t="shared" ca="1" si="260"/>
        <v>0</v>
      </c>
      <c r="GS69">
        <f t="shared" ca="1" si="261"/>
        <v>18211</v>
      </c>
      <c r="GT69">
        <f t="shared" ca="1" si="262"/>
        <v>0</v>
      </c>
      <c r="GU69" t="b">
        <f t="shared" ca="1" si="263"/>
        <v>0</v>
      </c>
      <c r="GV69">
        <f t="shared" ca="1" si="264"/>
        <v>0</v>
      </c>
      <c r="GW69">
        <f t="shared" ca="1" si="265"/>
        <v>18211</v>
      </c>
      <c r="GX69">
        <f t="shared" ca="1" si="266"/>
        <v>0</v>
      </c>
      <c r="GY69">
        <f t="shared" ca="1" si="267"/>
        <v>0</v>
      </c>
      <c r="GZ69">
        <f t="shared" ca="1" si="268"/>
        <v>0</v>
      </c>
    </row>
    <row r="70" spans="1:208" x14ac:dyDescent="0.25">
      <c r="A70">
        <f>_xlfn.AGGREGATE(3,5,$B$2:B70)</f>
        <v>69</v>
      </c>
      <c r="B70" t="s">
        <v>255</v>
      </c>
      <c r="C70" t="s">
        <v>256</v>
      </c>
      <c r="D70" t="s">
        <v>767</v>
      </c>
      <c r="E70" t="s">
        <v>832</v>
      </c>
      <c r="F70" t="s">
        <v>957</v>
      </c>
      <c r="G70" t="s">
        <v>905</v>
      </c>
      <c r="H70">
        <f t="shared" si="178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179"/>
        <v>5278.0000000000009</v>
      </c>
      <c r="L70">
        <f t="shared" si="180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>IF(J70&gt;0,SUM(J70:N70),0)</f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269"/>
        <v>200</v>
      </c>
      <c r="S70">
        <f t="shared" si="181"/>
        <v>40802</v>
      </c>
      <c r="T70">
        <f>_xlfn.XLOOKUP(B70,'[2]april-2025'!$A:$A,'[2]april-2025'!$C:$C,0,0)</f>
        <v>37700</v>
      </c>
      <c r="U70">
        <f t="shared" si="182"/>
        <v>6786</v>
      </c>
      <c r="V70">
        <f t="shared" si="183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184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185"/>
        <v>200</v>
      </c>
      <c r="AC70">
        <f t="shared" si="186"/>
        <v>42310</v>
      </c>
      <c r="AD70">
        <f>_xlfn.XLOOKUP(B70,'[3]may-2025'!$A:$A,'[3]may-2025'!$C:$C,0,0)</f>
        <v>37700</v>
      </c>
      <c r="AE70">
        <f t="shared" si="187"/>
        <v>6786</v>
      </c>
      <c r="AF70">
        <f t="shared" si="188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189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190"/>
        <v>200</v>
      </c>
      <c r="AM70">
        <f t="shared" si="191"/>
        <v>42310</v>
      </c>
      <c r="AN70">
        <f>_xlfn.XLOOKUP(B70,'[4]june-2025'!$A:$A,'[4]june-2025'!$C:$C,0,0)</f>
        <v>37700</v>
      </c>
      <c r="AO70">
        <f t="shared" si="192"/>
        <v>6786</v>
      </c>
      <c r="AP70">
        <f t="shared" si="193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194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195"/>
        <v>200</v>
      </c>
      <c r="AW70">
        <f t="shared" si="196"/>
        <v>42310</v>
      </c>
      <c r="AX70">
        <f>_xlfn.XLOOKUP(B70,'[5]july-2025'!$A:$A,'[5]july-2025'!$C:$C,0,0)</f>
        <v>38800</v>
      </c>
      <c r="AY70">
        <f t="shared" si="197"/>
        <v>6984</v>
      </c>
      <c r="AZ70">
        <v>0</v>
      </c>
      <c r="BA70">
        <f t="shared" si="198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>IF(AX70&gt;0,SUM(AX70:BC70),0)</f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199"/>
        <v>200</v>
      </c>
      <c r="BH70">
        <f t="shared" si="200"/>
        <v>43740</v>
      </c>
      <c r="BI70">
        <f>_xlfn.XLOOKUP(B70,'[6]august-2025'!$A:$A,'[6]august-2025'!$C:$C,0,0)</f>
        <v>38800</v>
      </c>
      <c r="BJ70">
        <f t="shared" si="201"/>
        <v>6984</v>
      </c>
      <c r="BK70">
        <f t="shared" si="202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03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>IF($F70="YES",0,IF(BN70&gt;40000,200,IF(BN70&gt;25000,150,IF(BN70&gt;15000,130,IF(BN70&gt;10000,110,0)))))</f>
        <v>200</v>
      </c>
      <c r="BR70">
        <f>BN70-BO70-BP70-BQ70</f>
        <v>43740</v>
      </c>
      <c r="BS70">
        <f>_xlfn.XLOOKUP(B70,'[7]september-2025'!$A:$A,'[7]september-2025'!$C:$C,0,0)</f>
        <v>38800</v>
      </c>
      <c r="BT70">
        <f t="shared" si="204"/>
        <v>6984</v>
      </c>
      <c r="BU70">
        <f t="shared" si="205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>IF(BS70&gt;0,SUM(BS70:BW70),0)</f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06"/>
        <v>200</v>
      </c>
      <c r="CB70">
        <f t="shared" si="207"/>
        <v>43740</v>
      </c>
      <c r="CC70">
        <f>_xlfn.XLOOKUP(B70,'[8]october-2025'!$A:$A,'[8]october-2025'!$C:$C,0,0)</f>
        <v>38800</v>
      </c>
      <c r="CD70">
        <f t="shared" si="208"/>
        <v>6984</v>
      </c>
      <c r="CE70">
        <f t="shared" si="209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>IF(CC70&gt;0,SUM(CC70:CG70),0)</f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10"/>
        <v>200</v>
      </c>
      <c r="CL70">
        <f t="shared" si="211"/>
        <v>43740</v>
      </c>
      <c r="CM70">
        <f>_xlfn.XLOOKUP(B70,'[9]november-2025'!$A:$A,'[9]november-2025'!$C:$C,0,0)</f>
        <v>38800</v>
      </c>
      <c r="CN70">
        <f t="shared" si="212"/>
        <v>6984</v>
      </c>
      <c r="CO70">
        <f t="shared" si="213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>IF(CM70&gt;0,SUM(CM70:CQ70),0)</f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14"/>
        <v>200</v>
      </c>
      <c r="CV70">
        <f t="shared" si="215"/>
        <v>43740</v>
      </c>
      <c r="CW70">
        <f>_xlfn.XLOOKUP(B70,'[10]december-2025'!$A:$A,'[10]december-2025'!$C:$C,0,0)</f>
        <v>38800</v>
      </c>
      <c r="CX70">
        <f t="shared" si="216"/>
        <v>6984</v>
      </c>
      <c r="CY70">
        <f t="shared" si="217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>IF(CW70&gt;0,SUM(CW70:DA70),0)</f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18"/>
        <v>200</v>
      </c>
      <c r="DF70">
        <f t="shared" si="219"/>
        <v>43740</v>
      </c>
      <c r="DG70">
        <f>_xlfn.XLOOKUP(B70,'[11]january-2026'!$A:$A,'[11]january-2026'!$C:$C,0,0)</f>
        <v>38800</v>
      </c>
      <c r="DH70">
        <f t="shared" si="220"/>
        <v>6984</v>
      </c>
      <c r="DI70">
        <f t="shared" si="221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>IF(DG70&gt;0,SUM(DG70:DK70),0)</f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22"/>
        <v>200</v>
      </c>
      <c r="DP70">
        <f t="shared" si="223"/>
        <v>43740</v>
      </c>
      <c r="DQ70">
        <f>_xlfn.XLOOKUP(B70,'[12]february-2026'!$A:$A,'[12]february-2026'!$C:$C,0,0)</f>
        <v>38800</v>
      </c>
      <c r="DR70">
        <f t="shared" si="224"/>
        <v>6984</v>
      </c>
      <c r="DS70">
        <f t="shared" si="225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>IF(DQ70&gt;0,SUM(DQ70:DU70),0)</f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26"/>
        <v>200</v>
      </c>
      <c r="DZ70">
        <f t="shared" si="227"/>
        <v>43740</v>
      </c>
      <c r="EA70">
        <f>_xlfn.XLOOKUP(B70,'[1]march-2025'!$A:$A,'[1]march-2025'!$J:$J,0,0)</f>
        <v>0</v>
      </c>
      <c r="EB70">
        <f>_xlfn.XLOOKUP(B70,'[2]april-2025'!$A:$A,'[2]april-2025'!$J:$J,0,0)</f>
        <v>0</v>
      </c>
      <c r="EC70">
        <f>_xlfn.XLOOKUP(B70,'[3]may-2025'!$A:$A,'[3]may-2025'!$J:$J,0,0)</f>
        <v>0</v>
      </c>
      <c r="ED70">
        <f>_xlfn.XLOOKUP(B70,'[4]june-2025'!$A:$A,'[4]june-2025'!$J:$J,0,0)</f>
        <v>0</v>
      </c>
      <c r="EE70">
        <f>_xlfn.XLOOKUP(B70,'[5]july-2025'!$A:$A,'[5]july-2025'!$J:$J,0,0)</f>
        <v>0</v>
      </c>
      <c r="EF70">
        <f>_xlfn.XLOOKUP(B70,'[6]august-2025'!$A:$A,'[6]august-2025'!$J:$J,0,0)</f>
        <v>0</v>
      </c>
      <c r="EG70">
        <f>_xlfn.XLOOKUP(B70,'[7]september-2025'!$A:$A,'[7]september-2025'!$J:$J,0,0)</f>
        <v>0</v>
      </c>
      <c r="EH70">
        <f>_xlfn.XLOOKUP(B70,'[8]october-2025'!$A:$A,'[8]october-2025'!$J:$J,0,0)</f>
        <v>0</v>
      </c>
      <c r="EI70">
        <f>_xlfn.XLOOKUP(C70,'[9]november-2025'!$A:$A,'[9]november-2025'!$J:$J,0,0)</f>
        <v>0</v>
      </c>
      <c r="EJ70">
        <f>_xlfn.XLOOKUP(B70,'[10]december-2025'!$A:$A,'[10]december-2025'!$J:$J,0,0)</f>
        <v>0</v>
      </c>
      <c r="EK70">
        <f>_xlfn.XLOOKUP(B70,'[11]january-2026'!$A:$A,'[11]january-2026'!$J:$J,0,0)</f>
        <v>0</v>
      </c>
      <c r="EL70">
        <f>_xlfn.XLOOKUP(B70,'[12]february-2026'!$A:$A,'[12]february-2026'!$J:$J,0,0)</f>
        <v>0</v>
      </c>
      <c r="EM70">
        <f t="shared" si="228"/>
        <v>0</v>
      </c>
      <c r="EN70">
        <f>DV70+DL70+DB70+CR70+CH70+BX70+BN70+BD70+AS70+AI70+Y70+O70+H70+I70</f>
        <v>610852</v>
      </c>
      <c r="EO70">
        <f>DY70+DO70+DE70+CU70+CK70+CA70+BQ70+BG70+AV70+AL70+AB70+R70</f>
        <v>2400</v>
      </c>
      <c r="EP70">
        <f t="shared" si="229"/>
        <v>50000</v>
      </c>
      <c r="EQ70">
        <v>0</v>
      </c>
      <c r="ER70">
        <f t="shared" si="230"/>
        <v>558452</v>
      </c>
      <c r="ES70">
        <f>DW70+DM70+DC70+CS70+CI70+BY70+BO70+BE70+AT70+AJ70+Z70+P70</f>
        <v>84000</v>
      </c>
      <c r="ET70">
        <f>DX70+DN70+DD70+CT70+CJ70+BZ70+BP70+BF70+AU70+AK70+AA70+Q70</f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231"/>
        <v>84000</v>
      </c>
      <c r="FF70">
        <f t="shared" si="232"/>
        <v>84000</v>
      </c>
      <c r="FG70">
        <f t="shared" si="233"/>
        <v>474452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>SUM(FH70:FN70)+(IF(F70="YES",50000,0))</f>
        <v>0</v>
      </c>
      <c r="FP70">
        <f t="shared" si="234"/>
        <v>474452</v>
      </c>
      <c r="FQ70">
        <f t="shared" si="235"/>
        <v>11223</v>
      </c>
      <c r="FR70">
        <f t="shared" si="236"/>
        <v>0</v>
      </c>
      <c r="FS70">
        <f t="shared" si="237"/>
        <v>11223</v>
      </c>
      <c r="FT70">
        <f t="shared" si="238"/>
        <v>0</v>
      </c>
      <c r="FU70">
        <f t="shared" si="239"/>
        <v>0</v>
      </c>
      <c r="FV70">
        <f t="shared" si="240"/>
        <v>0</v>
      </c>
      <c r="FW70">
        <v>0</v>
      </c>
      <c r="FX70">
        <f t="shared" si="241"/>
        <v>0</v>
      </c>
      <c r="FY70" t="b">
        <f t="shared" si="242"/>
        <v>1</v>
      </c>
      <c r="FZ70">
        <f t="shared" ca="1" si="243"/>
        <v>600</v>
      </c>
      <c r="GA70">
        <f t="shared" ca="1" si="244"/>
        <v>611452</v>
      </c>
      <c r="GB70">
        <f t="shared" si="245"/>
        <v>75000</v>
      </c>
      <c r="GC70">
        <f t="shared" ca="1" si="246"/>
        <v>536452</v>
      </c>
      <c r="GD70">
        <f t="shared" ca="1" si="247"/>
        <v>0</v>
      </c>
      <c r="GE70">
        <f t="shared" ca="1" si="248"/>
        <v>0</v>
      </c>
      <c r="GF70">
        <f t="shared" ca="1" si="249"/>
        <v>0</v>
      </c>
      <c r="GG70">
        <f t="shared" ca="1" si="250"/>
        <v>0</v>
      </c>
      <c r="GH70">
        <f t="shared" ca="1" si="251"/>
        <v>0</v>
      </c>
      <c r="GI70">
        <f t="shared" ca="1" si="252"/>
        <v>0</v>
      </c>
      <c r="GJ70">
        <f ca="1">IF(GC70&gt;1200000,GC70-1200000-IF(F70="YES",50000,0)-GH70,0)</f>
        <v>0</v>
      </c>
      <c r="GK70">
        <f t="shared" ca="1" si="253"/>
        <v>0</v>
      </c>
      <c r="GL70">
        <f t="shared" ca="1" si="254"/>
        <v>0</v>
      </c>
      <c r="GM70">
        <f t="shared" ca="1" si="255"/>
        <v>0</v>
      </c>
      <c r="GN70">
        <f t="shared" ca="1" si="256"/>
        <v>136452</v>
      </c>
      <c r="GO70">
        <f t="shared" ca="1" si="257"/>
        <v>6822.6</v>
      </c>
      <c r="GP70">
        <f t="shared" ca="1" si="258"/>
        <v>6823</v>
      </c>
      <c r="GQ70">
        <f t="shared" ca="1" si="259"/>
        <v>0</v>
      </c>
      <c r="GR70">
        <f t="shared" ca="1" si="260"/>
        <v>0</v>
      </c>
      <c r="GS70">
        <f t="shared" ca="1" si="261"/>
        <v>6823</v>
      </c>
      <c r="GT70">
        <f t="shared" ca="1" si="262"/>
        <v>0</v>
      </c>
      <c r="GU70" t="b">
        <f t="shared" ca="1" si="263"/>
        <v>0</v>
      </c>
      <c r="GV70">
        <f t="shared" ca="1" si="264"/>
        <v>0</v>
      </c>
      <c r="GW70">
        <f t="shared" ca="1" si="265"/>
        <v>6823</v>
      </c>
      <c r="GX70">
        <f t="shared" ca="1" si="266"/>
        <v>0</v>
      </c>
      <c r="GY70">
        <f t="shared" ca="1" si="267"/>
        <v>0</v>
      </c>
      <c r="GZ70">
        <f t="shared" ca="1" si="268"/>
        <v>0</v>
      </c>
    </row>
    <row r="71" spans="1:208" x14ac:dyDescent="0.25">
      <c r="A71">
        <f>_xlfn.AGGREGATE(3,5,$B$2:B71)</f>
        <v>70</v>
      </c>
      <c r="B71" t="s">
        <v>257</v>
      </c>
      <c r="C71" t="s">
        <v>258</v>
      </c>
      <c r="D71" t="s">
        <v>768</v>
      </c>
      <c r="E71" t="s">
        <v>832</v>
      </c>
      <c r="F71" t="s">
        <v>957</v>
      </c>
      <c r="G71" t="s">
        <v>885</v>
      </c>
      <c r="H71">
        <f t="shared" si="178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179"/>
        <v>7238.0000000000009</v>
      </c>
      <c r="L71">
        <f t="shared" si="180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>IF(J71&gt;0,SUM(J71:N71),0)</f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269"/>
        <v>200</v>
      </c>
      <c r="S71">
        <f t="shared" si="181"/>
        <v>61842</v>
      </c>
      <c r="T71">
        <f>_xlfn.XLOOKUP(B71,'[2]april-2025'!$A:$A,'[2]april-2025'!$C:$C,0,0)</f>
        <v>51700</v>
      </c>
      <c r="U71">
        <f t="shared" si="182"/>
        <v>9306</v>
      </c>
      <c r="V71">
        <f t="shared" si="183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184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185"/>
        <v>200</v>
      </c>
      <c r="AC71">
        <f t="shared" si="186"/>
        <v>63910</v>
      </c>
      <c r="AD71">
        <f>_xlfn.XLOOKUP(B71,'[3]may-2025'!$A:$A,'[3]may-2025'!$C:$C,0,0)</f>
        <v>51700</v>
      </c>
      <c r="AE71">
        <f t="shared" si="187"/>
        <v>9306</v>
      </c>
      <c r="AF71">
        <f t="shared" si="188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189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190"/>
        <v>200</v>
      </c>
      <c r="AM71">
        <f t="shared" si="191"/>
        <v>63910</v>
      </c>
      <c r="AN71">
        <f>_xlfn.XLOOKUP(B71,'[4]june-2025'!$A:$A,'[4]june-2025'!$C:$C,0,0)</f>
        <v>51700</v>
      </c>
      <c r="AO71">
        <f t="shared" si="192"/>
        <v>9306</v>
      </c>
      <c r="AP71">
        <f t="shared" si="193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194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195"/>
        <v>200</v>
      </c>
      <c r="AW71">
        <f t="shared" si="196"/>
        <v>63910</v>
      </c>
      <c r="AX71">
        <f>_xlfn.XLOOKUP(B71,'[5]july-2025'!$A:$A,'[5]july-2025'!$C:$C,0,0)</f>
        <v>53300</v>
      </c>
      <c r="AY71">
        <f t="shared" si="197"/>
        <v>9594</v>
      </c>
      <c r="AZ71">
        <v>0</v>
      </c>
      <c r="BA71">
        <f t="shared" si="198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>IF(AX71&gt;0,SUM(AX71:BC71),0)</f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199"/>
        <v>200</v>
      </c>
      <c r="BH71">
        <f t="shared" si="200"/>
        <v>65990</v>
      </c>
      <c r="BI71">
        <f>_xlfn.XLOOKUP(B71,'[6]august-2025'!$A:$A,'[6]august-2025'!$C:$C,0,0)</f>
        <v>53300</v>
      </c>
      <c r="BJ71">
        <f t="shared" si="201"/>
        <v>9594</v>
      </c>
      <c r="BK71">
        <f t="shared" si="202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03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>IF($F71="YES",0,IF(BN71&gt;40000,200,IF(BN71&gt;25000,150,IF(BN71&gt;15000,130,IF(BN71&gt;10000,110,0)))))</f>
        <v>200</v>
      </c>
      <c r="BR71">
        <f>BN71-BO71-BP71-BQ71</f>
        <v>65990</v>
      </c>
      <c r="BS71">
        <f>_xlfn.XLOOKUP(B71,'[7]september-2025'!$A:$A,'[7]september-2025'!$C:$C,0,0)</f>
        <v>53300</v>
      </c>
      <c r="BT71">
        <f t="shared" si="204"/>
        <v>9594</v>
      </c>
      <c r="BU71">
        <f t="shared" si="205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>IF(BS71&gt;0,SUM(BS71:BW71),0)</f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06"/>
        <v>200</v>
      </c>
      <c r="CB71">
        <f t="shared" si="207"/>
        <v>65990</v>
      </c>
      <c r="CC71">
        <f>_xlfn.XLOOKUP(B71,'[8]october-2025'!$A:$A,'[8]october-2025'!$C:$C,0,0)</f>
        <v>53300</v>
      </c>
      <c r="CD71">
        <f t="shared" si="208"/>
        <v>9594</v>
      </c>
      <c r="CE71">
        <f t="shared" si="209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>IF(CC71&gt;0,SUM(CC71:CG71),0)</f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10"/>
        <v>200</v>
      </c>
      <c r="CL71">
        <f t="shared" si="211"/>
        <v>65990</v>
      </c>
      <c r="CM71">
        <f>_xlfn.XLOOKUP(B71,'[9]november-2025'!$A:$A,'[9]november-2025'!$C:$C,0,0)</f>
        <v>53300</v>
      </c>
      <c r="CN71">
        <f t="shared" si="212"/>
        <v>9594</v>
      </c>
      <c r="CO71">
        <f t="shared" si="213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>IF(CM71&gt;0,SUM(CM71:CQ71),0)</f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14"/>
        <v>200</v>
      </c>
      <c r="CV71">
        <f t="shared" si="215"/>
        <v>65990</v>
      </c>
      <c r="CW71">
        <f>_xlfn.XLOOKUP(B71,'[10]december-2025'!$A:$A,'[10]december-2025'!$C:$C,0,0)</f>
        <v>53300</v>
      </c>
      <c r="CX71">
        <f t="shared" si="216"/>
        <v>9594</v>
      </c>
      <c r="CY71">
        <f t="shared" si="217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>IF(CW71&gt;0,SUM(CW71:DA71),0)</f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18"/>
        <v>200</v>
      </c>
      <c r="DF71">
        <f t="shared" si="219"/>
        <v>65990</v>
      </c>
      <c r="DG71">
        <f>_xlfn.XLOOKUP(B71,'[11]january-2026'!$A:$A,'[11]january-2026'!$C:$C,0,0)</f>
        <v>53300</v>
      </c>
      <c r="DH71">
        <f t="shared" si="220"/>
        <v>9594</v>
      </c>
      <c r="DI71">
        <f t="shared" si="221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>IF(DG71&gt;0,SUM(DG71:DK71),0)</f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22"/>
        <v>200</v>
      </c>
      <c r="DP71">
        <f t="shared" si="223"/>
        <v>65990</v>
      </c>
      <c r="DQ71">
        <f>_xlfn.XLOOKUP(B71,'[12]february-2026'!$A:$A,'[12]february-2026'!$C:$C,0,0)</f>
        <v>53300</v>
      </c>
      <c r="DR71">
        <f t="shared" si="224"/>
        <v>9594</v>
      </c>
      <c r="DS71">
        <f t="shared" si="225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>IF(DQ71&gt;0,SUM(DQ71:DU71),0)</f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26"/>
        <v>200</v>
      </c>
      <c r="DZ71">
        <f t="shared" si="227"/>
        <v>65990</v>
      </c>
      <c r="EA71">
        <f>_xlfn.XLOOKUP(B71,'[1]march-2025'!$A:$A,'[1]march-2025'!$J:$J,0,0)</f>
        <v>0</v>
      </c>
      <c r="EB71">
        <f>_xlfn.XLOOKUP(B71,'[2]april-2025'!$A:$A,'[2]april-2025'!$J:$J,0,0)</f>
        <v>0</v>
      </c>
      <c r="EC71">
        <f>_xlfn.XLOOKUP(B71,'[3]may-2025'!$A:$A,'[3]may-2025'!$J:$J,0,0)</f>
        <v>0</v>
      </c>
      <c r="ED71">
        <f>_xlfn.XLOOKUP(B71,'[4]june-2025'!$A:$A,'[4]june-2025'!$J:$J,0,0)</f>
        <v>0</v>
      </c>
      <c r="EE71">
        <f>_xlfn.XLOOKUP(B71,'[5]july-2025'!$A:$A,'[5]july-2025'!$J:$J,0,0)</f>
        <v>0</v>
      </c>
      <c r="EF71">
        <f>_xlfn.XLOOKUP(B71,'[6]august-2025'!$A:$A,'[6]august-2025'!$J:$J,0,0)</f>
        <v>0</v>
      </c>
      <c r="EG71">
        <f>_xlfn.XLOOKUP(B71,'[7]september-2025'!$A:$A,'[7]september-2025'!$J:$J,0,0)</f>
        <v>0</v>
      </c>
      <c r="EH71">
        <f>_xlfn.XLOOKUP(B71,'[8]october-2025'!$A:$A,'[8]october-2025'!$J:$J,0,0)</f>
        <v>0</v>
      </c>
      <c r="EI71">
        <f>_xlfn.XLOOKUP(C71,'[9]november-2025'!$A:$A,'[9]november-2025'!$J:$J,0,0)</f>
        <v>0</v>
      </c>
      <c r="EJ71">
        <f>_xlfn.XLOOKUP(B71,'[10]december-2025'!$A:$A,'[10]december-2025'!$J:$J,0,0)</f>
        <v>0</v>
      </c>
      <c r="EK71">
        <f>_xlfn.XLOOKUP(B71,'[11]january-2026'!$A:$A,'[11]january-2026'!$J:$J,0,0)</f>
        <v>0</v>
      </c>
      <c r="EL71">
        <f>_xlfn.XLOOKUP(B71,'[12]february-2026'!$A:$A,'[12]february-2026'!$J:$J,0,0)</f>
        <v>0</v>
      </c>
      <c r="EM71">
        <f t="shared" si="228"/>
        <v>0</v>
      </c>
      <c r="EN71">
        <f>DV71+DL71+DB71+CR71+CH71+BX71+BN71+BD71+AS71+AI71+Y71+O71+H71+I71</f>
        <v>838692</v>
      </c>
      <c r="EO71">
        <f>DY71+DO71+DE71+CU71+CK71+CA71+BQ71+BG71+AV71+AL71+AB71+R71</f>
        <v>2400</v>
      </c>
      <c r="EP71">
        <f t="shared" si="229"/>
        <v>50000</v>
      </c>
      <c r="EQ71">
        <v>0</v>
      </c>
      <c r="ER71">
        <f t="shared" si="230"/>
        <v>786292</v>
      </c>
      <c r="ES71">
        <f>DW71+DM71+DC71+CS71+CI71+BY71+BO71+BE71+AT71+AJ71+Z71+P71</f>
        <v>48000</v>
      </c>
      <c r="ET71">
        <f>DX71+DN71+DD71+CT71+CJ71+BZ71+BP71+BF71+AU71+AK71+AA71+Q71</f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231"/>
        <v>48000</v>
      </c>
      <c r="FF71">
        <f t="shared" si="232"/>
        <v>48000</v>
      </c>
      <c r="FG71">
        <f t="shared" si="233"/>
        <v>738292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>SUM(FH71:FN71)+(IF(F71="YES",50000,0))</f>
        <v>0</v>
      </c>
      <c r="FP71">
        <f t="shared" si="234"/>
        <v>738292</v>
      </c>
      <c r="FQ71">
        <f t="shared" si="235"/>
        <v>12500</v>
      </c>
      <c r="FR71">
        <f t="shared" si="236"/>
        <v>47658</v>
      </c>
      <c r="FS71">
        <f t="shared" si="237"/>
        <v>60158</v>
      </c>
      <c r="FT71">
        <f t="shared" si="238"/>
        <v>60158</v>
      </c>
      <c r="FU71">
        <f t="shared" si="239"/>
        <v>2406.3200000000002</v>
      </c>
      <c r="FV71">
        <f t="shared" si="240"/>
        <v>62564</v>
      </c>
      <c r="FW71">
        <v>0</v>
      </c>
      <c r="FX71">
        <f t="shared" si="241"/>
        <v>62564</v>
      </c>
      <c r="FY71" t="b">
        <f t="shared" si="242"/>
        <v>1</v>
      </c>
      <c r="FZ71">
        <f t="shared" ca="1" si="243"/>
        <v>859</v>
      </c>
      <c r="GA71">
        <f t="shared" ca="1" si="244"/>
        <v>839551</v>
      </c>
      <c r="GB71">
        <f t="shared" si="245"/>
        <v>75000</v>
      </c>
      <c r="GC71">
        <f t="shared" ca="1" si="246"/>
        <v>764551</v>
      </c>
      <c r="GD71">
        <f t="shared" ca="1" si="247"/>
        <v>0</v>
      </c>
      <c r="GE71">
        <f t="shared" ca="1" si="248"/>
        <v>0</v>
      </c>
      <c r="GF71">
        <f t="shared" ca="1" si="249"/>
        <v>0</v>
      </c>
      <c r="GG71">
        <f t="shared" ca="1" si="250"/>
        <v>0</v>
      </c>
      <c r="GH71">
        <f t="shared" ca="1" si="251"/>
        <v>0</v>
      </c>
      <c r="GI71">
        <f t="shared" ca="1" si="252"/>
        <v>0</v>
      </c>
      <c r="GJ71">
        <f ca="1">IF(GC71&gt;1200000,GC71-1200000-IF(F71="YES",50000,0)-GH71,0)</f>
        <v>0</v>
      </c>
      <c r="GK71">
        <f t="shared" ca="1" si="253"/>
        <v>0</v>
      </c>
      <c r="GL71">
        <f t="shared" ca="1" si="254"/>
        <v>0</v>
      </c>
      <c r="GM71">
        <f t="shared" ca="1" si="255"/>
        <v>0</v>
      </c>
      <c r="GN71">
        <f t="shared" ca="1" si="256"/>
        <v>364551</v>
      </c>
      <c r="GO71">
        <f t="shared" ca="1" si="257"/>
        <v>18227.55</v>
      </c>
      <c r="GP71">
        <f t="shared" ca="1" si="258"/>
        <v>18228</v>
      </c>
      <c r="GQ71">
        <f t="shared" ca="1" si="259"/>
        <v>0</v>
      </c>
      <c r="GR71">
        <f t="shared" ca="1" si="260"/>
        <v>0</v>
      </c>
      <c r="GS71">
        <f t="shared" ca="1" si="261"/>
        <v>18228</v>
      </c>
      <c r="GT71">
        <f t="shared" ca="1" si="262"/>
        <v>0</v>
      </c>
      <c r="GU71" t="b">
        <f t="shared" ca="1" si="263"/>
        <v>0</v>
      </c>
      <c r="GV71">
        <f t="shared" ca="1" si="264"/>
        <v>0</v>
      </c>
      <c r="GW71">
        <f t="shared" ca="1" si="265"/>
        <v>18228</v>
      </c>
      <c r="GX71">
        <f t="shared" ca="1" si="266"/>
        <v>0</v>
      </c>
      <c r="GY71">
        <f t="shared" ca="1" si="267"/>
        <v>0</v>
      </c>
      <c r="GZ71">
        <f t="shared" ca="1" si="268"/>
        <v>0</v>
      </c>
    </row>
    <row r="72" spans="1:208" x14ac:dyDescent="0.25">
      <c r="A72">
        <f>_xlfn.AGGREGATE(3,5,$B$2:B72)</f>
        <v>71</v>
      </c>
      <c r="B72" t="s">
        <v>259</v>
      </c>
      <c r="C72" t="s">
        <v>260</v>
      </c>
      <c r="D72" t="s">
        <v>768</v>
      </c>
      <c r="E72" t="s">
        <v>831</v>
      </c>
      <c r="F72" t="s">
        <v>957</v>
      </c>
      <c r="G72" t="s">
        <v>906</v>
      </c>
      <c r="H72">
        <f t="shared" si="178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179"/>
        <v>4830.0000000000009</v>
      </c>
      <c r="L72">
        <f t="shared" si="180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>IF(J72&gt;0,SUM(J72:N72),0)</f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269"/>
        <v>200</v>
      </c>
      <c r="S72">
        <f t="shared" si="181"/>
        <v>41270</v>
      </c>
      <c r="T72">
        <f>_xlfn.XLOOKUP(B72,'[2]april-2025'!$A:$A,'[2]april-2025'!$C:$C,0,0)</f>
        <v>34500</v>
      </c>
      <c r="U72">
        <f t="shared" si="182"/>
        <v>6210</v>
      </c>
      <c r="V72">
        <f t="shared" si="183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184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185"/>
        <v>200</v>
      </c>
      <c r="AC72">
        <f t="shared" si="186"/>
        <v>42650</v>
      </c>
      <c r="AD72">
        <f>_xlfn.XLOOKUP(B72,'[3]may-2025'!$A:$A,'[3]may-2025'!$C:$C,0,0)</f>
        <v>34500</v>
      </c>
      <c r="AE72">
        <f t="shared" si="187"/>
        <v>6210</v>
      </c>
      <c r="AF72">
        <f t="shared" si="188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189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190"/>
        <v>200</v>
      </c>
      <c r="AM72">
        <f t="shared" si="191"/>
        <v>42650</v>
      </c>
      <c r="AN72">
        <f>_xlfn.XLOOKUP(B72,'[4]june-2025'!$A:$A,'[4]june-2025'!$C:$C,0,0)</f>
        <v>34500</v>
      </c>
      <c r="AO72">
        <f t="shared" si="192"/>
        <v>6210</v>
      </c>
      <c r="AP72">
        <f t="shared" si="193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194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195"/>
        <v>200</v>
      </c>
      <c r="AW72">
        <f t="shared" si="196"/>
        <v>42650</v>
      </c>
      <c r="AX72">
        <f>_xlfn.XLOOKUP(B72,'[5]july-2025'!$A:$A,'[5]july-2025'!$C:$C,0,0)</f>
        <v>35500</v>
      </c>
      <c r="AY72">
        <f t="shared" si="197"/>
        <v>6390</v>
      </c>
      <c r="AZ72">
        <v>0</v>
      </c>
      <c r="BA72">
        <f t="shared" si="198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>IF(AX72&gt;0,SUM(AX72:BC72),0)</f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199"/>
        <v>200</v>
      </c>
      <c r="BH72">
        <f t="shared" si="200"/>
        <v>43950</v>
      </c>
      <c r="BI72">
        <f>_xlfn.XLOOKUP(B72,'[6]august-2025'!$A:$A,'[6]august-2025'!$C:$C,0,0)</f>
        <v>35500</v>
      </c>
      <c r="BJ72">
        <f t="shared" si="201"/>
        <v>6390</v>
      </c>
      <c r="BK72">
        <f t="shared" si="202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03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>IF($F72="YES",0,IF(BN72&gt;40000,200,IF(BN72&gt;25000,150,IF(BN72&gt;15000,130,IF(BN72&gt;10000,110,0)))))</f>
        <v>200</v>
      </c>
      <c r="BR72">
        <f>BN72-BO72-BP72-BQ72</f>
        <v>43950</v>
      </c>
      <c r="BS72">
        <f>_xlfn.XLOOKUP(B72,'[7]september-2025'!$A:$A,'[7]september-2025'!$C:$C,0,0)</f>
        <v>35500</v>
      </c>
      <c r="BT72">
        <f t="shared" si="204"/>
        <v>6390</v>
      </c>
      <c r="BU72">
        <f t="shared" si="205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>IF(BS72&gt;0,SUM(BS72:BW72),0)</f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06"/>
        <v>200</v>
      </c>
      <c r="CB72">
        <f t="shared" si="207"/>
        <v>43950</v>
      </c>
      <c r="CC72">
        <f>_xlfn.XLOOKUP(B72,'[8]october-2025'!$A:$A,'[8]october-2025'!$C:$C,0,0)</f>
        <v>35500</v>
      </c>
      <c r="CD72">
        <f t="shared" si="208"/>
        <v>6390</v>
      </c>
      <c r="CE72">
        <f t="shared" si="209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>IF(CC72&gt;0,SUM(CC72:CG72),0)</f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10"/>
        <v>200</v>
      </c>
      <c r="CL72">
        <f t="shared" si="211"/>
        <v>43950</v>
      </c>
      <c r="CM72">
        <f>_xlfn.XLOOKUP(B72,'[9]november-2025'!$A:$A,'[9]november-2025'!$C:$C,0,0)</f>
        <v>35500</v>
      </c>
      <c r="CN72">
        <f t="shared" si="212"/>
        <v>6390</v>
      </c>
      <c r="CO72">
        <f t="shared" si="213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>IF(CM72&gt;0,SUM(CM72:CQ72),0)</f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14"/>
        <v>200</v>
      </c>
      <c r="CV72">
        <f t="shared" si="215"/>
        <v>43950</v>
      </c>
      <c r="CW72">
        <f>_xlfn.XLOOKUP(B72,'[10]december-2025'!$A:$A,'[10]december-2025'!$C:$C,0,0)</f>
        <v>35500</v>
      </c>
      <c r="CX72">
        <f t="shared" si="216"/>
        <v>6390</v>
      </c>
      <c r="CY72">
        <f t="shared" si="217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>IF(CW72&gt;0,SUM(CW72:DA72),0)</f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18"/>
        <v>200</v>
      </c>
      <c r="DF72">
        <f t="shared" si="219"/>
        <v>43950</v>
      </c>
      <c r="DG72">
        <f>_xlfn.XLOOKUP(B72,'[11]january-2026'!$A:$A,'[11]january-2026'!$C:$C,0,0)</f>
        <v>35500</v>
      </c>
      <c r="DH72">
        <f t="shared" si="220"/>
        <v>6390</v>
      </c>
      <c r="DI72">
        <f t="shared" si="221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>IF(DG72&gt;0,SUM(DG72:DK72),0)</f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22"/>
        <v>200</v>
      </c>
      <c r="DP72">
        <f t="shared" si="223"/>
        <v>43950</v>
      </c>
      <c r="DQ72">
        <f>_xlfn.XLOOKUP(B72,'[12]february-2026'!$A:$A,'[12]february-2026'!$C:$C,0,0)</f>
        <v>35500</v>
      </c>
      <c r="DR72">
        <f t="shared" si="224"/>
        <v>6390</v>
      </c>
      <c r="DS72">
        <f t="shared" si="225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>IF(DQ72&gt;0,SUM(DQ72:DU72),0)</f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26"/>
        <v>200</v>
      </c>
      <c r="DZ72">
        <f t="shared" si="227"/>
        <v>43950</v>
      </c>
      <c r="EA72">
        <f>_xlfn.XLOOKUP(B72,'[1]march-2025'!$A:$A,'[1]march-2025'!$J:$J,0,0)</f>
        <v>0</v>
      </c>
      <c r="EB72">
        <f>_xlfn.XLOOKUP(B72,'[2]april-2025'!$A:$A,'[2]april-2025'!$J:$J,0,0)</f>
        <v>0</v>
      </c>
      <c r="EC72">
        <f>_xlfn.XLOOKUP(B72,'[3]may-2025'!$A:$A,'[3]may-2025'!$J:$J,0,0)</f>
        <v>0</v>
      </c>
      <c r="ED72">
        <f>_xlfn.XLOOKUP(B72,'[4]june-2025'!$A:$A,'[4]june-2025'!$J:$J,0,0)</f>
        <v>0</v>
      </c>
      <c r="EE72">
        <f>_xlfn.XLOOKUP(B72,'[5]july-2025'!$A:$A,'[5]july-2025'!$J:$J,0,0)</f>
        <v>0</v>
      </c>
      <c r="EF72">
        <f>_xlfn.XLOOKUP(B72,'[6]august-2025'!$A:$A,'[6]august-2025'!$J:$J,0,0)</f>
        <v>0</v>
      </c>
      <c r="EG72">
        <f>_xlfn.XLOOKUP(B72,'[7]september-2025'!$A:$A,'[7]september-2025'!$J:$J,0,0)</f>
        <v>0</v>
      </c>
      <c r="EH72">
        <f>_xlfn.XLOOKUP(B72,'[8]october-2025'!$A:$A,'[8]october-2025'!$J:$J,0,0)</f>
        <v>0</v>
      </c>
      <c r="EI72">
        <f>_xlfn.XLOOKUP(C72,'[9]november-2025'!$A:$A,'[9]november-2025'!$J:$J,0,0)</f>
        <v>0</v>
      </c>
      <c r="EJ72">
        <f>_xlfn.XLOOKUP(B72,'[10]december-2025'!$A:$A,'[10]december-2025'!$J:$J,0,0)</f>
        <v>0</v>
      </c>
      <c r="EK72">
        <f>_xlfn.XLOOKUP(B72,'[11]january-2026'!$A:$A,'[11]january-2026'!$J:$J,0,0)</f>
        <v>0</v>
      </c>
      <c r="EL72">
        <f>_xlfn.XLOOKUP(B72,'[12]february-2026'!$A:$A,'[12]february-2026'!$J:$J,0,0)</f>
        <v>0</v>
      </c>
      <c r="EM72">
        <f t="shared" si="228"/>
        <v>0</v>
      </c>
      <c r="EN72">
        <f>DV72+DL72+DB72+CR72+CH72+BX72+BN72+BD72+AS72+AI72+Y72+O72+H72+I72</f>
        <v>560020</v>
      </c>
      <c r="EO72">
        <f>DY72+DO72+DE72+CU72+CK72+CA72+BQ72+BG72+AV72+AL72+AB72+R72</f>
        <v>2400</v>
      </c>
      <c r="EP72">
        <f t="shared" si="229"/>
        <v>50000</v>
      </c>
      <c r="EQ72">
        <v>0</v>
      </c>
      <c r="ER72">
        <f t="shared" si="230"/>
        <v>507620</v>
      </c>
      <c r="ES72">
        <f>DW72+DM72+DC72+CS72+CI72+BY72+BO72+BE72+AT72+AJ72+Z72+P72</f>
        <v>30000</v>
      </c>
      <c r="ET72">
        <f>DX72+DN72+DD72+CT72+CJ72+BZ72+BP72+BF72+AU72+AK72+AA72+Q72</f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231"/>
        <v>30000</v>
      </c>
      <c r="FF72">
        <f t="shared" si="232"/>
        <v>30000</v>
      </c>
      <c r="FG72">
        <f t="shared" si="233"/>
        <v>477620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>SUM(FH72:FN72)+(IF(F72="YES",50000,0))</f>
        <v>0</v>
      </c>
      <c r="FP72">
        <f t="shared" si="234"/>
        <v>477620</v>
      </c>
      <c r="FQ72">
        <f t="shared" si="235"/>
        <v>11381</v>
      </c>
      <c r="FR72">
        <f t="shared" si="236"/>
        <v>0</v>
      </c>
      <c r="FS72">
        <f t="shared" si="237"/>
        <v>11381</v>
      </c>
      <c r="FT72">
        <f t="shared" si="238"/>
        <v>0</v>
      </c>
      <c r="FU72">
        <f t="shared" si="239"/>
        <v>0</v>
      </c>
      <c r="FV72">
        <f t="shared" si="240"/>
        <v>0</v>
      </c>
      <c r="FW72">
        <v>0</v>
      </c>
      <c r="FX72">
        <f t="shared" si="241"/>
        <v>0</v>
      </c>
      <c r="FY72" t="b">
        <f t="shared" si="242"/>
        <v>1</v>
      </c>
      <c r="FZ72">
        <f t="shared" ca="1" si="243"/>
        <v>791</v>
      </c>
      <c r="GA72">
        <f t="shared" ca="1" si="244"/>
        <v>560811</v>
      </c>
      <c r="GB72">
        <f t="shared" si="245"/>
        <v>75000</v>
      </c>
      <c r="GC72">
        <f t="shared" ca="1" si="246"/>
        <v>485811</v>
      </c>
      <c r="GD72">
        <f t="shared" ca="1" si="247"/>
        <v>0</v>
      </c>
      <c r="GE72">
        <f t="shared" ca="1" si="248"/>
        <v>0</v>
      </c>
      <c r="GF72">
        <f t="shared" ca="1" si="249"/>
        <v>0</v>
      </c>
      <c r="GG72">
        <f t="shared" ca="1" si="250"/>
        <v>0</v>
      </c>
      <c r="GH72">
        <f t="shared" ca="1" si="251"/>
        <v>0</v>
      </c>
      <c r="GI72">
        <f t="shared" ca="1" si="252"/>
        <v>0</v>
      </c>
      <c r="GJ72">
        <f ca="1">IF(GC72&gt;1200000,GC72-1200000-IF(F72="YES",50000,0)-GH72,0)</f>
        <v>0</v>
      </c>
      <c r="GK72">
        <f t="shared" ca="1" si="253"/>
        <v>0</v>
      </c>
      <c r="GL72">
        <f t="shared" ca="1" si="254"/>
        <v>0</v>
      </c>
      <c r="GM72">
        <f t="shared" ca="1" si="255"/>
        <v>0</v>
      </c>
      <c r="GN72">
        <f t="shared" ca="1" si="256"/>
        <v>85811</v>
      </c>
      <c r="GO72">
        <f t="shared" ca="1" si="257"/>
        <v>4290.55</v>
      </c>
      <c r="GP72">
        <f t="shared" ca="1" si="258"/>
        <v>4291</v>
      </c>
      <c r="GQ72">
        <f t="shared" ca="1" si="259"/>
        <v>0</v>
      </c>
      <c r="GR72">
        <f t="shared" ca="1" si="260"/>
        <v>0</v>
      </c>
      <c r="GS72">
        <f t="shared" ca="1" si="261"/>
        <v>4291</v>
      </c>
      <c r="GT72">
        <f t="shared" ca="1" si="262"/>
        <v>0</v>
      </c>
      <c r="GU72" t="b">
        <f t="shared" ca="1" si="263"/>
        <v>0</v>
      </c>
      <c r="GV72">
        <f t="shared" ca="1" si="264"/>
        <v>0</v>
      </c>
      <c r="GW72">
        <f t="shared" ca="1" si="265"/>
        <v>4291</v>
      </c>
      <c r="GX72">
        <f t="shared" ca="1" si="266"/>
        <v>0</v>
      </c>
      <c r="GY72">
        <f t="shared" ca="1" si="267"/>
        <v>0</v>
      </c>
      <c r="GZ72">
        <f t="shared" ca="1" si="268"/>
        <v>0</v>
      </c>
    </row>
    <row r="73" spans="1:208" x14ac:dyDescent="0.25">
      <c r="A73">
        <f>_xlfn.AGGREGATE(3,5,$B$2:B73)</f>
        <v>72</v>
      </c>
      <c r="B73" t="s">
        <v>261</v>
      </c>
      <c r="C73" t="s">
        <v>262</v>
      </c>
      <c r="D73" t="s">
        <v>768</v>
      </c>
      <c r="E73" t="s">
        <v>831</v>
      </c>
      <c r="F73" t="s">
        <v>957</v>
      </c>
      <c r="G73" t="s">
        <v>907</v>
      </c>
      <c r="H73">
        <f t="shared" si="178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179"/>
        <v>4690</v>
      </c>
      <c r="L73">
        <f t="shared" si="180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>IF(J73&gt;0,SUM(J73:N73),0)</f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269"/>
        <v>200</v>
      </c>
      <c r="S73">
        <f t="shared" si="181"/>
        <v>40010</v>
      </c>
      <c r="T73">
        <f>_xlfn.XLOOKUP(B73,'[2]april-2025'!$A:$A,'[2]april-2025'!$C:$C,0,0)</f>
        <v>33500</v>
      </c>
      <c r="U73">
        <f t="shared" si="182"/>
        <v>6030</v>
      </c>
      <c r="V73">
        <f t="shared" si="183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184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185"/>
        <v>200</v>
      </c>
      <c r="AC73">
        <f t="shared" si="186"/>
        <v>41350</v>
      </c>
      <c r="AD73">
        <f>_xlfn.XLOOKUP(B73,'[3]may-2025'!$A:$A,'[3]may-2025'!$C:$C,0,0)</f>
        <v>33500</v>
      </c>
      <c r="AE73">
        <f t="shared" si="187"/>
        <v>6030</v>
      </c>
      <c r="AF73">
        <f t="shared" si="188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189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190"/>
        <v>200</v>
      </c>
      <c r="AM73">
        <f t="shared" si="191"/>
        <v>41350</v>
      </c>
      <c r="AN73">
        <f>_xlfn.XLOOKUP(B73,'[4]june-2025'!$A:$A,'[4]june-2025'!$C:$C,0,0)</f>
        <v>33500</v>
      </c>
      <c r="AO73">
        <f t="shared" si="192"/>
        <v>6030</v>
      </c>
      <c r="AP73">
        <f t="shared" si="193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194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195"/>
        <v>200</v>
      </c>
      <c r="AW73">
        <f t="shared" si="196"/>
        <v>41350</v>
      </c>
      <c r="AX73">
        <f>_xlfn.XLOOKUP(B73,'[5]july-2025'!$A:$A,'[5]july-2025'!$C:$C,0,0)</f>
        <v>35500</v>
      </c>
      <c r="AY73">
        <f t="shared" si="197"/>
        <v>6390</v>
      </c>
      <c r="AZ73">
        <v>0</v>
      </c>
      <c r="BA73">
        <f t="shared" si="198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>IF(AX73&gt;0,SUM(AX73:BC73),0)</f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199"/>
        <v>200</v>
      </c>
      <c r="BH73">
        <f t="shared" si="200"/>
        <v>43950</v>
      </c>
      <c r="BI73">
        <f>_xlfn.XLOOKUP(B73,'[6]august-2025'!$A:$A,'[6]august-2025'!$C:$C,0,0)</f>
        <v>35500</v>
      </c>
      <c r="BJ73">
        <f t="shared" si="201"/>
        <v>6390</v>
      </c>
      <c r="BK73">
        <f t="shared" si="202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03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>IF($F73="YES",0,IF(BN73&gt;40000,200,IF(BN73&gt;25000,150,IF(BN73&gt;15000,130,IF(BN73&gt;10000,110,0)))))</f>
        <v>200</v>
      </c>
      <c r="BR73">
        <f>BN73-BO73-BP73-BQ73</f>
        <v>43950</v>
      </c>
      <c r="BS73">
        <f>_xlfn.XLOOKUP(B73,'[7]september-2025'!$A:$A,'[7]september-2025'!$C:$C,0,0)</f>
        <v>35500</v>
      </c>
      <c r="BT73">
        <f t="shared" si="204"/>
        <v>6390</v>
      </c>
      <c r="BU73">
        <f t="shared" si="205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>IF(BS73&gt;0,SUM(BS73:BW73),0)</f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06"/>
        <v>200</v>
      </c>
      <c r="CB73">
        <f t="shared" si="207"/>
        <v>43950</v>
      </c>
      <c r="CC73">
        <f>_xlfn.XLOOKUP(B73,'[8]october-2025'!$A:$A,'[8]october-2025'!$C:$C,0,0)</f>
        <v>35500</v>
      </c>
      <c r="CD73">
        <f t="shared" si="208"/>
        <v>6390</v>
      </c>
      <c r="CE73">
        <f t="shared" si="209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>IF(CC73&gt;0,SUM(CC73:CG73),0)</f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10"/>
        <v>200</v>
      </c>
      <c r="CL73">
        <f t="shared" si="211"/>
        <v>43950</v>
      </c>
      <c r="CM73">
        <f>_xlfn.XLOOKUP(B73,'[9]november-2025'!$A:$A,'[9]november-2025'!$C:$C,0,0)</f>
        <v>35500</v>
      </c>
      <c r="CN73">
        <f t="shared" si="212"/>
        <v>6390</v>
      </c>
      <c r="CO73">
        <f t="shared" si="213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>IF(CM73&gt;0,SUM(CM73:CQ73),0)</f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14"/>
        <v>200</v>
      </c>
      <c r="CV73">
        <f t="shared" si="215"/>
        <v>43950</v>
      </c>
      <c r="CW73">
        <f>_xlfn.XLOOKUP(B73,'[10]december-2025'!$A:$A,'[10]december-2025'!$C:$C,0,0)</f>
        <v>35500</v>
      </c>
      <c r="CX73">
        <f t="shared" si="216"/>
        <v>6390</v>
      </c>
      <c r="CY73">
        <f t="shared" si="217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>IF(CW73&gt;0,SUM(CW73:DA73),0)</f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18"/>
        <v>200</v>
      </c>
      <c r="DF73">
        <f t="shared" si="219"/>
        <v>43950</v>
      </c>
      <c r="DG73">
        <f>_xlfn.XLOOKUP(B73,'[11]january-2026'!$A:$A,'[11]january-2026'!$C:$C,0,0)</f>
        <v>35500</v>
      </c>
      <c r="DH73">
        <f t="shared" si="220"/>
        <v>6390</v>
      </c>
      <c r="DI73">
        <f t="shared" si="221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>IF(DG73&gt;0,SUM(DG73:DK73),0)</f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22"/>
        <v>200</v>
      </c>
      <c r="DP73">
        <f t="shared" si="223"/>
        <v>43950</v>
      </c>
      <c r="DQ73">
        <f>_xlfn.XLOOKUP(B73,'[12]february-2026'!$A:$A,'[12]february-2026'!$C:$C,0,0)</f>
        <v>35500</v>
      </c>
      <c r="DR73">
        <f t="shared" si="224"/>
        <v>6390</v>
      </c>
      <c r="DS73">
        <f t="shared" si="225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>IF(DQ73&gt;0,SUM(DQ73:DU73),0)</f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26"/>
        <v>200</v>
      </c>
      <c r="DZ73">
        <f t="shared" si="227"/>
        <v>43950</v>
      </c>
      <c r="EA73">
        <f>_xlfn.XLOOKUP(B73,'[1]march-2025'!$A:$A,'[1]march-2025'!$J:$J,0,0)</f>
        <v>0</v>
      </c>
      <c r="EB73">
        <f>_xlfn.XLOOKUP(B73,'[2]april-2025'!$A:$A,'[2]april-2025'!$J:$J,0,0)</f>
        <v>0</v>
      </c>
      <c r="EC73">
        <f>_xlfn.XLOOKUP(B73,'[3]may-2025'!$A:$A,'[3]may-2025'!$J:$J,0,0)</f>
        <v>0</v>
      </c>
      <c r="ED73">
        <f>_xlfn.XLOOKUP(B73,'[4]june-2025'!$A:$A,'[4]june-2025'!$J:$J,0,0)</f>
        <v>0</v>
      </c>
      <c r="EE73">
        <f>_xlfn.XLOOKUP(B73,'[5]july-2025'!$A:$A,'[5]july-2025'!$J:$J,0,0)</f>
        <v>0</v>
      </c>
      <c r="EF73">
        <f>_xlfn.XLOOKUP(B73,'[6]august-2025'!$A:$A,'[6]august-2025'!$J:$J,0,0)</f>
        <v>0</v>
      </c>
      <c r="EG73">
        <f>_xlfn.XLOOKUP(B73,'[7]september-2025'!$A:$A,'[7]september-2025'!$J:$J,0,0)</f>
        <v>0</v>
      </c>
      <c r="EH73">
        <f>_xlfn.XLOOKUP(B73,'[8]october-2025'!$A:$A,'[8]october-2025'!$J:$J,0,0)</f>
        <v>0</v>
      </c>
      <c r="EI73">
        <f>_xlfn.XLOOKUP(C73,'[9]november-2025'!$A:$A,'[9]november-2025'!$J:$J,0,0)</f>
        <v>0</v>
      </c>
      <c r="EJ73">
        <f>_xlfn.XLOOKUP(B73,'[10]december-2025'!$A:$A,'[10]december-2025'!$J:$J,0,0)</f>
        <v>0</v>
      </c>
      <c r="EK73">
        <f>_xlfn.XLOOKUP(B73,'[11]january-2026'!$A:$A,'[11]january-2026'!$J:$J,0,0)</f>
        <v>0</v>
      </c>
      <c r="EL73">
        <f>_xlfn.XLOOKUP(B73,'[12]february-2026'!$A:$A,'[12]february-2026'!$J:$J,0,0)</f>
        <v>0</v>
      </c>
      <c r="EM73">
        <f t="shared" si="228"/>
        <v>0</v>
      </c>
      <c r="EN73">
        <f>DV73+DL73+DB73+CR73+CH73+BX73+BN73+BD73+AS73+AI73+Y73+O73+H73+I73</f>
        <v>554860</v>
      </c>
      <c r="EO73">
        <f>DY73+DO73+DE73+CU73+CK73+CA73+BQ73+BG73+AV73+AL73+AB73+R73</f>
        <v>2400</v>
      </c>
      <c r="EP73">
        <f t="shared" si="229"/>
        <v>50000</v>
      </c>
      <c r="EQ73">
        <v>0</v>
      </c>
      <c r="ER73">
        <f t="shared" si="230"/>
        <v>502460</v>
      </c>
      <c r="ES73">
        <f>DW73+DM73+DC73+CS73+CI73+BY73+BO73+BE73+AT73+AJ73+Z73+P73</f>
        <v>30000</v>
      </c>
      <c r="ET73">
        <f>DX73+DN73+DD73+CT73+CJ73+BZ73+BP73+BF73+AU73+AK73+AA73+Q73</f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231"/>
        <v>30000</v>
      </c>
      <c r="FF73">
        <f t="shared" si="232"/>
        <v>30000</v>
      </c>
      <c r="FG73">
        <f t="shared" si="233"/>
        <v>472460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>SUM(FH73:FN73)+(IF(F73="YES",50000,0))</f>
        <v>0</v>
      </c>
      <c r="FP73">
        <f t="shared" si="234"/>
        <v>472460</v>
      </c>
      <c r="FQ73">
        <f t="shared" si="235"/>
        <v>11123</v>
      </c>
      <c r="FR73">
        <f t="shared" si="236"/>
        <v>0</v>
      </c>
      <c r="FS73">
        <f t="shared" si="237"/>
        <v>11123</v>
      </c>
      <c r="FT73">
        <f t="shared" si="238"/>
        <v>0</v>
      </c>
      <c r="FU73">
        <f t="shared" si="239"/>
        <v>0</v>
      </c>
      <c r="FV73">
        <f t="shared" si="240"/>
        <v>0</v>
      </c>
      <c r="FW73">
        <v>0</v>
      </c>
      <c r="FX73">
        <f t="shared" si="241"/>
        <v>0</v>
      </c>
      <c r="FY73" t="b">
        <f t="shared" si="242"/>
        <v>1</v>
      </c>
      <c r="FZ73">
        <f t="shared" ca="1" si="243"/>
        <v>977</v>
      </c>
      <c r="GA73">
        <f t="shared" ca="1" si="244"/>
        <v>555837</v>
      </c>
      <c r="GB73">
        <f t="shared" si="245"/>
        <v>75000</v>
      </c>
      <c r="GC73">
        <f t="shared" ca="1" si="246"/>
        <v>480837</v>
      </c>
      <c r="GD73">
        <f t="shared" ca="1" si="247"/>
        <v>0</v>
      </c>
      <c r="GE73">
        <f t="shared" ca="1" si="248"/>
        <v>0</v>
      </c>
      <c r="GF73">
        <f t="shared" ca="1" si="249"/>
        <v>0</v>
      </c>
      <c r="GG73">
        <f t="shared" ca="1" si="250"/>
        <v>0</v>
      </c>
      <c r="GH73">
        <f t="shared" ca="1" si="251"/>
        <v>0</v>
      </c>
      <c r="GI73">
        <f t="shared" ca="1" si="252"/>
        <v>0</v>
      </c>
      <c r="GJ73">
        <f ca="1">IF(GC73&gt;1200000,GC73-1200000-IF(F73="YES",50000,0)-GH73,0)</f>
        <v>0</v>
      </c>
      <c r="GK73">
        <f t="shared" ca="1" si="253"/>
        <v>0</v>
      </c>
      <c r="GL73">
        <f t="shared" ca="1" si="254"/>
        <v>0</v>
      </c>
      <c r="GM73">
        <f t="shared" ca="1" si="255"/>
        <v>0</v>
      </c>
      <c r="GN73">
        <f t="shared" ca="1" si="256"/>
        <v>80837</v>
      </c>
      <c r="GO73">
        <f t="shared" ca="1" si="257"/>
        <v>4041.8500000000004</v>
      </c>
      <c r="GP73">
        <f t="shared" ca="1" si="258"/>
        <v>4042</v>
      </c>
      <c r="GQ73">
        <f t="shared" ca="1" si="259"/>
        <v>0</v>
      </c>
      <c r="GR73">
        <f t="shared" ca="1" si="260"/>
        <v>0</v>
      </c>
      <c r="GS73">
        <f t="shared" ca="1" si="261"/>
        <v>4042</v>
      </c>
      <c r="GT73">
        <f t="shared" ca="1" si="262"/>
        <v>0</v>
      </c>
      <c r="GU73" t="b">
        <f t="shared" ca="1" si="263"/>
        <v>0</v>
      </c>
      <c r="GV73">
        <f t="shared" ca="1" si="264"/>
        <v>0</v>
      </c>
      <c r="GW73">
        <f t="shared" ca="1" si="265"/>
        <v>4042</v>
      </c>
      <c r="GX73">
        <f t="shared" ca="1" si="266"/>
        <v>0</v>
      </c>
      <c r="GY73">
        <f t="shared" ca="1" si="267"/>
        <v>0</v>
      </c>
      <c r="GZ73">
        <f t="shared" ca="1" si="268"/>
        <v>0</v>
      </c>
    </row>
    <row r="74" spans="1:208" x14ac:dyDescent="0.25">
      <c r="A74">
        <f>_xlfn.AGGREGATE(3,5,$B$2:B74)</f>
        <v>73</v>
      </c>
      <c r="B74" t="s">
        <v>263</v>
      </c>
      <c r="C74" t="s">
        <v>264</v>
      </c>
      <c r="D74" t="s">
        <v>769</v>
      </c>
      <c r="E74" t="s">
        <v>832</v>
      </c>
      <c r="F74" t="s">
        <v>957</v>
      </c>
      <c r="G74" t="s">
        <v>899</v>
      </c>
      <c r="H74">
        <f t="shared" si="178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179"/>
        <v>6818.0000000000009</v>
      </c>
      <c r="L74">
        <f t="shared" si="180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>IF(J74&gt;0,SUM(J74:N74),0)</f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269"/>
        <v>200</v>
      </c>
      <c r="S74">
        <f t="shared" si="181"/>
        <v>56062</v>
      </c>
      <c r="T74">
        <f>_xlfn.XLOOKUP(B74,'[2]april-2025'!$A:$A,'[2]april-2025'!$C:$C,0,0)</f>
        <v>48700</v>
      </c>
      <c r="U74">
        <f t="shared" si="182"/>
        <v>8766</v>
      </c>
      <c r="V74">
        <f t="shared" si="183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184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185"/>
        <v>200</v>
      </c>
      <c r="AC74">
        <f t="shared" si="186"/>
        <v>58010</v>
      </c>
      <c r="AD74">
        <f>_xlfn.XLOOKUP(B74,'[3]may-2025'!$A:$A,'[3]may-2025'!$C:$C,0,0)</f>
        <v>48700</v>
      </c>
      <c r="AE74">
        <f t="shared" si="187"/>
        <v>8766</v>
      </c>
      <c r="AF74">
        <f t="shared" si="188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189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190"/>
        <v>200</v>
      </c>
      <c r="AM74">
        <f t="shared" si="191"/>
        <v>58010</v>
      </c>
      <c r="AN74">
        <f>_xlfn.XLOOKUP(B74,'[4]june-2025'!$A:$A,'[4]june-2025'!$C:$C,0,0)</f>
        <v>48700</v>
      </c>
      <c r="AO74">
        <f t="shared" si="192"/>
        <v>8766</v>
      </c>
      <c r="AP74">
        <f t="shared" si="193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194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195"/>
        <v>200</v>
      </c>
      <c r="AW74">
        <f t="shared" si="196"/>
        <v>58010</v>
      </c>
      <c r="AX74">
        <f>_xlfn.XLOOKUP(B74,'[5]july-2025'!$A:$A,'[5]july-2025'!$C:$C,0,0)</f>
        <v>51700</v>
      </c>
      <c r="AY74">
        <f t="shared" si="197"/>
        <v>9306</v>
      </c>
      <c r="AZ74">
        <v>0</v>
      </c>
      <c r="BA74">
        <f t="shared" si="198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>IF(AX74&gt;0,SUM(AX74:BC74),0)</f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199"/>
        <v>200</v>
      </c>
      <c r="BH74">
        <f t="shared" si="200"/>
        <v>61910</v>
      </c>
      <c r="BI74">
        <f>_xlfn.XLOOKUP(B74,'[6]august-2025'!$A:$A,'[6]august-2025'!$C:$C,0,0)</f>
        <v>51700</v>
      </c>
      <c r="BJ74">
        <f t="shared" si="201"/>
        <v>9306</v>
      </c>
      <c r="BK74">
        <f t="shared" si="202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03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>IF($F74="YES",0,IF(BN74&gt;40000,200,IF(BN74&gt;25000,150,IF(BN74&gt;15000,130,IF(BN74&gt;10000,110,0)))))</f>
        <v>200</v>
      </c>
      <c r="BR74">
        <f>BN74-BO74-BP74-BQ74</f>
        <v>61910</v>
      </c>
      <c r="BS74">
        <f>_xlfn.XLOOKUP(B74,'[7]september-2025'!$A:$A,'[7]september-2025'!$C:$C,0,0)</f>
        <v>51700</v>
      </c>
      <c r="BT74">
        <f t="shared" si="204"/>
        <v>9306</v>
      </c>
      <c r="BU74">
        <f t="shared" si="205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>IF(BS74&gt;0,SUM(BS74:BW74),0)</f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06"/>
        <v>200</v>
      </c>
      <c r="CB74">
        <f t="shared" si="207"/>
        <v>61910</v>
      </c>
      <c r="CC74">
        <f>_xlfn.XLOOKUP(B74,'[8]october-2025'!$A:$A,'[8]october-2025'!$C:$C,0,0)</f>
        <v>51700</v>
      </c>
      <c r="CD74">
        <f t="shared" si="208"/>
        <v>9306</v>
      </c>
      <c r="CE74">
        <f t="shared" si="209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>IF(CC74&gt;0,SUM(CC74:CG74),0)</f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10"/>
        <v>200</v>
      </c>
      <c r="CL74">
        <f t="shared" si="211"/>
        <v>61910</v>
      </c>
      <c r="CM74">
        <f>_xlfn.XLOOKUP(B74,'[9]november-2025'!$A:$A,'[9]november-2025'!$C:$C,0,0)</f>
        <v>51700</v>
      </c>
      <c r="CN74">
        <f t="shared" si="212"/>
        <v>9306</v>
      </c>
      <c r="CO74">
        <f t="shared" si="213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>IF(CM74&gt;0,SUM(CM74:CQ74),0)</f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14"/>
        <v>200</v>
      </c>
      <c r="CV74">
        <f t="shared" si="215"/>
        <v>61910</v>
      </c>
      <c r="CW74">
        <f>_xlfn.XLOOKUP(B74,'[10]december-2025'!$A:$A,'[10]december-2025'!$C:$C,0,0)</f>
        <v>51700</v>
      </c>
      <c r="CX74">
        <f t="shared" si="216"/>
        <v>9306</v>
      </c>
      <c r="CY74">
        <f t="shared" si="217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>IF(CW74&gt;0,SUM(CW74:DA74),0)</f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18"/>
        <v>200</v>
      </c>
      <c r="DF74">
        <f t="shared" si="219"/>
        <v>61910</v>
      </c>
      <c r="DG74">
        <f>_xlfn.XLOOKUP(B74,'[11]january-2026'!$A:$A,'[11]january-2026'!$C:$C,0,0)</f>
        <v>51700</v>
      </c>
      <c r="DH74">
        <f t="shared" si="220"/>
        <v>9306</v>
      </c>
      <c r="DI74">
        <f t="shared" si="221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>IF(DG74&gt;0,SUM(DG74:DK74),0)</f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22"/>
        <v>200</v>
      </c>
      <c r="DP74">
        <f t="shared" si="223"/>
        <v>61910</v>
      </c>
      <c r="DQ74">
        <f>_xlfn.XLOOKUP(B74,'[12]february-2026'!$A:$A,'[12]february-2026'!$C:$C,0,0)</f>
        <v>51700</v>
      </c>
      <c r="DR74">
        <f t="shared" si="224"/>
        <v>9306</v>
      </c>
      <c r="DS74">
        <f t="shared" si="225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>IF(DQ74&gt;0,SUM(DQ74:DU74),0)</f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26"/>
        <v>200</v>
      </c>
      <c r="DZ74">
        <f t="shared" si="227"/>
        <v>61910</v>
      </c>
      <c r="EA74">
        <f>_xlfn.XLOOKUP(B74,'[1]march-2025'!$A:$A,'[1]march-2025'!$J:$J,0,0)</f>
        <v>0</v>
      </c>
      <c r="EB74">
        <f>_xlfn.XLOOKUP(B74,'[2]april-2025'!$A:$A,'[2]april-2025'!$J:$J,0,0)</f>
        <v>0</v>
      </c>
      <c r="EC74">
        <f>_xlfn.XLOOKUP(B74,'[3]may-2025'!$A:$A,'[3]may-2025'!$J:$J,0,0)</f>
        <v>0</v>
      </c>
      <c r="ED74">
        <f>_xlfn.XLOOKUP(B74,'[4]june-2025'!$A:$A,'[4]june-2025'!$J:$J,0,0)</f>
        <v>0</v>
      </c>
      <c r="EE74">
        <f>_xlfn.XLOOKUP(B74,'[5]july-2025'!$A:$A,'[5]july-2025'!$J:$J,0,0)</f>
        <v>0</v>
      </c>
      <c r="EF74">
        <f>_xlfn.XLOOKUP(B74,'[6]august-2025'!$A:$A,'[6]august-2025'!$J:$J,0,0)</f>
        <v>0</v>
      </c>
      <c r="EG74">
        <f>_xlfn.XLOOKUP(B74,'[7]september-2025'!$A:$A,'[7]september-2025'!$J:$J,0,0)</f>
        <v>0</v>
      </c>
      <c r="EH74">
        <f>_xlfn.XLOOKUP(B74,'[8]october-2025'!$A:$A,'[8]october-2025'!$J:$J,0,0)</f>
        <v>0</v>
      </c>
      <c r="EI74">
        <f>_xlfn.XLOOKUP(C74,'[9]november-2025'!$A:$A,'[9]november-2025'!$J:$J,0,0)</f>
        <v>0</v>
      </c>
      <c r="EJ74">
        <f>_xlfn.XLOOKUP(B74,'[10]december-2025'!$A:$A,'[10]december-2025'!$J:$J,0,0)</f>
        <v>0</v>
      </c>
      <c r="EK74">
        <f>_xlfn.XLOOKUP(B74,'[11]january-2026'!$A:$A,'[11]january-2026'!$J:$J,0,0)</f>
        <v>0</v>
      </c>
      <c r="EL74">
        <f>_xlfn.XLOOKUP(B74,'[12]february-2026'!$A:$A,'[12]february-2026'!$J:$J,0,0)</f>
        <v>0</v>
      </c>
      <c r="EM74">
        <f t="shared" si="228"/>
        <v>0</v>
      </c>
      <c r="EN74">
        <f>DV74+DL74+DB74+CR74+CH74+BX74+BN74+BD74+AS74+AI74+Y74+O74+H74+I74</f>
        <v>806572</v>
      </c>
      <c r="EO74">
        <f>DY74+DO74+DE74+CU74+CK74+CA74+BQ74+BG74+AV74+AL74+AB74+R74</f>
        <v>2400</v>
      </c>
      <c r="EP74">
        <f t="shared" si="229"/>
        <v>50000</v>
      </c>
      <c r="EQ74">
        <v>0</v>
      </c>
      <c r="ER74">
        <f t="shared" si="230"/>
        <v>754172</v>
      </c>
      <c r="ES74">
        <f>DW74+DM74+DC74+CS74+CI74+BY74+BO74+BE74+AT74+AJ74+Z74+P74</f>
        <v>72000</v>
      </c>
      <c r="ET74">
        <f>DX74+DN74+DD74+CT74+CJ74+BZ74+BP74+BF74+AU74+AK74+AA74+Q74</f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231"/>
        <v>72000</v>
      </c>
      <c r="FF74">
        <f t="shared" si="232"/>
        <v>72000</v>
      </c>
      <c r="FG74">
        <f t="shared" si="233"/>
        <v>682172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>SUM(FH74:FN74)+(IF(F74="YES",50000,0))</f>
        <v>0</v>
      </c>
      <c r="FP74">
        <f t="shared" si="234"/>
        <v>682172</v>
      </c>
      <c r="FQ74">
        <f t="shared" si="235"/>
        <v>12500</v>
      </c>
      <c r="FR74">
        <f t="shared" si="236"/>
        <v>36434</v>
      </c>
      <c r="FS74">
        <f t="shared" si="237"/>
        <v>48934</v>
      </c>
      <c r="FT74">
        <f t="shared" si="238"/>
        <v>48934</v>
      </c>
      <c r="FU74">
        <f t="shared" si="239"/>
        <v>1957.3600000000001</v>
      </c>
      <c r="FV74">
        <f t="shared" si="240"/>
        <v>50891</v>
      </c>
      <c r="FW74">
        <v>0</v>
      </c>
      <c r="FX74">
        <f t="shared" si="241"/>
        <v>50891</v>
      </c>
      <c r="FY74" t="b">
        <f t="shared" si="242"/>
        <v>1</v>
      </c>
      <c r="FZ74">
        <f t="shared" ca="1" si="243"/>
        <v>780</v>
      </c>
      <c r="GA74">
        <f t="shared" ca="1" si="244"/>
        <v>807352</v>
      </c>
      <c r="GB74">
        <f t="shared" si="245"/>
        <v>75000</v>
      </c>
      <c r="GC74">
        <f t="shared" ca="1" si="246"/>
        <v>732352</v>
      </c>
      <c r="GD74">
        <f t="shared" ca="1" si="247"/>
        <v>0</v>
      </c>
      <c r="GE74">
        <f t="shared" ca="1" si="248"/>
        <v>0</v>
      </c>
      <c r="GF74">
        <f t="shared" ca="1" si="249"/>
        <v>0</v>
      </c>
      <c r="GG74">
        <f t="shared" ca="1" si="250"/>
        <v>0</v>
      </c>
      <c r="GH74">
        <f t="shared" ca="1" si="251"/>
        <v>0</v>
      </c>
      <c r="GI74">
        <f t="shared" ca="1" si="252"/>
        <v>0</v>
      </c>
      <c r="GJ74">
        <f ca="1">IF(GC74&gt;1200000,GC74-1200000-IF(F74="YES",50000,0)-GH74,0)</f>
        <v>0</v>
      </c>
      <c r="GK74">
        <f t="shared" ca="1" si="253"/>
        <v>0</v>
      </c>
      <c r="GL74">
        <f t="shared" ca="1" si="254"/>
        <v>0</v>
      </c>
      <c r="GM74">
        <f t="shared" ca="1" si="255"/>
        <v>0</v>
      </c>
      <c r="GN74">
        <f t="shared" ca="1" si="256"/>
        <v>332352</v>
      </c>
      <c r="GO74">
        <f t="shared" ca="1" si="257"/>
        <v>16617.600000000002</v>
      </c>
      <c r="GP74">
        <f t="shared" ca="1" si="258"/>
        <v>16618</v>
      </c>
      <c r="GQ74">
        <f t="shared" ca="1" si="259"/>
        <v>0</v>
      </c>
      <c r="GR74">
        <f t="shared" ca="1" si="260"/>
        <v>0</v>
      </c>
      <c r="GS74">
        <f t="shared" ca="1" si="261"/>
        <v>16618</v>
      </c>
      <c r="GT74">
        <f t="shared" ca="1" si="262"/>
        <v>0</v>
      </c>
      <c r="GU74" t="b">
        <f t="shared" ca="1" si="263"/>
        <v>0</v>
      </c>
      <c r="GV74">
        <f t="shared" ca="1" si="264"/>
        <v>0</v>
      </c>
      <c r="GW74">
        <f t="shared" ca="1" si="265"/>
        <v>16618</v>
      </c>
      <c r="GX74">
        <f t="shared" ca="1" si="266"/>
        <v>0</v>
      </c>
      <c r="GY74">
        <f t="shared" ca="1" si="267"/>
        <v>0</v>
      </c>
      <c r="GZ74">
        <f t="shared" ca="1" si="268"/>
        <v>0</v>
      </c>
    </row>
    <row r="75" spans="1:208" x14ac:dyDescent="0.25">
      <c r="A75">
        <f>_xlfn.AGGREGATE(3,5,$B$2:B75)</f>
        <v>74</v>
      </c>
      <c r="B75" t="s">
        <v>265</v>
      </c>
      <c r="C75" t="s">
        <v>266</v>
      </c>
      <c r="D75" t="s">
        <v>769</v>
      </c>
      <c r="E75" t="s">
        <v>831</v>
      </c>
      <c r="F75" t="s">
        <v>957</v>
      </c>
      <c r="G75" t="s">
        <v>908</v>
      </c>
      <c r="H75">
        <f t="shared" si="178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179"/>
        <v>6622.0000000000009</v>
      </c>
      <c r="L75">
        <f t="shared" si="180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>IF(J75&gt;0,SUM(J75:N75),0)</f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269"/>
        <v>200</v>
      </c>
      <c r="S75">
        <f t="shared" si="181"/>
        <v>56398</v>
      </c>
      <c r="T75">
        <f>_xlfn.XLOOKUP(B75,'[2]april-2025'!$A:$A,'[2]april-2025'!$C:$C,0,0)</f>
        <v>47300</v>
      </c>
      <c r="U75">
        <f t="shared" si="182"/>
        <v>8514</v>
      </c>
      <c r="V75">
        <f t="shared" si="183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184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185"/>
        <v>200</v>
      </c>
      <c r="AC75">
        <f t="shared" si="186"/>
        <v>58290</v>
      </c>
      <c r="AD75">
        <f>_xlfn.XLOOKUP(B75,'[3]may-2025'!$A:$A,'[3]may-2025'!$C:$C,0,0)</f>
        <v>47300</v>
      </c>
      <c r="AE75">
        <f t="shared" si="187"/>
        <v>8514</v>
      </c>
      <c r="AF75">
        <f t="shared" si="188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189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190"/>
        <v>200</v>
      </c>
      <c r="AM75">
        <f t="shared" si="191"/>
        <v>58290</v>
      </c>
      <c r="AN75">
        <f>_xlfn.XLOOKUP(B75,'[4]june-2025'!$A:$A,'[4]june-2025'!$C:$C,0,0)</f>
        <v>47300</v>
      </c>
      <c r="AO75">
        <f t="shared" si="192"/>
        <v>8514</v>
      </c>
      <c r="AP75">
        <f t="shared" si="193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194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195"/>
        <v>200</v>
      </c>
      <c r="AW75">
        <f t="shared" si="196"/>
        <v>58290</v>
      </c>
      <c r="AX75">
        <f>_xlfn.XLOOKUP(B75,'[5]july-2025'!$A:$A,'[5]july-2025'!$C:$C,0,0)</f>
        <v>48700</v>
      </c>
      <c r="AY75">
        <f t="shared" si="197"/>
        <v>8766</v>
      </c>
      <c r="AZ75">
        <v>0</v>
      </c>
      <c r="BA75">
        <f t="shared" si="198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>IF(AX75&gt;0,SUM(AX75:BC75),0)</f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199"/>
        <v>200</v>
      </c>
      <c r="BH75">
        <f t="shared" si="200"/>
        <v>60110</v>
      </c>
      <c r="BI75">
        <f>_xlfn.XLOOKUP(B75,'[6]august-2025'!$A:$A,'[6]august-2025'!$C:$C,0,0)</f>
        <v>48700</v>
      </c>
      <c r="BJ75">
        <f t="shared" si="201"/>
        <v>8766</v>
      </c>
      <c r="BK75">
        <f t="shared" si="202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03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>IF($F75="YES",0,IF(BN75&gt;40000,200,IF(BN75&gt;25000,150,IF(BN75&gt;15000,130,IF(BN75&gt;10000,110,0)))))</f>
        <v>200</v>
      </c>
      <c r="BR75">
        <f>BN75-BO75-BP75-BQ75</f>
        <v>60110</v>
      </c>
      <c r="BS75">
        <f>_xlfn.XLOOKUP(B75,'[7]september-2025'!$A:$A,'[7]september-2025'!$C:$C,0,0)</f>
        <v>48700</v>
      </c>
      <c r="BT75">
        <f t="shared" si="204"/>
        <v>8766</v>
      </c>
      <c r="BU75">
        <f t="shared" si="205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>IF(BS75&gt;0,SUM(BS75:BW75),0)</f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06"/>
        <v>200</v>
      </c>
      <c r="CB75">
        <f t="shared" si="207"/>
        <v>60110</v>
      </c>
      <c r="CC75">
        <f>_xlfn.XLOOKUP(B75,'[8]october-2025'!$A:$A,'[8]october-2025'!$C:$C,0,0)</f>
        <v>48700</v>
      </c>
      <c r="CD75">
        <f t="shared" si="208"/>
        <v>8766</v>
      </c>
      <c r="CE75">
        <f t="shared" si="209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>IF(CC75&gt;0,SUM(CC75:CG75),0)</f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10"/>
        <v>200</v>
      </c>
      <c r="CL75">
        <f t="shared" si="211"/>
        <v>60110</v>
      </c>
      <c r="CM75">
        <f>_xlfn.XLOOKUP(B75,'[9]november-2025'!$A:$A,'[9]november-2025'!$C:$C,0,0)</f>
        <v>48700</v>
      </c>
      <c r="CN75">
        <f t="shared" si="212"/>
        <v>8766</v>
      </c>
      <c r="CO75">
        <f t="shared" si="213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>IF(CM75&gt;0,SUM(CM75:CQ75),0)</f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14"/>
        <v>200</v>
      </c>
      <c r="CV75">
        <f t="shared" si="215"/>
        <v>60110</v>
      </c>
      <c r="CW75">
        <f>_xlfn.XLOOKUP(B75,'[10]december-2025'!$A:$A,'[10]december-2025'!$C:$C,0,0)</f>
        <v>48700</v>
      </c>
      <c r="CX75">
        <f t="shared" si="216"/>
        <v>8766</v>
      </c>
      <c r="CY75">
        <f t="shared" si="217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>IF(CW75&gt;0,SUM(CW75:DA75),0)</f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18"/>
        <v>200</v>
      </c>
      <c r="DF75">
        <f t="shared" si="219"/>
        <v>60110</v>
      </c>
      <c r="DG75">
        <f>_xlfn.XLOOKUP(B75,'[11]january-2026'!$A:$A,'[11]january-2026'!$C:$C,0,0)</f>
        <v>48700</v>
      </c>
      <c r="DH75">
        <f t="shared" si="220"/>
        <v>8766</v>
      </c>
      <c r="DI75">
        <f t="shared" si="221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>IF(DG75&gt;0,SUM(DG75:DK75),0)</f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22"/>
        <v>200</v>
      </c>
      <c r="DP75">
        <f t="shared" si="223"/>
        <v>60110</v>
      </c>
      <c r="DQ75">
        <f>_xlfn.XLOOKUP(B75,'[12]february-2026'!$A:$A,'[12]february-2026'!$C:$C,0,0)</f>
        <v>48700</v>
      </c>
      <c r="DR75">
        <f t="shared" si="224"/>
        <v>8766</v>
      </c>
      <c r="DS75">
        <f t="shared" si="225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>IF(DQ75&gt;0,SUM(DQ75:DU75),0)</f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26"/>
        <v>200</v>
      </c>
      <c r="DZ75">
        <f t="shared" si="227"/>
        <v>60110</v>
      </c>
      <c r="EA75">
        <f>_xlfn.XLOOKUP(B75,'[1]march-2025'!$A:$A,'[1]march-2025'!$J:$J,0,0)</f>
        <v>0</v>
      </c>
      <c r="EB75">
        <f>_xlfn.XLOOKUP(B75,'[2]april-2025'!$A:$A,'[2]april-2025'!$J:$J,0,0)</f>
        <v>0</v>
      </c>
      <c r="EC75">
        <f>_xlfn.XLOOKUP(B75,'[3]may-2025'!$A:$A,'[3]may-2025'!$J:$J,0,0)</f>
        <v>0</v>
      </c>
      <c r="ED75">
        <f>_xlfn.XLOOKUP(B75,'[4]june-2025'!$A:$A,'[4]june-2025'!$J:$J,0,0)</f>
        <v>0</v>
      </c>
      <c r="EE75">
        <f>_xlfn.XLOOKUP(B75,'[5]july-2025'!$A:$A,'[5]july-2025'!$J:$J,0,0)</f>
        <v>0</v>
      </c>
      <c r="EF75">
        <f>_xlfn.XLOOKUP(B75,'[6]august-2025'!$A:$A,'[6]august-2025'!$J:$J,0,0)</f>
        <v>0</v>
      </c>
      <c r="EG75">
        <f>_xlfn.XLOOKUP(B75,'[7]september-2025'!$A:$A,'[7]september-2025'!$J:$J,0,0)</f>
        <v>0</v>
      </c>
      <c r="EH75">
        <f>_xlfn.XLOOKUP(B75,'[8]october-2025'!$A:$A,'[8]october-2025'!$J:$J,0,0)</f>
        <v>0</v>
      </c>
      <c r="EI75">
        <f>_xlfn.XLOOKUP(C75,'[9]november-2025'!$A:$A,'[9]november-2025'!$J:$J,0,0)</f>
        <v>0</v>
      </c>
      <c r="EJ75">
        <f>_xlfn.XLOOKUP(B75,'[10]december-2025'!$A:$A,'[10]december-2025'!$J:$J,0,0)</f>
        <v>0</v>
      </c>
      <c r="EK75">
        <f>_xlfn.XLOOKUP(B75,'[11]january-2026'!$A:$A,'[11]january-2026'!$J:$J,0,0)</f>
        <v>0</v>
      </c>
      <c r="EL75">
        <f>_xlfn.XLOOKUP(B75,'[12]february-2026'!$A:$A,'[12]february-2026'!$J:$J,0,0)</f>
        <v>0</v>
      </c>
      <c r="EM75">
        <f t="shared" si="228"/>
        <v>0</v>
      </c>
      <c r="EN75">
        <f>DV75+DL75+DB75+CR75+CH75+BX75+BN75+BD75+AS75+AI75+Y75+O75+H75+I75</f>
        <v>757348</v>
      </c>
      <c r="EO75">
        <f>DY75+DO75+DE75+CU75+CK75+CA75+BQ75+BG75+AV75+AL75+AB75+R75</f>
        <v>2400</v>
      </c>
      <c r="EP75">
        <f t="shared" si="229"/>
        <v>50000</v>
      </c>
      <c r="EQ75">
        <v>0</v>
      </c>
      <c r="ER75">
        <f t="shared" si="230"/>
        <v>704948</v>
      </c>
      <c r="ES75">
        <f>DW75+DM75+DC75+CS75+CI75+BY75+BO75+BE75+AT75+AJ75+Z75+P75</f>
        <v>36000</v>
      </c>
      <c r="ET75">
        <f>DX75+DN75+DD75+CT75+CJ75+BZ75+BP75+BF75+AU75+AK75+AA75+Q75</f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231"/>
        <v>36000</v>
      </c>
      <c r="FF75">
        <f t="shared" si="232"/>
        <v>36000</v>
      </c>
      <c r="FG75">
        <f t="shared" si="233"/>
        <v>668948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>SUM(FH75:FN75)+(IF(F75="YES",50000,0))</f>
        <v>0</v>
      </c>
      <c r="FP75">
        <f t="shared" si="234"/>
        <v>668948</v>
      </c>
      <c r="FQ75">
        <f t="shared" si="235"/>
        <v>12500</v>
      </c>
      <c r="FR75">
        <f t="shared" si="236"/>
        <v>33790</v>
      </c>
      <c r="FS75">
        <f t="shared" si="237"/>
        <v>46290</v>
      </c>
      <c r="FT75">
        <f t="shared" si="238"/>
        <v>46290</v>
      </c>
      <c r="FU75">
        <f t="shared" si="239"/>
        <v>1851.6000000000001</v>
      </c>
      <c r="FV75">
        <f t="shared" si="240"/>
        <v>48142</v>
      </c>
      <c r="FW75">
        <v>0</v>
      </c>
      <c r="FX75">
        <f t="shared" si="241"/>
        <v>48142</v>
      </c>
      <c r="FY75" t="b">
        <f t="shared" si="242"/>
        <v>1</v>
      </c>
      <c r="FZ75">
        <f t="shared" ca="1" si="243"/>
        <v>638</v>
      </c>
      <c r="GA75">
        <f t="shared" ca="1" si="244"/>
        <v>757986</v>
      </c>
      <c r="GB75">
        <f t="shared" si="245"/>
        <v>75000</v>
      </c>
      <c r="GC75">
        <f t="shared" ca="1" si="246"/>
        <v>682986</v>
      </c>
      <c r="GD75">
        <f t="shared" ca="1" si="247"/>
        <v>0</v>
      </c>
      <c r="GE75">
        <f t="shared" ca="1" si="248"/>
        <v>0</v>
      </c>
      <c r="GF75">
        <f t="shared" ca="1" si="249"/>
        <v>0</v>
      </c>
      <c r="GG75">
        <f t="shared" ca="1" si="250"/>
        <v>0</v>
      </c>
      <c r="GH75">
        <f t="shared" ca="1" si="251"/>
        <v>0</v>
      </c>
      <c r="GI75">
        <f t="shared" ca="1" si="252"/>
        <v>0</v>
      </c>
      <c r="GJ75">
        <f ca="1">IF(GC75&gt;1200000,GC75-1200000-IF(F75="YES",50000,0)-GH75,0)</f>
        <v>0</v>
      </c>
      <c r="GK75">
        <f t="shared" ca="1" si="253"/>
        <v>0</v>
      </c>
      <c r="GL75">
        <f t="shared" ca="1" si="254"/>
        <v>0</v>
      </c>
      <c r="GM75">
        <f t="shared" ca="1" si="255"/>
        <v>0</v>
      </c>
      <c r="GN75">
        <f t="shared" ca="1" si="256"/>
        <v>282986</v>
      </c>
      <c r="GO75">
        <f t="shared" ca="1" si="257"/>
        <v>14149.300000000001</v>
      </c>
      <c r="GP75">
        <f t="shared" ca="1" si="258"/>
        <v>14149</v>
      </c>
      <c r="GQ75">
        <f t="shared" ca="1" si="259"/>
        <v>0</v>
      </c>
      <c r="GR75">
        <f t="shared" ca="1" si="260"/>
        <v>0</v>
      </c>
      <c r="GS75">
        <f t="shared" ca="1" si="261"/>
        <v>14149</v>
      </c>
      <c r="GT75">
        <f t="shared" ca="1" si="262"/>
        <v>0</v>
      </c>
      <c r="GU75" t="b">
        <f t="shared" ca="1" si="263"/>
        <v>0</v>
      </c>
      <c r="GV75">
        <f t="shared" ca="1" si="264"/>
        <v>0</v>
      </c>
      <c r="GW75">
        <f t="shared" ca="1" si="265"/>
        <v>14149</v>
      </c>
      <c r="GX75">
        <f t="shared" ca="1" si="266"/>
        <v>0</v>
      </c>
      <c r="GY75">
        <f t="shared" ca="1" si="267"/>
        <v>0</v>
      </c>
      <c r="GZ75">
        <f t="shared" ca="1" si="268"/>
        <v>0</v>
      </c>
    </row>
    <row r="76" spans="1:208" x14ac:dyDescent="0.25">
      <c r="A76">
        <f>_xlfn.AGGREGATE(3,5,$B$2:B76)</f>
        <v>75</v>
      </c>
      <c r="B76" t="s">
        <v>267</v>
      </c>
      <c r="C76" t="s">
        <v>268</v>
      </c>
      <c r="D76" t="s">
        <v>769</v>
      </c>
      <c r="E76" t="s">
        <v>831</v>
      </c>
      <c r="F76" t="s">
        <v>957</v>
      </c>
      <c r="G76" t="s">
        <v>883</v>
      </c>
      <c r="H76">
        <f t="shared" si="178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179"/>
        <v>4046.0000000000005</v>
      </c>
      <c r="L76">
        <f t="shared" si="180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>IF(J76&gt;0,SUM(J76:N76),0)</f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269"/>
        <v>150</v>
      </c>
      <c r="S76">
        <f t="shared" si="181"/>
        <v>36764</v>
      </c>
      <c r="T76">
        <f>_xlfn.XLOOKUP(B76,'[2]april-2025'!$A:$A,'[2]april-2025'!$C:$C,0,0)</f>
        <v>28900</v>
      </c>
      <c r="U76">
        <f t="shared" si="182"/>
        <v>5202</v>
      </c>
      <c r="V76">
        <f t="shared" si="183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184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185"/>
        <v>150</v>
      </c>
      <c r="AC76">
        <f t="shared" si="186"/>
        <v>37920</v>
      </c>
      <c r="AD76">
        <f>_xlfn.XLOOKUP(B76,'[3]may-2025'!$A:$A,'[3]may-2025'!$C:$C,0,0)</f>
        <v>28900</v>
      </c>
      <c r="AE76">
        <f t="shared" si="187"/>
        <v>5202</v>
      </c>
      <c r="AF76">
        <f t="shared" si="188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189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190"/>
        <v>150</v>
      </c>
      <c r="AM76">
        <f t="shared" si="191"/>
        <v>37920</v>
      </c>
      <c r="AN76">
        <f>_xlfn.XLOOKUP(B76,'[4]june-2025'!$A:$A,'[4]june-2025'!$C:$C,0,0)</f>
        <v>28900</v>
      </c>
      <c r="AO76">
        <f t="shared" si="192"/>
        <v>5202</v>
      </c>
      <c r="AP76">
        <f t="shared" si="193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194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195"/>
        <v>150</v>
      </c>
      <c r="AW76">
        <f t="shared" si="196"/>
        <v>37920</v>
      </c>
      <c r="AX76">
        <f>_xlfn.XLOOKUP(B76,'[5]july-2025'!$A:$A,'[5]july-2025'!$C:$C,0,0)</f>
        <v>29800</v>
      </c>
      <c r="AY76">
        <f t="shared" si="197"/>
        <v>5364</v>
      </c>
      <c r="AZ76">
        <v>0</v>
      </c>
      <c r="BA76">
        <f t="shared" si="198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>IF(AX76&gt;0,SUM(AX76:BC76),0)</f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199"/>
        <v>150</v>
      </c>
      <c r="BH76">
        <f t="shared" si="200"/>
        <v>39090</v>
      </c>
      <c r="BI76">
        <f>_xlfn.XLOOKUP(B76,'[6]august-2025'!$A:$A,'[6]august-2025'!$C:$C,0,0)</f>
        <v>29800</v>
      </c>
      <c r="BJ76">
        <f t="shared" si="201"/>
        <v>5364</v>
      </c>
      <c r="BK76">
        <f t="shared" si="202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03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>IF($F76="YES",0,IF(BN76&gt;40000,200,IF(BN76&gt;25000,150,IF(BN76&gt;15000,130,IF(BN76&gt;10000,110,0)))))</f>
        <v>150</v>
      </c>
      <c r="BR76">
        <f>BN76-BO76-BP76-BQ76</f>
        <v>39090</v>
      </c>
      <c r="BS76">
        <f>_xlfn.XLOOKUP(B76,'[7]september-2025'!$A:$A,'[7]september-2025'!$C:$C,0,0)</f>
        <v>29800</v>
      </c>
      <c r="BT76">
        <f t="shared" si="204"/>
        <v>5364</v>
      </c>
      <c r="BU76">
        <f t="shared" si="205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>IF(BS76&gt;0,SUM(BS76:BW76),0)</f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06"/>
        <v>150</v>
      </c>
      <c r="CB76">
        <f t="shared" si="207"/>
        <v>37090</v>
      </c>
      <c r="CC76">
        <f>_xlfn.XLOOKUP(B76,'[8]october-2025'!$A:$A,'[8]october-2025'!$C:$C,0,0)</f>
        <v>29800</v>
      </c>
      <c r="CD76">
        <f t="shared" si="208"/>
        <v>5364</v>
      </c>
      <c r="CE76">
        <f t="shared" si="209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>IF(CC76&gt;0,SUM(CC76:CG76),0)</f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10"/>
        <v>150</v>
      </c>
      <c r="CL76">
        <f t="shared" si="211"/>
        <v>37090</v>
      </c>
      <c r="CM76">
        <f>_xlfn.XLOOKUP(B76,'[9]november-2025'!$A:$A,'[9]november-2025'!$C:$C,0,0)</f>
        <v>29800</v>
      </c>
      <c r="CN76">
        <f t="shared" si="212"/>
        <v>5364</v>
      </c>
      <c r="CO76">
        <f t="shared" si="213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>IF(CM76&gt;0,SUM(CM76:CQ76),0)</f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14"/>
        <v>150</v>
      </c>
      <c r="CV76">
        <f t="shared" si="215"/>
        <v>37090</v>
      </c>
      <c r="CW76">
        <f>_xlfn.XLOOKUP(B76,'[10]december-2025'!$A:$A,'[10]december-2025'!$C:$C,0,0)</f>
        <v>29800</v>
      </c>
      <c r="CX76">
        <f t="shared" si="216"/>
        <v>5364</v>
      </c>
      <c r="CY76">
        <f t="shared" si="217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>IF(CW76&gt;0,SUM(CW76:DA76),0)</f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18"/>
        <v>150</v>
      </c>
      <c r="DF76">
        <f t="shared" si="219"/>
        <v>37090</v>
      </c>
      <c r="DG76">
        <f>_xlfn.XLOOKUP(B76,'[11]january-2026'!$A:$A,'[11]january-2026'!$C:$C,0,0)</f>
        <v>29800</v>
      </c>
      <c r="DH76">
        <f t="shared" si="220"/>
        <v>5364</v>
      </c>
      <c r="DI76">
        <f t="shared" si="221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>IF(DG76&gt;0,SUM(DG76:DK76),0)</f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22"/>
        <v>150</v>
      </c>
      <c r="DP76">
        <f t="shared" si="223"/>
        <v>37090</v>
      </c>
      <c r="DQ76">
        <f>_xlfn.XLOOKUP(B76,'[12]february-2026'!$A:$A,'[12]february-2026'!$C:$C,0,0)</f>
        <v>29800</v>
      </c>
      <c r="DR76">
        <f t="shared" si="224"/>
        <v>5364</v>
      </c>
      <c r="DS76">
        <f t="shared" si="225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>IF(DQ76&gt;0,SUM(DQ76:DU76),0)</f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26"/>
        <v>150</v>
      </c>
      <c r="DZ76">
        <f t="shared" si="227"/>
        <v>37090</v>
      </c>
      <c r="EA76">
        <f>_xlfn.XLOOKUP(B76,'[1]march-2025'!$A:$A,'[1]march-2025'!$J:$J,0,0)</f>
        <v>0</v>
      </c>
      <c r="EB76">
        <f>_xlfn.XLOOKUP(B76,'[2]april-2025'!$A:$A,'[2]april-2025'!$J:$J,0,0)</f>
        <v>0</v>
      </c>
      <c r="EC76">
        <f>_xlfn.XLOOKUP(B76,'[3]may-2025'!$A:$A,'[3]may-2025'!$J:$J,0,0)</f>
        <v>0</v>
      </c>
      <c r="ED76">
        <f>_xlfn.XLOOKUP(B76,'[4]june-2025'!$A:$A,'[4]june-2025'!$J:$J,0,0)</f>
        <v>0</v>
      </c>
      <c r="EE76">
        <f>_xlfn.XLOOKUP(B76,'[5]july-2025'!$A:$A,'[5]july-2025'!$J:$J,0,0)</f>
        <v>0</v>
      </c>
      <c r="EF76">
        <f>_xlfn.XLOOKUP(B76,'[6]august-2025'!$A:$A,'[6]august-2025'!$J:$J,0,0)</f>
        <v>0</v>
      </c>
      <c r="EG76">
        <f>_xlfn.XLOOKUP(B76,'[7]september-2025'!$A:$A,'[7]september-2025'!$J:$J,0,0)</f>
        <v>0</v>
      </c>
      <c r="EH76">
        <f>_xlfn.XLOOKUP(B76,'[8]october-2025'!$A:$A,'[8]october-2025'!$J:$J,0,0)</f>
        <v>0</v>
      </c>
      <c r="EI76">
        <f>_xlfn.XLOOKUP(C76,'[9]november-2025'!$A:$A,'[9]november-2025'!$J:$J,0,0)</f>
        <v>0</v>
      </c>
      <c r="EJ76">
        <f>_xlfn.XLOOKUP(B76,'[10]december-2025'!$A:$A,'[10]december-2025'!$J:$J,0,0)</f>
        <v>0</v>
      </c>
      <c r="EK76">
        <f>_xlfn.XLOOKUP(B76,'[11]january-2026'!$A:$A,'[11]january-2026'!$J:$J,0,0)</f>
        <v>0</v>
      </c>
      <c r="EL76">
        <f>_xlfn.XLOOKUP(B76,'[12]february-2026'!$A:$A,'[12]february-2026'!$J:$J,0,0)</f>
        <v>0</v>
      </c>
      <c r="EM76">
        <f t="shared" si="228"/>
        <v>0</v>
      </c>
      <c r="EN76">
        <f>DV76+DL76+DB76+CR76+CH76+BX76+BN76+BD76+AS76+AI76+Y76+O76+H76+I76</f>
        <v>471844</v>
      </c>
      <c r="EO76">
        <f>DY76+DO76+DE76+CU76+CK76+CA76+BQ76+BG76+AV76+AL76+AB76+R76</f>
        <v>1800</v>
      </c>
      <c r="EP76">
        <f t="shared" si="229"/>
        <v>50000</v>
      </c>
      <c r="EQ76">
        <v>0</v>
      </c>
      <c r="ER76">
        <f t="shared" si="230"/>
        <v>420044</v>
      </c>
      <c r="ES76">
        <f>DW76+DM76+DC76+CS76+CI76+BY76+BO76+BE76+AT76+AJ76+Z76+P76</f>
        <v>12000</v>
      </c>
      <c r="ET76">
        <f>DX76+DN76+DD76+CT76+CJ76+BZ76+BP76+BF76+AU76+AK76+AA76+Q76</f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231"/>
        <v>12000</v>
      </c>
      <c r="FF76">
        <f t="shared" si="232"/>
        <v>12000</v>
      </c>
      <c r="FG76">
        <f t="shared" si="233"/>
        <v>408044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>SUM(FH76:FN76)+(IF(F76="YES",50000,0))</f>
        <v>0</v>
      </c>
      <c r="FP76">
        <f t="shared" si="234"/>
        <v>408044</v>
      </c>
      <c r="FQ76">
        <f t="shared" si="235"/>
        <v>7902</v>
      </c>
      <c r="FR76">
        <f t="shared" si="236"/>
        <v>0</v>
      </c>
      <c r="FS76">
        <f t="shared" si="237"/>
        <v>7902</v>
      </c>
      <c r="FT76">
        <f t="shared" si="238"/>
        <v>0</v>
      </c>
      <c r="FU76">
        <f t="shared" si="239"/>
        <v>0</v>
      </c>
      <c r="FV76">
        <f t="shared" si="240"/>
        <v>0</v>
      </c>
      <c r="FW76">
        <v>0</v>
      </c>
      <c r="FX76">
        <f t="shared" si="241"/>
        <v>0</v>
      </c>
      <c r="FY76" t="b">
        <f t="shared" si="242"/>
        <v>0</v>
      </c>
      <c r="FZ76">
        <f t="shared" ca="1" si="243"/>
        <v>1093</v>
      </c>
      <c r="GA76">
        <f t="shared" ca="1" si="244"/>
        <v>472937</v>
      </c>
      <c r="GB76">
        <f t="shared" si="245"/>
        <v>75000</v>
      </c>
      <c r="GC76">
        <f t="shared" ca="1" si="246"/>
        <v>397937</v>
      </c>
      <c r="GD76">
        <f t="shared" ca="1" si="247"/>
        <v>0</v>
      </c>
      <c r="GE76">
        <f t="shared" ca="1" si="248"/>
        <v>0</v>
      </c>
      <c r="GF76">
        <f t="shared" ca="1" si="249"/>
        <v>0</v>
      </c>
      <c r="GG76">
        <f t="shared" ca="1" si="250"/>
        <v>0</v>
      </c>
      <c r="GH76">
        <f t="shared" ca="1" si="251"/>
        <v>0</v>
      </c>
      <c r="GI76">
        <f t="shared" ca="1" si="252"/>
        <v>0</v>
      </c>
      <c r="GJ76">
        <f ca="1">IF(GC76&gt;1200000,GC76-1200000-IF(F76="YES",50000,0)-GH76,0)</f>
        <v>0</v>
      </c>
      <c r="GK76">
        <f t="shared" ca="1" si="253"/>
        <v>0</v>
      </c>
      <c r="GL76">
        <f t="shared" ca="1" si="254"/>
        <v>0</v>
      </c>
      <c r="GM76">
        <f t="shared" ca="1" si="255"/>
        <v>0</v>
      </c>
      <c r="GN76">
        <f t="shared" ca="1" si="256"/>
        <v>0</v>
      </c>
      <c r="GO76">
        <f t="shared" ca="1" si="257"/>
        <v>0</v>
      </c>
      <c r="GP76">
        <f t="shared" ca="1" si="258"/>
        <v>0</v>
      </c>
      <c r="GQ76">
        <f t="shared" ca="1" si="259"/>
        <v>0</v>
      </c>
      <c r="GR76">
        <f t="shared" ca="1" si="260"/>
        <v>0</v>
      </c>
      <c r="GS76">
        <f t="shared" ca="1" si="261"/>
        <v>0</v>
      </c>
      <c r="GT76">
        <f t="shared" ca="1" si="262"/>
        <v>0</v>
      </c>
      <c r="GU76" t="b">
        <f t="shared" ca="1" si="263"/>
        <v>0</v>
      </c>
      <c r="GV76">
        <f t="shared" ca="1" si="264"/>
        <v>0</v>
      </c>
      <c r="GW76">
        <f t="shared" ca="1" si="265"/>
        <v>0</v>
      </c>
      <c r="GX76">
        <f t="shared" ca="1" si="266"/>
        <v>0</v>
      </c>
      <c r="GY76">
        <f t="shared" ca="1" si="267"/>
        <v>0</v>
      </c>
      <c r="GZ76">
        <f t="shared" ca="1" si="268"/>
        <v>0</v>
      </c>
    </row>
    <row r="77" spans="1:208" x14ac:dyDescent="0.25">
      <c r="A77">
        <f>_xlfn.AGGREGATE(3,5,$B$2:B77)</f>
        <v>76</v>
      </c>
      <c r="B77" t="s">
        <v>269</v>
      </c>
      <c r="C77" t="s">
        <v>270</v>
      </c>
      <c r="D77" t="s">
        <v>770</v>
      </c>
      <c r="E77" t="s">
        <v>833</v>
      </c>
      <c r="F77" t="s">
        <v>957</v>
      </c>
      <c r="G77" t="s">
        <v>891</v>
      </c>
      <c r="H77">
        <f t="shared" si="178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179"/>
        <v>4690</v>
      </c>
      <c r="L77">
        <f t="shared" si="180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>IF(J77&gt;0,SUM(J77:N77),0)</f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269"/>
        <v>200</v>
      </c>
      <c r="S77">
        <f t="shared" si="181"/>
        <v>37910</v>
      </c>
      <c r="T77">
        <f>_xlfn.XLOOKUP(B77,'[2]april-2025'!$A:$A,'[2]april-2025'!$C:$C,0,0)</f>
        <v>33500</v>
      </c>
      <c r="U77">
        <f t="shared" si="182"/>
        <v>6030</v>
      </c>
      <c r="V77">
        <f t="shared" si="183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184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185"/>
        <v>200</v>
      </c>
      <c r="AC77">
        <f t="shared" si="186"/>
        <v>39250</v>
      </c>
      <c r="AD77">
        <f>_xlfn.XLOOKUP(B77,'[3]may-2025'!$A:$A,'[3]may-2025'!$C:$C,0,0)</f>
        <v>33500</v>
      </c>
      <c r="AE77">
        <f t="shared" si="187"/>
        <v>6030</v>
      </c>
      <c r="AF77">
        <f t="shared" si="188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189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190"/>
        <v>200</v>
      </c>
      <c r="AM77">
        <f t="shared" si="191"/>
        <v>39250</v>
      </c>
      <c r="AN77">
        <f>_xlfn.XLOOKUP(B77,'[4]june-2025'!$A:$A,'[4]june-2025'!$C:$C,0,0)</f>
        <v>33500</v>
      </c>
      <c r="AO77">
        <f t="shared" si="192"/>
        <v>6030</v>
      </c>
      <c r="AP77">
        <f t="shared" si="193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194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195"/>
        <v>200</v>
      </c>
      <c r="AW77">
        <f t="shared" si="196"/>
        <v>39250</v>
      </c>
      <c r="AX77">
        <f>_xlfn.XLOOKUP(B77,'[5]july-2025'!$A:$A,'[5]july-2025'!$C:$C,0,0)</f>
        <v>35500</v>
      </c>
      <c r="AY77">
        <f t="shared" si="197"/>
        <v>6390</v>
      </c>
      <c r="AZ77">
        <v>0</v>
      </c>
      <c r="BA77">
        <f t="shared" si="198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>IF(AX77&gt;0,SUM(AX77:BC77),0)</f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199"/>
        <v>200</v>
      </c>
      <c r="BH77">
        <f t="shared" si="200"/>
        <v>41850</v>
      </c>
      <c r="BI77">
        <f>_xlfn.XLOOKUP(B77,'[6]august-2025'!$A:$A,'[6]august-2025'!$C:$C,0,0)</f>
        <v>35500</v>
      </c>
      <c r="BJ77">
        <f t="shared" si="201"/>
        <v>6390</v>
      </c>
      <c r="BK77">
        <f t="shared" si="202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03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>IF($F77="YES",0,IF(BN77&gt;40000,200,IF(BN77&gt;25000,150,IF(BN77&gt;15000,130,IF(BN77&gt;10000,110,0)))))</f>
        <v>200</v>
      </c>
      <c r="BR77">
        <f>BN77-BO77-BP77-BQ77</f>
        <v>41850</v>
      </c>
      <c r="BS77">
        <f>_xlfn.XLOOKUP(B77,'[7]september-2025'!$A:$A,'[7]september-2025'!$C:$C,0,0)</f>
        <v>35500</v>
      </c>
      <c r="BT77">
        <f t="shared" si="204"/>
        <v>6390</v>
      </c>
      <c r="BU77">
        <f t="shared" si="205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>IF(BS77&gt;0,SUM(BS77:BW77),0)</f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06"/>
        <v>200</v>
      </c>
      <c r="CB77">
        <f t="shared" si="207"/>
        <v>41850</v>
      </c>
      <c r="CC77">
        <f>_xlfn.XLOOKUP(B77,'[8]october-2025'!$A:$A,'[8]october-2025'!$C:$C,0,0)</f>
        <v>35500</v>
      </c>
      <c r="CD77">
        <f t="shared" si="208"/>
        <v>6390</v>
      </c>
      <c r="CE77">
        <f t="shared" si="209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>IF(CC77&gt;0,SUM(CC77:CG77),0)</f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10"/>
        <v>200</v>
      </c>
      <c r="CL77">
        <f t="shared" si="211"/>
        <v>41850</v>
      </c>
      <c r="CM77">
        <f>_xlfn.XLOOKUP(B77,'[9]november-2025'!$A:$A,'[9]november-2025'!$C:$C,0,0)</f>
        <v>35500</v>
      </c>
      <c r="CN77">
        <f t="shared" si="212"/>
        <v>6390</v>
      </c>
      <c r="CO77">
        <f t="shared" si="213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>IF(CM77&gt;0,SUM(CM77:CQ77),0)</f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14"/>
        <v>200</v>
      </c>
      <c r="CV77">
        <f t="shared" si="215"/>
        <v>41850</v>
      </c>
      <c r="CW77">
        <f>_xlfn.XLOOKUP(B77,'[10]december-2025'!$A:$A,'[10]december-2025'!$C:$C,0,0)</f>
        <v>35500</v>
      </c>
      <c r="CX77">
        <f t="shared" si="216"/>
        <v>6390</v>
      </c>
      <c r="CY77">
        <f t="shared" si="217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>IF(CW77&gt;0,SUM(CW77:DA77),0)</f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18"/>
        <v>200</v>
      </c>
      <c r="DF77">
        <f t="shared" si="219"/>
        <v>41850</v>
      </c>
      <c r="DG77">
        <f>_xlfn.XLOOKUP(B77,'[11]january-2026'!$A:$A,'[11]january-2026'!$C:$C,0,0)</f>
        <v>35500</v>
      </c>
      <c r="DH77">
        <f t="shared" si="220"/>
        <v>6390</v>
      </c>
      <c r="DI77">
        <f t="shared" si="221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>IF(DG77&gt;0,SUM(DG77:DK77),0)</f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22"/>
        <v>200</v>
      </c>
      <c r="DP77">
        <f t="shared" si="223"/>
        <v>41850</v>
      </c>
      <c r="DQ77">
        <f>_xlfn.XLOOKUP(B77,'[12]february-2026'!$A:$A,'[12]february-2026'!$C:$C,0,0)</f>
        <v>35500</v>
      </c>
      <c r="DR77">
        <f t="shared" si="224"/>
        <v>6390</v>
      </c>
      <c r="DS77">
        <f t="shared" si="225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>IF(DQ77&gt;0,SUM(DQ77:DU77),0)</f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26"/>
        <v>200</v>
      </c>
      <c r="DZ77">
        <f t="shared" si="227"/>
        <v>41850</v>
      </c>
      <c r="EA77">
        <f>_xlfn.XLOOKUP(B77,'[1]march-2025'!$A:$A,'[1]march-2025'!$J:$J,0,0)</f>
        <v>0</v>
      </c>
      <c r="EB77">
        <f>_xlfn.XLOOKUP(B77,'[2]april-2025'!$A:$A,'[2]april-2025'!$J:$J,0,0)</f>
        <v>0</v>
      </c>
      <c r="EC77">
        <f>_xlfn.XLOOKUP(B77,'[3]may-2025'!$A:$A,'[3]may-2025'!$J:$J,0,0)</f>
        <v>0</v>
      </c>
      <c r="ED77">
        <f>_xlfn.XLOOKUP(B77,'[4]june-2025'!$A:$A,'[4]june-2025'!$J:$J,0,0)</f>
        <v>0</v>
      </c>
      <c r="EE77">
        <f>_xlfn.XLOOKUP(B77,'[5]july-2025'!$A:$A,'[5]july-2025'!$J:$J,0,0)</f>
        <v>0</v>
      </c>
      <c r="EF77">
        <f>_xlfn.XLOOKUP(B77,'[6]august-2025'!$A:$A,'[6]august-2025'!$J:$J,0,0)</f>
        <v>0</v>
      </c>
      <c r="EG77">
        <f>_xlfn.XLOOKUP(B77,'[7]september-2025'!$A:$A,'[7]september-2025'!$J:$J,0,0)</f>
        <v>0</v>
      </c>
      <c r="EH77">
        <f>_xlfn.XLOOKUP(B77,'[8]october-2025'!$A:$A,'[8]october-2025'!$J:$J,0,0)</f>
        <v>0</v>
      </c>
      <c r="EI77">
        <f>_xlfn.XLOOKUP(C77,'[9]november-2025'!$A:$A,'[9]november-2025'!$J:$J,0,0)</f>
        <v>0</v>
      </c>
      <c r="EJ77">
        <f>_xlfn.XLOOKUP(B77,'[10]december-2025'!$A:$A,'[10]december-2025'!$J:$J,0,0)</f>
        <v>0</v>
      </c>
      <c r="EK77">
        <f>_xlfn.XLOOKUP(B77,'[11]january-2026'!$A:$A,'[11]january-2026'!$J:$J,0,0)</f>
        <v>0</v>
      </c>
      <c r="EL77">
        <f>_xlfn.XLOOKUP(B77,'[12]february-2026'!$A:$A,'[12]february-2026'!$J:$J,0,0)</f>
        <v>0</v>
      </c>
      <c r="EM77">
        <f t="shared" si="228"/>
        <v>0</v>
      </c>
      <c r="EN77">
        <f>DV77+DL77+DB77+CR77+CH77+BX77+BN77+BD77+AS77+AI77+Y77+O77+H77+I77</f>
        <v>559660</v>
      </c>
      <c r="EO77">
        <f>DY77+DO77+DE77+CU77+CK77+CA77+BQ77+BG77+AV77+AL77+AB77+R77</f>
        <v>2400</v>
      </c>
      <c r="EP77">
        <f t="shared" si="229"/>
        <v>50000</v>
      </c>
      <c r="EQ77">
        <v>0</v>
      </c>
      <c r="ER77">
        <f t="shared" si="230"/>
        <v>507260</v>
      </c>
      <c r="ES77">
        <f>DW77+DM77+DC77+CS77+CI77+BY77+BO77+BE77+AT77+AJ77+Z77+P77</f>
        <v>60000</v>
      </c>
      <c r="ET77">
        <f>DX77+DN77+DD77+CT77+CJ77+BZ77+BP77+BF77+AU77+AK77+AA77+Q77</f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231"/>
        <v>60000</v>
      </c>
      <c r="FF77">
        <f t="shared" si="232"/>
        <v>60000</v>
      </c>
      <c r="FG77">
        <f t="shared" si="233"/>
        <v>447260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>SUM(FH77:FN77)+(IF(F77="YES",50000,0))</f>
        <v>0</v>
      </c>
      <c r="FP77">
        <f t="shared" si="234"/>
        <v>447260</v>
      </c>
      <c r="FQ77">
        <f t="shared" si="235"/>
        <v>9863</v>
      </c>
      <c r="FR77">
        <f t="shared" si="236"/>
        <v>0</v>
      </c>
      <c r="FS77">
        <f t="shared" si="237"/>
        <v>9863</v>
      </c>
      <c r="FT77">
        <f t="shared" si="238"/>
        <v>0</v>
      </c>
      <c r="FU77">
        <f t="shared" si="239"/>
        <v>0</v>
      </c>
      <c r="FV77">
        <f t="shared" si="240"/>
        <v>0</v>
      </c>
      <c r="FW77">
        <v>0</v>
      </c>
      <c r="FX77">
        <f t="shared" si="241"/>
        <v>0</v>
      </c>
      <c r="FY77" t="b">
        <f t="shared" si="242"/>
        <v>1</v>
      </c>
      <c r="FZ77">
        <f t="shared" ca="1" si="243"/>
        <v>825</v>
      </c>
      <c r="GA77">
        <f t="shared" ca="1" si="244"/>
        <v>560485</v>
      </c>
      <c r="GB77">
        <f t="shared" si="245"/>
        <v>75000</v>
      </c>
      <c r="GC77">
        <f t="shared" ca="1" si="246"/>
        <v>485485</v>
      </c>
      <c r="GD77">
        <f t="shared" ca="1" si="247"/>
        <v>0</v>
      </c>
      <c r="GE77">
        <f t="shared" ca="1" si="248"/>
        <v>0</v>
      </c>
      <c r="GF77">
        <f t="shared" ca="1" si="249"/>
        <v>0</v>
      </c>
      <c r="GG77">
        <f t="shared" ca="1" si="250"/>
        <v>0</v>
      </c>
      <c r="GH77">
        <f t="shared" ca="1" si="251"/>
        <v>0</v>
      </c>
      <c r="GI77">
        <f t="shared" ca="1" si="252"/>
        <v>0</v>
      </c>
      <c r="GJ77">
        <f ca="1">IF(GC77&gt;1200000,GC77-1200000-IF(F77="YES",50000,0)-GH77,0)</f>
        <v>0</v>
      </c>
      <c r="GK77">
        <f t="shared" ca="1" si="253"/>
        <v>0</v>
      </c>
      <c r="GL77">
        <f t="shared" ca="1" si="254"/>
        <v>0</v>
      </c>
      <c r="GM77">
        <f t="shared" ca="1" si="255"/>
        <v>0</v>
      </c>
      <c r="GN77">
        <f t="shared" ca="1" si="256"/>
        <v>85485</v>
      </c>
      <c r="GO77">
        <f t="shared" ca="1" si="257"/>
        <v>4274.25</v>
      </c>
      <c r="GP77">
        <f t="shared" ca="1" si="258"/>
        <v>4274</v>
      </c>
      <c r="GQ77">
        <f t="shared" ca="1" si="259"/>
        <v>0</v>
      </c>
      <c r="GR77">
        <f t="shared" ca="1" si="260"/>
        <v>0</v>
      </c>
      <c r="GS77">
        <f t="shared" ca="1" si="261"/>
        <v>4274</v>
      </c>
      <c r="GT77">
        <f t="shared" ca="1" si="262"/>
        <v>0</v>
      </c>
      <c r="GU77" t="b">
        <f t="shared" ca="1" si="263"/>
        <v>0</v>
      </c>
      <c r="GV77">
        <f t="shared" ca="1" si="264"/>
        <v>0</v>
      </c>
      <c r="GW77">
        <f t="shared" ca="1" si="265"/>
        <v>4274</v>
      </c>
      <c r="GX77">
        <f t="shared" ca="1" si="266"/>
        <v>0</v>
      </c>
      <c r="GY77">
        <f t="shared" ca="1" si="267"/>
        <v>0</v>
      </c>
      <c r="GZ77">
        <f t="shared" ca="1" si="268"/>
        <v>0</v>
      </c>
    </row>
    <row r="78" spans="1:208" x14ac:dyDescent="0.25">
      <c r="A78">
        <f>_xlfn.AGGREGATE(3,5,$B$2:B78)</f>
        <v>77</v>
      </c>
      <c r="B78" t="s">
        <v>271</v>
      </c>
      <c r="C78" t="s">
        <v>272</v>
      </c>
      <c r="D78" t="s">
        <v>770</v>
      </c>
      <c r="E78" t="s">
        <v>831</v>
      </c>
      <c r="F78" t="s">
        <v>957</v>
      </c>
      <c r="G78" t="s">
        <v>893</v>
      </c>
      <c r="H78">
        <f t="shared" si="178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179"/>
        <v>4830.0000000000009</v>
      </c>
      <c r="L78">
        <f t="shared" si="180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>IF(J78&gt;0,SUM(J78:N78),0)</f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269"/>
        <v>200</v>
      </c>
      <c r="S78">
        <f t="shared" si="181"/>
        <v>41270</v>
      </c>
      <c r="T78">
        <f>_xlfn.XLOOKUP(B78,'[2]april-2025'!$A:$A,'[2]april-2025'!$C:$C,0,0)</f>
        <v>34500</v>
      </c>
      <c r="U78">
        <f t="shared" si="182"/>
        <v>6210</v>
      </c>
      <c r="V78">
        <f t="shared" si="183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184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185"/>
        <v>200</v>
      </c>
      <c r="AC78">
        <f t="shared" si="186"/>
        <v>42650</v>
      </c>
      <c r="AD78">
        <f>_xlfn.XLOOKUP(B78,'[3]may-2025'!$A:$A,'[3]may-2025'!$C:$C,0,0)</f>
        <v>34500</v>
      </c>
      <c r="AE78">
        <f t="shared" si="187"/>
        <v>6210</v>
      </c>
      <c r="AF78">
        <f t="shared" si="188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189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190"/>
        <v>200</v>
      </c>
      <c r="AM78">
        <f t="shared" si="191"/>
        <v>42650</v>
      </c>
      <c r="AN78">
        <f>_xlfn.XLOOKUP(B78,'[4]june-2025'!$A:$A,'[4]june-2025'!$C:$C,0,0)</f>
        <v>34500</v>
      </c>
      <c r="AO78">
        <f t="shared" si="192"/>
        <v>6210</v>
      </c>
      <c r="AP78">
        <f t="shared" si="193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194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195"/>
        <v>200</v>
      </c>
      <c r="AW78">
        <f t="shared" si="196"/>
        <v>42650</v>
      </c>
      <c r="AX78">
        <f>_xlfn.XLOOKUP(B78,'[5]july-2025'!$A:$A,'[5]july-2025'!$C:$C,0,0)</f>
        <v>35500</v>
      </c>
      <c r="AY78">
        <f t="shared" si="197"/>
        <v>6390</v>
      </c>
      <c r="AZ78">
        <v>0</v>
      </c>
      <c r="BA78">
        <f t="shared" si="198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>IF(AX78&gt;0,SUM(AX78:BC78),0)</f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199"/>
        <v>200</v>
      </c>
      <c r="BH78">
        <f t="shared" si="200"/>
        <v>43950</v>
      </c>
      <c r="BI78">
        <f>_xlfn.XLOOKUP(B78,'[6]august-2025'!$A:$A,'[6]august-2025'!$C:$C,0,0)</f>
        <v>35500</v>
      </c>
      <c r="BJ78">
        <f t="shared" si="201"/>
        <v>6390</v>
      </c>
      <c r="BK78">
        <f t="shared" si="202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03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>IF($F78="YES",0,IF(BN78&gt;40000,200,IF(BN78&gt;25000,150,IF(BN78&gt;15000,130,IF(BN78&gt;10000,110,0)))))</f>
        <v>200</v>
      </c>
      <c r="BR78">
        <f>BN78-BO78-BP78-BQ78</f>
        <v>43950</v>
      </c>
      <c r="BS78">
        <f>_xlfn.XLOOKUP(B78,'[7]september-2025'!$A:$A,'[7]september-2025'!$C:$C,0,0)</f>
        <v>35500</v>
      </c>
      <c r="BT78">
        <f t="shared" si="204"/>
        <v>6390</v>
      </c>
      <c r="BU78">
        <f t="shared" si="205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>IF(BS78&gt;0,SUM(BS78:BW78),0)</f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06"/>
        <v>200</v>
      </c>
      <c r="CB78">
        <f t="shared" si="207"/>
        <v>43950</v>
      </c>
      <c r="CC78">
        <f>_xlfn.XLOOKUP(B78,'[8]october-2025'!$A:$A,'[8]october-2025'!$C:$C,0,0)</f>
        <v>35500</v>
      </c>
      <c r="CD78">
        <f t="shared" si="208"/>
        <v>6390</v>
      </c>
      <c r="CE78">
        <f t="shared" si="209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>IF(CC78&gt;0,SUM(CC78:CG78),0)</f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10"/>
        <v>200</v>
      </c>
      <c r="CL78">
        <f t="shared" si="211"/>
        <v>43950</v>
      </c>
      <c r="CM78">
        <f>_xlfn.XLOOKUP(B78,'[9]november-2025'!$A:$A,'[9]november-2025'!$C:$C,0,0)</f>
        <v>35500</v>
      </c>
      <c r="CN78">
        <f t="shared" si="212"/>
        <v>6390</v>
      </c>
      <c r="CO78">
        <f t="shared" si="213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>IF(CM78&gt;0,SUM(CM78:CQ78),0)</f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14"/>
        <v>200</v>
      </c>
      <c r="CV78">
        <f t="shared" si="215"/>
        <v>43950</v>
      </c>
      <c r="CW78">
        <f>_xlfn.XLOOKUP(B78,'[10]december-2025'!$A:$A,'[10]december-2025'!$C:$C,0,0)</f>
        <v>35500</v>
      </c>
      <c r="CX78">
        <f t="shared" si="216"/>
        <v>6390</v>
      </c>
      <c r="CY78">
        <f t="shared" si="217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>IF(CW78&gt;0,SUM(CW78:DA78),0)</f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18"/>
        <v>200</v>
      </c>
      <c r="DF78">
        <f t="shared" si="219"/>
        <v>43950</v>
      </c>
      <c r="DG78">
        <f>_xlfn.XLOOKUP(B78,'[11]january-2026'!$A:$A,'[11]january-2026'!$C:$C,0,0)</f>
        <v>35500</v>
      </c>
      <c r="DH78">
        <f t="shared" si="220"/>
        <v>6390</v>
      </c>
      <c r="DI78">
        <f t="shared" si="221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>IF(DG78&gt;0,SUM(DG78:DK78),0)</f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22"/>
        <v>200</v>
      </c>
      <c r="DP78">
        <f t="shared" si="223"/>
        <v>43950</v>
      </c>
      <c r="DQ78">
        <f>_xlfn.XLOOKUP(B78,'[12]february-2026'!$A:$A,'[12]february-2026'!$C:$C,0,0)</f>
        <v>35500</v>
      </c>
      <c r="DR78">
        <f t="shared" si="224"/>
        <v>6390</v>
      </c>
      <c r="DS78">
        <f t="shared" si="225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>IF(DQ78&gt;0,SUM(DQ78:DU78),0)</f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26"/>
        <v>200</v>
      </c>
      <c r="DZ78">
        <f t="shared" si="227"/>
        <v>43950</v>
      </c>
      <c r="EA78">
        <f>_xlfn.XLOOKUP(B78,'[1]march-2025'!$A:$A,'[1]march-2025'!$J:$J,0,0)</f>
        <v>0</v>
      </c>
      <c r="EB78">
        <f>_xlfn.XLOOKUP(B78,'[2]april-2025'!$A:$A,'[2]april-2025'!$J:$J,0,0)</f>
        <v>0</v>
      </c>
      <c r="EC78">
        <f>_xlfn.XLOOKUP(B78,'[3]may-2025'!$A:$A,'[3]may-2025'!$J:$J,0,0)</f>
        <v>0</v>
      </c>
      <c r="ED78">
        <f>_xlfn.XLOOKUP(B78,'[4]june-2025'!$A:$A,'[4]june-2025'!$J:$J,0,0)</f>
        <v>0</v>
      </c>
      <c r="EE78">
        <f>_xlfn.XLOOKUP(B78,'[5]july-2025'!$A:$A,'[5]july-2025'!$J:$J,0,0)</f>
        <v>0</v>
      </c>
      <c r="EF78">
        <f>_xlfn.XLOOKUP(B78,'[6]august-2025'!$A:$A,'[6]august-2025'!$J:$J,0,0)</f>
        <v>0</v>
      </c>
      <c r="EG78">
        <f>_xlfn.XLOOKUP(B78,'[7]september-2025'!$A:$A,'[7]september-2025'!$J:$J,0,0)</f>
        <v>0</v>
      </c>
      <c r="EH78">
        <f>_xlfn.XLOOKUP(B78,'[8]october-2025'!$A:$A,'[8]october-2025'!$J:$J,0,0)</f>
        <v>0</v>
      </c>
      <c r="EI78">
        <f>_xlfn.XLOOKUP(C78,'[9]november-2025'!$A:$A,'[9]november-2025'!$J:$J,0,0)</f>
        <v>0</v>
      </c>
      <c r="EJ78">
        <f>_xlfn.XLOOKUP(B78,'[10]december-2025'!$A:$A,'[10]december-2025'!$J:$J,0,0)</f>
        <v>0</v>
      </c>
      <c r="EK78">
        <f>_xlfn.XLOOKUP(B78,'[11]january-2026'!$A:$A,'[11]january-2026'!$J:$J,0,0)</f>
        <v>0</v>
      </c>
      <c r="EL78">
        <f>_xlfn.XLOOKUP(B78,'[12]february-2026'!$A:$A,'[12]february-2026'!$J:$J,0,0)</f>
        <v>0</v>
      </c>
      <c r="EM78">
        <f t="shared" si="228"/>
        <v>0</v>
      </c>
      <c r="EN78">
        <f>DV78+DL78+DB78+CR78+CH78+BX78+BN78+BD78+AS78+AI78+Y78+O78+H78+I78</f>
        <v>560020</v>
      </c>
      <c r="EO78">
        <f>DY78+DO78+DE78+CU78+CK78+CA78+BQ78+BG78+AV78+AL78+AB78+R78</f>
        <v>2400</v>
      </c>
      <c r="EP78">
        <f t="shared" si="229"/>
        <v>50000</v>
      </c>
      <c r="EQ78">
        <v>0</v>
      </c>
      <c r="ER78">
        <f t="shared" si="230"/>
        <v>507620</v>
      </c>
      <c r="ES78">
        <f>DW78+DM78+DC78+CS78+CI78+BY78+BO78+BE78+AT78+AJ78+Z78+P78</f>
        <v>30000</v>
      </c>
      <c r="ET78">
        <f>DX78+DN78+DD78+CT78+CJ78+BZ78+BP78+BF78+AU78+AK78+AA78+Q78</f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231"/>
        <v>30000</v>
      </c>
      <c r="FF78">
        <f t="shared" si="232"/>
        <v>30000</v>
      </c>
      <c r="FG78">
        <f t="shared" si="233"/>
        <v>477620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>SUM(FH78:FN78)+(IF(F78="YES",50000,0))</f>
        <v>0</v>
      </c>
      <c r="FP78">
        <f t="shared" si="234"/>
        <v>477620</v>
      </c>
      <c r="FQ78">
        <f t="shared" si="235"/>
        <v>11381</v>
      </c>
      <c r="FR78">
        <f t="shared" si="236"/>
        <v>0</v>
      </c>
      <c r="FS78">
        <f t="shared" si="237"/>
        <v>11381</v>
      </c>
      <c r="FT78">
        <f t="shared" si="238"/>
        <v>0</v>
      </c>
      <c r="FU78">
        <f t="shared" si="239"/>
        <v>0</v>
      </c>
      <c r="FV78">
        <f t="shared" si="240"/>
        <v>0</v>
      </c>
      <c r="FW78">
        <v>0</v>
      </c>
      <c r="FX78">
        <f t="shared" si="241"/>
        <v>0</v>
      </c>
      <c r="FY78" t="b">
        <f t="shared" si="242"/>
        <v>1</v>
      </c>
      <c r="FZ78">
        <f t="shared" ca="1" si="243"/>
        <v>651</v>
      </c>
      <c r="GA78">
        <f t="shared" ca="1" si="244"/>
        <v>560671</v>
      </c>
      <c r="GB78">
        <f t="shared" si="245"/>
        <v>75000</v>
      </c>
      <c r="GC78">
        <f t="shared" ca="1" si="246"/>
        <v>485671</v>
      </c>
      <c r="GD78">
        <f t="shared" ca="1" si="247"/>
        <v>0</v>
      </c>
      <c r="GE78">
        <f t="shared" ca="1" si="248"/>
        <v>0</v>
      </c>
      <c r="GF78">
        <f t="shared" ca="1" si="249"/>
        <v>0</v>
      </c>
      <c r="GG78">
        <f t="shared" ca="1" si="250"/>
        <v>0</v>
      </c>
      <c r="GH78">
        <f t="shared" ca="1" si="251"/>
        <v>0</v>
      </c>
      <c r="GI78">
        <f t="shared" ca="1" si="252"/>
        <v>0</v>
      </c>
      <c r="GJ78">
        <f ca="1">IF(GC78&gt;1200000,GC78-1200000-IF(F78="YES",50000,0)-GH78,0)</f>
        <v>0</v>
      </c>
      <c r="GK78">
        <f t="shared" ca="1" si="253"/>
        <v>0</v>
      </c>
      <c r="GL78">
        <f t="shared" ca="1" si="254"/>
        <v>0</v>
      </c>
      <c r="GM78">
        <f t="shared" ca="1" si="255"/>
        <v>0</v>
      </c>
      <c r="GN78">
        <f t="shared" ca="1" si="256"/>
        <v>85671</v>
      </c>
      <c r="GO78">
        <f t="shared" ca="1" si="257"/>
        <v>4283.55</v>
      </c>
      <c r="GP78">
        <f t="shared" ca="1" si="258"/>
        <v>4284</v>
      </c>
      <c r="GQ78">
        <f t="shared" ca="1" si="259"/>
        <v>0</v>
      </c>
      <c r="GR78">
        <f t="shared" ca="1" si="260"/>
        <v>0</v>
      </c>
      <c r="GS78">
        <f t="shared" ca="1" si="261"/>
        <v>4284</v>
      </c>
      <c r="GT78">
        <f t="shared" ca="1" si="262"/>
        <v>0</v>
      </c>
      <c r="GU78" t="b">
        <f t="shared" ca="1" si="263"/>
        <v>0</v>
      </c>
      <c r="GV78">
        <f t="shared" ca="1" si="264"/>
        <v>0</v>
      </c>
      <c r="GW78">
        <f t="shared" ca="1" si="265"/>
        <v>4284</v>
      </c>
      <c r="GX78">
        <f t="shared" ca="1" si="266"/>
        <v>0</v>
      </c>
      <c r="GY78">
        <f t="shared" ca="1" si="267"/>
        <v>0</v>
      </c>
      <c r="GZ78">
        <f t="shared" ca="1" si="268"/>
        <v>0</v>
      </c>
    </row>
    <row r="79" spans="1:208" x14ac:dyDescent="0.25">
      <c r="A79">
        <f>_xlfn.AGGREGATE(3,5,$B$2:B79)</f>
        <v>78</v>
      </c>
      <c r="B79" t="s">
        <v>273</v>
      </c>
      <c r="C79" t="s">
        <v>274</v>
      </c>
      <c r="D79" t="s">
        <v>770</v>
      </c>
      <c r="E79" t="s">
        <v>831</v>
      </c>
      <c r="F79" t="s">
        <v>957</v>
      </c>
      <c r="G79" t="s">
        <v>879</v>
      </c>
      <c r="H79">
        <f t="shared" si="178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179"/>
        <v>3780.0000000000005</v>
      </c>
      <c r="L79">
        <f t="shared" si="180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>IF(J79&gt;0,SUM(J79:N79),0)</f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269"/>
        <v>150</v>
      </c>
      <c r="S79">
        <f t="shared" si="181"/>
        <v>32370</v>
      </c>
      <c r="T79">
        <f>_xlfn.XLOOKUP(B79,'[2]april-2025'!$A:$A,'[2]april-2025'!$C:$C,0,0)</f>
        <v>27000</v>
      </c>
      <c r="U79">
        <f t="shared" si="182"/>
        <v>4860</v>
      </c>
      <c r="V79">
        <f t="shared" si="183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184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185"/>
        <v>150</v>
      </c>
      <c r="AC79">
        <f t="shared" si="186"/>
        <v>33450</v>
      </c>
      <c r="AD79">
        <f>_xlfn.XLOOKUP(B79,'[3]may-2025'!$A:$A,'[3]may-2025'!$C:$C,0,0)</f>
        <v>31600</v>
      </c>
      <c r="AE79">
        <f t="shared" si="187"/>
        <v>5688</v>
      </c>
      <c r="AF79">
        <f t="shared" si="188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189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190"/>
        <v>200</v>
      </c>
      <c r="AM79">
        <f t="shared" si="191"/>
        <v>39380</v>
      </c>
      <c r="AN79">
        <f>_xlfn.XLOOKUP(B79,'[4]june-2025'!$A:$A,'[4]june-2025'!$C:$C,0,0)</f>
        <v>31600</v>
      </c>
      <c r="AO79">
        <f t="shared" si="192"/>
        <v>5688</v>
      </c>
      <c r="AP79">
        <f t="shared" si="193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194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195"/>
        <v>200</v>
      </c>
      <c r="AW79">
        <f t="shared" si="196"/>
        <v>39380</v>
      </c>
      <c r="AX79">
        <f>_xlfn.XLOOKUP(B79,'[5]july-2025'!$A:$A,'[5]july-2025'!$C:$C,0,0)</f>
        <v>32500</v>
      </c>
      <c r="AY79">
        <f t="shared" si="197"/>
        <v>5850</v>
      </c>
      <c r="AZ79">
        <v>0</v>
      </c>
      <c r="BA79">
        <f t="shared" si="198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>IF(AX79&gt;0,SUM(AX79:BC79),0)</f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199"/>
        <v>200</v>
      </c>
      <c r="BH79">
        <f t="shared" si="200"/>
        <v>40550</v>
      </c>
      <c r="BI79">
        <f>_xlfn.XLOOKUP(B79,'[6]august-2025'!$A:$A,'[6]august-2025'!$C:$C,0,0)</f>
        <v>32500</v>
      </c>
      <c r="BJ79">
        <f t="shared" si="201"/>
        <v>5850</v>
      </c>
      <c r="BK79">
        <f t="shared" si="202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03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>IF($F79="YES",0,IF(BN79&gt;40000,200,IF(BN79&gt;25000,150,IF(BN79&gt;15000,130,IF(BN79&gt;10000,110,0)))))</f>
        <v>200</v>
      </c>
      <c r="BR79">
        <f>BN79-BO79-BP79-BQ79</f>
        <v>40550</v>
      </c>
      <c r="BS79">
        <f>_xlfn.XLOOKUP(B79,'[7]september-2025'!$A:$A,'[7]september-2025'!$C:$C,0,0)</f>
        <v>32500</v>
      </c>
      <c r="BT79">
        <f t="shared" si="204"/>
        <v>5850</v>
      </c>
      <c r="BU79">
        <f t="shared" si="205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>IF(BS79&gt;0,SUM(BS79:BW79),0)</f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06"/>
        <v>200</v>
      </c>
      <c r="CB79">
        <f t="shared" si="207"/>
        <v>40550</v>
      </c>
      <c r="CC79">
        <f>_xlfn.XLOOKUP(B79,'[8]october-2025'!$A:$A,'[8]october-2025'!$C:$C,0,0)</f>
        <v>32500</v>
      </c>
      <c r="CD79">
        <f t="shared" si="208"/>
        <v>5850</v>
      </c>
      <c r="CE79">
        <f t="shared" si="209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>IF(CC79&gt;0,SUM(CC79:CG79),0)</f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10"/>
        <v>200</v>
      </c>
      <c r="CL79">
        <f t="shared" si="211"/>
        <v>40550</v>
      </c>
      <c r="CM79">
        <f>_xlfn.XLOOKUP(B79,'[9]november-2025'!$A:$A,'[9]november-2025'!$C:$C,0,0)</f>
        <v>32500</v>
      </c>
      <c r="CN79">
        <f t="shared" si="212"/>
        <v>5850</v>
      </c>
      <c r="CO79">
        <f t="shared" si="213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>IF(CM79&gt;0,SUM(CM79:CQ79),0)</f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14"/>
        <v>200</v>
      </c>
      <c r="CV79">
        <f t="shared" si="215"/>
        <v>40550</v>
      </c>
      <c r="CW79">
        <f>_xlfn.XLOOKUP(B79,'[10]december-2025'!$A:$A,'[10]december-2025'!$C:$C,0,0)</f>
        <v>32500</v>
      </c>
      <c r="CX79">
        <f t="shared" si="216"/>
        <v>5850</v>
      </c>
      <c r="CY79">
        <f t="shared" si="217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>IF(CW79&gt;0,SUM(CW79:DA79),0)</f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18"/>
        <v>200</v>
      </c>
      <c r="DF79">
        <f t="shared" si="219"/>
        <v>40550</v>
      </c>
      <c r="DG79">
        <f>_xlfn.XLOOKUP(B79,'[11]january-2026'!$A:$A,'[11]january-2026'!$C:$C,0,0)</f>
        <v>32500</v>
      </c>
      <c r="DH79">
        <f t="shared" si="220"/>
        <v>5850</v>
      </c>
      <c r="DI79">
        <f t="shared" si="221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>IF(DG79&gt;0,SUM(DG79:DK79),0)</f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22"/>
        <v>200</v>
      </c>
      <c r="DP79">
        <f t="shared" si="223"/>
        <v>40550</v>
      </c>
      <c r="DQ79">
        <f>_xlfn.XLOOKUP(B79,'[12]february-2026'!$A:$A,'[12]february-2026'!$C:$C,0,0)</f>
        <v>32500</v>
      </c>
      <c r="DR79">
        <f t="shared" si="224"/>
        <v>5850</v>
      </c>
      <c r="DS79">
        <f t="shared" si="225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>IF(DQ79&gt;0,SUM(DQ79:DU79),0)</f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26"/>
        <v>200</v>
      </c>
      <c r="DZ79">
        <f t="shared" si="227"/>
        <v>40550</v>
      </c>
      <c r="EA79">
        <f>_xlfn.XLOOKUP(B79,'[1]march-2025'!$A:$A,'[1]march-2025'!$J:$J,0,0)</f>
        <v>0</v>
      </c>
      <c r="EB79">
        <f>_xlfn.XLOOKUP(B79,'[2]april-2025'!$A:$A,'[2]april-2025'!$J:$J,0,0)</f>
        <v>0</v>
      </c>
      <c r="EC79">
        <f>_xlfn.XLOOKUP(B79,'[3]may-2025'!$A:$A,'[3]may-2025'!$J:$J,0,0)</f>
        <v>0</v>
      </c>
      <c r="ED79">
        <f>_xlfn.XLOOKUP(B79,'[4]june-2025'!$A:$A,'[4]june-2025'!$J:$J,0,0)</f>
        <v>0</v>
      </c>
      <c r="EE79">
        <f>_xlfn.XLOOKUP(B79,'[5]july-2025'!$A:$A,'[5]july-2025'!$J:$J,0,0)</f>
        <v>0</v>
      </c>
      <c r="EF79">
        <f>_xlfn.XLOOKUP(B79,'[6]august-2025'!$A:$A,'[6]august-2025'!$J:$J,0,0)</f>
        <v>0</v>
      </c>
      <c r="EG79">
        <f>_xlfn.XLOOKUP(B79,'[7]september-2025'!$A:$A,'[7]september-2025'!$J:$J,0,0)</f>
        <v>0</v>
      </c>
      <c r="EH79">
        <f>_xlfn.XLOOKUP(B79,'[8]october-2025'!$A:$A,'[8]october-2025'!$J:$J,0,0)</f>
        <v>0</v>
      </c>
      <c r="EI79">
        <f>_xlfn.XLOOKUP(C79,'[9]november-2025'!$A:$A,'[9]november-2025'!$J:$J,0,0)</f>
        <v>0</v>
      </c>
      <c r="EJ79">
        <f>_xlfn.XLOOKUP(B79,'[10]december-2025'!$A:$A,'[10]december-2025'!$J:$J,0,0)</f>
        <v>0</v>
      </c>
      <c r="EK79">
        <f>_xlfn.XLOOKUP(B79,'[11]january-2026'!$A:$A,'[11]january-2026'!$J:$J,0,0)</f>
        <v>0</v>
      </c>
      <c r="EL79">
        <f>_xlfn.XLOOKUP(B79,'[12]february-2026'!$A:$A,'[12]february-2026'!$J:$J,0,0)</f>
        <v>0</v>
      </c>
      <c r="EM79">
        <f t="shared" si="228"/>
        <v>0</v>
      </c>
      <c r="EN79">
        <f>DV79+DL79+DB79+CR79+CH79+BX79+BN79+BD79+AS79+AI79+Y79+O79+H79+I79</f>
        <v>502080</v>
      </c>
      <c r="EO79">
        <f>DY79+DO79+DE79+CU79+CK79+CA79+BQ79+BG79+AV79+AL79+AB79+R79</f>
        <v>2300</v>
      </c>
      <c r="EP79">
        <f t="shared" si="229"/>
        <v>50000</v>
      </c>
      <c r="EQ79">
        <v>0</v>
      </c>
      <c r="ER79">
        <f t="shared" si="230"/>
        <v>449780</v>
      </c>
      <c r="ES79">
        <f>DW79+DM79+DC79+CS79+CI79+BY79+BO79+BE79+AT79+AJ79+Z79+P79</f>
        <v>24000</v>
      </c>
      <c r="ET79">
        <f>DX79+DN79+DD79+CT79+CJ79+BZ79+BP79+BF79+AU79+AK79+AA79+Q79</f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231"/>
        <v>24000</v>
      </c>
      <c r="FF79">
        <f t="shared" si="232"/>
        <v>24000</v>
      </c>
      <c r="FG79">
        <f t="shared" si="233"/>
        <v>425780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>SUM(FH79:FN79)+(IF(F79="YES",50000,0))</f>
        <v>0</v>
      </c>
      <c r="FP79">
        <f t="shared" si="234"/>
        <v>425780</v>
      </c>
      <c r="FQ79">
        <f t="shared" si="235"/>
        <v>8789</v>
      </c>
      <c r="FR79">
        <f t="shared" si="236"/>
        <v>0</v>
      </c>
      <c r="FS79">
        <f t="shared" si="237"/>
        <v>8789</v>
      </c>
      <c r="FT79">
        <f t="shared" si="238"/>
        <v>0</v>
      </c>
      <c r="FU79">
        <f t="shared" si="239"/>
        <v>0</v>
      </c>
      <c r="FV79">
        <f t="shared" si="240"/>
        <v>0</v>
      </c>
      <c r="FW79">
        <v>0</v>
      </c>
      <c r="FX79">
        <f t="shared" si="241"/>
        <v>0</v>
      </c>
      <c r="FY79" t="b">
        <f t="shared" si="242"/>
        <v>1</v>
      </c>
      <c r="FZ79">
        <f t="shared" ca="1" si="243"/>
        <v>895</v>
      </c>
      <c r="GA79">
        <f t="shared" ca="1" si="244"/>
        <v>502975</v>
      </c>
      <c r="GB79">
        <f t="shared" si="245"/>
        <v>75000</v>
      </c>
      <c r="GC79">
        <f t="shared" ca="1" si="246"/>
        <v>427975</v>
      </c>
      <c r="GD79">
        <f t="shared" ca="1" si="247"/>
        <v>0</v>
      </c>
      <c r="GE79">
        <f t="shared" ca="1" si="248"/>
        <v>0</v>
      </c>
      <c r="GF79">
        <f t="shared" ca="1" si="249"/>
        <v>0</v>
      </c>
      <c r="GG79">
        <f t="shared" ca="1" si="250"/>
        <v>0</v>
      </c>
      <c r="GH79">
        <f t="shared" ca="1" si="251"/>
        <v>0</v>
      </c>
      <c r="GI79">
        <f t="shared" ca="1" si="252"/>
        <v>0</v>
      </c>
      <c r="GJ79">
        <f ca="1">IF(GC79&gt;1200000,GC79-1200000-IF(F79="YES",50000,0)-GH79,0)</f>
        <v>0</v>
      </c>
      <c r="GK79">
        <f t="shared" ca="1" si="253"/>
        <v>0</v>
      </c>
      <c r="GL79">
        <f t="shared" ca="1" si="254"/>
        <v>0</v>
      </c>
      <c r="GM79">
        <f t="shared" ca="1" si="255"/>
        <v>0</v>
      </c>
      <c r="GN79">
        <f t="shared" ca="1" si="256"/>
        <v>27975</v>
      </c>
      <c r="GO79">
        <f t="shared" ca="1" si="257"/>
        <v>1398.75</v>
      </c>
      <c r="GP79">
        <f t="shared" ca="1" si="258"/>
        <v>1399</v>
      </c>
      <c r="GQ79">
        <f t="shared" ca="1" si="259"/>
        <v>0</v>
      </c>
      <c r="GR79">
        <f t="shared" ca="1" si="260"/>
        <v>0</v>
      </c>
      <c r="GS79">
        <f t="shared" ca="1" si="261"/>
        <v>1399</v>
      </c>
      <c r="GT79">
        <f t="shared" ca="1" si="262"/>
        <v>0</v>
      </c>
      <c r="GU79" t="b">
        <f t="shared" ca="1" si="263"/>
        <v>0</v>
      </c>
      <c r="GV79">
        <f t="shared" ca="1" si="264"/>
        <v>0</v>
      </c>
      <c r="GW79">
        <f t="shared" ca="1" si="265"/>
        <v>1399</v>
      </c>
      <c r="GX79">
        <f t="shared" ca="1" si="266"/>
        <v>0</v>
      </c>
      <c r="GY79">
        <f t="shared" ca="1" si="267"/>
        <v>0</v>
      </c>
      <c r="GZ79">
        <f t="shared" ca="1" si="268"/>
        <v>0</v>
      </c>
    </row>
    <row r="80" spans="1:208" x14ac:dyDescent="0.25">
      <c r="A80">
        <f>_xlfn.AGGREGATE(3,5,$B$2:B80)</f>
        <v>79</v>
      </c>
      <c r="B80" t="s">
        <v>275</v>
      </c>
      <c r="C80" t="s">
        <v>276</v>
      </c>
      <c r="D80" t="s">
        <v>770</v>
      </c>
      <c r="E80" t="s">
        <v>831</v>
      </c>
      <c r="F80" t="s">
        <v>957</v>
      </c>
      <c r="G80" t="s">
        <v>879</v>
      </c>
      <c r="H80">
        <f t="shared" si="178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179"/>
        <v>3780.0000000000005</v>
      </c>
      <c r="L80">
        <f t="shared" si="180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>IF(J80&gt;0,SUM(J80:N80),0)</f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269"/>
        <v>150</v>
      </c>
      <c r="S80">
        <f t="shared" si="181"/>
        <v>32370</v>
      </c>
      <c r="T80">
        <f>_xlfn.XLOOKUP(B80,'[2]april-2025'!$A:$A,'[2]april-2025'!$C:$C,0,0)</f>
        <v>27000</v>
      </c>
      <c r="U80">
        <f t="shared" si="182"/>
        <v>4860</v>
      </c>
      <c r="V80">
        <f t="shared" si="183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184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185"/>
        <v>150</v>
      </c>
      <c r="AC80">
        <f t="shared" si="186"/>
        <v>33450</v>
      </c>
      <c r="AD80">
        <f>_xlfn.XLOOKUP(B80,'[3]may-2025'!$A:$A,'[3]may-2025'!$C:$C,0,0)</f>
        <v>31600</v>
      </c>
      <c r="AE80">
        <f t="shared" si="187"/>
        <v>5688</v>
      </c>
      <c r="AF80">
        <f t="shared" si="188"/>
        <v>3792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189"/>
        <v>41580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190"/>
        <v>200</v>
      </c>
      <c r="AM80">
        <f t="shared" si="191"/>
        <v>39380</v>
      </c>
      <c r="AN80">
        <f>_xlfn.XLOOKUP(B80,'[4]june-2025'!$A:$A,'[4]june-2025'!$C:$C,0,0)</f>
        <v>31600</v>
      </c>
      <c r="AO80">
        <f t="shared" si="192"/>
        <v>5688</v>
      </c>
      <c r="AP80">
        <f t="shared" si="193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194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195"/>
        <v>200</v>
      </c>
      <c r="AW80">
        <f t="shared" si="196"/>
        <v>39380</v>
      </c>
      <c r="AX80">
        <f>_xlfn.XLOOKUP(B80,'[5]july-2025'!$A:$A,'[5]july-2025'!$C:$C,0,0)</f>
        <v>32500</v>
      </c>
      <c r="AY80">
        <f t="shared" si="197"/>
        <v>5850</v>
      </c>
      <c r="AZ80">
        <v>0</v>
      </c>
      <c r="BA80">
        <f t="shared" si="198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>IF(AX80&gt;0,SUM(AX80:BC80),0)</f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199"/>
        <v>200</v>
      </c>
      <c r="BH80">
        <f t="shared" si="200"/>
        <v>40550</v>
      </c>
      <c r="BI80">
        <f>_xlfn.XLOOKUP(B80,'[6]august-2025'!$A:$A,'[6]august-2025'!$C:$C,0,0)</f>
        <v>32500</v>
      </c>
      <c r="BJ80">
        <f t="shared" si="201"/>
        <v>5850</v>
      </c>
      <c r="BK80">
        <f t="shared" si="202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03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>IF($F80="YES",0,IF(BN80&gt;40000,200,IF(BN80&gt;25000,150,IF(BN80&gt;15000,130,IF(BN80&gt;10000,110,0)))))</f>
        <v>200</v>
      </c>
      <c r="BR80">
        <f>BN80-BO80-BP80-BQ80</f>
        <v>40550</v>
      </c>
      <c r="BS80">
        <f>_xlfn.XLOOKUP(B80,'[7]september-2025'!$A:$A,'[7]september-2025'!$C:$C,0,0)</f>
        <v>32500</v>
      </c>
      <c r="BT80">
        <f t="shared" si="204"/>
        <v>5850</v>
      </c>
      <c r="BU80">
        <f t="shared" si="205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>IF(BS80&gt;0,SUM(BS80:BW80),0)</f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06"/>
        <v>200</v>
      </c>
      <c r="CB80">
        <f t="shared" si="207"/>
        <v>40550</v>
      </c>
      <c r="CC80">
        <f>_xlfn.XLOOKUP(B80,'[8]october-2025'!$A:$A,'[8]october-2025'!$C:$C,0,0)</f>
        <v>32500</v>
      </c>
      <c r="CD80">
        <f t="shared" si="208"/>
        <v>5850</v>
      </c>
      <c r="CE80">
        <f t="shared" si="209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>IF(CC80&gt;0,SUM(CC80:CG80),0)</f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10"/>
        <v>200</v>
      </c>
      <c r="CL80">
        <f t="shared" si="211"/>
        <v>40550</v>
      </c>
      <c r="CM80">
        <f>_xlfn.XLOOKUP(B80,'[9]november-2025'!$A:$A,'[9]november-2025'!$C:$C,0,0)</f>
        <v>32500</v>
      </c>
      <c r="CN80">
        <f t="shared" si="212"/>
        <v>5850</v>
      </c>
      <c r="CO80">
        <f t="shared" si="213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>IF(CM80&gt;0,SUM(CM80:CQ80),0)</f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14"/>
        <v>200</v>
      </c>
      <c r="CV80">
        <f t="shared" si="215"/>
        <v>40550</v>
      </c>
      <c r="CW80">
        <f>_xlfn.XLOOKUP(B80,'[10]december-2025'!$A:$A,'[10]december-2025'!$C:$C,0,0)</f>
        <v>32500</v>
      </c>
      <c r="CX80">
        <f t="shared" si="216"/>
        <v>5850</v>
      </c>
      <c r="CY80">
        <f t="shared" si="217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>IF(CW80&gt;0,SUM(CW80:DA80),0)</f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18"/>
        <v>200</v>
      </c>
      <c r="DF80">
        <f t="shared" si="219"/>
        <v>40550</v>
      </c>
      <c r="DG80">
        <f>_xlfn.XLOOKUP(B80,'[11]january-2026'!$A:$A,'[11]january-2026'!$C:$C,0,0)</f>
        <v>32500</v>
      </c>
      <c r="DH80">
        <f t="shared" si="220"/>
        <v>5850</v>
      </c>
      <c r="DI80">
        <f t="shared" si="221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>IF(DG80&gt;0,SUM(DG80:DK80),0)</f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22"/>
        <v>200</v>
      </c>
      <c r="DP80">
        <f t="shared" si="223"/>
        <v>40550</v>
      </c>
      <c r="DQ80">
        <f>_xlfn.XLOOKUP(B80,'[12]february-2026'!$A:$A,'[12]february-2026'!$C:$C,0,0)</f>
        <v>32500</v>
      </c>
      <c r="DR80">
        <f t="shared" si="224"/>
        <v>5850</v>
      </c>
      <c r="DS80">
        <f t="shared" si="225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>IF(DQ80&gt;0,SUM(DQ80:DU80),0)</f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26"/>
        <v>200</v>
      </c>
      <c r="DZ80">
        <f t="shared" si="227"/>
        <v>40550</v>
      </c>
      <c r="EA80">
        <f>_xlfn.XLOOKUP(B80,'[1]march-2025'!$A:$A,'[1]march-2025'!$J:$J,0,0)</f>
        <v>0</v>
      </c>
      <c r="EB80">
        <f>_xlfn.XLOOKUP(B80,'[2]april-2025'!$A:$A,'[2]april-2025'!$J:$J,0,0)</f>
        <v>0</v>
      </c>
      <c r="EC80">
        <f>_xlfn.XLOOKUP(B80,'[3]may-2025'!$A:$A,'[3]may-2025'!$J:$J,0,0)</f>
        <v>0</v>
      </c>
      <c r="ED80">
        <f>_xlfn.XLOOKUP(B80,'[4]june-2025'!$A:$A,'[4]june-2025'!$J:$J,0,0)</f>
        <v>0</v>
      </c>
      <c r="EE80">
        <f>_xlfn.XLOOKUP(B80,'[5]july-2025'!$A:$A,'[5]july-2025'!$J:$J,0,0)</f>
        <v>0</v>
      </c>
      <c r="EF80">
        <f>_xlfn.XLOOKUP(B80,'[6]august-2025'!$A:$A,'[6]august-2025'!$J:$J,0,0)</f>
        <v>0</v>
      </c>
      <c r="EG80">
        <f>_xlfn.XLOOKUP(B80,'[7]september-2025'!$A:$A,'[7]september-2025'!$J:$J,0,0)</f>
        <v>0</v>
      </c>
      <c r="EH80">
        <f>_xlfn.XLOOKUP(B80,'[8]october-2025'!$A:$A,'[8]october-2025'!$J:$J,0,0)</f>
        <v>0</v>
      </c>
      <c r="EI80">
        <f>_xlfn.XLOOKUP(C80,'[9]november-2025'!$A:$A,'[9]november-2025'!$J:$J,0,0)</f>
        <v>0</v>
      </c>
      <c r="EJ80">
        <f>_xlfn.XLOOKUP(B80,'[10]december-2025'!$A:$A,'[10]december-2025'!$J:$J,0,0)</f>
        <v>0</v>
      </c>
      <c r="EK80">
        <f>_xlfn.XLOOKUP(B80,'[11]january-2026'!$A:$A,'[11]january-2026'!$J:$J,0,0)</f>
        <v>0</v>
      </c>
      <c r="EL80">
        <f>_xlfn.XLOOKUP(B80,'[12]february-2026'!$A:$A,'[12]february-2026'!$J:$J,0,0)</f>
        <v>0</v>
      </c>
      <c r="EM80">
        <f t="shared" si="228"/>
        <v>0</v>
      </c>
      <c r="EN80">
        <f>DV80+DL80+DB80+CR80+CH80+BX80+BN80+BD80+AS80+AI80+Y80+O80+H80+I80</f>
        <v>502080</v>
      </c>
      <c r="EO80">
        <f>DY80+DO80+DE80+CU80+CK80+CA80+BQ80+BG80+AV80+AL80+AB80+R80</f>
        <v>2300</v>
      </c>
      <c r="EP80">
        <f t="shared" si="229"/>
        <v>50000</v>
      </c>
      <c r="EQ80">
        <v>0</v>
      </c>
      <c r="ER80">
        <f t="shared" si="230"/>
        <v>449780</v>
      </c>
      <c r="ES80">
        <f>DW80+DM80+DC80+CS80+CI80+BY80+BO80+BE80+AT80+AJ80+Z80+P80</f>
        <v>24000</v>
      </c>
      <c r="ET80">
        <f>DX80+DN80+DD80+CT80+CJ80+BZ80+BP80+BF80+AU80+AK80+AA80+Q80</f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231"/>
        <v>24000</v>
      </c>
      <c r="FF80">
        <f t="shared" si="232"/>
        <v>24000</v>
      </c>
      <c r="FG80">
        <f t="shared" si="233"/>
        <v>425780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>SUM(FH80:FN80)+(IF(F80="YES",50000,0))</f>
        <v>0</v>
      </c>
      <c r="FP80">
        <f t="shared" si="234"/>
        <v>425780</v>
      </c>
      <c r="FQ80">
        <f t="shared" si="235"/>
        <v>8789</v>
      </c>
      <c r="FR80">
        <f t="shared" si="236"/>
        <v>0</v>
      </c>
      <c r="FS80">
        <f t="shared" si="237"/>
        <v>8789</v>
      </c>
      <c r="FT80">
        <f t="shared" si="238"/>
        <v>0</v>
      </c>
      <c r="FU80">
        <f t="shared" si="239"/>
        <v>0</v>
      </c>
      <c r="FV80">
        <f t="shared" si="240"/>
        <v>0</v>
      </c>
      <c r="FW80">
        <v>0</v>
      </c>
      <c r="FX80">
        <f t="shared" si="241"/>
        <v>0</v>
      </c>
      <c r="FY80" t="b">
        <f t="shared" si="242"/>
        <v>1</v>
      </c>
      <c r="FZ80">
        <f t="shared" ca="1" si="243"/>
        <v>757</v>
      </c>
      <c r="GA80">
        <f t="shared" ca="1" si="244"/>
        <v>502837</v>
      </c>
      <c r="GB80">
        <f t="shared" si="245"/>
        <v>75000</v>
      </c>
      <c r="GC80">
        <f t="shared" ca="1" si="246"/>
        <v>427837</v>
      </c>
      <c r="GD80">
        <f t="shared" ca="1" si="247"/>
        <v>0</v>
      </c>
      <c r="GE80">
        <f t="shared" ca="1" si="248"/>
        <v>0</v>
      </c>
      <c r="GF80">
        <f t="shared" ca="1" si="249"/>
        <v>0</v>
      </c>
      <c r="GG80">
        <f t="shared" ca="1" si="250"/>
        <v>0</v>
      </c>
      <c r="GH80">
        <f t="shared" ca="1" si="251"/>
        <v>0</v>
      </c>
      <c r="GI80">
        <f t="shared" ca="1" si="252"/>
        <v>0</v>
      </c>
      <c r="GJ80">
        <f ca="1">IF(GC80&gt;1200000,GC80-1200000-IF(F80="YES",50000,0)-GH80,0)</f>
        <v>0</v>
      </c>
      <c r="GK80">
        <f t="shared" ca="1" si="253"/>
        <v>0</v>
      </c>
      <c r="GL80">
        <f t="shared" ca="1" si="254"/>
        <v>0</v>
      </c>
      <c r="GM80">
        <f t="shared" ca="1" si="255"/>
        <v>0</v>
      </c>
      <c r="GN80">
        <f t="shared" ca="1" si="256"/>
        <v>27837</v>
      </c>
      <c r="GO80">
        <f t="shared" ca="1" si="257"/>
        <v>1391.8500000000001</v>
      </c>
      <c r="GP80">
        <f t="shared" ca="1" si="258"/>
        <v>1392</v>
      </c>
      <c r="GQ80">
        <f t="shared" ca="1" si="259"/>
        <v>0</v>
      </c>
      <c r="GR80">
        <f t="shared" ca="1" si="260"/>
        <v>0</v>
      </c>
      <c r="GS80">
        <f t="shared" ca="1" si="261"/>
        <v>1392</v>
      </c>
      <c r="GT80">
        <f t="shared" ca="1" si="262"/>
        <v>0</v>
      </c>
      <c r="GU80" t="b">
        <f t="shared" ca="1" si="263"/>
        <v>0</v>
      </c>
      <c r="GV80">
        <f t="shared" ca="1" si="264"/>
        <v>0</v>
      </c>
      <c r="GW80">
        <f t="shared" ca="1" si="265"/>
        <v>1392</v>
      </c>
      <c r="GX80">
        <f t="shared" ca="1" si="266"/>
        <v>0</v>
      </c>
      <c r="GY80">
        <f t="shared" ca="1" si="267"/>
        <v>0</v>
      </c>
      <c r="GZ80">
        <f t="shared" ca="1" si="268"/>
        <v>0</v>
      </c>
    </row>
    <row r="81" spans="1:208" x14ac:dyDescent="0.25">
      <c r="A81">
        <f>_xlfn.AGGREGATE(3,5,$B$2:B81)</f>
        <v>80</v>
      </c>
      <c r="B81" t="s">
        <v>277</v>
      </c>
      <c r="C81" t="s">
        <v>278</v>
      </c>
      <c r="D81" t="s">
        <v>770</v>
      </c>
      <c r="E81" t="s">
        <v>831</v>
      </c>
      <c r="F81" t="s">
        <v>957</v>
      </c>
      <c r="G81" t="s">
        <v>889</v>
      </c>
      <c r="H81">
        <f t="shared" si="178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179"/>
        <v>4046.0000000000005</v>
      </c>
      <c r="L81">
        <f t="shared" si="180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>IF(J81&gt;0,SUM(J81:N81),0)</f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269"/>
        <v>150</v>
      </c>
      <c r="S81">
        <f t="shared" si="181"/>
        <v>34264</v>
      </c>
      <c r="T81">
        <f>_xlfn.XLOOKUP(B81,'[2]april-2025'!$A:$A,'[2]april-2025'!$C:$C,0,0)</f>
        <v>28900</v>
      </c>
      <c r="U81">
        <f t="shared" si="182"/>
        <v>5202</v>
      </c>
      <c r="V81">
        <f t="shared" si="183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184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185"/>
        <v>150</v>
      </c>
      <c r="AC81">
        <f t="shared" si="186"/>
        <v>35420</v>
      </c>
      <c r="AD81">
        <f>_xlfn.XLOOKUP(B81,'[3]may-2025'!$A:$A,'[3]may-2025'!$C:$C,0,0)</f>
        <v>28900</v>
      </c>
      <c r="AE81">
        <f t="shared" si="187"/>
        <v>5202</v>
      </c>
      <c r="AF81">
        <f t="shared" si="188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189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190"/>
        <v>150</v>
      </c>
      <c r="AM81">
        <f t="shared" si="191"/>
        <v>35420</v>
      </c>
      <c r="AN81">
        <f>_xlfn.XLOOKUP(B81,'[4]june-2025'!$A:$A,'[4]june-2025'!$C:$C,0,0)</f>
        <v>28900</v>
      </c>
      <c r="AO81">
        <f t="shared" si="192"/>
        <v>5202</v>
      </c>
      <c r="AP81">
        <f t="shared" si="193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194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195"/>
        <v>150</v>
      </c>
      <c r="AW81">
        <f t="shared" si="196"/>
        <v>35420</v>
      </c>
      <c r="AX81">
        <f>_xlfn.XLOOKUP(B81,'[5]july-2025'!$A:$A,'[5]july-2025'!$C:$C,0,0)</f>
        <v>29800</v>
      </c>
      <c r="AY81">
        <f t="shared" si="197"/>
        <v>5364</v>
      </c>
      <c r="AZ81">
        <v>0</v>
      </c>
      <c r="BA81">
        <f t="shared" si="198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>IF(AX81&gt;0,SUM(AX81:BC81),0)</f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199"/>
        <v>150</v>
      </c>
      <c r="BH81">
        <f t="shared" si="200"/>
        <v>36590</v>
      </c>
      <c r="BI81">
        <f>_xlfn.XLOOKUP(B81,'[6]august-2025'!$A:$A,'[6]august-2025'!$C:$C,0,0)</f>
        <v>29800</v>
      </c>
      <c r="BJ81">
        <f t="shared" si="201"/>
        <v>5364</v>
      </c>
      <c r="BK81">
        <f t="shared" si="202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03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>IF($F81="YES",0,IF(BN81&gt;40000,200,IF(BN81&gt;25000,150,IF(BN81&gt;15000,130,IF(BN81&gt;10000,110,0)))))</f>
        <v>150</v>
      </c>
      <c r="BR81">
        <f>BN81-BO81-BP81-BQ81</f>
        <v>36590</v>
      </c>
      <c r="BS81">
        <f>_xlfn.XLOOKUP(B81,'[7]september-2025'!$A:$A,'[7]september-2025'!$C:$C,0,0)</f>
        <v>29800</v>
      </c>
      <c r="BT81">
        <f t="shared" si="204"/>
        <v>5364</v>
      </c>
      <c r="BU81">
        <f t="shared" si="205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>IF(BS81&gt;0,SUM(BS81:BW81),0)</f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06"/>
        <v>150</v>
      </c>
      <c r="CB81">
        <f t="shared" si="207"/>
        <v>36590</v>
      </c>
      <c r="CC81">
        <f>_xlfn.XLOOKUP(B81,'[8]october-2025'!$A:$A,'[8]october-2025'!$C:$C,0,0)</f>
        <v>29800</v>
      </c>
      <c r="CD81">
        <f t="shared" si="208"/>
        <v>5364</v>
      </c>
      <c r="CE81">
        <f t="shared" si="209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>IF(CC81&gt;0,SUM(CC81:CG81),0)</f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10"/>
        <v>150</v>
      </c>
      <c r="CL81">
        <f t="shared" si="211"/>
        <v>36590</v>
      </c>
      <c r="CM81">
        <f>_xlfn.XLOOKUP(B81,'[9]november-2025'!$A:$A,'[9]november-2025'!$C:$C,0,0)</f>
        <v>29800</v>
      </c>
      <c r="CN81">
        <f t="shared" si="212"/>
        <v>5364</v>
      </c>
      <c r="CO81">
        <f t="shared" si="213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>IF(CM81&gt;0,SUM(CM81:CQ81),0)</f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14"/>
        <v>150</v>
      </c>
      <c r="CV81">
        <f t="shared" si="215"/>
        <v>36590</v>
      </c>
      <c r="CW81">
        <f>_xlfn.XLOOKUP(B81,'[10]december-2025'!$A:$A,'[10]december-2025'!$C:$C,0,0)</f>
        <v>29800</v>
      </c>
      <c r="CX81">
        <f t="shared" si="216"/>
        <v>5364</v>
      </c>
      <c r="CY81">
        <f t="shared" si="217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>IF(CW81&gt;0,SUM(CW81:DA81),0)</f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18"/>
        <v>150</v>
      </c>
      <c r="DF81">
        <f t="shared" si="219"/>
        <v>36590</v>
      </c>
      <c r="DG81">
        <f>_xlfn.XLOOKUP(B81,'[11]january-2026'!$A:$A,'[11]january-2026'!$C:$C,0,0)</f>
        <v>29800</v>
      </c>
      <c r="DH81">
        <f t="shared" si="220"/>
        <v>5364</v>
      </c>
      <c r="DI81">
        <f t="shared" si="221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>IF(DG81&gt;0,SUM(DG81:DK81),0)</f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22"/>
        <v>150</v>
      </c>
      <c r="DP81">
        <f t="shared" si="223"/>
        <v>36590</v>
      </c>
      <c r="DQ81">
        <f>_xlfn.XLOOKUP(B81,'[12]february-2026'!$A:$A,'[12]february-2026'!$C:$C,0,0)</f>
        <v>29800</v>
      </c>
      <c r="DR81">
        <f t="shared" si="224"/>
        <v>5364</v>
      </c>
      <c r="DS81">
        <f t="shared" si="225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>IF(DQ81&gt;0,SUM(DQ81:DU81),0)</f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26"/>
        <v>150</v>
      </c>
      <c r="DZ81">
        <f t="shared" si="227"/>
        <v>36590</v>
      </c>
      <c r="EA81">
        <f>_xlfn.XLOOKUP(B81,'[1]march-2025'!$A:$A,'[1]march-2025'!$J:$J,0,0)</f>
        <v>0</v>
      </c>
      <c r="EB81">
        <f>_xlfn.XLOOKUP(B81,'[2]april-2025'!$A:$A,'[2]april-2025'!$J:$J,0,0)</f>
        <v>0</v>
      </c>
      <c r="EC81">
        <f>_xlfn.XLOOKUP(B81,'[3]may-2025'!$A:$A,'[3]may-2025'!$J:$J,0,0)</f>
        <v>0</v>
      </c>
      <c r="ED81">
        <f>_xlfn.XLOOKUP(B81,'[4]june-2025'!$A:$A,'[4]june-2025'!$J:$J,0,0)</f>
        <v>0</v>
      </c>
      <c r="EE81">
        <f>_xlfn.XLOOKUP(B81,'[5]july-2025'!$A:$A,'[5]july-2025'!$J:$J,0,0)</f>
        <v>0</v>
      </c>
      <c r="EF81">
        <f>_xlfn.XLOOKUP(B81,'[6]august-2025'!$A:$A,'[6]august-2025'!$J:$J,0,0)</f>
        <v>0</v>
      </c>
      <c r="EG81">
        <f>_xlfn.XLOOKUP(B81,'[7]september-2025'!$A:$A,'[7]september-2025'!$J:$J,0,0)</f>
        <v>0</v>
      </c>
      <c r="EH81">
        <f>_xlfn.XLOOKUP(B81,'[8]october-2025'!$A:$A,'[8]october-2025'!$J:$J,0,0)</f>
        <v>0</v>
      </c>
      <c r="EI81">
        <f>_xlfn.XLOOKUP(C81,'[9]november-2025'!$A:$A,'[9]november-2025'!$J:$J,0,0)</f>
        <v>0</v>
      </c>
      <c r="EJ81">
        <f>_xlfn.XLOOKUP(B81,'[10]december-2025'!$A:$A,'[10]december-2025'!$J:$J,0,0)</f>
        <v>0</v>
      </c>
      <c r="EK81">
        <f>_xlfn.XLOOKUP(B81,'[11]january-2026'!$A:$A,'[11]january-2026'!$J:$J,0,0)</f>
        <v>0</v>
      </c>
      <c r="EL81">
        <f>_xlfn.XLOOKUP(B81,'[12]february-2026'!$A:$A,'[12]february-2026'!$J:$J,0,0)</f>
        <v>0</v>
      </c>
      <c r="EM81">
        <f t="shared" si="228"/>
        <v>0</v>
      </c>
      <c r="EN81">
        <f>DV81+DL81+DB81+CR81+CH81+BX81+BN81+BD81+AS81+AI81+Y81+O81+H81+I81</f>
        <v>465844</v>
      </c>
      <c r="EO81">
        <f>DY81+DO81+DE81+CU81+CK81+CA81+BQ81+BG81+AV81+AL81+AB81+R81</f>
        <v>1800</v>
      </c>
      <c r="EP81">
        <f t="shared" si="229"/>
        <v>50000</v>
      </c>
      <c r="EQ81">
        <v>0</v>
      </c>
      <c r="ER81">
        <f t="shared" si="230"/>
        <v>414044</v>
      </c>
      <c r="ES81">
        <f>DW81+DM81+DC81+CS81+CI81+BY81+BO81+BE81+AT81+AJ81+Z81+P81</f>
        <v>24000</v>
      </c>
      <c r="ET81">
        <f>DX81+DN81+DD81+CT81+CJ81+BZ81+BP81+BF81+AU81+AK81+AA81+Q81</f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231"/>
        <v>24000</v>
      </c>
      <c r="FF81">
        <f t="shared" si="232"/>
        <v>24000</v>
      </c>
      <c r="FG81">
        <f t="shared" si="233"/>
        <v>390044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>SUM(FH81:FN81)+(IF(F81="YES",50000,0))</f>
        <v>0</v>
      </c>
      <c r="FP81">
        <f t="shared" si="234"/>
        <v>390044</v>
      </c>
      <c r="FQ81">
        <f t="shared" si="235"/>
        <v>7002</v>
      </c>
      <c r="FR81">
        <f t="shared" si="236"/>
        <v>0</v>
      </c>
      <c r="FS81">
        <f t="shared" si="237"/>
        <v>7002</v>
      </c>
      <c r="FT81">
        <f t="shared" si="238"/>
        <v>0</v>
      </c>
      <c r="FU81">
        <f t="shared" si="239"/>
        <v>0</v>
      </c>
      <c r="FV81">
        <f t="shared" si="240"/>
        <v>0</v>
      </c>
      <c r="FW81">
        <v>0</v>
      </c>
      <c r="FX81">
        <f t="shared" si="241"/>
        <v>0</v>
      </c>
      <c r="FY81" t="b">
        <f t="shared" si="242"/>
        <v>0</v>
      </c>
      <c r="FZ81">
        <f t="shared" ca="1" si="243"/>
        <v>1314</v>
      </c>
      <c r="GA81">
        <f t="shared" ca="1" si="244"/>
        <v>467158</v>
      </c>
      <c r="GB81">
        <f t="shared" si="245"/>
        <v>75000</v>
      </c>
      <c r="GC81">
        <f t="shared" ca="1" si="246"/>
        <v>392158</v>
      </c>
      <c r="GD81">
        <f t="shared" ca="1" si="247"/>
        <v>0</v>
      </c>
      <c r="GE81">
        <f t="shared" ca="1" si="248"/>
        <v>0</v>
      </c>
      <c r="GF81">
        <f t="shared" ca="1" si="249"/>
        <v>0</v>
      </c>
      <c r="GG81">
        <f t="shared" ca="1" si="250"/>
        <v>0</v>
      </c>
      <c r="GH81">
        <f t="shared" ca="1" si="251"/>
        <v>0</v>
      </c>
      <c r="GI81">
        <f t="shared" ca="1" si="252"/>
        <v>0</v>
      </c>
      <c r="GJ81">
        <f ca="1">IF(GC81&gt;1200000,GC81-1200000-IF(F81="YES",50000,0)-GH81,0)</f>
        <v>0</v>
      </c>
      <c r="GK81">
        <f t="shared" ca="1" si="253"/>
        <v>0</v>
      </c>
      <c r="GL81">
        <f t="shared" ca="1" si="254"/>
        <v>0</v>
      </c>
      <c r="GM81">
        <f t="shared" ca="1" si="255"/>
        <v>0</v>
      </c>
      <c r="GN81">
        <f t="shared" ca="1" si="256"/>
        <v>0</v>
      </c>
      <c r="GO81">
        <f t="shared" ca="1" si="257"/>
        <v>0</v>
      </c>
      <c r="GP81">
        <f t="shared" ca="1" si="258"/>
        <v>0</v>
      </c>
      <c r="GQ81">
        <f t="shared" ca="1" si="259"/>
        <v>0</v>
      </c>
      <c r="GR81">
        <f t="shared" ca="1" si="260"/>
        <v>0</v>
      </c>
      <c r="GS81">
        <f t="shared" ca="1" si="261"/>
        <v>0</v>
      </c>
      <c r="GT81">
        <f t="shared" ca="1" si="262"/>
        <v>0</v>
      </c>
      <c r="GU81" t="b">
        <f t="shared" ca="1" si="263"/>
        <v>0</v>
      </c>
      <c r="GV81">
        <f t="shared" ca="1" si="264"/>
        <v>0</v>
      </c>
      <c r="GW81">
        <f t="shared" ca="1" si="265"/>
        <v>0</v>
      </c>
      <c r="GX81">
        <f t="shared" ca="1" si="266"/>
        <v>0</v>
      </c>
      <c r="GY81">
        <f t="shared" ca="1" si="267"/>
        <v>0</v>
      </c>
      <c r="GZ81">
        <f t="shared" ca="1" si="268"/>
        <v>0</v>
      </c>
    </row>
    <row r="82" spans="1:208" x14ac:dyDescent="0.25">
      <c r="A82">
        <f>_xlfn.AGGREGATE(3,5,$B$2:B82)</f>
        <v>81</v>
      </c>
      <c r="B82" t="s">
        <v>279</v>
      </c>
      <c r="C82" t="s">
        <v>280</v>
      </c>
      <c r="D82" t="s">
        <v>771</v>
      </c>
      <c r="E82" t="s">
        <v>831</v>
      </c>
      <c r="F82" t="s">
        <v>957</v>
      </c>
      <c r="G82" t="s">
        <v>909</v>
      </c>
      <c r="H82">
        <f t="shared" si="178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179"/>
        <v>4690</v>
      </c>
      <c r="L82">
        <f t="shared" si="180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>IF(J82&gt;0,SUM(J82:N82),0)</f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269"/>
        <v>200</v>
      </c>
      <c r="S82">
        <f t="shared" si="181"/>
        <v>40410</v>
      </c>
      <c r="T82">
        <f>_xlfn.XLOOKUP(B82,'[2]april-2025'!$A:$A,'[2]april-2025'!$C:$C,0,0)</f>
        <v>33500</v>
      </c>
      <c r="U82">
        <f t="shared" si="182"/>
        <v>6030</v>
      </c>
      <c r="V82">
        <f t="shared" si="183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184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185"/>
        <v>200</v>
      </c>
      <c r="AC82">
        <f t="shared" si="186"/>
        <v>41750</v>
      </c>
      <c r="AD82">
        <f>_xlfn.XLOOKUP(B82,'[3]may-2025'!$A:$A,'[3]may-2025'!$C:$C,0,0)</f>
        <v>33500</v>
      </c>
      <c r="AE82">
        <f t="shared" si="187"/>
        <v>6030</v>
      </c>
      <c r="AF82">
        <f t="shared" si="188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189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190"/>
        <v>200</v>
      </c>
      <c r="AM82">
        <f t="shared" si="191"/>
        <v>41750</v>
      </c>
      <c r="AN82">
        <f>_xlfn.XLOOKUP(B82,'[4]june-2025'!$A:$A,'[4]june-2025'!$C:$C,0,0)</f>
        <v>33500</v>
      </c>
      <c r="AO82">
        <f t="shared" si="192"/>
        <v>6030</v>
      </c>
      <c r="AP82">
        <f t="shared" si="193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194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195"/>
        <v>200</v>
      </c>
      <c r="AW82">
        <f t="shared" si="196"/>
        <v>41750</v>
      </c>
      <c r="AX82">
        <f>_xlfn.XLOOKUP(B82,'[5]july-2025'!$A:$A,'[5]july-2025'!$C:$C,0,0)</f>
        <v>35500</v>
      </c>
      <c r="AY82">
        <f t="shared" si="197"/>
        <v>6390</v>
      </c>
      <c r="AZ82">
        <v>0</v>
      </c>
      <c r="BA82">
        <f t="shared" si="198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>IF(AX82&gt;0,SUM(AX82:BC82),0)</f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199"/>
        <v>200</v>
      </c>
      <c r="BH82">
        <f t="shared" si="200"/>
        <v>44350</v>
      </c>
      <c r="BI82">
        <f>_xlfn.XLOOKUP(B82,'[6]august-2025'!$A:$A,'[6]august-2025'!$C:$C,0,0)</f>
        <v>35500</v>
      </c>
      <c r="BJ82">
        <f t="shared" si="201"/>
        <v>6390</v>
      </c>
      <c r="BK82">
        <f t="shared" si="202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03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>IF($F82="YES",0,IF(BN82&gt;40000,200,IF(BN82&gt;25000,150,IF(BN82&gt;15000,130,IF(BN82&gt;10000,110,0)))))</f>
        <v>200</v>
      </c>
      <c r="BR82">
        <f>BN82-BO82-BP82-BQ82</f>
        <v>44350</v>
      </c>
      <c r="BS82">
        <f>_xlfn.XLOOKUP(B82,'[7]september-2025'!$A:$A,'[7]september-2025'!$C:$C,0,0)</f>
        <v>35500</v>
      </c>
      <c r="BT82">
        <f t="shared" si="204"/>
        <v>6390</v>
      </c>
      <c r="BU82">
        <f t="shared" si="205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>IF(BS82&gt;0,SUM(BS82:BW82),0)</f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06"/>
        <v>200</v>
      </c>
      <c r="CB82">
        <f t="shared" si="207"/>
        <v>44350</v>
      </c>
      <c r="CC82">
        <f>_xlfn.XLOOKUP(B82,'[8]october-2025'!$A:$A,'[8]october-2025'!$C:$C,0,0)</f>
        <v>35500</v>
      </c>
      <c r="CD82">
        <f t="shared" si="208"/>
        <v>6390</v>
      </c>
      <c r="CE82">
        <f t="shared" si="209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>IF(CC82&gt;0,SUM(CC82:CG82),0)</f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10"/>
        <v>200</v>
      </c>
      <c r="CL82">
        <f t="shared" si="211"/>
        <v>44350</v>
      </c>
      <c r="CM82">
        <f>_xlfn.XLOOKUP(B82,'[9]november-2025'!$A:$A,'[9]november-2025'!$C:$C,0,0)</f>
        <v>35500</v>
      </c>
      <c r="CN82">
        <f t="shared" si="212"/>
        <v>6390</v>
      </c>
      <c r="CO82">
        <f t="shared" si="213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>IF(CM82&gt;0,SUM(CM82:CQ82),0)</f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14"/>
        <v>200</v>
      </c>
      <c r="CV82">
        <f t="shared" si="215"/>
        <v>44350</v>
      </c>
      <c r="CW82">
        <f>_xlfn.XLOOKUP(B82,'[10]december-2025'!$A:$A,'[10]december-2025'!$C:$C,0,0)</f>
        <v>35500</v>
      </c>
      <c r="CX82">
        <f t="shared" si="216"/>
        <v>6390</v>
      </c>
      <c r="CY82">
        <f t="shared" si="217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>IF(CW82&gt;0,SUM(CW82:DA82),0)</f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18"/>
        <v>200</v>
      </c>
      <c r="DF82">
        <f t="shared" si="219"/>
        <v>44350</v>
      </c>
      <c r="DG82">
        <f>_xlfn.XLOOKUP(B82,'[11]january-2026'!$A:$A,'[11]january-2026'!$C:$C,0,0)</f>
        <v>35500</v>
      </c>
      <c r="DH82">
        <f t="shared" si="220"/>
        <v>6390</v>
      </c>
      <c r="DI82">
        <f t="shared" si="221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>IF(DG82&gt;0,SUM(DG82:DK82),0)</f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22"/>
        <v>200</v>
      </c>
      <c r="DP82">
        <f t="shared" si="223"/>
        <v>44350</v>
      </c>
      <c r="DQ82">
        <f>_xlfn.XLOOKUP(B82,'[12]february-2026'!$A:$A,'[12]february-2026'!$C:$C,0,0)</f>
        <v>35500</v>
      </c>
      <c r="DR82">
        <f t="shared" si="224"/>
        <v>6390</v>
      </c>
      <c r="DS82">
        <f t="shared" si="225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>IF(DQ82&gt;0,SUM(DQ82:DU82),0)</f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26"/>
        <v>200</v>
      </c>
      <c r="DZ82">
        <f t="shared" si="227"/>
        <v>44350</v>
      </c>
      <c r="EA82">
        <f>_xlfn.XLOOKUP(B82,'[1]march-2025'!$A:$A,'[1]march-2025'!$J:$J,0,0)</f>
        <v>0</v>
      </c>
      <c r="EB82">
        <f>_xlfn.XLOOKUP(B82,'[2]april-2025'!$A:$A,'[2]april-2025'!$J:$J,0,0)</f>
        <v>0</v>
      </c>
      <c r="EC82">
        <f>_xlfn.XLOOKUP(B82,'[3]may-2025'!$A:$A,'[3]may-2025'!$J:$J,0,0)</f>
        <v>0</v>
      </c>
      <c r="ED82">
        <f>_xlfn.XLOOKUP(B82,'[4]june-2025'!$A:$A,'[4]june-2025'!$J:$J,0,0)</f>
        <v>0</v>
      </c>
      <c r="EE82">
        <f>_xlfn.XLOOKUP(B82,'[5]july-2025'!$A:$A,'[5]july-2025'!$J:$J,0,0)</f>
        <v>0</v>
      </c>
      <c r="EF82">
        <f>_xlfn.XLOOKUP(B82,'[6]august-2025'!$A:$A,'[6]august-2025'!$J:$J,0,0)</f>
        <v>0</v>
      </c>
      <c r="EG82">
        <f>_xlfn.XLOOKUP(B82,'[7]september-2025'!$A:$A,'[7]september-2025'!$J:$J,0,0)</f>
        <v>0</v>
      </c>
      <c r="EH82">
        <f>_xlfn.XLOOKUP(B82,'[8]october-2025'!$A:$A,'[8]october-2025'!$J:$J,0,0)</f>
        <v>0</v>
      </c>
      <c r="EI82">
        <f>_xlfn.XLOOKUP(C82,'[9]november-2025'!$A:$A,'[9]november-2025'!$J:$J,0,0)</f>
        <v>0</v>
      </c>
      <c r="EJ82">
        <f>_xlfn.XLOOKUP(B82,'[10]december-2025'!$A:$A,'[10]december-2025'!$J:$J,0,0)</f>
        <v>0</v>
      </c>
      <c r="EK82">
        <f>_xlfn.XLOOKUP(B82,'[11]january-2026'!$A:$A,'[11]january-2026'!$J:$J,0,0)</f>
        <v>0</v>
      </c>
      <c r="EL82">
        <f>_xlfn.XLOOKUP(B82,'[12]february-2026'!$A:$A,'[12]february-2026'!$J:$J,0,0)</f>
        <v>0</v>
      </c>
      <c r="EM82">
        <f t="shared" si="228"/>
        <v>0</v>
      </c>
      <c r="EN82">
        <f>DV82+DL82+DB82+CR82+CH82+BX82+BN82+BD82+AS82+AI82+Y82+O82+H82+I82</f>
        <v>559660</v>
      </c>
      <c r="EO82">
        <f>DY82+DO82+DE82+CU82+CK82+CA82+BQ82+BG82+AV82+AL82+AB82+R82</f>
        <v>2400</v>
      </c>
      <c r="EP82">
        <f t="shared" si="229"/>
        <v>50000</v>
      </c>
      <c r="EQ82">
        <v>0</v>
      </c>
      <c r="ER82">
        <f t="shared" si="230"/>
        <v>507260</v>
      </c>
      <c r="ES82">
        <f>DW82+DM82+DC82+CS82+CI82+BY82+BO82+BE82+AT82+AJ82+Z82+P82</f>
        <v>30000</v>
      </c>
      <c r="ET82">
        <f>DX82+DN82+DD82+CT82+CJ82+BZ82+BP82+BF82+AU82+AK82+AA82+Q82</f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231"/>
        <v>30000</v>
      </c>
      <c r="FF82">
        <f t="shared" si="232"/>
        <v>30000</v>
      </c>
      <c r="FG82">
        <f t="shared" si="233"/>
        <v>477260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>SUM(FH82:FN82)+(IF(F82="YES",50000,0))</f>
        <v>0</v>
      </c>
      <c r="FP82">
        <f t="shared" si="234"/>
        <v>477260</v>
      </c>
      <c r="FQ82">
        <f t="shared" si="235"/>
        <v>11363</v>
      </c>
      <c r="FR82">
        <f t="shared" si="236"/>
        <v>0</v>
      </c>
      <c r="FS82">
        <f t="shared" si="237"/>
        <v>11363</v>
      </c>
      <c r="FT82">
        <f t="shared" si="238"/>
        <v>0</v>
      </c>
      <c r="FU82">
        <f t="shared" si="239"/>
        <v>0</v>
      </c>
      <c r="FV82">
        <f t="shared" si="240"/>
        <v>0</v>
      </c>
      <c r="FW82">
        <v>0</v>
      </c>
      <c r="FX82">
        <f t="shared" si="241"/>
        <v>0</v>
      </c>
      <c r="FY82" t="b">
        <f t="shared" si="242"/>
        <v>1</v>
      </c>
      <c r="FZ82">
        <f t="shared" ca="1" si="243"/>
        <v>500</v>
      </c>
      <c r="GA82">
        <f t="shared" ca="1" si="244"/>
        <v>560160</v>
      </c>
      <c r="GB82">
        <f t="shared" si="245"/>
        <v>75000</v>
      </c>
      <c r="GC82">
        <f t="shared" ca="1" si="246"/>
        <v>485160</v>
      </c>
      <c r="GD82">
        <f t="shared" ca="1" si="247"/>
        <v>0</v>
      </c>
      <c r="GE82">
        <f t="shared" ca="1" si="248"/>
        <v>0</v>
      </c>
      <c r="GF82">
        <f t="shared" ca="1" si="249"/>
        <v>0</v>
      </c>
      <c r="GG82">
        <f t="shared" ca="1" si="250"/>
        <v>0</v>
      </c>
      <c r="GH82">
        <f t="shared" ca="1" si="251"/>
        <v>0</v>
      </c>
      <c r="GI82">
        <f t="shared" ca="1" si="252"/>
        <v>0</v>
      </c>
      <c r="GJ82">
        <f ca="1">IF(GC82&gt;1200000,GC82-1200000-IF(F82="YES",50000,0)-GH82,0)</f>
        <v>0</v>
      </c>
      <c r="GK82">
        <f t="shared" ca="1" si="253"/>
        <v>0</v>
      </c>
      <c r="GL82">
        <f t="shared" ca="1" si="254"/>
        <v>0</v>
      </c>
      <c r="GM82">
        <f t="shared" ca="1" si="255"/>
        <v>0</v>
      </c>
      <c r="GN82">
        <f t="shared" ca="1" si="256"/>
        <v>85160</v>
      </c>
      <c r="GO82">
        <f t="shared" ca="1" si="257"/>
        <v>4258</v>
      </c>
      <c r="GP82">
        <f t="shared" ca="1" si="258"/>
        <v>4258</v>
      </c>
      <c r="GQ82">
        <f t="shared" ca="1" si="259"/>
        <v>0</v>
      </c>
      <c r="GR82">
        <f t="shared" ca="1" si="260"/>
        <v>0</v>
      </c>
      <c r="GS82">
        <f t="shared" ca="1" si="261"/>
        <v>4258</v>
      </c>
      <c r="GT82">
        <f t="shared" ca="1" si="262"/>
        <v>0</v>
      </c>
      <c r="GU82" t="b">
        <f t="shared" ca="1" si="263"/>
        <v>0</v>
      </c>
      <c r="GV82">
        <f t="shared" ca="1" si="264"/>
        <v>0</v>
      </c>
      <c r="GW82">
        <f t="shared" ca="1" si="265"/>
        <v>4258</v>
      </c>
      <c r="GX82">
        <f t="shared" ca="1" si="266"/>
        <v>0</v>
      </c>
      <c r="GY82">
        <f t="shared" ca="1" si="267"/>
        <v>0</v>
      </c>
      <c r="GZ82">
        <f t="shared" ca="1" si="268"/>
        <v>0</v>
      </c>
    </row>
    <row r="83" spans="1:208" x14ac:dyDescent="0.25">
      <c r="A83">
        <f>_xlfn.AGGREGATE(3,5,$B$2:B83)</f>
        <v>82</v>
      </c>
      <c r="B83" t="s">
        <v>281</v>
      </c>
      <c r="C83" t="s">
        <v>282</v>
      </c>
      <c r="D83" t="s">
        <v>771</v>
      </c>
      <c r="E83" t="s">
        <v>831</v>
      </c>
      <c r="F83" t="s">
        <v>957</v>
      </c>
      <c r="G83" t="s">
        <v>910</v>
      </c>
      <c r="H83">
        <f t="shared" si="178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179"/>
        <v>4690</v>
      </c>
      <c r="L83">
        <f t="shared" si="180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>IF(J83&gt;0,SUM(J83:N83),0)</f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269"/>
        <v>200</v>
      </c>
      <c r="S83">
        <f t="shared" si="181"/>
        <v>39510</v>
      </c>
      <c r="T83">
        <f>_xlfn.XLOOKUP(B83,'[2]april-2025'!$A:$A,'[2]april-2025'!$C:$C,0,0)</f>
        <v>33500</v>
      </c>
      <c r="U83">
        <f t="shared" si="182"/>
        <v>6030</v>
      </c>
      <c r="V83">
        <f t="shared" si="183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184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185"/>
        <v>200</v>
      </c>
      <c r="AC83">
        <f t="shared" si="186"/>
        <v>40850</v>
      </c>
      <c r="AD83">
        <f>_xlfn.XLOOKUP(B83,'[3]may-2025'!$A:$A,'[3]may-2025'!$C:$C,0,0)</f>
        <v>33500</v>
      </c>
      <c r="AE83">
        <f t="shared" si="187"/>
        <v>6030</v>
      </c>
      <c r="AF83">
        <f t="shared" si="188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189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190"/>
        <v>200</v>
      </c>
      <c r="AM83">
        <f t="shared" si="191"/>
        <v>40850</v>
      </c>
      <c r="AN83">
        <f>_xlfn.XLOOKUP(B83,'[4]june-2025'!$A:$A,'[4]june-2025'!$C:$C,0,0)</f>
        <v>33500</v>
      </c>
      <c r="AO83">
        <f t="shared" si="192"/>
        <v>6030</v>
      </c>
      <c r="AP83">
        <f t="shared" si="193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194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195"/>
        <v>200</v>
      </c>
      <c r="AW83">
        <f t="shared" si="196"/>
        <v>40850</v>
      </c>
      <c r="AX83">
        <f>_xlfn.XLOOKUP(B83,'[5]july-2025'!$A:$A,'[5]july-2025'!$C:$C,0,0)</f>
        <v>34500</v>
      </c>
      <c r="AY83">
        <f t="shared" si="197"/>
        <v>6210</v>
      </c>
      <c r="AZ83">
        <v>0</v>
      </c>
      <c r="BA83">
        <f t="shared" si="198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>IF(AX83&gt;0,SUM(AX83:BC83),0)</f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199"/>
        <v>200</v>
      </c>
      <c r="BH83">
        <f t="shared" si="200"/>
        <v>42150</v>
      </c>
      <c r="BI83">
        <f>_xlfn.XLOOKUP(B83,'[6]august-2025'!$A:$A,'[6]august-2025'!$C:$C,0,0)</f>
        <v>34500</v>
      </c>
      <c r="BJ83">
        <f t="shared" si="201"/>
        <v>6210</v>
      </c>
      <c r="BK83">
        <f t="shared" si="202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03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>IF($F83="YES",0,IF(BN83&gt;40000,200,IF(BN83&gt;25000,150,IF(BN83&gt;15000,130,IF(BN83&gt;10000,110,0)))))</f>
        <v>200</v>
      </c>
      <c r="BR83">
        <f>BN83-BO83-BP83-BQ83</f>
        <v>42150</v>
      </c>
      <c r="BS83">
        <f>_xlfn.XLOOKUP(B83,'[7]september-2025'!$A:$A,'[7]september-2025'!$C:$C,0,0)</f>
        <v>34500</v>
      </c>
      <c r="BT83">
        <f t="shared" si="204"/>
        <v>6210</v>
      </c>
      <c r="BU83">
        <f t="shared" si="205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>IF(BS83&gt;0,SUM(BS83:BW83),0)</f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06"/>
        <v>200</v>
      </c>
      <c r="CB83">
        <f t="shared" si="207"/>
        <v>42150</v>
      </c>
      <c r="CC83">
        <f>_xlfn.XLOOKUP(B83,'[8]october-2025'!$A:$A,'[8]october-2025'!$C:$C,0,0)</f>
        <v>34500</v>
      </c>
      <c r="CD83">
        <f t="shared" si="208"/>
        <v>6210</v>
      </c>
      <c r="CE83">
        <f t="shared" si="209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>IF(CC83&gt;0,SUM(CC83:CG83),0)</f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10"/>
        <v>200</v>
      </c>
      <c r="CL83">
        <f t="shared" si="211"/>
        <v>42150</v>
      </c>
      <c r="CM83">
        <f>_xlfn.XLOOKUP(B83,'[9]november-2025'!$A:$A,'[9]november-2025'!$C:$C,0,0)</f>
        <v>34500</v>
      </c>
      <c r="CN83">
        <f t="shared" si="212"/>
        <v>6210</v>
      </c>
      <c r="CO83">
        <f t="shared" si="213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>IF(CM83&gt;0,SUM(CM83:CQ83),0)</f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14"/>
        <v>200</v>
      </c>
      <c r="CV83">
        <f t="shared" si="215"/>
        <v>42150</v>
      </c>
      <c r="CW83">
        <f>_xlfn.XLOOKUP(B83,'[10]december-2025'!$A:$A,'[10]december-2025'!$C:$C,0,0)</f>
        <v>34500</v>
      </c>
      <c r="CX83">
        <f t="shared" si="216"/>
        <v>6210</v>
      </c>
      <c r="CY83">
        <f t="shared" si="217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>IF(CW83&gt;0,SUM(CW83:DA83),0)</f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18"/>
        <v>200</v>
      </c>
      <c r="DF83">
        <f t="shared" si="219"/>
        <v>42150</v>
      </c>
      <c r="DG83">
        <f>_xlfn.XLOOKUP(B83,'[11]january-2026'!$A:$A,'[11]january-2026'!$C:$C,0,0)</f>
        <v>34500</v>
      </c>
      <c r="DH83">
        <f t="shared" si="220"/>
        <v>6210</v>
      </c>
      <c r="DI83">
        <f t="shared" si="221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>IF(DG83&gt;0,SUM(DG83:DK83),0)</f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22"/>
        <v>200</v>
      </c>
      <c r="DP83">
        <f t="shared" si="223"/>
        <v>42150</v>
      </c>
      <c r="DQ83">
        <f>_xlfn.XLOOKUP(B83,'[12]february-2026'!$A:$A,'[12]february-2026'!$C:$C,0,0)</f>
        <v>34500</v>
      </c>
      <c r="DR83">
        <f t="shared" si="224"/>
        <v>6210</v>
      </c>
      <c r="DS83">
        <f t="shared" si="225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>IF(DQ83&gt;0,SUM(DQ83:DU83),0)</f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26"/>
        <v>200</v>
      </c>
      <c r="DZ83">
        <f t="shared" si="227"/>
        <v>42150</v>
      </c>
      <c r="EA83">
        <f>_xlfn.XLOOKUP(B83,'[1]march-2025'!$A:$A,'[1]march-2025'!$J:$J,0,0)</f>
        <v>0</v>
      </c>
      <c r="EB83">
        <f>_xlfn.XLOOKUP(B83,'[2]april-2025'!$A:$A,'[2]april-2025'!$J:$J,0,0)</f>
        <v>0</v>
      </c>
      <c r="EC83">
        <f>_xlfn.XLOOKUP(B83,'[3]may-2025'!$A:$A,'[3]may-2025'!$J:$J,0,0)</f>
        <v>0</v>
      </c>
      <c r="ED83">
        <f>_xlfn.XLOOKUP(B83,'[4]june-2025'!$A:$A,'[4]june-2025'!$J:$J,0,0)</f>
        <v>0</v>
      </c>
      <c r="EE83">
        <f>_xlfn.XLOOKUP(B83,'[5]july-2025'!$A:$A,'[5]july-2025'!$J:$J,0,0)</f>
        <v>0</v>
      </c>
      <c r="EF83">
        <f>_xlfn.XLOOKUP(B83,'[6]august-2025'!$A:$A,'[6]august-2025'!$J:$J,0,0)</f>
        <v>0</v>
      </c>
      <c r="EG83">
        <f>_xlfn.XLOOKUP(B83,'[7]september-2025'!$A:$A,'[7]september-2025'!$J:$J,0,0)</f>
        <v>0</v>
      </c>
      <c r="EH83">
        <f>_xlfn.XLOOKUP(B83,'[8]october-2025'!$A:$A,'[8]october-2025'!$J:$J,0,0)</f>
        <v>0</v>
      </c>
      <c r="EI83">
        <f>_xlfn.XLOOKUP(C83,'[9]november-2025'!$A:$A,'[9]november-2025'!$J:$J,0,0)</f>
        <v>0</v>
      </c>
      <c r="EJ83">
        <f>_xlfn.XLOOKUP(B83,'[10]december-2025'!$A:$A,'[10]december-2025'!$J:$J,0,0)</f>
        <v>0</v>
      </c>
      <c r="EK83">
        <f>_xlfn.XLOOKUP(B83,'[11]january-2026'!$A:$A,'[11]january-2026'!$J:$J,0,0)</f>
        <v>0</v>
      </c>
      <c r="EL83">
        <f>_xlfn.XLOOKUP(B83,'[12]february-2026'!$A:$A,'[12]february-2026'!$J:$J,0,0)</f>
        <v>0</v>
      </c>
      <c r="EM83">
        <f t="shared" si="228"/>
        <v>0</v>
      </c>
      <c r="EN83">
        <f>DV83+DL83+DB83+CR83+CH83+BX83+BN83+BD83+AS83+AI83+Y83+O83+H83+I83</f>
        <v>538460</v>
      </c>
      <c r="EO83">
        <f>DY83+DO83+DE83+CU83+CK83+CA83+BQ83+BG83+AV83+AL83+AB83+R83</f>
        <v>2400</v>
      </c>
      <c r="EP83">
        <f t="shared" si="229"/>
        <v>50000</v>
      </c>
      <c r="EQ83">
        <v>0</v>
      </c>
      <c r="ER83">
        <f t="shared" si="230"/>
        <v>486060</v>
      </c>
      <c r="ES83">
        <f>DW83+DM83+DC83+CS83+CI83+BY83+BO83+BE83+AT83+AJ83+Z83+P83</f>
        <v>30000</v>
      </c>
      <c r="ET83">
        <f>DX83+DN83+DD83+CT83+CJ83+BZ83+BP83+BF83+AU83+AK83+AA83+Q83</f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231"/>
        <v>30000</v>
      </c>
      <c r="FF83">
        <f t="shared" si="232"/>
        <v>30000</v>
      </c>
      <c r="FG83">
        <f t="shared" si="233"/>
        <v>456060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>SUM(FH83:FN83)+(IF(F83="YES",50000,0))</f>
        <v>0</v>
      </c>
      <c r="FP83">
        <f t="shared" si="234"/>
        <v>456060</v>
      </c>
      <c r="FQ83">
        <f t="shared" si="235"/>
        <v>10303</v>
      </c>
      <c r="FR83">
        <f t="shared" si="236"/>
        <v>0</v>
      </c>
      <c r="FS83">
        <f t="shared" si="237"/>
        <v>10303</v>
      </c>
      <c r="FT83">
        <f t="shared" si="238"/>
        <v>0</v>
      </c>
      <c r="FU83">
        <f t="shared" si="239"/>
        <v>0</v>
      </c>
      <c r="FV83">
        <f t="shared" si="240"/>
        <v>0</v>
      </c>
      <c r="FW83">
        <v>0</v>
      </c>
      <c r="FX83">
        <f t="shared" si="241"/>
        <v>0</v>
      </c>
      <c r="FY83" t="b">
        <f t="shared" si="242"/>
        <v>1</v>
      </c>
      <c r="FZ83">
        <f t="shared" ca="1" si="243"/>
        <v>523</v>
      </c>
      <c r="GA83">
        <f t="shared" ca="1" si="244"/>
        <v>538983</v>
      </c>
      <c r="GB83">
        <f t="shared" si="245"/>
        <v>75000</v>
      </c>
      <c r="GC83">
        <f t="shared" ca="1" si="246"/>
        <v>463983</v>
      </c>
      <c r="GD83">
        <f t="shared" ca="1" si="247"/>
        <v>0</v>
      </c>
      <c r="GE83">
        <f t="shared" ca="1" si="248"/>
        <v>0</v>
      </c>
      <c r="GF83">
        <f t="shared" ca="1" si="249"/>
        <v>0</v>
      </c>
      <c r="GG83">
        <f t="shared" ca="1" si="250"/>
        <v>0</v>
      </c>
      <c r="GH83">
        <f t="shared" ca="1" si="251"/>
        <v>0</v>
      </c>
      <c r="GI83">
        <f t="shared" ca="1" si="252"/>
        <v>0</v>
      </c>
      <c r="GJ83">
        <f ca="1">IF(GC83&gt;1200000,GC83-1200000-IF(F83="YES",50000,0)-GH83,0)</f>
        <v>0</v>
      </c>
      <c r="GK83">
        <f t="shared" ca="1" si="253"/>
        <v>0</v>
      </c>
      <c r="GL83">
        <f t="shared" ca="1" si="254"/>
        <v>0</v>
      </c>
      <c r="GM83">
        <f t="shared" ca="1" si="255"/>
        <v>0</v>
      </c>
      <c r="GN83">
        <f t="shared" ca="1" si="256"/>
        <v>63983</v>
      </c>
      <c r="GO83">
        <f t="shared" ca="1" si="257"/>
        <v>3199.15</v>
      </c>
      <c r="GP83">
        <f t="shared" ca="1" si="258"/>
        <v>3199</v>
      </c>
      <c r="GQ83">
        <f t="shared" ca="1" si="259"/>
        <v>0</v>
      </c>
      <c r="GR83">
        <f t="shared" ca="1" si="260"/>
        <v>0</v>
      </c>
      <c r="GS83">
        <f t="shared" ca="1" si="261"/>
        <v>3199</v>
      </c>
      <c r="GT83">
        <f t="shared" ca="1" si="262"/>
        <v>0</v>
      </c>
      <c r="GU83" t="b">
        <f t="shared" ca="1" si="263"/>
        <v>0</v>
      </c>
      <c r="GV83">
        <f t="shared" ca="1" si="264"/>
        <v>0</v>
      </c>
      <c r="GW83">
        <f t="shared" ca="1" si="265"/>
        <v>3199</v>
      </c>
      <c r="GX83">
        <f t="shared" ca="1" si="266"/>
        <v>0</v>
      </c>
      <c r="GY83">
        <f t="shared" ca="1" si="267"/>
        <v>0</v>
      </c>
      <c r="GZ83">
        <f t="shared" ca="1" si="268"/>
        <v>0</v>
      </c>
    </row>
    <row r="84" spans="1:208" x14ac:dyDescent="0.25">
      <c r="A84">
        <f>_xlfn.AGGREGATE(3,5,$B$2:B84)</f>
        <v>83</v>
      </c>
      <c r="B84" t="s">
        <v>283</v>
      </c>
      <c r="C84" t="s">
        <v>284</v>
      </c>
      <c r="D84" t="s">
        <v>772</v>
      </c>
      <c r="E84" t="s">
        <v>831</v>
      </c>
      <c r="F84" t="s">
        <v>957</v>
      </c>
      <c r="G84" t="s">
        <v>911</v>
      </c>
      <c r="H84">
        <f t="shared" si="178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179"/>
        <v>4690</v>
      </c>
      <c r="L84">
        <f t="shared" si="180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>IF(J84&gt;0,SUM(J84:N84),0)</f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269"/>
        <v>200</v>
      </c>
      <c r="S84">
        <f t="shared" si="181"/>
        <v>39410</v>
      </c>
      <c r="T84">
        <f>_xlfn.XLOOKUP(B84,'[2]april-2025'!$A:$A,'[2]april-2025'!$C:$C,0,0)</f>
        <v>33500</v>
      </c>
      <c r="U84">
        <f t="shared" si="182"/>
        <v>6030</v>
      </c>
      <c r="V84">
        <f t="shared" si="183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184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185"/>
        <v>200</v>
      </c>
      <c r="AC84">
        <f t="shared" si="186"/>
        <v>41250</v>
      </c>
      <c r="AD84">
        <f>_xlfn.XLOOKUP(B84,'[3]may-2025'!$A:$A,'[3]may-2025'!$C:$C,0,0)</f>
        <v>33500</v>
      </c>
      <c r="AE84">
        <f t="shared" si="187"/>
        <v>6030</v>
      </c>
      <c r="AF84">
        <f t="shared" si="188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189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190"/>
        <v>200</v>
      </c>
      <c r="AM84">
        <f t="shared" si="191"/>
        <v>41250</v>
      </c>
      <c r="AN84">
        <f>_xlfn.XLOOKUP(B84,'[4]june-2025'!$A:$A,'[4]june-2025'!$C:$C,0,0)</f>
        <v>33500</v>
      </c>
      <c r="AO84">
        <f t="shared" si="192"/>
        <v>6030</v>
      </c>
      <c r="AP84">
        <f t="shared" si="193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194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195"/>
        <v>200</v>
      </c>
      <c r="AW84">
        <f t="shared" si="196"/>
        <v>41250</v>
      </c>
      <c r="AX84">
        <f>_xlfn.XLOOKUP(B84,'[5]july-2025'!$A:$A,'[5]july-2025'!$C:$C,0,0)</f>
        <v>34500</v>
      </c>
      <c r="AY84">
        <f t="shared" si="197"/>
        <v>6210</v>
      </c>
      <c r="AZ84">
        <v>0</v>
      </c>
      <c r="BA84">
        <f t="shared" si="198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>IF(AX84&gt;0,SUM(AX84:BC84),0)</f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199"/>
        <v>200</v>
      </c>
      <c r="BH84">
        <f t="shared" si="200"/>
        <v>42550</v>
      </c>
      <c r="BI84">
        <f>_xlfn.XLOOKUP(B84,'[6]august-2025'!$A:$A,'[6]august-2025'!$C:$C,0,0)</f>
        <v>34500</v>
      </c>
      <c r="BJ84">
        <f t="shared" si="201"/>
        <v>6210</v>
      </c>
      <c r="BK84">
        <f t="shared" si="202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03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>IF($F84="YES",0,IF(BN84&gt;40000,200,IF(BN84&gt;25000,150,IF(BN84&gt;15000,130,IF(BN84&gt;10000,110,0)))))</f>
        <v>200</v>
      </c>
      <c r="BR84">
        <f>BN84-BO84-BP84-BQ84</f>
        <v>42550</v>
      </c>
      <c r="BS84">
        <f>_xlfn.XLOOKUP(B84,'[7]september-2025'!$A:$A,'[7]september-2025'!$C:$C,0,0)</f>
        <v>34500</v>
      </c>
      <c r="BT84">
        <f t="shared" si="204"/>
        <v>6210</v>
      </c>
      <c r="BU84">
        <f t="shared" si="205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>IF(BS84&gt;0,SUM(BS84:BW84),0)</f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06"/>
        <v>200</v>
      </c>
      <c r="CB84">
        <f t="shared" si="207"/>
        <v>42550</v>
      </c>
      <c r="CC84">
        <f>_xlfn.XLOOKUP(B84,'[8]october-2025'!$A:$A,'[8]october-2025'!$C:$C,0,0)</f>
        <v>34500</v>
      </c>
      <c r="CD84">
        <f t="shared" si="208"/>
        <v>6210</v>
      </c>
      <c r="CE84">
        <f t="shared" si="209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>IF(CC84&gt;0,SUM(CC84:CG84),0)</f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10"/>
        <v>200</v>
      </c>
      <c r="CL84">
        <f t="shared" si="211"/>
        <v>42550</v>
      </c>
      <c r="CM84">
        <f>_xlfn.XLOOKUP(B84,'[9]november-2025'!$A:$A,'[9]november-2025'!$C:$C,0,0)</f>
        <v>34500</v>
      </c>
      <c r="CN84">
        <f t="shared" si="212"/>
        <v>6210</v>
      </c>
      <c r="CO84">
        <f t="shared" si="213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>IF(CM84&gt;0,SUM(CM84:CQ84),0)</f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14"/>
        <v>200</v>
      </c>
      <c r="CV84">
        <f t="shared" si="215"/>
        <v>42550</v>
      </c>
      <c r="CW84">
        <f>_xlfn.XLOOKUP(B84,'[10]december-2025'!$A:$A,'[10]december-2025'!$C:$C,0,0)</f>
        <v>34500</v>
      </c>
      <c r="CX84">
        <f t="shared" si="216"/>
        <v>6210</v>
      </c>
      <c r="CY84">
        <f t="shared" si="217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>IF(CW84&gt;0,SUM(CW84:DA84),0)</f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18"/>
        <v>200</v>
      </c>
      <c r="DF84">
        <f t="shared" si="219"/>
        <v>42550</v>
      </c>
      <c r="DG84">
        <f>_xlfn.XLOOKUP(B84,'[11]january-2026'!$A:$A,'[11]january-2026'!$C:$C,0,0)</f>
        <v>34500</v>
      </c>
      <c r="DH84">
        <f t="shared" si="220"/>
        <v>6210</v>
      </c>
      <c r="DI84">
        <f t="shared" si="221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>IF(DG84&gt;0,SUM(DG84:DK84),0)</f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22"/>
        <v>200</v>
      </c>
      <c r="DP84">
        <f t="shared" si="223"/>
        <v>42550</v>
      </c>
      <c r="DQ84">
        <f>_xlfn.XLOOKUP(B84,'[12]february-2026'!$A:$A,'[12]february-2026'!$C:$C,0,0)</f>
        <v>34500</v>
      </c>
      <c r="DR84">
        <f t="shared" si="224"/>
        <v>6210</v>
      </c>
      <c r="DS84">
        <f t="shared" si="225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>IF(DQ84&gt;0,SUM(DQ84:DU84),0)</f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26"/>
        <v>200</v>
      </c>
      <c r="DZ84">
        <f t="shared" si="227"/>
        <v>42550</v>
      </c>
      <c r="EA84">
        <f>_xlfn.XLOOKUP(B84,'[1]march-2025'!$A:$A,'[1]march-2025'!$J:$J,0,0)</f>
        <v>0</v>
      </c>
      <c r="EB84">
        <f>_xlfn.XLOOKUP(B84,'[2]april-2025'!$A:$A,'[2]april-2025'!$J:$J,0,0)</f>
        <v>0</v>
      </c>
      <c r="EC84">
        <f>_xlfn.XLOOKUP(B84,'[3]may-2025'!$A:$A,'[3]may-2025'!$J:$J,0,0)</f>
        <v>0</v>
      </c>
      <c r="ED84">
        <f>_xlfn.XLOOKUP(B84,'[4]june-2025'!$A:$A,'[4]june-2025'!$J:$J,0,0)</f>
        <v>0</v>
      </c>
      <c r="EE84">
        <f>_xlfn.XLOOKUP(B84,'[5]july-2025'!$A:$A,'[5]july-2025'!$J:$J,0,0)</f>
        <v>0</v>
      </c>
      <c r="EF84">
        <f>_xlfn.XLOOKUP(B84,'[6]august-2025'!$A:$A,'[6]august-2025'!$J:$J,0,0)</f>
        <v>0</v>
      </c>
      <c r="EG84">
        <f>_xlfn.XLOOKUP(B84,'[7]september-2025'!$A:$A,'[7]september-2025'!$J:$J,0,0)</f>
        <v>0</v>
      </c>
      <c r="EH84">
        <f>_xlfn.XLOOKUP(B84,'[8]october-2025'!$A:$A,'[8]october-2025'!$J:$J,0,0)</f>
        <v>0</v>
      </c>
      <c r="EI84">
        <f>_xlfn.XLOOKUP(C84,'[9]november-2025'!$A:$A,'[9]november-2025'!$J:$J,0,0)</f>
        <v>0</v>
      </c>
      <c r="EJ84">
        <f>_xlfn.XLOOKUP(B84,'[10]december-2025'!$A:$A,'[10]december-2025'!$J:$J,0,0)</f>
        <v>0</v>
      </c>
      <c r="EK84">
        <f>_xlfn.XLOOKUP(B84,'[11]january-2026'!$A:$A,'[11]january-2026'!$J:$J,0,0)</f>
        <v>0</v>
      </c>
      <c r="EL84">
        <f>_xlfn.XLOOKUP(B84,'[12]february-2026'!$A:$A,'[12]february-2026'!$J:$J,0,0)</f>
        <v>0</v>
      </c>
      <c r="EM84">
        <f t="shared" si="228"/>
        <v>0</v>
      </c>
      <c r="EN84">
        <f>DV84+DL84+DB84+CR84+CH84+BX84+BN84+BD84+AS84+AI84+Y84+O84+H84+I84</f>
        <v>548760</v>
      </c>
      <c r="EO84">
        <f>DY84+DO84+DE84+CU84+CK84+CA84+BQ84+BG84+AV84+AL84+AB84+R84</f>
        <v>2400</v>
      </c>
      <c r="EP84">
        <f t="shared" si="229"/>
        <v>50000</v>
      </c>
      <c r="EQ84">
        <v>0</v>
      </c>
      <c r="ER84">
        <f t="shared" si="230"/>
        <v>496360</v>
      </c>
      <c r="ES84">
        <f>DW84+DM84+DC84+CS84+CI84+BY84+BO84+BE84+AT84+AJ84+Z84+P84</f>
        <v>36000</v>
      </c>
      <c r="ET84">
        <f>DX84+DN84+DD84+CT84+CJ84+BZ84+BP84+BF84+AU84+AK84+AA84+Q84</f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231"/>
        <v>36000</v>
      </c>
      <c r="FF84">
        <f t="shared" si="232"/>
        <v>36000</v>
      </c>
      <c r="FG84">
        <f t="shared" si="233"/>
        <v>460360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>SUM(FH84:FN84)+(IF(F84="YES",50000,0))</f>
        <v>0</v>
      </c>
      <c r="FP84">
        <f t="shared" si="234"/>
        <v>460360</v>
      </c>
      <c r="FQ84">
        <f t="shared" si="235"/>
        <v>10518</v>
      </c>
      <c r="FR84">
        <f t="shared" si="236"/>
        <v>0</v>
      </c>
      <c r="FS84">
        <f t="shared" si="237"/>
        <v>10518</v>
      </c>
      <c r="FT84">
        <f t="shared" si="238"/>
        <v>0</v>
      </c>
      <c r="FU84">
        <f t="shared" si="239"/>
        <v>0</v>
      </c>
      <c r="FV84">
        <f t="shared" si="240"/>
        <v>0</v>
      </c>
      <c r="FW84">
        <v>0</v>
      </c>
      <c r="FX84">
        <f t="shared" si="241"/>
        <v>0</v>
      </c>
      <c r="FY84" t="b">
        <f t="shared" si="242"/>
        <v>1</v>
      </c>
      <c r="FZ84">
        <f t="shared" ca="1" si="243"/>
        <v>919</v>
      </c>
      <c r="GA84">
        <f t="shared" ca="1" si="244"/>
        <v>549679</v>
      </c>
      <c r="GB84">
        <f t="shared" si="245"/>
        <v>75000</v>
      </c>
      <c r="GC84">
        <f t="shared" ca="1" si="246"/>
        <v>474679</v>
      </c>
      <c r="GD84">
        <f t="shared" ca="1" si="247"/>
        <v>0</v>
      </c>
      <c r="GE84">
        <f t="shared" ca="1" si="248"/>
        <v>0</v>
      </c>
      <c r="GF84">
        <f t="shared" ca="1" si="249"/>
        <v>0</v>
      </c>
      <c r="GG84">
        <f t="shared" ca="1" si="250"/>
        <v>0</v>
      </c>
      <c r="GH84">
        <f t="shared" ca="1" si="251"/>
        <v>0</v>
      </c>
      <c r="GI84">
        <f t="shared" ca="1" si="252"/>
        <v>0</v>
      </c>
      <c r="GJ84">
        <f ca="1">IF(GC84&gt;1200000,GC84-1200000-IF(F84="YES",50000,0)-GH84,0)</f>
        <v>0</v>
      </c>
      <c r="GK84">
        <f t="shared" ca="1" si="253"/>
        <v>0</v>
      </c>
      <c r="GL84">
        <f t="shared" ca="1" si="254"/>
        <v>0</v>
      </c>
      <c r="GM84">
        <f t="shared" ca="1" si="255"/>
        <v>0</v>
      </c>
      <c r="GN84">
        <f t="shared" ca="1" si="256"/>
        <v>74679</v>
      </c>
      <c r="GO84">
        <f t="shared" ca="1" si="257"/>
        <v>3733.9500000000003</v>
      </c>
      <c r="GP84">
        <f t="shared" ca="1" si="258"/>
        <v>3734</v>
      </c>
      <c r="GQ84">
        <f t="shared" ca="1" si="259"/>
        <v>0</v>
      </c>
      <c r="GR84">
        <f t="shared" ca="1" si="260"/>
        <v>0</v>
      </c>
      <c r="GS84">
        <f t="shared" ca="1" si="261"/>
        <v>3734</v>
      </c>
      <c r="GT84">
        <f t="shared" ca="1" si="262"/>
        <v>0</v>
      </c>
      <c r="GU84" t="b">
        <f t="shared" ca="1" si="263"/>
        <v>0</v>
      </c>
      <c r="GV84">
        <f t="shared" ca="1" si="264"/>
        <v>0</v>
      </c>
      <c r="GW84">
        <f t="shared" ca="1" si="265"/>
        <v>3734</v>
      </c>
      <c r="GX84">
        <f t="shared" ca="1" si="266"/>
        <v>0</v>
      </c>
      <c r="GY84">
        <f t="shared" ca="1" si="267"/>
        <v>0</v>
      </c>
      <c r="GZ84">
        <f t="shared" ca="1" si="268"/>
        <v>0</v>
      </c>
    </row>
    <row r="85" spans="1:208" x14ac:dyDescent="0.25">
      <c r="A85">
        <f>_xlfn.AGGREGATE(3,5,$B$2:B85)</f>
        <v>84</v>
      </c>
      <c r="B85" t="s">
        <v>285</v>
      </c>
      <c r="C85" t="s">
        <v>286</v>
      </c>
      <c r="D85" t="s">
        <v>772</v>
      </c>
      <c r="E85" t="s">
        <v>831</v>
      </c>
      <c r="F85" t="s">
        <v>957</v>
      </c>
      <c r="G85" t="s">
        <v>912</v>
      </c>
      <c r="H85">
        <f t="shared" si="178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179"/>
        <v>4172</v>
      </c>
      <c r="L85">
        <f t="shared" si="180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>IF(J85&gt;0,SUM(J85:N85),0)</f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269"/>
        <v>150</v>
      </c>
      <c r="S85">
        <f t="shared" si="181"/>
        <v>35898</v>
      </c>
      <c r="T85">
        <f>_xlfn.XLOOKUP(B85,'[2]april-2025'!$A:$A,'[2]april-2025'!$C:$C,0,0)</f>
        <v>29800</v>
      </c>
      <c r="U85">
        <f t="shared" si="182"/>
        <v>5364</v>
      </c>
      <c r="V85">
        <f t="shared" si="183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184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185"/>
        <v>150</v>
      </c>
      <c r="AC85">
        <f t="shared" si="186"/>
        <v>37090</v>
      </c>
      <c r="AD85">
        <f>_xlfn.XLOOKUP(B85,'[3]may-2025'!$A:$A,'[3]may-2025'!$C:$C,0,0)</f>
        <v>29800</v>
      </c>
      <c r="AE85">
        <f t="shared" si="187"/>
        <v>5364</v>
      </c>
      <c r="AF85">
        <f t="shared" si="188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189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190"/>
        <v>150</v>
      </c>
      <c r="AM85">
        <f t="shared" si="191"/>
        <v>37090</v>
      </c>
      <c r="AN85">
        <f>_xlfn.XLOOKUP(B85,'[4]june-2025'!$A:$A,'[4]june-2025'!$C:$C,0,0)</f>
        <v>29800</v>
      </c>
      <c r="AO85">
        <f t="shared" si="192"/>
        <v>5364</v>
      </c>
      <c r="AP85">
        <f t="shared" si="193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194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195"/>
        <v>150</v>
      </c>
      <c r="AW85">
        <f t="shared" si="196"/>
        <v>37090</v>
      </c>
      <c r="AX85">
        <f>_xlfn.XLOOKUP(B85,'[5]july-2025'!$A:$A,'[5]july-2025'!$C:$C,0,0)</f>
        <v>30700</v>
      </c>
      <c r="AY85">
        <f t="shared" si="197"/>
        <v>5526</v>
      </c>
      <c r="AZ85">
        <v>0</v>
      </c>
      <c r="BA85">
        <f t="shared" si="198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>IF(AX85&gt;0,SUM(AX85:BC85),0)</f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199"/>
        <v>200</v>
      </c>
      <c r="BH85">
        <f t="shared" si="200"/>
        <v>38210</v>
      </c>
      <c r="BI85">
        <f>_xlfn.XLOOKUP(B85,'[6]august-2025'!$A:$A,'[6]august-2025'!$C:$C,0,0)</f>
        <v>30700</v>
      </c>
      <c r="BJ85">
        <f t="shared" si="201"/>
        <v>5526</v>
      </c>
      <c r="BK85">
        <f t="shared" si="202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03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>IF($F85="YES",0,IF(BN85&gt;40000,200,IF(BN85&gt;25000,150,IF(BN85&gt;15000,130,IF(BN85&gt;10000,110,0)))))</f>
        <v>200</v>
      </c>
      <c r="BR85">
        <f>BN85-BO85-BP85-BQ85</f>
        <v>38210</v>
      </c>
      <c r="BS85">
        <f>_xlfn.XLOOKUP(B85,'[7]september-2025'!$A:$A,'[7]september-2025'!$C:$C,0,0)</f>
        <v>30700</v>
      </c>
      <c r="BT85">
        <f t="shared" si="204"/>
        <v>5526</v>
      </c>
      <c r="BU85">
        <f t="shared" si="205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>IF(BS85&gt;0,SUM(BS85:BW85),0)</f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06"/>
        <v>200</v>
      </c>
      <c r="CB85">
        <f t="shared" si="207"/>
        <v>38210</v>
      </c>
      <c r="CC85">
        <f>_xlfn.XLOOKUP(B85,'[8]october-2025'!$A:$A,'[8]october-2025'!$C:$C,0,0)</f>
        <v>30700</v>
      </c>
      <c r="CD85">
        <f t="shared" si="208"/>
        <v>5526</v>
      </c>
      <c r="CE85">
        <f t="shared" si="209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>IF(CC85&gt;0,SUM(CC85:CG85),0)</f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10"/>
        <v>200</v>
      </c>
      <c r="CL85">
        <f t="shared" si="211"/>
        <v>38210</v>
      </c>
      <c r="CM85">
        <f>_xlfn.XLOOKUP(B85,'[9]november-2025'!$A:$A,'[9]november-2025'!$C:$C,0,0)</f>
        <v>30700</v>
      </c>
      <c r="CN85">
        <f t="shared" si="212"/>
        <v>5526</v>
      </c>
      <c r="CO85">
        <f t="shared" si="213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>IF(CM85&gt;0,SUM(CM85:CQ85),0)</f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14"/>
        <v>200</v>
      </c>
      <c r="CV85">
        <f t="shared" si="215"/>
        <v>38210</v>
      </c>
      <c r="CW85">
        <f>_xlfn.XLOOKUP(B85,'[10]december-2025'!$A:$A,'[10]december-2025'!$C:$C,0,0)</f>
        <v>30700</v>
      </c>
      <c r="CX85">
        <f t="shared" si="216"/>
        <v>5526</v>
      </c>
      <c r="CY85">
        <f t="shared" si="217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>IF(CW85&gt;0,SUM(CW85:DA85),0)</f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18"/>
        <v>200</v>
      </c>
      <c r="DF85">
        <f t="shared" si="219"/>
        <v>38210</v>
      </c>
      <c r="DG85">
        <f>_xlfn.XLOOKUP(B85,'[11]january-2026'!$A:$A,'[11]january-2026'!$C:$C,0,0)</f>
        <v>30700</v>
      </c>
      <c r="DH85">
        <f t="shared" si="220"/>
        <v>5526</v>
      </c>
      <c r="DI85">
        <f t="shared" si="221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>IF(DG85&gt;0,SUM(DG85:DK85),0)</f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22"/>
        <v>200</v>
      </c>
      <c r="DP85">
        <f t="shared" si="223"/>
        <v>38210</v>
      </c>
      <c r="DQ85">
        <f>_xlfn.XLOOKUP(B85,'[12]february-2026'!$A:$A,'[12]february-2026'!$C:$C,0,0)</f>
        <v>30700</v>
      </c>
      <c r="DR85">
        <f t="shared" si="224"/>
        <v>5526</v>
      </c>
      <c r="DS85">
        <f t="shared" si="225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>IF(DQ85&gt;0,SUM(DQ85:DU85),0)</f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26"/>
        <v>200</v>
      </c>
      <c r="DZ85">
        <f t="shared" si="227"/>
        <v>38210</v>
      </c>
      <c r="EA85">
        <f>_xlfn.XLOOKUP(B85,'[1]march-2025'!$A:$A,'[1]march-2025'!$J:$J,0,0)</f>
        <v>0</v>
      </c>
      <c r="EB85">
        <f>_xlfn.XLOOKUP(B85,'[2]april-2025'!$A:$A,'[2]april-2025'!$J:$J,0,0)</f>
        <v>0</v>
      </c>
      <c r="EC85">
        <f>_xlfn.XLOOKUP(B85,'[3]may-2025'!$A:$A,'[3]may-2025'!$J:$J,0,0)</f>
        <v>0</v>
      </c>
      <c r="ED85">
        <f>_xlfn.XLOOKUP(B85,'[4]june-2025'!$A:$A,'[4]june-2025'!$J:$J,0,0)</f>
        <v>0</v>
      </c>
      <c r="EE85">
        <f>_xlfn.XLOOKUP(B85,'[5]july-2025'!$A:$A,'[5]july-2025'!$J:$J,0,0)</f>
        <v>0</v>
      </c>
      <c r="EF85">
        <f>_xlfn.XLOOKUP(B85,'[6]august-2025'!$A:$A,'[6]august-2025'!$J:$J,0,0)</f>
        <v>0</v>
      </c>
      <c r="EG85">
        <f>_xlfn.XLOOKUP(B85,'[7]september-2025'!$A:$A,'[7]september-2025'!$J:$J,0,0)</f>
        <v>0</v>
      </c>
      <c r="EH85">
        <f>_xlfn.XLOOKUP(B85,'[8]october-2025'!$A:$A,'[8]october-2025'!$J:$J,0,0)</f>
        <v>0</v>
      </c>
      <c r="EI85">
        <f>_xlfn.XLOOKUP(C85,'[9]november-2025'!$A:$A,'[9]november-2025'!$J:$J,0,0)</f>
        <v>0</v>
      </c>
      <c r="EJ85">
        <f>_xlfn.XLOOKUP(B85,'[10]december-2025'!$A:$A,'[10]december-2025'!$J:$J,0,0)</f>
        <v>0</v>
      </c>
      <c r="EK85">
        <f>_xlfn.XLOOKUP(B85,'[11]january-2026'!$A:$A,'[11]january-2026'!$J:$J,0,0)</f>
        <v>0</v>
      </c>
      <c r="EL85">
        <f>_xlfn.XLOOKUP(B85,'[12]february-2026'!$A:$A,'[12]february-2026'!$J:$J,0,0)</f>
        <v>0</v>
      </c>
      <c r="EM85">
        <f t="shared" si="228"/>
        <v>0</v>
      </c>
      <c r="EN85">
        <f>DV85+DL85+DB85+CR85+CH85+BX85+BN85+BD85+AS85+AI85+Y85+O85+H85+I85</f>
        <v>485848</v>
      </c>
      <c r="EO85">
        <f>DY85+DO85+DE85+CU85+CK85+CA85+BQ85+BG85+AV85+AL85+AB85+R85</f>
        <v>2200</v>
      </c>
      <c r="EP85">
        <f t="shared" si="229"/>
        <v>50000</v>
      </c>
      <c r="EQ85">
        <v>0</v>
      </c>
      <c r="ER85">
        <f t="shared" si="230"/>
        <v>433648</v>
      </c>
      <c r="ES85">
        <f>DW85+DM85+DC85+CS85+CI85+BY85+BO85+BE85+AT85+AJ85+Z85+P85</f>
        <v>24000</v>
      </c>
      <c r="ET85">
        <f>DX85+DN85+DD85+CT85+CJ85+BZ85+BP85+BF85+AU85+AK85+AA85+Q85</f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231"/>
        <v>24000</v>
      </c>
      <c r="FF85">
        <f t="shared" si="232"/>
        <v>24000</v>
      </c>
      <c r="FG85">
        <f t="shared" si="233"/>
        <v>409648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>SUM(FH85:FN85)+(IF(F85="YES",50000,0))</f>
        <v>0</v>
      </c>
      <c r="FP85">
        <f t="shared" si="234"/>
        <v>409648</v>
      </c>
      <c r="FQ85">
        <f t="shared" si="235"/>
        <v>7982</v>
      </c>
      <c r="FR85">
        <f t="shared" si="236"/>
        <v>0</v>
      </c>
      <c r="FS85">
        <f t="shared" si="237"/>
        <v>7982</v>
      </c>
      <c r="FT85">
        <f t="shared" si="238"/>
        <v>0</v>
      </c>
      <c r="FU85">
        <f t="shared" si="239"/>
        <v>0</v>
      </c>
      <c r="FV85">
        <f t="shared" si="240"/>
        <v>0</v>
      </c>
      <c r="FW85">
        <v>0</v>
      </c>
      <c r="FX85">
        <f t="shared" si="241"/>
        <v>0</v>
      </c>
      <c r="FY85" t="b">
        <f t="shared" si="242"/>
        <v>0</v>
      </c>
      <c r="FZ85">
        <f t="shared" ca="1" si="243"/>
        <v>2127</v>
      </c>
      <c r="GA85">
        <f t="shared" ca="1" si="244"/>
        <v>487975</v>
      </c>
      <c r="GB85">
        <f t="shared" si="245"/>
        <v>75000</v>
      </c>
      <c r="GC85">
        <f t="shared" ca="1" si="246"/>
        <v>412975</v>
      </c>
      <c r="GD85">
        <f t="shared" ca="1" si="247"/>
        <v>0</v>
      </c>
      <c r="GE85">
        <f t="shared" ca="1" si="248"/>
        <v>0</v>
      </c>
      <c r="GF85">
        <f t="shared" ca="1" si="249"/>
        <v>0</v>
      </c>
      <c r="GG85">
        <f t="shared" ca="1" si="250"/>
        <v>0</v>
      </c>
      <c r="GH85">
        <f t="shared" ca="1" si="251"/>
        <v>0</v>
      </c>
      <c r="GI85">
        <f t="shared" ca="1" si="252"/>
        <v>0</v>
      </c>
      <c r="GJ85">
        <f ca="1">IF(GC85&gt;1200000,GC85-1200000-IF(F85="YES",50000,0)-GH85,0)</f>
        <v>0</v>
      </c>
      <c r="GK85">
        <f t="shared" ca="1" si="253"/>
        <v>0</v>
      </c>
      <c r="GL85">
        <f t="shared" ca="1" si="254"/>
        <v>0</v>
      </c>
      <c r="GM85">
        <f t="shared" ca="1" si="255"/>
        <v>0</v>
      </c>
      <c r="GN85">
        <f t="shared" ca="1" si="256"/>
        <v>12975</v>
      </c>
      <c r="GO85">
        <f t="shared" ca="1" si="257"/>
        <v>648.75</v>
      </c>
      <c r="GP85">
        <f t="shared" ca="1" si="258"/>
        <v>649</v>
      </c>
      <c r="GQ85">
        <f t="shared" ca="1" si="259"/>
        <v>0</v>
      </c>
      <c r="GR85">
        <f t="shared" ca="1" si="260"/>
        <v>0</v>
      </c>
      <c r="GS85">
        <f t="shared" ca="1" si="261"/>
        <v>649</v>
      </c>
      <c r="GT85">
        <f t="shared" ca="1" si="262"/>
        <v>0</v>
      </c>
      <c r="GU85" t="b">
        <f t="shared" ca="1" si="263"/>
        <v>0</v>
      </c>
      <c r="GV85">
        <f t="shared" ca="1" si="264"/>
        <v>0</v>
      </c>
      <c r="GW85">
        <f t="shared" ca="1" si="265"/>
        <v>649</v>
      </c>
      <c r="GX85">
        <f t="shared" ca="1" si="266"/>
        <v>0</v>
      </c>
      <c r="GY85">
        <f t="shared" ca="1" si="267"/>
        <v>0</v>
      </c>
      <c r="GZ85">
        <f t="shared" ca="1" si="268"/>
        <v>0</v>
      </c>
    </row>
    <row r="86" spans="1:208" x14ac:dyDescent="0.25">
      <c r="A86">
        <f>_xlfn.AGGREGATE(3,5,$B$2:B86)</f>
        <v>85</v>
      </c>
      <c r="B86" t="s">
        <v>287</v>
      </c>
      <c r="C86" t="s">
        <v>288</v>
      </c>
      <c r="D86" t="s">
        <v>773</v>
      </c>
      <c r="E86" t="s">
        <v>833</v>
      </c>
      <c r="F86" t="s">
        <v>957</v>
      </c>
      <c r="G86" t="s">
        <v>885</v>
      </c>
      <c r="H86">
        <f t="shared" si="178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179"/>
        <v>6818.0000000000009</v>
      </c>
      <c r="L86">
        <f t="shared" si="180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>IF(J86&gt;0,SUM(J86:N86),0)</f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269"/>
        <v>200</v>
      </c>
      <c r="S86">
        <f t="shared" si="181"/>
        <v>57062</v>
      </c>
      <c r="T86">
        <f>_xlfn.XLOOKUP(B86,'[2]april-2025'!$A:$A,'[2]april-2025'!$C:$C,0,0)</f>
        <v>48700</v>
      </c>
      <c r="U86">
        <f t="shared" si="182"/>
        <v>8766</v>
      </c>
      <c r="V86">
        <f t="shared" si="183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184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185"/>
        <v>200</v>
      </c>
      <c r="AC86">
        <f t="shared" si="186"/>
        <v>59010</v>
      </c>
      <c r="AD86">
        <f>_xlfn.XLOOKUP(B86,'[3]may-2025'!$A:$A,'[3]may-2025'!$C:$C,0,0)</f>
        <v>48700</v>
      </c>
      <c r="AE86">
        <f t="shared" si="187"/>
        <v>8766</v>
      </c>
      <c r="AF86">
        <f t="shared" si="188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189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190"/>
        <v>200</v>
      </c>
      <c r="AM86">
        <f t="shared" si="191"/>
        <v>59010</v>
      </c>
      <c r="AN86">
        <f>_xlfn.XLOOKUP(B86,'[4]june-2025'!$A:$A,'[4]june-2025'!$C:$C,0,0)</f>
        <v>48700</v>
      </c>
      <c r="AO86">
        <f t="shared" si="192"/>
        <v>8766</v>
      </c>
      <c r="AP86">
        <f t="shared" si="193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194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195"/>
        <v>200</v>
      </c>
      <c r="AW86">
        <f t="shared" si="196"/>
        <v>59010</v>
      </c>
      <c r="AX86">
        <f>_xlfn.XLOOKUP(B86,'[5]july-2025'!$A:$A,'[5]july-2025'!$C:$C,0,0)</f>
        <v>50200</v>
      </c>
      <c r="AY86">
        <f t="shared" si="197"/>
        <v>9036</v>
      </c>
      <c r="AZ86">
        <v>0</v>
      </c>
      <c r="BA86">
        <f t="shared" si="198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>IF(AX86&gt;0,SUM(AX86:BC86),0)</f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199"/>
        <v>200</v>
      </c>
      <c r="BH86">
        <f t="shared" si="200"/>
        <v>60960</v>
      </c>
      <c r="BI86">
        <f>_xlfn.XLOOKUP(B86,'[6]august-2025'!$A:$A,'[6]august-2025'!$C:$C,0,0)</f>
        <v>50200</v>
      </c>
      <c r="BJ86">
        <f t="shared" si="201"/>
        <v>9036</v>
      </c>
      <c r="BK86">
        <f t="shared" si="202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03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>IF($F86="YES",0,IF(BN86&gt;40000,200,IF(BN86&gt;25000,150,IF(BN86&gt;15000,130,IF(BN86&gt;10000,110,0)))))</f>
        <v>200</v>
      </c>
      <c r="BR86">
        <f>BN86-BO86-BP86-BQ86</f>
        <v>60960</v>
      </c>
      <c r="BS86">
        <f>_xlfn.XLOOKUP(B86,'[7]september-2025'!$A:$A,'[7]september-2025'!$C:$C,0,0)</f>
        <v>50200</v>
      </c>
      <c r="BT86">
        <f t="shared" si="204"/>
        <v>9036</v>
      </c>
      <c r="BU86">
        <f t="shared" si="205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>IF(BS86&gt;0,SUM(BS86:BW86),0)</f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06"/>
        <v>200</v>
      </c>
      <c r="CB86">
        <f t="shared" si="207"/>
        <v>60960</v>
      </c>
      <c r="CC86">
        <f>_xlfn.XLOOKUP(B86,'[8]october-2025'!$A:$A,'[8]october-2025'!$C:$C,0,0)</f>
        <v>50200</v>
      </c>
      <c r="CD86">
        <f t="shared" si="208"/>
        <v>9036</v>
      </c>
      <c r="CE86">
        <f t="shared" si="209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>IF(CC86&gt;0,SUM(CC86:CG86),0)</f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10"/>
        <v>200</v>
      </c>
      <c r="CL86">
        <f t="shared" si="211"/>
        <v>60960</v>
      </c>
      <c r="CM86">
        <f>_xlfn.XLOOKUP(B86,'[9]november-2025'!$A:$A,'[9]november-2025'!$C:$C,0,0)</f>
        <v>50200</v>
      </c>
      <c r="CN86">
        <f t="shared" si="212"/>
        <v>9036</v>
      </c>
      <c r="CO86">
        <f t="shared" si="213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>IF(CM86&gt;0,SUM(CM86:CQ86),0)</f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14"/>
        <v>200</v>
      </c>
      <c r="CV86">
        <f t="shared" si="215"/>
        <v>60960</v>
      </c>
      <c r="CW86">
        <f>_xlfn.XLOOKUP(B86,'[10]december-2025'!$A:$A,'[10]december-2025'!$C:$C,0,0)</f>
        <v>50200</v>
      </c>
      <c r="CX86">
        <f t="shared" si="216"/>
        <v>9036</v>
      </c>
      <c r="CY86">
        <f t="shared" si="217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>IF(CW86&gt;0,SUM(CW86:DA86),0)</f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18"/>
        <v>200</v>
      </c>
      <c r="DF86">
        <f t="shared" si="219"/>
        <v>60960</v>
      </c>
      <c r="DG86">
        <f>_xlfn.XLOOKUP(B86,'[11]january-2026'!$A:$A,'[11]january-2026'!$C:$C,0,0)</f>
        <v>50200</v>
      </c>
      <c r="DH86">
        <f t="shared" si="220"/>
        <v>9036</v>
      </c>
      <c r="DI86">
        <f t="shared" si="221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>IF(DG86&gt;0,SUM(DG86:DK86),0)</f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22"/>
        <v>200</v>
      </c>
      <c r="DP86">
        <f t="shared" si="223"/>
        <v>60960</v>
      </c>
      <c r="DQ86">
        <f>_xlfn.XLOOKUP(B86,'[12]february-2026'!$A:$A,'[12]february-2026'!$C:$C,0,0)</f>
        <v>50200</v>
      </c>
      <c r="DR86">
        <f t="shared" si="224"/>
        <v>9036</v>
      </c>
      <c r="DS86">
        <f t="shared" si="225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>IF(DQ86&gt;0,SUM(DQ86:DU86),0)</f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26"/>
        <v>200</v>
      </c>
      <c r="DZ86">
        <f t="shared" si="227"/>
        <v>60960</v>
      </c>
      <c r="EA86">
        <f>_xlfn.XLOOKUP(B86,'[1]march-2025'!$A:$A,'[1]march-2025'!$J:$J,0,0)</f>
        <v>0</v>
      </c>
      <c r="EB86">
        <f>_xlfn.XLOOKUP(B86,'[2]april-2025'!$A:$A,'[2]april-2025'!$J:$J,0,0)</f>
        <v>0</v>
      </c>
      <c r="EC86">
        <f>_xlfn.XLOOKUP(B86,'[3]may-2025'!$A:$A,'[3]may-2025'!$J:$J,0,0)</f>
        <v>0</v>
      </c>
      <c r="ED86">
        <f>_xlfn.XLOOKUP(B86,'[4]june-2025'!$A:$A,'[4]june-2025'!$J:$J,0,0)</f>
        <v>0</v>
      </c>
      <c r="EE86">
        <f>_xlfn.XLOOKUP(B86,'[5]july-2025'!$A:$A,'[5]july-2025'!$J:$J,0,0)</f>
        <v>0</v>
      </c>
      <c r="EF86">
        <f>_xlfn.XLOOKUP(B86,'[6]august-2025'!$A:$A,'[6]august-2025'!$J:$J,0,0)</f>
        <v>0</v>
      </c>
      <c r="EG86">
        <f>_xlfn.XLOOKUP(B86,'[7]september-2025'!$A:$A,'[7]september-2025'!$J:$J,0,0)</f>
        <v>0</v>
      </c>
      <c r="EH86">
        <f>_xlfn.XLOOKUP(B86,'[8]october-2025'!$A:$A,'[8]october-2025'!$J:$J,0,0)</f>
        <v>0</v>
      </c>
      <c r="EI86">
        <f>_xlfn.XLOOKUP(C86,'[9]november-2025'!$A:$A,'[9]november-2025'!$J:$J,0,0)</f>
        <v>0</v>
      </c>
      <c r="EJ86">
        <f>_xlfn.XLOOKUP(B86,'[10]december-2025'!$A:$A,'[10]december-2025'!$J:$J,0,0)</f>
        <v>0</v>
      </c>
      <c r="EK86">
        <f>_xlfn.XLOOKUP(B86,'[11]january-2026'!$A:$A,'[11]january-2026'!$J:$J,0,0)</f>
        <v>0</v>
      </c>
      <c r="EL86">
        <f>_xlfn.XLOOKUP(B86,'[12]february-2026'!$A:$A,'[12]february-2026'!$J:$J,0,0)</f>
        <v>0</v>
      </c>
      <c r="EM86">
        <f t="shared" si="228"/>
        <v>0</v>
      </c>
      <c r="EN86">
        <f>DV86+DL86+DB86+CR86+CH86+BX86+BN86+BD86+AS86+AI86+Y86+O86+H86+I86</f>
        <v>790972</v>
      </c>
      <c r="EO86">
        <f>DY86+DO86+DE86+CU86+CK86+CA86+BQ86+BG86+AV86+AL86+AB86+R86</f>
        <v>2400</v>
      </c>
      <c r="EP86">
        <f t="shared" si="229"/>
        <v>50000</v>
      </c>
      <c r="EQ86">
        <v>0</v>
      </c>
      <c r="ER86">
        <f t="shared" si="230"/>
        <v>738572</v>
      </c>
      <c r="ES86">
        <f>DW86+DM86+DC86+CS86+CI86+BY86+BO86+BE86+AT86+AJ86+Z86+P86</f>
        <v>60000</v>
      </c>
      <c r="ET86">
        <f>DX86+DN86+DD86+CT86+CJ86+BZ86+BP86+BF86+AU86+AK86+AA86+Q86</f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231"/>
        <v>60000</v>
      </c>
      <c r="FF86">
        <f t="shared" si="232"/>
        <v>60000</v>
      </c>
      <c r="FG86">
        <f t="shared" si="233"/>
        <v>678572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>SUM(FH86:FN86)+(IF(F86="YES",50000,0))</f>
        <v>0</v>
      </c>
      <c r="FP86">
        <f t="shared" si="234"/>
        <v>678572</v>
      </c>
      <c r="FQ86">
        <f t="shared" si="235"/>
        <v>12500</v>
      </c>
      <c r="FR86">
        <f t="shared" si="236"/>
        <v>35714</v>
      </c>
      <c r="FS86">
        <f t="shared" si="237"/>
        <v>48214</v>
      </c>
      <c r="FT86">
        <f t="shared" si="238"/>
        <v>48214</v>
      </c>
      <c r="FU86">
        <f t="shared" si="239"/>
        <v>1928.56</v>
      </c>
      <c r="FV86">
        <f t="shared" si="240"/>
        <v>50143</v>
      </c>
      <c r="FW86">
        <v>0</v>
      </c>
      <c r="FX86">
        <f t="shared" si="241"/>
        <v>50143</v>
      </c>
      <c r="FY86" t="b">
        <f t="shared" si="242"/>
        <v>1</v>
      </c>
      <c r="FZ86">
        <f t="shared" ca="1" si="243"/>
        <v>772</v>
      </c>
      <c r="GA86">
        <f t="shared" ca="1" si="244"/>
        <v>791744</v>
      </c>
      <c r="GB86">
        <f t="shared" si="245"/>
        <v>75000</v>
      </c>
      <c r="GC86">
        <f t="shared" ca="1" si="246"/>
        <v>716744</v>
      </c>
      <c r="GD86">
        <f t="shared" ca="1" si="247"/>
        <v>0</v>
      </c>
      <c r="GE86">
        <f t="shared" ca="1" si="248"/>
        <v>0</v>
      </c>
      <c r="GF86">
        <f t="shared" ca="1" si="249"/>
        <v>0</v>
      </c>
      <c r="GG86">
        <f t="shared" ca="1" si="250"/>
        <v>0</v>
      </c>
      <c r="GH86">
        <f t="shared" ca="1" si="251"/>
        <v>0</v>
      </c>
      <c r="GI86">
        <f t="shared" ca="1" si="252"/>
        <v>0</v>
      </c>
      <c r="GJ86">
        <f ca="1">IF(GC86&gt;1200000,GC86-1200000-IF(F86="YES",50000,0)-GH86,0)</f>
        <v>0</v>
      </c>
      <c r="GK86">
        <f t="shared" ca="1" si="253"/>
        <v>0</v>
      </c>
      <c r="GL86">
        <f t="shared" ca="1" si="254"/>
        <v>0</v>
      </c>
      <c r="GM86">
        <f t="shared" ca="1" si="255"/>
        <v>0</v>
      </c>
      <c r="GN86">
        <f t="shared" ca="1" si="256"/>
        <v>316744</v>
      </c>
      <c r="GO86">
        <f t="shared" ca="1" si="257"/>
        <v>15837.2</v>
      </c>
      <c r="GP86">
        <f t="shared" ca="1" si="258"/>
        <v>15837</v>
      </c>
      <c r="GQ86">
        <f t="shared" ca="1" si="259"/>
        <v>0</v>
      </c>
      <c r="GR86">
        <f t="shared" ca="1" si="260"/>
        <v>0</v>
      </c>
      <c r="GS86">
        <f t="shared" ca="1" si="261"/>
        <v>15837</v>
      </c>
      <c r="GT86">
        <f t="shared" ca="1" si="262"/>
        <v>0</v>
      </c>
      <c r="GU86" t="b">
        <f t="shared" ca="1" si="263"/>
        <v>0</v>
      </c>
      <c r="GV86">
        <f t="shared" ca="1" si="264"/>
        <v>0</v>
      </c>
      <c r="GW86">
        <f t="shared" ca="1" si="265"/>
        <v>15837</v>
      </c>
      <c r="GX86">
        <f t="shared" ca="1" si="266"/>
        <v>0</v>
      </c>
      <c r="GY86">
        <f t="shared" ca="1" si="267"/>
        <v>0</v>
      </c>
      <c r="GZ86">
        <f t="shared" ca="1" si="268"/>
        <v>0</v>
      </c>
    </row>
    <row r="87" spans="1:208" x14ac:dyDescent="0.25">
      <c r="A87">
        <f>_xlfn.AGGREGATE(3,5,$B$2:B87)</f>
        <v>86</v>
      </c>
      <c r="B87" t="s">
        <v>289</v>
      </c>
      <c r="C87" t="s">
        <v>290</v>
      </c>
      <c r="D87" t="s">
        <v>773</v>
      </c>
      <c r="E87" t="s">
        <v>831</v>
      </c>
      <c r="F87" t="s">
        <v>957</v>
      </c>
      <c r="G87" t="s">
        <v>913</v>
      </c>
      <c r="H87">
        <f t="shared" si="178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179"/>
        <v>4830.0000000000009</v>
      </c>
      <c r="L87">
        <f t="shared" si="180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>IF(J87&gt;0,SUM(J87:N87),0)</f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269"/>
        <v>200</v>
      </c>
      <c r="S87">
        <f t="shared" si="181"/>
        <v>40270</v>
      </c>
      <c r="T87">
        <f>_xlfn.XLOOKUP(B87,'[2]april-2025'!$A:$A,'[2]april-2025'!$C:$C,0,0)</f>
        <v>34500</v>
      </c>
      <c r="U87">
        <f t="shared" si="182"/>
        <v>6210</v>
      </c>
      <c r="V87">
        <f t="shared" si="183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184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185"/>
        <v>200</v>
      </c>
      <c r="AC87">
        <f t="shared" si="186"/>
        <v>41650</v>
      </c>
      <c r="AD87">
        <f>_xlfn.XLOOKUP(B87,'[3]may-2025'!$A:$A,'[3]may-2025'!$C:$C,0,0)</f>
        <v>34500</v>
      </c>
      <c r="AE87">
        <f t="shared" si="187"/>
        <v>6210</v>
      </c>
      <c r="AF87">
        <f t="shared" si="188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189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190"/>
        <v>200</v>
      </c>
      <c r="AM87">
        <f t="shared" si="191"/>
        <v>41650</v>
      </c>
      <c r="AN87">
        <f>_xlfn.XLOOKUP(B87,'[4]june-2025'!$A:$A,'[4]june-2025'!$C:$C,0,0)</f>
        <v>34500</v>
      </c>
      <c r="AO87">
        <f t="shared" si="192"/>
        <v>6210</v>
      </c>
      <c r="AP87">
        <f t="shared" si="193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194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195"/>
        <v>200</v>
      </c>
      <c r="AW87">
        <f t="shared" si="196"/>
        <v>41650</v>
      </c>
      <c r="AX87">
        <f>_xlfn.XLOOKUP(B87,'[5]july-2025'!$A:$A,'[5]july-2025'!$C:$C,0,0)</f>
        <v>35500</v>
      </c>
      <c r="AY87">
        <f t="shared" si="197"/>
        <v>6390</v>
      </c>
      <c r="AZ87">
        <v>0</v>
      </c>
      <c r="BA87">
        <f t="shared" si="198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>IF(AX87&gt;0,SUM(AX87:BC87),0)</f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199"/>
        <v>200</v>
      </c>
      <c r="BH87">
        <f t="shared" si="200"/>
        <v>42950</v>
      </c>
      <c r="BI87">
        <f>_xlfn.XLOOKUP(B87,'[6]august-2025'!$A:$A,'[6]august-2025'!$C:$C,0,0)</f>
        <v>35500</v>
      </c>
      <c r="BJ87">
        <f t="shared" si="201"/>
        <v>6390</v>
      </c>
      <c r="BK87">
        <f t="shared" si="202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03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>IF($F87="YES",0,IF(BN87&gt;40000,200,IF(BN87&gt;25000,150,IF(BN87&gt;15000,130,IF(BN87&gt;10000,110,0)))))</f>
        <v>200</v>
      </c>
      <c r="BR87">
        <f>BN87-BO87-BP87-BQ87</f>
        <v>42950</v>
      </c>
      <c r="BS87">
        <f>_xlfn.XLOOKUP(B87,'[7]september-2025'!$A:$A,'[7]september-2025'!$C:$C,0,0)</f>
        <v>35500</v>
      </c>
      <c r="BT87">
        <f t="shared" si="204"/>
        <v>6390</v>
      </c>
      <c r="BU87">
        <f t="shared" si="205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>IF(BS87&gt;0,SUM(BS87:BW87),0)</f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06"/>
        <v>200</v>
      </c>
      <c r="CB87">
        <f t="shared" si="207"/>
        <v>42950</v>
      </c>
      <c r="CC87">
        <f>_xlfn.XLOOKUP(B87,'[8]october-2025'!$A:$A,'[8]october-2025'!$C:$C,0,0)</f>
        <v>35500</v>
      </c>
      <c r="CD87">
        <f t="shared" si="208"/>
        <v>6390</v>
      </c>
      <c r="CE87">
        <f t="shared" si="209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>IF(CC87&gt;0,SUM(CC87:CG87),0)</f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10"/>
        <v>200</v>
      </c>
      <c r="CL87">
        <f t="shared" si="211"/>
        <v>42950</v>
      </c>
      <c r="CM87">
        <f>_xlfn.XLOOKUP(B87,'[9]november-2025'!$A:$A,'[9]november-2025'!$C:$C,0,0)</f>
        <v>35500</v>
      </c>
      <c r="CN87">
        <f t="shared" si="212"/>
        <v>6390</v>
      </c>
      <c r="CO87">
        <f t="shared" si="213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>IF(CM87&gt;0,SUM(CM87:CQ87),0)</f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14"/>
        <v>200</v>
      </c>
      <c r="CV87">
        <f t="shared" si="215"/>
        <v>42950</v>
      </c>
      <c r="CW87">
        <f>_xlfn.XLOOKUP(B87,'[10]december-2025'!$A:$A,'[10]december-2025'!$C:$C,0,0)</f>
        <v>35500</v>
      </c>
      <c r="CX87">
        <f t="shared" si="216"/>
        <v>6390</v>
      </c>
      <c r="CY87">
        <f t="shared" si="217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>IF(CW87&gt;0,SUM(CW87:DA87),0)</f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18"/>
        <v>200</v>
      </c>
      <c r="DF87">
        <f t="shared" si="219"/>
        <v>42950</v>
      </c>
      <c r="DG87">
        <f>_xlfn.XLOOKUP(B87,'[11]january-2026'!$A:$A,'[11]january-2026'!$C:$C,0,0)</f>
        <v>35500</v>
      </c>
      <c r="DH87">
        <f t="shared" si="220"/>
        <v>6390</v>
      </c>
      <c r="DI87">
        <f t="shared" si="221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>IF(DG87&gt;0,SUM(DG87:DK87),0)</f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22"/>
        <v>200</v>
      </c>
      <c r="DP87">
        <f t="shared" si="223"/>
        <v>42950</v>
      </c>
      <c r="DQ87">
        <f>_xlfn.XLOOKUP(B87,'[12]february-2026'!$A:$A,'[12]february-2026'!$C:$C,0,0)</f>
        <v>35500</v>
      </c>
      <c r="DR87">
        <f t="shared" si="224"/>
        <v>6390</v>
      </c>
      <c r="DS87">
        <f t="shared" si="225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>IF(DQ87&gt;0,SUM(DQ87:DU87),0)</f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26"/>
        <v>200</v>
      </c>
      <c r="DZ87">
        <f t="shared" si="227"/>
        <v>42950</v>
      </c>
      <c r="EA87">
        <f>_xlfn.XLOOKUP(B87,'[1]march-2025'!$A:$A,'[1]march-2025'!$J:$J,0,0)</f>
        <v>0</v>
      </c>
      <c r="EB87">
        <f>_xlfn.XLOOKUP(B87,'[2]april-2025'!$A:$A,'[2]april-2025'!$J:$J,0,0)</f>
        <v>0</v>
      </c>
      <c r="EC87">
        <f>_xlfn.XLOOKUP(B87,'[3]may-2025'!$A:$A,'[3]may-2025'!$J:$J,0,0)</f>
        <v>0</v>
      </c>
      <c r="ED87">
        <f>_xlfn.XLOOKUP(B87,'[4]june-2025'!$A:$A,'[4]june-2025'!$J:$J,0,0)</f>
        <v>0</v>
      </c>
      <c r="EE87">
        <f>_xlfn.XLOOKUP(B87,'[5]july-2025'!$A:$A,'[5]july-2025'!$J:$J,0,0)</f>
        <v>0</v>
      </c>
      <c r="EF87">
        <f>_xlfn.XLOOKUP(B87,'[6]august-2025'!$A:$A,'[6]august-2025'!$J:$J,0,0)</f>
        <v>0</v>
      </c>
      <c r="EG87">
        <f>_xlfn.XLOOKUP(B87,'[7]september-2025'!$A:$A,'[7]september-2025'!$J:$J,0,0)</f>
        <v>0</v>
      </c>
      <c r="EH87">
        <f>_xlfn.XLOOKUP(B87,'[8]october-2025'!$A:$A,'[8]october-2025'!$J:$J,0,0)</f>
        <v>0</v>
      </c>
      <c r="EI87">
        <f>_xlfn.XLOOKUP(C87,'[9]november-2025'!$A:$A,'[9]november-2025'!$J:$J,0,0)</f>
        <v>0</v>
      </c>
      <c r="EJ87">
        <f>_xlfn.XLOOKUP(B87,'[10]december-2025'!$A:$A,'[10]december-2025'!$J:$J,0,0)</f>
        <v>0</v>
      </c>
      <c r="EK87">
        <f>_xlfn.XLOOKUP(B87,'[11]january-2026'!$A:$A,'[11]january-2026'!$J:$J,0,0)</f>
        <v>0</v>
      </c>
      <c r="EL87">
        <f>_xlfn.XLOOKUP(B87,'[12]february-2026'!$A:$A,'[12]february-2026'!$J:$J,0,0)</f>
        <v>0</v>
      </c>
      <c r="EM87">
        <f t="shared" si="228"/>
        <v>0</v>
      </c>
      <c r="EN87">
        <f>DV87+DL87+DB87+CR87+CH87+BX87+BN87+BD87+AS87+AI87+Y87+O87+H87+I87</f>
        <v>554020</v>
      </c>
      <c r="EO87">
        <f>DY87+DO87+DE87+CU87+CK87+CA87+BQ87+BG87+AV87+AL87+AB87+R87</f>
        <v>2400</v>
      </c>
      <c r="EP87">
        <f t="shared" si="229"/>
        <v>50000</v>
      </c>
      <c r="EQ87">
        <v>0</v>
      </c>
      <c r="ER87">
        <f t="shared" si="230"/>
        <v>501620</v>
      </c>
      <c r="ES87">
        <f>DW87+DM87+DC87+CS87+CI87+BY87+BO87+BE87+AT87+AJ87+Z87+P87</f>
        <v>36000</v>
      </c>
      <c r="ET87">
        <f>DX87+DN87+DD87+CT87+CJ87+BZ87+BP87+BF87+AU87+AK87+AA87+Q87</f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231"/>
        <v>36000</v>
      </c>
      <c r="FF87">
        <f t="shared" si="232"/>
        <v>36000</v>
      </c>
      <c r="FG87">
        <f t="shared" si="233"/>
        <v>465620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>SUM(FH87:FN87)+(IF(F87="YES",50000,0))</f>
        <v>0</v>
      </c>
      <c r="FP87">
        <f t="shared" si="234"/>
        <v>465620</v>
      </c>
      <c r="FQ87">
        <f t="shared" si="235"/>
        <v>10781</v>
      </c>
      <c r="FR87">
        <f t="shared" si="236"/>
        <v>0</v>
      </c>
      <c r="FS87">
        <f t="shared" si="237"/>
        <v>10781</v>
      </c>
      <c r="FT87">
        <f t="shared" si="238"/>
        <v>0</v>
      </c>
      <c r="FU87">
        <f t="shared" si="239"/>
        <v>0</v>
      </c>
      <c r="FV87">
        <f t="shared" si="240"/>
        <v>0</v>
      </c>
      <c r="FW87">
        <v>0</v>
      </c>
      <c r="FX87">
        <f t="shared" si="241"/>
        <v>0</v>
      </c>
      <c r="FY87" t="b">
        <f t="shared" si="242"/>
        <v>1</v>
      </c>
      <c r="FZ87">
        <f t="shared" ca="1" si="243"/>
        <v>685</v>
      </c>
      <c r="GA87">
        <f t="shared" ca="1" si="244"/>
        <v>554705</v>
      </c>
      <c r="GB87">
        <f t="shared" si="245"/>
        <v>75000</v>
      </c>
      <c r="GC87">
        <f t="shared" ca="1" si="246"/>
        <v>479705</v>
      </c>
      <c r="GD87">
        <f t="shared" ca="1" si="247"/>
        <v>0</v>
      </c>
      <c r="GE87">
        <f t="shared" ca="1" si="248"/>
        <v>0</v>
      </c>
      <c r="GF87">
        <f t="shared" ca="1" si="249"/>
        <v>0</v>
      </c>
      <c r="GG87">
        <f t="shared" ca="1" si="250"/>
        <v>0</v>
      </c>
      <c r="GH87">
        <f t="shared" ca="1" si="251"/>
        <v>0</v>
      </c>
      <c r="GI87">
        <f t="shared" ca="1" si="252"/>
        <v>0</v>
      </c>
      <c r="GJ87">
        <f ca="1">IF(GC87&gt;1200000,GC87-1200000-IF(F87="YES",50000,0)-GH87,0)</f>
        <v>0</v>
      </c>
      <c r="GK87">
        <f t="shared" ca="1" si="253"/>
        <v>0</v>
      </c>
      <c r="GL87">
        <f t="shared" ca="1" si="254"/>
        <v>0</v>
      </c>
      <c r="GM87">
        <f t="shared" ca="1" si="255"/>
        <v>0</v>
      </c>
      <c r="GN87">
        <f t="shared" ca="1" si="256"/>
        <v>79705</v>
      </c>
      <c r="GO87">
        <f t="shared" ca="1" si="257"/>
        <v>3985.25</v>
      </c>
      <c r="GP87">
        <f t="shared" ca="1" si="258"/>
        <v>3985</v>
      </c>
      <c r="GQ87">
        <f t="shared" ca="1" si="259"/>
        <v>0</v>
      </c>
      <c r="GR87">
        <f t="shared" ca="1" si="260"/>
        <v>0</v>
      </c>
      <c r="GS87">
        <f t="shared" ca="1" si="261"/>
        <v>3985</v>
      </c>
      <c r="GT87">
        <f t="shared" ca="1" si="262"/>
        <v>0</v>
      </c>
      <c r="GU87" t="b">
        <f t="shared" ca="1" si="263"/>
        <v>0</v>
      </c>
      <c r="GV87">
        <f t="shared" ca="1" si="264"/>
        <v>0</v>
      </c>
      <c r="GW87">
        <f t="shared" ca="1" si="265"/>
        <v>3985</v>
      </c>
      <c r="GX87">
        <f t="shared" ca="1" si="266"/>
        <v>0</v>
      </c>
      <c r="GY87">
        <f t="shared" ca="1" si="267"/>
        <v>0</v>
      </c>
      <c r="GZ87">
        <f t="shared" ca="1" si="268"/>
        <v>0</v>
      </c>
    </row>
    <row r="88" spans="1:208" x14ac:dyDescent="0.25">
      <c r="A88">
        <f>_xlfn.AGGREGATE(3,5,$B$2:B88)</f>
        <v>87</v>
      </c>
      <c r="B88" t="s">
        <v>291</v>
      </c>
      <c r="C88" t="s">
        <v>292</v>
      </c>
      <c r="D88" t="s">
        <v>773</v>
      </c>
      <c r="E88" t="s">
        <v>831</v>
      </c>
      <c r="F88" t="s">
        <v>957</v>
      </c>
      <c r="G88" t="s">
        <v>879</v>
      </c>
      <c r="H88">
        <f t="shared" si="178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179"/>
        <v>3780.0000000000005</v>
      </c>
      <c r="L88">
        <f t="shared" si="180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>IF(J88&gt;0,SUM(J88:N88),0)</f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269"/>
        <v>150</v>
      </c>
      <c r="S88">
        <f t="shared" si="181"/>
        <v>32370</v>
      </c>
      <c r="T88">
        <f>_xlfn.XLOOKUP(B88,'[2]april-2025'!$A:$A,'[2]april-2025'!$C:$C,0,0)</f>
        <v>27000</v>
      </c>
      <c r="U88">
        <f t="shared" si="182"/>
        <v>4860</v>
      </c>
      <c r="V88">
        <f t="shared" si="183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184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185"/>
        <v>150</v>
      </c>
      <c r="AC88">
        <f t="shared" si="186"/>
        <v>33450</v>
      </c>
      <c r="AD88">
        <f>_xlfn.XLOOKUP(B88,'[3]may-2025'!$A:$A,'[3]may-2025'!$C:$C,0,0)</f>
        <v>31600</v>
      </c>
      <c r="AE88">
        <f t="shared" si="187"/>
        <v>5688</v>
      </c>
      <c r="AF88">
        <f t="shared" si="188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189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190"/>
        <v>200</v>
      </c>
      <c r="AM88">
        <f t="shared" si="191"/>
        <v>39380</v>
      </c>
      <c r="AN88">
        <f>_xlfn.XLOOKUP(B88,'[4]june-2025'!$A:$A,'[4]june-2025'!$C:$C,0,0)</f>
        <v>31600</v>
      </c>
      <c r="AO88">
        <f t="shared" si="192"/>
        <v>5688</v>
      </c>
      <c r="AP88">
        <f t="shared" si="193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194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195"/>
        <v>200</v>
      </c>
      <c r="AW88">
        <f t="shared" si="196"/>
        <v>39380</v>
      </c>
      <c r="AX88">
        <f>_xlfn.XLOOKUP(B88,'[5]july-2025'!$A:$A,'[5]july-2025'!$C:$C,0,0)</f>
        <v>32500</v>
      </c>
      <c r="AY88">
        <f t="shared" si="197"/>
        <v>5850</v>
      </c>
      <c r="AZ88">
        <v>0</v>
      </c>
      <c r="BA88">
        <f t="shared" si="198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>IF(AX88&gt;0,SUM(AX88:BC88),0)</f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199"/>
        <v>200</v>
      </c>
      <c r="BH88">
        <f t="shared" si="200"/>
        <v>40550</v>
      </c>
      <c r="BI88">
        <f>_xlfn.XLOOKUP(B88,'[6]august-2025'!$A:$A,'[6]august-2025'!$C:$C,0,0)</f>
        <v>32500</v>
      </c>
      <c r="BJ88">
        <f t="shared" si="201"/>
        <v>5850</v>
      </c>
      <c r="BK88">
        <f t="shared" si="202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03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>IF($F88="YES",0,IF(BN88&gt;40000,200,IF(BN88&gt;25000,150,IF(BN88&gt;15000,130,IF(BN88&gt;10000,110,0)))))</f>
        <v>200</v>
      </c>
      <c r="BR88">
        <f>BN88-BO88-BP88-BQ88</f>
        <v>40550</v>
      </c>
      <c r="BS88">
        <f>_xlfn.XLOOKUP(B88,'[7]september-2025'!$A:$A,'[7]september-2025'!$C:$C,0,0)</f>
        <v>32500</v>
      </c>
      <c r="BT88">
        <f t="shared" si="204"/>
        <v>5850</v>
      </c>
      <c r="BU88">
        <f t="shared" si="205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>IF(BS88&gt;0,SUM(BS88:BW88),0)</f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06"/>
        <v>200</v>
      </c>
      <c r="CB88">
        <f t="shared" si="207"/>
        <v>40550</v>
      </c>
      <c r="CC88">
        <f>_xlfn.XLOOKUP(B88,'[8]october-2025'!$A:$A,'[8]october-2025'!$C:$C,0,0)</f>
        <v>32500</v>
      </c>
      <c r="CD88">
        <f t="shared" si="208"/>
        <v>5850</v>
      </c>
      <c r="CE88">
        <f t="shared" si="209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>IF(CC88&gt;0,SUM(CC88:CG88),0)</f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10"/>
        <v>200</v>
      </c>
      <c r="CL88">
        <f t="shared" si="211"/>
        <v>40550</v>
      </c>
      <c r="CM88">
        <f>_xlfn.XLOOKUP(B88,'[9]november-2025'!$A:$A,'[9]november-2025'!$C:$C,0,0)</f>
        <v>32500</v>
      </c>
      <c r="CN88">
        <f t="shared" si="212"/>
        <v>5850</v>
      </c>
      <c r="CO88">
        <f t="shared" si="213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>IF(CM88&gt;0,SUM(CM88:CQ88),0)</f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14"/>
        <v>200</v>
      </c>
      <c r="CV88">
        <f t="shared" si="215"/>
        <v>40550</v>
      </c>
      <c r="CW88">
        <f>_xlfn.XLOOKUP(B88,'[10]december-2025'!$A:$A,'[10]december-2025'!$C:$C,0,0)</f>
        <v>32500</v>
      </c>
      <c r="CX88">
        <f t="shared" si="216"/>
        <v>5850</v>
      </c>
      <c r="CY88">
        <f t="shared" si="217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>IF(CW88&gt;0,SUM(CW88:DA88),0)</f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18"/>
        <v>200</v>
      </c>
      <c r="DF88">
        <f t="shared" si="219"/>
        <v>40550</v>
      </c>
      <c r="DG88">
        <f>_xlfn.XLOOKUP(B88,'[11]january-2026'!$A:$A,'[11]january-2026'!$C:$C,0,0)</f>
        <v>32500</v>
      </c>
      <c r="DH88">
        <f t="shared" si="220"/>
        <v>5850</v>
      </c>
      <c r="DI88">
        <f t="shared" si="221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>IF(DG88&gt;0,SUM(DG88:DK88),0)</f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22"/>
        <v>200</v>
      </c>
      <c r="DP88">
        <f t="shared" si="223"/>
        <v>40550</v>
      </c>
      <c r="DQ88">
        <f>_xlfn.XLOOKUP(B88,'[12]february-2026'!$A:$A,'[12]february-2026'!$C:$C,0,0)</f>
        <v>32500</v>
      </c>
      <c r="DR88">
        <f t="shared" si="224"/>
        <v>5850</v>
      </c>
      <c r="DS88">
        <f t="shared" si="225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>IF(DQ88&gt;0,SUM(DQ88:DU88),0)</f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26"/>
        <v>200</v>
      </c>
      <c r="DZ88">
        <f t="shared" si="227"/>
        <v>40550</v>
      </c>
      <c r="EA88">
        <f>_xlfn.XLOOKUP(B88,'[1]march-2025'!$A:$A,'[1]march-2025'!$J:$J,0,0)</f>
        <v>0</v>
      </c>
      <c r="EB88">
        <f>_xlfn.XLOOKUP(B88,'[2]april-2025'!$A:$A,'[2]april-2025'!$J:$J,0,0)</f>
        <v>0</v>
      </c>
      <c r="EC88">
        <f>_xlfn.XLOOKUP(B88,'[3]may-2025'!$A:$A,'[3]may-2025'!$J:$J,0,0)</f>
        <v>0</v>
      </c>
      <c r="ED88">
        <f>_xlfn.XLOOKUP(B88,'[4]june-2025'!$A:$A,'[4]june-2025'!$J:$J,0,0)</f>
        <v>0</v>
      </c>
      <c r="EE88">
        <f>_xlfn.XLOOKUP(B88,'[5]july-2025'!$A:$A,'[5]july-2025'!$J:$J,0,0)</f>
        <v>0</v>
      </c>
      <c r="EF88">
        <f>_xlfn.XLOOKUP(B88,'[6]august-2025'!$A:$A,'[6]august-2025'!$J:$J,0,0)</f>
        <v>0</v>
      </c>
      <c r="EG88">
        <f>_xlfn.XLOOKUP(B88,'[7]september-2025'!$A:$A,'[7]september-2025'!$J:$J,0,0)</f>
        <v>0</v>
      </c>
      <c r="EH88">
        <f>_xlfn.XLOOKUP(B88,'[8]october-2025'!$A:$A,'[8]october-2025'!$J:$J,0,0)</f>
        <v>0</v>
      </c>
      <c r="EI88">
        <f>_xlfn.XLOOKUP(C88,'[9]november-2025'!$A:$A,'[9]november-2025'!$J:$J,0,0)</f>
        <v>0</v>
      </c>
      <c r="EJ88">
        <f>_xlfn.XLOOKUP(B88,'[10]december-2025'!$A:$A,'[10]december-2025'!$J:$J,0,0)</f>
        <v>0</v>
      </c>
      <c r="EK88">
        <f>_xlfn.XLOOKUP(B88,'[11]january-2026'!$A:$A,'[11]january-2026'!$J:$J,0,0)</f>
        <v>0</v>
      </c>
      <c r="EL88">
        <f>_xlfn.XLOOKUP(B88,'[12]february-2026'!$A:$A,'[12]february-2026'!$J:$J,0,0)</f>
        <v>0</v>
      </c>
      <c r="EM88">
        <f t="shared" si="228"/>
        <v>0</v>
      </c>
      <c r="EN88">
        <f>DV88+DL88+DB88+CR88+CH88+BX88+BN88+BD88+AS88+AI88+Y88+O88+H88+I88</f>
        <v>502080</v>
      </c>
      <c r="EO88">
        <f>DY88+DO88+DE88+CU88+CK88+CA88+BQ88+BG88+AV88+AL88+AB88+R88</f>
        <v>2300</v>
      </c>
      <c r="EP88">
        <f t="shared" si="229"/>
        <v>50000</v>
      </c>
      <c r="EQ88">
        <v>0</v>
      </c>
      <c r="ER88">
        <f t="shared" si="230"/>
        <v>449780</v>
      </c>
      <c r="ES88">
        <f>DW88+DM88+DC88+CS88+CI88+BY88+BO88+BE88+AT88+AJ88+Z88+P88</f>
        <v>24000</v>
      </c>
      <c r="ET88">
        <f>DX88+DN88+DD88+CT88+CJ88+BZ88+BP88+BF88+AU88+AK88+AA88+Q88</f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231"/>
        <v>24000</v>
      </c>
      <c r="FF88">
        <f t="shared" si="232"/>
        <v>24000</v>
      </c>
      <c r="FG88">
        <f t="shared" si="233"/>
        <v>425780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>SUM(FH88:FN88)+(IF(F88="YES",50000,0))</f>
        <v>0</v>
      </c>
      <c r="FP88">
        <f t="shared" si="234"/>
        <v>425780</v>
      </c>
      <c r="FQ88">
        <f t="shared" si="235"/>
        <v>8789</v>
      </c>
      <c r="FR88">
        <f t="shared" si="236"/>
        <v>0</v>
      </c>
      <c r="FS88">
        <f t="shared" si="237"/>
        <v>8789</v>
      </c>
      <c r="FT88">
        <f t="shared" si="238"/>
        <v>0</v>
      </c>
      <c r="FU88">
        <f t="shared" si="239"/>
        <v>0</v>
      </c>
      <c r="FV88">
        <f t="shared" si="240"/>
        <v>0</v>
      </c>
      <c r="FW88">
        <v>0</v>
      </c>
      <c r="FX88">
        <f t="shared" si="241"/>
        <v>0</v>
      </c>
      <c r="FY88" t="b">
        <f t="shared" si="242"/>
        <v>1</v>
      </c>
      <c r="FZ88">
        <f t="shared" ca="1" si="243"/>
        <v>930</v>
      </c>
      <c r="GA88">
        <f t="shared" ca="1" si="244"/>
        <v>503010</v>
      </c>
      <c r="GB88">
        <f t="shared" si="245"/>
        <v>75000</v>
      </c>
      <c r="GC88">
        <f t="shared" ca="1" si="246"/>
        <v>428010</v>
      </c>
      <c r="GD88">
        <f t="shared" ca="1" si="247"/>
        <v>0</v>
      </c>
      <c r="GE88">
        <f t="shared" ca="1" si="248"/>
        <v>0</v>
      </c>
      <c r="GF88">
        <f t="shared" ca="1" si="249"/>
        <v>0</v>
      </c>
      <c r="GG88">
        <f t="shared" ca="1" si="250"/>
        <v>0</v>
      </c>
      <c r="GH88">
        <f t="shared" ca="1" si="251"/>
        <v>0</v>
      </c>
      <c r="GI88">
        <f t="shared" ca="1" si="252"/>
        <v>0</v>
      </c>
      <c r="GJ88">
        <f ca="1">IF(GC88&gt;1200000,GC88-1200000-IF(F88="YES",50000,0)-GH88,0)</f>
        <v>0</v>
      </c>
      <c r="GK88">
        <f t="shared" ca="1" si="253"/>
        <v>0</v>
      </c>
      <c r="GL88">
        <f t="shared" ca="1" si="254"/>
        <v>0</v>
      </c>
      <c r="GM88">
        <f t="shared" ca="1" si="255"/>
        <v>0</v>
      </c>
      <c r="GN88">
        <f t="shared" ca="1" si="256"/>
        <v>28010</v>
      </c>
      <c r="GO88">
        <f t="shared" ca="1" si="257"/>
        <v>1400.5</v>
      </c>
      <c r="GP88">
        <f t="shared" ca="1" si="258"/>
        <v>1401</v>
      </c>
      <c r="GQ88">
        <f t="shared" ca="1" si="259"/>
        <v>0</v>
      </c>
      <c r="GR88">
        <f t="shared" ca="1" si="260"/>
        <v>0</v>
      </c>
      <c r="GS88">
        <f t="shared" ca="1" si="261"/>
        <v>1401</v>
      </c>
      <c r="GT88">
        <f t="shared" ca="1" si="262"/>
        <v>0</v>
      </c>
      <c r="GU88" t="b">
        <f t="shared" ca="1" si="263"/>
        <v>0</v>
      </c>
      <c r="GV88">
        <f t="shared" ca="1" si="264"/>
        <v>0</v>
      </c>
      <c r="GW88">
        <f t="shared" ca="1" si="265"/>
        <v>1401</v>
      </c>
      <c r="GX88">
        <f t="shared" ca="1" si="266"/>
        <v>0</v>
      </c>
      <c r="GY88">
        <f t="shared" ca="1" si="267"/>
        <v>0</v>
      </c>
      <c r="GZ88">
        <f t="shared" ca="1" si="268"/>
        <v>0</v>
      </c>
    </row>
    <row r="89" spans="1:208" x14ac:dyDescent="0.25">
      <c r="A89">
        <f>_xlfn.AGGREGATE(3,5,$B$2:B89)</f>
        <v>88</v>
      </c>
      <c r="B89" t="s">
        <v>293</v>
      </c>
      <c r="C89" t="s">
        <v>294</v>
      </c>
      <c r="D89" t="s">
        <v>774</v>
      </c>
      <c r="E89" t="s">
        <v>831</v>
      </c>
      <c r="F89" t="s">
        <v>957</v>
      </c>
      <c r="G89" t="s">
        <v>914</v>
      </c>
      <c r="H89">
        <f t="shared" si="178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179"/>
        <v>7756.0000000000009</v>
      </c>
      <c r="L89">
        <f t="shared" si="180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>IF(J89&gt;0,SUM(J89:N89),0)</f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269"/>
        <v>200</v>
      </c>
      <c r="S89">
        <f t="shared" si="181"/>
        <v>65504</v>
      </c>
      <c r="T89">
        <f>_xlfn.XLOOKUP(B89,'[2]april-2025'!$A:$A,'[2]april-2025'!$C:$C,0,0)</f>
        <v>55400</v>
      </c>
      <c r="U89">
        <f t="shared" si="182"/>
        <v>9972</v>
      </c>
      <c r="V89">
        <f t="shared" si="183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184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185"/>
        <v>200</v>
      </c>
      <c r="AC89">
        <f t="shared" si="186"/>
        <v>67720</v>
      </c>
      <c r="AD89">
        <f>_xlfn.XLOOKUP(B89,'[3]may-2025'!$A:$A,'[3]may-2025'!$C:$C,0,0)</f>
        <v>55400</v>
      </c>
      <c r="AE89">
        <f t="shared" si="187"/>
        <v>9972</v>
      </c>
      <c r="AF89">
        <f t="shared" si="188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189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190"/>
        <v>200</v>
      </c>
      <c r="AM89">
        <f t="shared" si="191"/>
        <v>67720</v>
      </c>
      <c r="AN89">
        <f>_xlfn.XLOOKUP(B89,'[4]june-2025'!$A:$A,'[4]june-2025'!$C:$C,0,0)</f>
        <v>55400</v>
      </c>
      <c r="AO89">
        <f t="shared" si="192"/>
        <v>9972</v>
      </c>
      <c r="AP89">
        <f t="shared" si="193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194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195"/>
        <v>200</v>
      </c>
      <c r="AW89">
        <f t="shared" si="196"/>
        <v>67720</v>
      </c>
      <c r="AX89">
        <f>_xlfn.XLOOKUP(B89,'[5]july-2025'!$A:$A,'[5]july-2025'!$C:$C,0,0)</f>
        <v>57100</v>
      </c>
      <c r="AY89">
        <f t="shared" si="197"/>
        <v>10278</v>
      </c>
      <c r="AZ89">
        <v>0</v>
      </c>
      <c r="BA89">
        <f t="shared" si="198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>IF(AX89&gt;0,SUM(AX89:BC89),0)</f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199"/>
        <v>200</v>
      </c>
      <c r="BH89">
        <f t="shared" si="200"/>
        <v>69930</v>
      </c>
      <c r="BI89">
        <f>_xlfn.XLOOKUP(B89,'[6]august-2025'!$A:$A,'[6]august-2025'!$C:$C,0,0)</f>
        <v>57100</v>
      </c>
      <c r="BJ89">
        <f t="shared" si="201"/>
        <v>10278</v>
      </c>
      <c r="BK89">
        <f t="shared" si="202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03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>IF($F89="YES",0,IF(BN89&gt;40000,200,IF(BN89&gt;25000,150,IF(BN89&gt;15000,130,IF(BN89&gt;10000,110,0)))))</f>
        <v>200</v>
      </c>
      <c r="BR89">
        <f>BN89-BO89-BP89-BQ89</f>
        <v>69930</v>
      </c>
      <c r="BS89">
        <f>_xlfn.XLOOKUP(B89,'[7]september-2025'!$A:$A,'[7]september-2025'!$C:$C,0,0)</f>
        <v>57100</v>
      </c>
      <c r="BT89">
        <f t="shared" si="204"/>
        <v>10278</v>
      </c>
      <c r="BU89">
        <f t="shared" si="205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>IF(BS89&gt;0,SUM(BS89:BW89),0)</f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06"/>
        <v>200</v>
      </c>
      <c r="CB89">
        <f t="shared" si="207"/>
        <v>69930</v>
      </c>
      <c r="CC89">
        <f>_xlfn.XLOOKUP(B89,'[8]october-2025'!$A:$A,'[8]october-2025'!$C:$C,0,0)</f>
        <v>57100</v>
      </c>
      <c r="CD89">
        <f t="shared" si="208"/>
        <v>10278</v>
      </c>
      <c r="CE89">
        <f t="shared" si="209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>IF(CC89&gt;0,SUM(CC89:CG89),0)</f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10"/>
        <v>200</v>
      </c>
      <c r="CL89">
        <f t="shared" si="211"/>
        <v>69930</v>
      </c>
      <c r="CM89">
        <f>_xlfn.XLOOKUP(B89,'[9]november-2025'!$A:$A,'[9]november-2025'!$C:$C,0,0)</f>
        <v>57100</v>
      </c>
      <c r="CN89">
        <f t="shared" si="212"/>
        <v>10278</v>
      </c>
      <c r="CO89">
        <f t="shared" si="213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>IF(CM89&gt;0,SUM(CM89:CQ89),0)</f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14"/>
        <v>200</v>
      </c>
      <c r="CV89">
        <f t="shared" si="215"/>
        <v>69930</v>
      </c>
      <c r="CW89">
        <f>_xlfn.XLOOKUP(B89,'[10]december-2025'!$A:$A,'[10]december-2025'!$C:$C,0,0)</f>
        <v>57100</v>
      </c>
      <c r="CX89">
        <f t="shared" si="216"/>
        <v>10278</v>
      </c>
      <c r="CY89">
        <f t="shared" si="217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>IF(CW89&gt;0,SUM(CW89:DA89),0)</f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18"/>
        <v>200</v>
      </c>
      <c r="DF89">
        <f t="shared" si="219"/>
        <v>69930</v>
      </c>
      <c r="DG89">
        <f>_xlfn.XLOOKUP(B89,'[11]january-2026'!$A:$A,'[11]january-2026'!$C:$C,0,0)</f>
        <v>57100</v>
      </c>
      <c r="DH89">
        <f t="shared" si="220"/>
        <v>10278</v>
      </c>
      <c r="DI89">
        <f t="shared" si="221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>IF(DG89&gt;0,SUM(DG89:DK89),0)</f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22"/>
        <v>200</v>
      </c>
      <c r="DP89">
        <f t="shared" si="223"/>
        <v>69930</v>
      </c>
      <c r="DQ89">
        <f>_xlfn.XLOOKUP(B89,'[12]february-2026'!$A:$A,'[12]february-2026'!$C:$C,0,0)</f>
        <v>57100</v>
      </c>
      <c r="DR89">
        <f t="shared" si="224"/>
        <v>10278</v>
      </c>
      <c r="DS89">
        <f t="shared" si="225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>IF(DQ89&gt;0,SUM(DQ89:DU89),0)</f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26"/>
        <v>200</v>
      </c>
      <c r="DZ89">
        <f t="shared" si="227"/>
        <v>69930</v>
      </c>
      <c r="EA89">
        <f>_xlfn.XLOOKUP(B89,'[1]march-2025'!$A:$A,'[1]march-2025'!$J:$J,0,0)</f>
        <v>0</v>
      </c>
      <c r="EB89">
        <f>_xlfn.XLOOKUP(B89,'[2]april-2025'!$A:$A,'[2]april-2025'!$J:$J,0,0)</f>
        <v>0</v>
      </c>
      <c r="EC89">
        <f>_xlfn.XLOOKUP(B89,'[3]may-2025'!$A:$A,'[3]may-2025'!$J:$J,0,0)</f>
        <v>0</v>
      </c>
      <c r="ED89">
        <f>_xlfn.XLOOKUP(B89,'[4]june-2025'!$A:$A,'[4]june-2025'!$J:$J,0,0)</f>
        <v>0</v>
      </c>
      <c r="EE89">
        <f>_xlfn.XLOOKUP(B89,'[5]july-2025'!$A:$A,'[5]july-2025'!$J:$J,0,0)</f>
        <v>0</v>
      </c>
      <c r="EF89">
        <f>_xlfn.XLOOKUP(B89,'[6]august-2025'!$A:$A,'[6]august-2025'!$J:$J,0,0)</f>
        <v>0</v>
      </c>
      <c r="EG89">
        <f>_xlfn.XLOOKUP(B89,'[7]september-2025'!$A:$A,'[7]september-2025'!$J:$J,0,0)</f>
        <v>0</v>
      </c>
      <c r="EH89">
        <f>_xlfn.XLOOKUP(B89,'[8]october-2025'!$A:$A,'[8]october-2025'!$J:$J,0,0)</f>
        <v>0</v>
      </c>
      <c r="EI89">
        <f>_xlfn.XLOOKUP(C89,'[9]november-2025'!$A:$A,'[9]november-2025'!$J:$J,0,0)</f>
        <v>0</v>
      </c>
      <c r="EJ89">
        <f>_xlfn.XLOOKUP(B89,'[10]december-2025'!$A:$A,'[10]december-2025'!$J:$J,0,0)</f>
        <v>0</v>
      </c>
      <c r="EK89">
        <f>_xlfn.XLOOKUP(B89,'[11]january-2026'!$A:$A,'[11]january-2026'!$J:$J,0,0)</f>
        <v>0</v>
      </c>
      <c r="EL89">
        <f>_xlfn.XLOOKUP(B89,'[12]february-2026'!$A:$A,'[12]february-2026'!$J:$J,0,0)</f>
        <v>0</v>
      </c>
      <c r="EM89">
        <f t="shared" si="228"/>
        <v>0</v>
      </c>
      <c r="EN89">
        <f>DV89+DL89+DB89+CR89+CH89+BX89+BN89+BD89+AS89+AI89+Y89+O89+H89+I89</f>
        <v>897304</v>
      </c>
      <c r="EO89">
        <f>DY89+DO89+DE89+CU89+CK89+CA89+BQ89+BG89+AV89+AL89+AB89+R89</f>
        <v>2400</v>
      </c>
      <c r="EP89">
        <f t="shared" si="229"/>
        <v>50000</v>
      </c>
      <c r="EQ89">
        <v>0</v>
      </c>
      <c r="ER89">
        <f t="shared" si="230"/>
        <v>844904</v>
      </c>
      <c r="ES89">
        <f>DW89+DM89+DC89+CS89+CI89+BY89+BO89+BE89+AT89+AJ89+Z89+P89</f>
        <v>60000</v>
      </c>
      <c r="ET89">
        <f>DX89+DN89+DD89+CT89+CJ89+BZ89+BP89+BF89+AU89+AK89+AA89+Q89</f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231"/>
        <v>60000</v>
      </c>
      <c r="FF89">
        <f t="shared" si="232"/>
        <v>60000</v>
      </c>
      <c r="FG89">
        <f t="shared" si="233"/>
        <v>784904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>SUM(FH89:FN89)+(IF(F89="YES",50000,0))</f>
        <v>0</v>
      </c>
      <c r="FP89">
        <f t="shared" si="234"/>
        <v>784904</v>
      </c>
      <c r="FQ89">
        <f t="shared" si="235"/>
        <v>12500</v>
      </c>
      <c r="FR89">
        <f t="shared" si="236"/>
        <v>56981</v>
      </c>
      <c r="FS89">
        <f t="shared" si="237"/>
        <v>69481</v>
      </c>
      <c r="FT89">
        <f t="shared" si="238"/>
        <v>69481</v>
      </c>
      <c r="FU89">
        <f t="shared" si="239"/>
        <v>2779.2400000000002</v>
      </c>
      <c r="FV89">
        <f t="shared" si="240"/>
        <v>72260</v>
      </c>
      <c r="FW89">
        <v>0</v>
      </c>
      <c r="FX89">
        <f t="shared" si="241"/>
        <v>72260</v>
      </c>
      <c r="FY89" t="b">
        <f t="shared" si="242"/>
        <v>1</v>
      </c>
      <c r="FZ89">
        <f t="shared" ca="1" si="243"/>
        <v>840</v>
      </c>
      <c r="GA89">
        <f t="shared" ca="1" si="244"/>
        <v>898144</v>
      </c>
      <c r="GB89">
        <f t="shared" si="245"/>
        <v>75000</v>
      </c>
      <c r="GC89">
        <f t="shared" ca="1" si="246"/>
        <v>823144</v>
      </c>
      <c r="GD89">
        <f t="shared" ca="1" si="247"/>
        <v>0</v>
      </c>
      <c r="GE89">
        <f t="shared" ca="1" si="248"/>
        <v>0</v>
      </c>
      <c r="GF89">
        <f t="shared" ca="1" si="249"/>
        <v>0</v>
      </c>
      <c r="GG89">
        <f t="shared" ca="1" si="250"/>
        <v>0</v>
      </c>
      <c r="GH89">
        <f t="shared" ca="1" si="251"/>
        <v>0</v>
      </c>
      <c r="GI89">
        <f t="shared" ca="1" si="252"/>
        <v>0</v>
      </c>
      <c r="GJ89">
        <f ca="1">IF(GC89&gt;1200000,GC89-1200000-IF(F89="YES",50000,0)-GH89,0)</f>
        <v>0</v>
      </c>
      <c r="GK89">
        <f t="shared" ca="1" si="253"/>
        <v>0</v>
      </c>
      <c r="GL89">
        <f t="shared" ca="1" si="254"/>
        <v>23144</v>
      </c>
      <c r="GM89">
        <f t="shared" ca="1" si="255"/>
        <v>2314.4</v>
      </c>
      <c r="GN89">
        <f t="shared" ca="1" si="256"/>
        <v>400000</v>
      </c>
      <c r="GO89">
        <f t="shared" ca="1" si="257"/>
        <v>20000</v>
      </c>
      <c r="GP89">
        <f t="shared" ca="1" si="258"/>
        <v>22314</v>
      </c>
      <c r="GQ89">
        <f t="shared" ca="1" si="259"/>
        <v>0</v>
      </c>
      <c r="GR89">
        <f t="shared" ca="1" si="260"/>
        <v>0</v>
      </c>
      <c r="GS89">
        <f t="shared" ca="1" si="261"/>
        <v>22314</v>
      </c>
      <c r="GT89">
        <f t="shared" ca="1" si="262"/>
        <v>0</v>
      </c>
      <c r="GU89" t="b">
        <f t="shared" ca="1" si="263"/>
        <v>0</v>
      </c>
      <c r="GV89">
        <f t="shared" ca="1" si="264"/>
        <v>0</v>
      </c>
      <c r="GW89">
        <f t="shared" ca="1" si="265"/>
        <v>22314</v>
      </c>
      <c r="GX89">
        <f t="shared" ca="1" si="266"/>
        <v>0</v>
      </c>
      <c r="GY89">
        <f t="shared" ca="1" si="267"/>
        <v>0</v>
      </c>
      <c r="GZ89">
        <f t="shared" ca="1" si="268"/>
        <v>0</v>
      </c>
    </row>
    <row r="90" spans="1:208" x14ac:dyDescent="0.25">
      <c r="A90">
        <f>_xlfn.AGGREGATE(3,5,$B$2:B90)</f>
        <v>89</v>
      </c>
      <c r="B90" t="s">
        <v>295</v>
      </c>
      <c r="C90" t="s">
        <v>296</v>
      </c>
      <c r="D90" t="s">
        <v>774</v>
      </c>
      <c r="E90" t="s">
        <v>831</v>
      </c>
      <c r="F90" t="s">
        <v>957</v>
      </c>
      <c r="G90" t="s">
        <v>876</v>
      </c>
      <c r="H90">
        <f t="shared" si="178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179"/>
        <v>6622.0000000000009</v>
      </c>
      <c r="L90">
        <f t="shared" si="180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>IF(J90&gt;0,SUM(J90:N90),0)</f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269"/>
        <v>200</v>
      </c>
      <c r="S90">
        <f t="shared" si="181"/>
        <v>56838</v>
      </c>
      <c r="T90">
        <f>_xlfn.XLOOKUP(B90,'[2]april-2025'!$A:$A,'[2]april-2025'!$C:$C,0,0)</f>
        <v>47300</v>
      </c>
      <c r="U90">
        <f t="shared" si="182"/>
        <v>8514</v>
      </c>
      <c r="V90">
        <f t="shared" si="183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184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185"/>
        <v>200</v>
      </c>
      <c r="AC90">
        <f t="shared" si="186"/>
        <v>58730</v>
      </c>
      <c r="AD90">
        <f>_xlfn.XLOOKUP(B90,'[3]may-2025'!$A:$A,'[3]may-2025'!$C:$C,0,0)</f>
        <v>47300</v>
      </c>
      <c r="AE90">
        <f t="shared" si="187"/>
        <v>8514</v>
      </c>
      <c r="AF90">
        <f t="shared" si="188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189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190"/>
        <v>200</v>
      </c>
      <c r="AM90">
        <f t="shared" si="191"/>
        <v>58730</v>
      </c>
      <c r="AN90">
        <f>_xlfn.XLOOKUP(B90,'[4]june-2025'!$A:$A,'[4]june-2025'!$C:$C,0,0)</f>
        <v>47300</v>
      </c>
      <c r="AO90">
        <f t="shared" si="192"/>
        <v>8514</v>
      </c>
      <c r="AP90">
        <f t="shared" si="193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194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195"/>
        <v>200</v>
      </c>
      <c r="AW90">
        <f t="shared" si="196"/>
        <v>58730</v>
      </c>
      <c r="AX90">
        <f>_xlfn.XLOOKUP(B90,'[5]july-2025'!$A:$A,'[5]july-2025'!$C:$C,0,0)</f>
        <v>48700</v>
      </c>
      <c r="AY90">
        <f t="shared" si="197"/>
        <v>8766</v>
      </c>
      <c r="AZ90">
        <v>0</v>
      </c>
      <c r="BA90">
        <f t="shared" si="198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>IF(AX90&gt;0,SUM(AX90:BC90),0)</f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199"/>
        <v>200</v>
      </c>
      <c r="BH90">
        <f t="shared" si="200"/>
        <v>60550</v>
      </c>
      <c r="BI90">
        <f>_xlfn.XLOOKUP(B90,'[6]august-2025'!$A:$A,'[6]august-2025'!$C:$C,0,0)</f>
        <v>48700</v>
      </c>
      <c r="BJ90">
        <f t="shared" si="201"/>
        <v>8766</v>
      </c>
      <c r="BK90">
        <f t="shared" si="202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03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>IF($F90="YES",0,IF(BN90&gt;40000,200,IF(BN90&gt;25000,150,IF(BN90&gt;15000,130,IF(BN90&gt;10000,110,0)))))</f>
        <v>200</v>
      </c>
      <c r="BR90">
        <f>BN90-BO90-BP90-BQ90</f>
        <v>60550</v>
      </c>
      <c r="BS90">
        <f>_xlfn.XLOOKUP(B90,'[7]september-2025'!$A:$A,'[7]september-2025'!$C:$C,0,0)</f>
        <v>48700</v>
      </c>
      <c r="BT90">
        <f t="shared" si="204"/>
        <v>8766</v>
      </c>
      <c r="BU90">
        <f t="shared" si="205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>IF(BS90&gt;0,SUM(BS90:BW90),0)</f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06"/>
        <v>200</v>
      </c>
      <c r="CB90">
        <f t="shared" si="207"/>
        <v>60550</v>
      </c>
      <c r="CC90">
        <f>_xlfn.XLOOKUP(B90,'[8]october-2025'!$A:$A,'[8]october-2025'!$C:$C,0,0)</f>
        <v>48700</v>
      </c>
      <c r="CD90">
        <f t="shared" si="208"/>
        <v>8766</v>
      </c>
      <c r="CE90">
        <f t="shared" si="209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>IF(CC90&gt;0,SUM(CC90:CG90),0)</f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10"/>
        <v>200</v>
      </c>
      <c r="CL90">
        <f t="shared" si="211"/>
        <v>60550</v>
      </c>
      <c r="CM90">
        <f>_xlfn.XLOOKUP(B90,'[9]november-2025'!$A:$A,'[9]november-2025'!$C:$C,0,0)</f>
        <v>48700</v>
      </c>
      <c r="CN90">
        <f t="shared" si="212"/>
        <v>8766</v>
      </c>
      <c r="CO90">
        <f t="shared" si="213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>IF(CM90&gt;0,SUM(CM90:CQ90),0)</f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14"/>
        <v>200</v>
      </c>
      <c r="CV90">
        <f t="shared" si="215"/>
        <v>60550</v>
      </c>
      <c r="CW90">
        <f>_xlfn.XLOOKUP(B90,'[10]december-2025'!$A:$A,'[10]december-2025'!$C:$C,0,0)</f>
        <v>48700</v>
      </c>
      <c r="CX90">
        <f t="shared" si="216"/>
        <v>8766</v>
      </c>
      <c r="CY90">
        <f t="shared" si="217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>IF(CW90&gt;0,SUM(CW90:DA90),0)</f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18"/>
        <v>200</v>
      </c>
      <c r="DF90">
        <f t="shared" si="219"/>
        <v>60550</v>
      </c>
      <c r="DG90">
        <f>_xlfn.XLOOKUP(B90,'[11]january-2026'!$A:$A,'[11]january-2026'!$C:$C,0,0)</f>
        <v>48700</v>
      </c>
      <c r="DH90">
        <f t="shared" si="220"/>
        <v>8766</v>
      </c>
      <c r="DI90">
        <f t="shared" si="221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>IF(DG90&gt;0,SUM(DG90:DK90),0)</f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22"/>
        <v>200</v>
      </c>
      <c r="DP90">
        <f t="shared" si="223"/>
        <v>60550</v>
      </c>
      <c r="DQ90">
        <f>_xlfn.XLOOKUP(B90,'[12]february-2026'!$A:$A,'[12]february-2026'!$C:$C,0,0)</f>
        <v>48700</v>
      </c>
      <c r="DR90">
        <f t="shared" si="224"/>
        <v>8766</v>
      </c>
      <c r="DS90">
        <f t="shared" si="225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>IF(DQ90&gt;0,SUM(DQ90:DU90),0)</f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26"/>
        <v>200</v>
      </c>
      <c r="DZ90">
        <f t="shared" si="227"/>
        <v>60550</v>
      </c>
      <c r="EA90">
        <f>_xlfn.XLOOKUP(B90,'[1]march-2025'!$A:$A,'[1]march-2025'!$J:$J,0,0)</f>
        <v>0</v>
      </c>
      <c r="EB90">
        <f>_xlfn.XLOOKUP(B90,'[2]april-2025'!$A:$A,'[2]april-2025'!$J:$J,0,0)</f>
        <v>0</v>
      </c>
      <c r="EC90">
        <f>_xlfn.XLOOKUP(B90,'[3]may-2025'!$A:$A,'[3]may-2025'!$J:$J,0,0)</f>
        <v>0</v>
      </c>
      <c r="ED90">
        <f>_xlfn.XLOOKUP(B90,'[4]june-2025'!$A:$A,'[4]june-2025'!$J:$J,0,0)</f>
        <v>0</v>
      </c>
      <c r="EE90">
        <f>_xlfn.XLOOKUP(B90,'[5]july-2025'!$A:$A,'[5]july-2025'!$J:$J,0,0)</f>
        <v>0</v>
      </c>
      <c r="EF90">
        <f>_xlfn.XLOOKUP(B90,'[6]august-2025'!$A:$A,'[6]august-2025'!$J:$J,0,0)</f>
        <v>0</v>
      </c>
      <c r="EG90">
        <f>_xlfn.XLOOKUP(B90,'[7]september-2025'!$A:$A,'[7]september-2025'!$J:$J,0,0)</f>
        <v>0</v>
      </c>
      <c r="EH90">
        <f>_xlfn.XLOOKUP(B90,'[8]october-2025'!$A:$A,'[8]october-2025'!$J:$J,0,0)</f>
        <v>0</v>
      </c>
      <c r="EI90">
        <f>_xlfn.XLOOKUP(C90,'[9]november-2025'!$A:$A,'[9]november-2025'!$J:$J,0,0)</f>
        <v>0</v>
      </c>
      <c r="EJ90">
        <f>_xlfn.XLOOKUP(B90,'[10]december-2025'!$A:$A,'[10]december-2025'!$J:$J,0,0)</f>
        <v>0</v>
      </c>
      <c r="EK90">
        <f>_xlfn.XLOOKUP(B90,'[11]january-2026'!$A:$A,'[11]january-2026'!$J:$J,0,0)</f>
        <v>0</v>
      </c>
      <c r="EL90">
        <f>_xlfn.XLOOKUP(B90,'[12]february-2026'!$A:$A,'[12]february-2026'!$J:$J,0,0)</f>
        <v>0</v>
      </c>
      <c r="EM90">
        <f t="shared" si="228"/>
        <v>0</v>
      </c>
      <c r="EN90">
        <f>DV90+DL90+DB90+CR90+CH90+BX90+BN90+BD90+AS90+AI90+Y90+O90+H90+I90</f>
        <v>763348</v>
      </c>
      <c r="EO90">
        <f>DY90+DO90+DE90+CU90+CK90+CA90+BQ90+BG90+AV90+AL90+AB90+R90</f>
        <v>2400</v>
      </c>
      <c r="EP90">
        <f t="shared" si="229"/>
        <v>50000</v>
      </c>
      <c r="EQ90">
        <v>0</v>
      </c>
      <c r="ER90">
        <f t="shared" si="230"/>
        <v>710948</v>
      </c>
      <c r="ES90">
        <f>DW90+DM90+DC90+CS90+CI90+BY90+BO90+BE90+AT90+AJ90+Z90+P90</f>
        <v>36000</v>
      </c>
      <c r="ET90">
        <f>DX90+DN90+DD90+CT90+CJ90+BZ90+BP90+BF90+AU90+AK90+AA90+Q90</f>
        <v>720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231"/>
        <v>36720</v>
      </c>
      <c r="FF90">
        <f t="shared" si="232"/>
        <v>36720</v>
      </c>
      <c r="FG90">
        <f t="shared" si="233"/>
        <v>674228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>SUM(FH90:FN90)+(IF(F90="YES",50000,0))</f>
        <v>0</v>
      </c>
      <c r="FP90">
        <f t="shared" si="234"/>
        <v>674228</v>
      </c>
      <c r="FQ90">
        <f t="shared" si="235"/>
        <v>12500</v>
      </c>
      <c r="FR90">
        <f t="shared" si="236"/>
        <v>34846</v>
      </c>
      <c r="FS90">
        <f t="shared" si="237"/>
        <v>47346</v>
      </c>
      <c r="FT90">
        <f t="shared" si="238"/>
        <v>47346</v>
      </c>
      <c r="FU90">
        <f t="shared" si="239"/>
        <v>1893.8400000000001</v>
      </c>
      <c r="FV90">
        <f t="shared" si="240"/>
        <v>49240</v>
      </c>
      <c r="FW90">
        <v>0</v>
      </c>
      <c r="FX90">
        <f t="shared" si="241"/>
        <v>49240</v>
      </c>
      <c r="FY90" t="b">
        <f t="shared" si="242"/>
        <v>1</v>
      </c>
      <c r="FZ90">
        <f t="shared" ca="1" si="243"/>
        <v>756</v>
      </c>
      <c r="GA90">
        <f t="shared" ca="1" si="244"/>
        <v>764104</v>
      </c>
      <c r="GB90">
        <f t="shared" si="245"/>
        <v>75000</v>
      </c>
      <c r="GC90">
        <f t="shared" ca="1" si="246"/>
        <v>689104</v>
      </c>
      <c r="GD90">
        <f t="shared" ca="1" si="247"/>
        <v>0</v>
      </c>
      <c r="GE90">
        <f t="shared" ca="1" si="248"/>
        <v>0</v>
      </c>
      <c r="GF90">
        <f t="shared" ca="1" si="249"/>
        <v>0</v>
      </c>
      <c r="GG90">
        <f t="shared" ca="1" si="250"/>
        <v>0</v>
      </c>
      <c r="GH90">
        <f t="shared" ca="1" si="251"/>
        <v>0</v>
      </c>
      <c r="GI90">
        <f t="shared" ca="1" si="252"/>
        <v>0</v>
      </c>
      <c r="GJ90">
        <f ca="1">IF(GC90&gt;1200000,GC90-1200000-IF(F90="YES",50000,0)-GH90,0)</f>
        <v>0</v>
      </c>
      <c r="GK90">
        <f t="shared" ca="1" si="253"/>
        <v>0</v>
      </c>
      <c r="GL90">
        <f t="shared" ca="1" si="254"/>
        <v>0</v>
      </c>
      <c r="GM90">
        <f t="shared" ca="1" si="255"/>
        <v>0</v>
      </c>
      <c r="GN90">
        <f t="shared" ca="1" si="256"/>
        <v>289104</v>
      </c>
      <c r="GO90">
        <f t="shared" ca="1" si="257"/>
        <v>14455.2</v>
      </c>
      <c r="GP90">
        <f t="shared" ca="1" si="258"/>
        <v>14455</v>
      </c>
      <c r="GQ90">
        <f t="shared" ca="1" si="259"/>
        <v>0</v>
      </c>
      <c r="GR90">
        <f t="shared" ca="1" si="260"/>
        <v>0</v>
      </c>
      <c r="GS90">
        <f t="shared" ca="1" si="261"/>
        <v>14455</v>
      </c>
      <c r="GT90">
        <f t="shared" ca="1" si="262"/>
        <v>0</v>
      </c>
      <c r="GU90" t="b">
        <f t="shared" ca="1" si="263"/>
        <v>0</v>
      </c>
      <c r="GV90">
        <f t="shared" ca="1" si="264"/>
        <v>0</v>
      </c>
      <c r="GW90">
        <f t="shared" ca="1" si="265"/>
        <v>14455</v>
      </c>
      <c r="GX90">
        <f t="shared" ca="1" si="266"/>
        <v>0</v>
      </c>
      <c r="GY90">
        <f t="shared" ca="1" si="267"/>
        <v>0</v>
      </c>
      <c r="GZ90">
        <f t="shared" ca="1" si="268"/>
        <v>0</v>
      </c>
    </row>
    <row r="91" spans="1:208" x14ac:dyDescent="0.25">
      <c r="A91">
        <f>_xlfn.AGGREGATE(3,5,$B$2:B91)</f>
        <v>90</v>
      </c>
      <c r="B91" t="s">
        <v>297</v>
      </c>
      <c r="C91" t="s">
        <v>298</v>
      </c>
      <c r="D91" t="s">
        <v>774</v>
      </c>
      <c r="E91" t="s">
        <v>831</v>
      </c>
      <c r="F91" t="s">
        <v>957</v>
      </c>
      <c r="G91" t="s">
        <v>878</v>
      </c>
      <c r="H91">
        <f t="shared" si="178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179"/>
        <v>4970.0000000000009</v>
      </c>
      <c r="L91">
        <f t="shared" si="180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>IF(J91&gt;0,SUM(J91:N91),0)</f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269"/>
        <v>200</v>
      </c>
      <c r="S91">
        <f t="shared" si="181"/>
        <v>42030</v>
      </c>
      <c r="T91">
        <f>_xlfn.XLOOKUP(B91,'[2]april-2025'!$A:$A,'[2]april-2025'!$C:$C,0,0)</f>
        <v>35500</v>
      </c>
      <c r="U91">
        <f t="shared" si="182"/>
        <v>6390</v>
      </c>
      <c r="V91">
        <f t="shared" si="183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184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185"/>
        <v>200</v>
      </c>
      <c r="AC91">
        <f t="shared" si="186"/>
        <v>43450</v>
      </c>
      <c r="AD91">
        <f>_xlfn.XLOOKUP(B91,'[3]may-2025'!$A:$A,'[3]may-2025'!$C:$C,0,0)</f>
        <v>35500</v>
      </c>
      <c r="AE91">
        <f t="shared" si="187"/>
        <v>6390</v>
      </c>
      <c r="AF91">
        <f t="shared" si="188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189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190"/>
        <v>200</v>
      </c>
      <c r="AM91">
        <f t="shared" si="191"/>
        <v>43450</v>
      </c>
      <c r="AN91">
        <f>_xlfn.XLOOKUP(B91,'[4]june-2025'!$A:$A,'[4]june-2025'!$C:$C,0,0)</f>
        <v>35500</v>
      </c>
      <c r="AO91">
        <f t="shared" si="192"/>
        <v>6390</v>
      </c>
      <c r="AP91">
        <f t="shared" si="193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194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195"/>
        <v>200</v>
      </c>
      <c r="AW91">
        <f t="shared" si="196"/>
        <v>43450</v>
      </c>
      <c r="AX91">
        <f>_xlfn.XLOOKUP(B91,'[5]july-2025'!$A:$A,'[5]july-2025'!$C:$C,0,0)</f>
        <v>36600</v>
      </c>
      <c r="AY91">
        <f t="shared" si="197"/>
        <v>6588</v>
      </c>
      <c r="AZ91">
        <v>0</v>
      </c>
      <c r="BA91">
        <f t="shared" si="198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>IF(AX91&gt;0,SUM(AX91:BC91),0)</f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199"/>
        <v>200</v>
      </c>
      <c r="BH91">
        <f t="shared" si="200"/>
        <v>44880</v>
      </c>
      <c r="BI91">
        <f>_xlfn.XLOOKUP(B91,'[6]august-2025'!$A:$A,'[6]august-2025'!$C:$C,0,0)</f>
        <v>36600</v>
      </c>
      <c r="BJ91">
        <f t="shared" si="201"/>
        <v>6588</v>
      </c>
      <c r="BK91">
        <f t="shared" si="202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03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>IF($F91="YES",0,IF(BN91&gt;40000,200,IF(BN91&gt;25000,150,IF(BN91&gt;15000,130,IF(BN91&gt;10000,110,0)))))</f>
        <v>200</v>
      </c>
      <c r="BR91">
        <f>BN91-BO91-BP91-BQ91</f>
        <v>44880</v>
      </c>
      <c r="BS91">
        <f>_xlfn.XLOOKUP(B91,'[7]september-2025'!$A:$A,'[7]september-2025'!$C:$C,0,0)</f>
        <v>36600</v>
      </c>
      <c r="BT91">
        <f t="shared" si="204"/>
        <v>6588</v>
      </c>
      <c r="BU91">
        <f t="shared" si="205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>IF(BS91&gt;0,SUM(BS91:BW91),0)</f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06"/>
        <v>200</v>
      </c>
      <c r="CB91">
        <f t="shared" si="207"/>
        <v>44880</v>
      </c>
      <c r="CC91">
        <f>_xlfn.XLOOKUP(B91,'[8]october-2025'!$A:$A,'[8]october-2025'!$C:$C,0,0)</f>
        <v>36600</v>
      </c>
      <c r="CD91">
        <f t="shared" si="208"/>
        <v>6588</v>
      </c>
      <c r="CE91">
        <f t="shared" si="209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>IF(CC91&gt;0,SUM(CC91:CG91),0)</f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10"/>
        <v>200</v>
      </c>
      <c r="CL91">
        <f t="shared" si="211"/>
        <v>44880</v>
      </c>
      <c r="CM91">
        <f>_xlfn.XLOOKUP(B91,'[9]november-2025'!$A:$A,'[9]november-2025'!$C:$C,0,0)</f>
        <v>36600</v>
      </c>
      <c r="CN91">
        <f t="shared" si="212"/>
        <v>6588</v>
      </c>
      <c r="CO91">
        <f t="shared" si="213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>IF(CM91&gt;0,SUM(CM91:CQ91),0)</f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14"/>
        <v>200</v>
      </c>
      <c r="CV91">
        <f t="shared" si="215"/>
        <v>44880</v>
      </c>
      <c r="CW91">
        <f>_xlfn.XLOOKUP(B91,'[10]december-2025'!$A:$A,'[10]december-2025'!$C:$C,0,0)</f>
        <v>36600</v>
      </c>
      <c r="CX91">
        <f t="shared" si="216"/>
        <v>6588</v>
      </c>
      <c r="CY91">
        <f t="shared" si="217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>IF(CW91&gt;0,SUM(CW91:DA91),0)</f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18"/>
        <v>200</v>
      </c>
      <c r="DF91">
        <f t="shared" si="219"/>
        <v>44880</v>
      </c>
      <c r="DG91">
        <f>_xlfn.XLOOKUP(B91,'[11]january-2026'!$A:$A,'[11]january-2026'!$C:$C,0,0)</f>
        <v>36600</v>
      </c>
      <c r="DH91">
        <f t="shared" si="220"/>
        <v>6588</v>
      </c>
      <c r="DI91">
        <f t="shared" si="221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>IF(DG91&gt;0,SUM(DG91:DK91),0)</f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22"/>
        <v>200</v>
      </c>
      <c r="DP91">
        <f t="shared" si="223"/>
        <v>44880</v>
      </c>
      <c r="DQ91">
        <f>_xlfn.XLOOKUP(B91,'[12]february-2026'!$A:$A,'[12]february-2026'!$C:$C,0,0)</f>
        <v>36600</v>
      </c>
      <c r="DR91">
        <f t="shared" si="224"/>
        <v>6588</v>
      </c>
      <c r="DS91">
        <f t="shared" si="225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>IF(DQ91&gt;0,SUM(DQ91:DU91),0)</f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26"/>
        <v>200</v>
      </c>
      <c r="DZ91">
        <f t="shared" si="227"/>
        <v>44880</v>
      </c>
      <c r="EA91">
        <f>_xlfn.XLOOKUP(B91,'[1]march-2025'!$A:$A,'[1]march-2025'!$J:$J,0,0)</f>
        <v>0</v>
      </c>
      <c r="EB91">
        <f>_xlfn.XLOOKUP(B91,'[2]april-2025'!$A:$A,'[2]april-2025'!$J:$J,0,0)</f>
        <v>0</v>
      </c>
      <c r="EC91">
        <f>_xlfn.XLOOKUP(B91,'[3]may-2025'!$A:$A,'[3]may-2025'!$J:$J,0,0)</f>
        <v>0</v>
      </c>
      <c r="ED91">
        <f>_xlfn.XLOOKUP(B91,'[4]june-2025'!$A:$A,'[4]june-2025'!$J:$J,0,0)</f>
        <v>0</v>
      </c>
      <c r="EE91">
        <f>_xlfn.XLOOKUP(B91,'[5]july-2025'!$A:$A,'[5]july-2025'!$J:$J,0,0)</f>
        <v>0</v>
      </c>
      <c r="EF91">
        <f>_xlfn.XLOOKUP(B91,'[6]august-2025'!$A:$A,'[6]august-2025'!$J:$J,0,0)</f>
        <v>0</v>
      </c>
      <c r="EG91">
        <f>_xlfn.XLOOKUP(B91,'[7]september-2025'!$A:$A,'[7]september-2025'!$J:$J,0,0)</f>
        <v>0</v>
      </c>
      <c r="EH91">
        <f>_xlfn.XLOOKUP(B91,'[8]october-2025'!$A:$A,'[8]october-2025'!$J:$J,0,0)</f>
        <v>0</v>
      </c>
      <c r="EI91">
        <f>_xlfn.XLOOKUP(C91,'[9]november-2025'!$A:$A,'[9]november-2025'!$J:$J,0,0)</f>
        <v>0</v>
      </c>
      <c r="EJ91">
        <f>_xlfn.XLOOKUP(B91,'[10]december-2025'!$A:$A,'[10]december-2025'!$J:$J,0,0)</f>
        <v>0</v>
      </c>
      <c r="EK91">
        <f>_xlfn.XLOOKUP(B91,'[11]january-2026'!$A:$A,'[11]january-2026'!$J:$J,0,0)</f>
        <v>0</v>
      </c>
      <c r="EL91">
        <f>_xlfn.XLOOKUP(B91,'[12]february-2026'!$A:$A,'[12]february-2026'!$J:$J,0,0)</f>
        <v>0</v>
      </c>
      <c r="EM91">
        <f t="shared" si="228"/>
        <v>0</v>
      </c>
      <c r="EN91">
        <f>DV91+DL91+DB91+CR91+CH91+BX91+BN91+BD91+AS91+AI91+Y91+O91+H91+I91</f>
        <v>576620</v>
      </c>
      <c r="EO91">
        <f>DY91+DO91+DE91+CU91+CK91+CA91+BQ91+BG91+AV91+AL91+AB91+R91</f>
        <v>2400</v>
      </c>
      <c r="EP91">
        <f t="shared" si="229"/>
        <v>50000</v>
      </c>
      <c r="EQ91">
        <v>0</v>
      </c>
      <c r="ER91">
        <f t="shared" si="230"/>
        <v>524220</v>
      </c>
      <c r="ES91">
        <f>DW91+DM91+DC91+CS91+CI91+BY91+BO91+BE91+AT91+AJ91+Z91+P91</f>
        <v>36000</v>
      </c>
      <c r="ET91">
        <f>DX91+DN91+DD91+CT91+CJ91+BZ91+BP91+BF91+AU91+AK91+AA91+Q91</f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231"/>
        <v>36000</v>
      </c>
      <c r="FF91">
        <f t="shared" si="232"/>
        <v>36000</v>
      </c>
      <c r="FG91">
        <f t="shared" si="233"/>
        <v>488220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>SUM(FH91:FN91)+(IF(F91="YES",50000,0))</f>
        <v>0</v>
      </c>
      <c r="FP91">
        <f t="shared" si="234"/>
        <v>488220</v>
      </c>
      <c r="FQ91">
        <f t="shared" si="235"/>
        <v>11911</v>
      </c>
      <c r="FR91">
        <f t="shared" si="236"/>
        <v>0</v>
      </c>
      <c r="FS91">
        <f t="shared" si="237"/>
        <v>11911</v>
      </c>
      <c r="FT91">
        <f t="shared" si="238"/>
        <v>0</v>
      </c>
      <c r="FU91">
        <f t="shared" si="239"/>
        <v>0</v>
      </c>
      <c r="FV91">
        <f t="shared" si="240"/>
        <v>0</v>
      </c>
      <c r="FW91">
        <v>0</v>
      </c>
      <c r="FX91">
        <f t="shared" si="241"/>
        <v>0</v>
      </c>
      <c r="FY91" t="b">
        <f t="shared" si="242"/>
        <v>1</v>
      </c>
      <c r="FZ91">
        <f t="shared" ca="1" si="243"/>
        <v>692</v>
      </c>
      <c r="GA91">
        <f t="shared" ca="1" si="244"/>
        <v>577312</v>
      </c>
      <c r="GB91">
        <f t="shared" si="245"/>
        <v>75000</v>
      </c>
      <c r="GC91">
        <f t="shared" ca="1" si="246"/>
        <v>502312</v>
      </c>
      <c r="GD91">
        <f t="shared" ca="1" si="247"/>
        <v>0</v>
      </c>
      <c r="GE91">
        <f t="shared" ca="1" si="248"/>
        <v>0</v>
      </c>
      <c r="GF91">
        <f t="shared" ca="1" si="249"/>
        <v>0</v>
      </c>
      <c r="GG91">
        <f t="shared" ca="1" si="250"/>
        <v>0</v>
      </c>
      <c r="GH91">
        <f t="shared" ca="1" si="251"/>
        <v>0</v>
      </c>
      <c r="GI91">
        <f t="shared" ca="1" si="252"/>
        <v>0</v>
      </c>
      <c r="GJ91">
        <f ca="1">IF(GC91&gt;1200000,GC91-1200000-IF(F91="YES",50000,0)-GH91,0)</f>
        <v>0</v>
      </c>
      <c r="GK91">
        <f t="shared" ca="1" si="253"/>
        <v>0</v>
      </c>
      <c r="GL91">
        <f t="shared" ca="1" si="254"/>
        <v>0</v>
      </c>
      <c r="GM91">
        <f t="shared" ca="1" si="255"/>
        <v>0</v>
      </c>
      <c r="GN91">
        <f t="shared" ca="1" si="256"/>
        <v>102312</v>
      </c>
      <c r="GO91">
        <f t="shared" ca="1" si="257"/>
        <v>5115.6000000000004</v>
      </c>
      <c r="GP91">
        <f t="shared" ca="1" si="258"/>
        <v>5116</v>
      </c>
      <c r="GQ91">
        <f t="shared" ca="1" si="259"/>
        <v>0</v>
      </c>
      <c r="GR91">
        <f t="shared" ca="1" si="260"/>
        <v>0</v>
      </c>
      <c r="GS91">
        <f t="shared" ca="1" si="261"/>
        <v>5116</v>
      </c>
      <c r="GT91">
        <f t="shared" ca="1" si="262"/>
        <v>0</v>
      </c>
      <c r="GU91" t="b">
        <f t="shared" ca="1" si="263"/>
        <v>0</v>
      </c>
      <c r="GV91">
        <f t="shared" ca="1" si="264"/>
        <v>0</v>
      </c>
      <c r="GW91">
        <f t="shared" ca="1" si="265"/>
        <v>5116</v>
      </c>
      <c r="GX91">
        <f t="shared" ca="1" si="266"/>
        <v>0</v>
      </c>
      <c r="GY91">
        <f t="shared" ca="1" si="267"/>
        <v>0</v>
      </c>
      <c r="GZ91">
        <f t="shared" ca="1" si="268"/>
        <v>0</v>
      </c>
    </row>
    <row r="92" spans="1:208" x14ac:dyDescent="0.25">
      <c r="A92">
        <f>_xlfn.AGGREGATE(3,5,$B$2:B92)</f>
        <v>91</v>
      </c>
      <c r="B92" t="s">
        <v>299</v>
      </c>
      <c r="C92" t="s">
        <v>300</v>
      </c>
      <c r="D92" t="s">
        <v>774</v>
      </c>
      <c r="E92" t="s">
        <v>831</v>
      </c>
      <c r="F92" t="s">
        <v>957</v>
      </c>
      <c r="G92" t="s">
        <v>878</v>
      </c>
      <c r="H92">
        <f t="shared" si="178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179"/>
        <v>4830.0000000000009</v>
      </c>
      <c r="L92">
        <f t="shared" si="180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>IF(J92&gt;0,SUM(J92:N92),0)</f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269"/>
        <v>200</v>
      </c>
      <c r="S92">
        <f t="shared" si="181"/>
        <v>40770</v>
      </c>
      <c r="T92">
        <f>_xlfn.XLOOKUP(B92,'[2]april-2025'!$A:$A,'[2]april-2025'!$C:$C,0,0)</f>
        <v>34500</v>
      </c>
      <c r="U92">
        <f t="shared" si="182"/>
        <v>6210</v>
      </c>
      <c r="V92">
        <f t="shared" si="183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184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185"/>
        <v>200</v>
      </c>
      <c r="AC92">
        <f t="shared" si="186"/>
        <v>42150</v>
      </c>
      <c r="AD92">
        <f>_xlfn.XLOOKUP(B92,'[3]may-2025'!$A:$A,'[3]may-2025'!$C:$C,0,0)</f>
        <v>34500</v>
      </c>
      <c r="AE92">
        <f t="shared" si="187"/>
        <v>6210</v>
      </c>
      <c r="AF92">
        <f t="shared" si="188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189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190"/>
        <v>200</v>
      </c>
      <c r="AM92">
        <f t="shared" si="191"/>
        <v>42150</v>
      </c>
      <c r="AN92">
        <f>_xlfn.XLOOKUP(B92,'[4]june-2025'!$A:$A,'[4]june-2025'!$C:$C,0,0)</f>
        <v>34500</v>
      </c>
      <c r="AO92">
        <f t="shared" si="192"/>
        <v>6210</v>
      </c>
      <c r="AP92">
        <f t="shared" si="193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194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195"/>
        <v>200</v>
      </c>
      <c r="AW92">
        <f t="shared" si="196"/>
        <v>42150</v>
      </c>
      <c r="AX92">
        <f>_xlfn.XLOOKUP(B92,'[5]july-2025'!$A:$A,'[5]july-2025'!$C:$C,0,0)</f>
        <v>35500</v>
      </c>
      <c r="AY92">
        <f t="shared" si="197"/>
        <v>6390</v>
      </c>
      <c r="AZ92">
        <v>0</v>
      </c>
      <c r="BA92">
        <f t="shared" si="198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>IF(AX92&gt;0,SUM(AX92:BC92),0)</f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199"/>
        <v>200</v>
      </c>
      <c r="BH92">
        <f t="shared" si="200"/>
        <v>43450</v>
      </c>
      <c r="BI92">
        <f>_xlfn.XLOOKUP(B92,'[6]august-2025'!$A:$A,'[6]august-2025'!$C:$C,0,0)</f>
        <v>35500</v>
      </c>
      <c r="BJ92">
        <f t="shared" si="201"/>
        <v>6390</v>
      </c>
      <c r="BK92">
        <f t="shared" si="202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03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>IF($F92="YES",0,IF(BN92&gt;40000,200,IF(BN92&gt;25000,150,IF(BN92&gt;15000,130,IF(BN92&gt;10000,110,0)))))</f>
        <v>200</v>
      </c>
      <c r="BR92">
        <f>BN92-BO92-BP92-BQ92</f>
        <v>43450</v>
      </c>
      <c r="BS92">
        <f>_xlfn.XLOOKUP(B92,'[7]september-2025'!$A:$A,'[7]september-2025'!$C:$C,0,0)</f>
        <v>35500</v>
      </c>
      <c r="BT92">
        <f t="shared" si="204"/>
        <v>6390</v>
      </c>
      <c r="BU92">
        <f t="shared" si="205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>IF(BS92&gt;0,SUM(BS92:BW92),0)</f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06"/>
        <v>200</v>
      </c>
      <c r="CB92">
        <f t="shared" si="207"/>
        <v>43450</v>
      </c>
      <c r="CC92">
        <f>_xlfn.XLOOKUP(B92,'[8]october-2025'!$A:$A,'[8]october-2025'!$C:$C,0,0)</f>
        <v>35500</v>
      </c>
      <c r="CD92">
        <f t="shared" si="208"/>
        <v>6390</v>
      </c>
      <c r="CE92">
        <f t="shared" si="209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>IF(CC92&gt;0,SUM(CC92:CG92),0)</f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10"/>
        <v>200</v>
      </c>
      <c r="CL92">
        <f t="shared" si="211"/>
        <v>43450</v>
      </c>
      <c r="CM92">
        <f>_xlfn.XLOOKUP(B92,'[9]november-2025'!$A:$A,'[9]november-2025'!$C:$C,0,0)</f>
        <v>35500</v>
      </c>
      <c r="CN92">
        <f t="shared" si="212"/>
        <v>6390</v>
      </c>
      <c r="CO92">
        <f t="shared" si="213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>IF(CM92&gt;0,SUM(CM92:CQ92),0)</f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14"/>
        <v>200</v>
      </c>
      <c r="CV92">
        <f t="shared" si="215"/>
        <v>43450</v>
      </c>
      <c r="CW92">
        <f>_xlfn.XLOOKUP(B92,'[10]december-2025'!$A:$A,'[10]december-2025'!$C:$C,0,0)</f>
        <v>35500</v>
      </c>
      <c r="CX92">
        <f t="shared" si="216"/>
        <v>6390</v>
      </c>
      <c r="CY92">
        <f t="shared" si="217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>IF(CW92&gt;0,SUM(CW92:DA92),0)</f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18"/>
        <v>200</v>
      </c>
      <c r="DF92">
        <f t="shared" si="219"/>
        <v>43450</v>
      </c>
      <c r="DG92">
        <f>_xlfn.XLOOKUP(B92,'[11]january-2026'!$A:$A,'[11]january-2026'!$C:$C,0,0)</f>
        <v>35500</v>
      </c>
      <c r="DH92">
        <f t="shared" si="220"/>
        <v>6390</v>
      </c>
      <c r="DI92">
        <f t="shared" si="221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>IF(DG92&gt;0,SUM(DG92:DK92),0)</f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22"/>
        <v>200</v>
      </c>
      <c r="DP92">
        <f t="shared" si="223"/>
        <v>43450</v>
      </c>
      <c r="DQ92">
        <f>_xlfn.XLOOKUP(B92,'[12]february-2026'!$A:$A,'[12]february-2026'!$C:$C,0,0)</f>
        <v>35500</v>
      </c>
      <c r="DR92">
        <f t="shared" si="224"/>
        <v>6390</v>
      </c>
      <c r="DS92">
        <f t="shared" si="225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>IF(DQ92&gt;0,SUM(DQ92:DU92),0)</f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26"/>
        <v>200</v>
      </c>
      <c r="DZ92">
        <f t="shared" si="227"/>
        <v>43450</v>
      </c>
      <c r="EA92">
        <f>_xlfn.XLOOKUP(B92,'[1]march-2025'!$A:$A,'[1]march-2025'!$J:$J,0,0)</f>
        <v>0</v>
      </c>
      <c r="EB92">
        <f>_xlfn.XLOOKUP(B92,'[2]april-2025'!$A:$A,'[2]april-2025'!$J:$J,0,0)</f>
        <v>0</v>
      </c>
      <c r="EC92">
        <f>_xlfn.XLOOKUP(B92,'[3]may-2025'!$A:$A,'[3]may-2025'!$J:$J,0,0)</f>
        <v>0</v>
      </c>
      <c r="ED92">
        <f>_xlfn.XLOOKUP(B92,'[4]june-2025'!$A:$A,'[4]june-2025'!$J:$J,0,0)</f>
        <v>0</v>
      </c>
      <c r="EE92">
        <f>_xlfn.XLOOKUP(B92,'[5]july-2025'!$A:$A,'[5]july-2025'!$J:$J,0,0)</f>
        <v>0</v>
      </c>
      <c r="EF92">
        <f>_xlfn.XLOOKUP(B92,'[6]august-2025'!$A:$A,'[6]august-2025'!$J:$J,0,0)</f>
        <v>0</v>
      </c>
      <c r="EG92">
        <f>_xlfn.XLOOKUP(B92,'[7]september-2025'!$A:$A,'[7]september-2025'!$J:$J,0,0)</f>
        <v>0</v>
      </c>
      <c r="EH92">
        <f>_xlfn.XLOOKUP(B92,'[8]october-2025'!$A:$A,'[8]october-2025'!$J:$J,0,0)</f>
        <v>0</v>
      </c>
      <c r="EI92">
        <f>_xlfn.XLOOKUP(C92,'[9]november-2025'!$A:$A,'[9]november-2025'!$J:$J,0,0)</f>
        <v>0</v>
      </c>
      <c r="EJ92">
        <f>_xlfn.XLOOKUP(B92,'[10]december-2025'!$A:$A,'[10]december-2025'!$J:$J,0,0)</f>
        <v>0</v>
      </c>
      <c r="EK92">
        <f>_xlfn.XLOOKUP(B92,'[11]january-2026'!$A:$A,'[11]january-2026'!$J:$J,0,0)</f>
        <v>0</v>
      </c>
      <c r="EL92">
        <f>_xlfn.XLOOKUP(B92,'[12]february-2026'!$A:$A,'[12]february-2026'!$J:$J,0,0)</f>
        <v>0</v>
      </c>
      <c r="EM92">
        <f t="shared" si="228"/>
        <v>0</v>
      </c>
      <c r="EN92">
        <f>DV92+DL92+DB92+CR92+CH92+BX92+BN92+BD92+AS92+AI92+Y92+O92+H92+I92</f>
        <v>560020</v>
      </c>
      <c r="EO92">
        <f>DY92+DO92+DE92+CU92+CK92+CA92+BQ92+BG92+AV92+AL92+AB92+R92</f>
        <v>2400</v>
      </c>
      <c r="EP92">
        <f t="shared" si="229"/>
        <v>50000</v>
      </c>
      <c r="EQ92">
        <v>0</v>
      </c>
      <c r="ER92">
        <f t="shared" si="230"/>
        <v>507620</v>
      </c>
      <c r="ES92">
        <f>DW92+DM92+DC92+CS92+CI92+BY92+BO92+BE92+AT92+AJ92+Z92+P92</f>
        <v>36000</v>
      </c>
      <c r="ET92">
        <f>DX92+DN92+DD92+CT92+CJ92+BZ92+BP92+BF92+AU92+AK92+AA92+Q92</f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231"/>
        <v>36000</v>
      </c>
      <c r="FF92">
        <f t="shared" si="232"/>
        <v>36000</v>
      </c>
      <c r="FG92">
        <f t="shared" si="233"/>
        <v>471620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>SUM(FH92:FN92)+(IF(F92="YES",50000,0))</f>
        <v>0</v>
      </c>
      <c r="FP92">
        <f t="shared" si="234"/>
        <v>471620</v>
      </c>
      <c r="FQ92">
        <f t="shared" si="235"/>
        <v>11081</v>
      </c>
      <c r="FR92">
        <f t="shared" si="236"/>
        <v>0</v>
      </c>
      <c r="FS92">
        <f t="shared" si="237"/>
        <v>11081</v>
      </c>
      <c r="FT92">
        <f t="shared" si="238"/>
        <v>0</v>
      </c>
      <c r="FU92">
        <f t="shared" si="239"/>
        <v>0</v>
      </c>
      <c r="FV92">
        <f t="shared" si="240"/>
        <v>0</v>
      </c>
      <c r="FW92">
        <v>0</v>
      </c>
      <c r="FX92">
        <f t="shared" si="241"/>
        <v>0</v>
      </c>
      <c r="FY92" t="b">
        <f t="shared" si="242"/>
        <v>1</v>
      </c>
      <c r="FZ92">
        <f t="shared" ca="1" si="243"/>
        <v>559</v>
      </c>
      <c r="GA92">
        <f t="shared" ca="1" si="244"/>
        <v>560579</v>
      </c>
      <c r="GB92">
        <f t="shared" si="245"/>
        <v>75000</v>
      </c>
      <c r="GC92">
        <f t="shared" ca="1" si="246"/>
        <v>485579</v>
      </c>
      <c r="GD92">
        <f t="shared" ca="1" si="247"/>
        <v>0</v>
      </c>
      <c r="GE92">
        <f t="shared" ca="1" si="248"/>
        <v>0</v>
      </c>
      <c r="GF92">
        <f t="shared" ca="1" si="249"/>
        <v>0</v>
      </c>
      <c r="GG92">
        <f t="shared" ca="1" si="250"/>
        <v>0</v>
      </c>
      <c r="GH92">
        <f t="shared" ca="1" si="251"/>
        <v>0</v>
      </c>
      <c r="GI92">
        <f t="shared" ca="1" si="252"/>
        <v>0</v>
      </c>
      <c r="GJ92">
        <f ca="1">IF(GC92&gt;1200000,GC92-1200000-IF(F92="YES",50000,0)-GH92,0)</f>
        <v>0</v>
      </c>
      <c r="GK92">
        <f t="shared" ca="1" si="253"/>
        <v>0</v>
      </c>
      <c r="GL92">
        <f t="shared" ca="1" si="254"/>
        <v>0</v>
      </c>
      <c r="GM92">
        <f t="shared" ca="1" si="255"/>
        <v>0</v>
      </c>
      <c r="GN92">
        <f t="shared" ca="1" si="256"/>
        <v>85579</v>
      </c>
      <c r="GO92">
        <f t="shared" ca="1" si="257"/>
        <v>4278.95</v>
      </c>
      <c r="GP92">
        <f t="shared" ca="1" si="258"/>
        <v>4279</v>
      </c>
      <c r="GQ92">
        <f t="shared" ca="1" si="259"/>
        <v>0</v>
      </c>
      <c r="GR92">
        <f t="shared" ca="1" si="260"/>
        <v>0</v>
      </c>
      <c r="GS92">
        <f t="shared" ca="1" si="261"/>
        <v>4279</v>
      </c>
      <c r="GT92">
        <f t="shared" ca="1" si="262"/>
        <v>0</v>
      </c>
      <c r="GU92" t="b">
        <f t="shared" ca="1" si="263"/>
        <v>0</v>
      </c>
      <c r="GV92">
        <f t="shared" ca="1" si="264"/>
        <v>0</v>
      </c>
      <c r="GW92">
        <f t="shared" ca="1" si="265"/>
        <v>4279</v>
      </c>
      <c r="GX92">
        <f t="shared" ca="1" si="266"/>
        <v>0</v>
      </c>
      <c r="GY92">
        <f t="shared" ca="1" si="267"/>
        <v>0</v>
      </c>
      <c r="GZ92">
        <f t="shared" ca="1" si="268"/>
        <v>0</v>
      </c>
    </row>
    <row r="93" spans="1:208" x14ac:dyDescent="0.25">
      <c r="A93">
        <f>_xlfn.AGGREGATE(3,5,$B$2:B93)</f>
        <v>92</v>
      </c>
      <c r="B93" t="s">
        <v>301</v>
      </c>
      <c r="C93" t="s">
        <v>302</v>
      </c>
      <c r="D93" t="s">
        <v>774</v>
      </c>
      <c r="E93" t="s">
        <v>831</v>
      </c>
      <c r="F93" t="s">
        <v>957</v>
      </c>
      <c r="G93" t="s">
        <v>904</v>
      </c>
      <c r="H93">
        <f t="shared" si="178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179"/>
        <v>4046.0000000000005</v>
      </c>
      <c r="L93">
        <f t="shared" si="180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>IF(J93&gt;0,SUM(J93:N93),0)</f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269"/>
        <v>150</v>
      </c>
      <c r="S93">
        <f t="shared" si="181"/>
        <v>34764</v>
      </c>
      <c r="T93">
        <f>_xlfn.XLOOKUP(B93,'[2]april-2025'!$A:$A,'[2]april-2025'!$C:$C,0,0)</f>
        <v>28900</v>
      </c>
      <c r="U93">
        <f t="shared" si="182"/>
        <v>5202</v>
      </c>
      <c r="V93">
        <f t="shared" si="183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184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185"/>
        <v>150</v>
      </c>
      <c r="AC93">
        <f t="shared" si="186"/>
        <v>35920</v>
      </c>
      <c r="AD93">
        <f>_xlfn.XLOOKUP(B93,'[3]may-2025'!$A:$A,'[3]may-2025'!$C:$C,0,0)</f>
        <v>28900</v>
      </c>
      <c r="AE93">
        <f t="shared" si="187"/>
        <v>5202</v>
      </c>
      <c r="AF93">
        <f t="shared" si="188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189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190"/>
        <v>150</v>
      </c>
      <c r="AM93">
        <f t="shared" si="191"/>
        <v>35920</v>
      </c>
      <c r="AN93">
        <f>_xlfn.XLOOKUP(B93,'[4]june-2025'!$A:$A,'[4]june-2025'!$C:$C,0,0)</f>
        <v>28900</v>
      </c>
      <c r="AO93">
        <f t="shared" si="192"/>
        <v>5202</v>
      </c>
      <c r="AP93">
        <f t="shared" si="193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194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195"/>
        <v>150</v>
      </c>
      <c r="AW93">
        <f t="shared" si="196"/>
        <v>35920</v>
      </c>
      <c r="AX93">
        <f>_xlfn.XLOOKUP(B93,'[5]july-2025'!$A:$A,'[5]july-2025'!$C:$C,0,0)</f>
        <v>29800</v>
      </c>
      <c r="AY93">
        <f t="shared" si="197"/>
        <v>5364</v>
      </c>
      <c r="AZ93">
        <v>0</v>
      </c>
      <c r="BA93">
        <f t="shared" si="198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>IF(AX93&gt;0,SUM(AX93:BC93),0)</f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199"/>
        <v>150</v>
      </c>
      <c r="BH93">
        <f t="shared" si="200"/>
        <v>37090</v>
      </c>
      <c r="BI93">
        <f>_xlfn.XLOOKUP(B93,'[6]august-2025'!$A:$A,'[6]august-2025'!$C:$C,0,0)</f>
        <v>29800</v>
      </c>
      <c r="BJ93">
        <f t="shared" si="201"/>
        <v>5364</v>
      </c>
      <c r="BK93">
        <f t="shared" si="202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03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>IF($F93="YES",0,IF(BN93&gt;40000,200,IF(BN93&gt;25000,150,IF(BN93&gt;15000,130,IF(BN93&gt;10000,110,0)))))</f>
        <v>150</v>
      </c>
      <c r="BR93">
        <f>BN93-BO93-BP93-BQ93</f>
        <v>37090</v>
      </c>
      <c r="BS93">
        <f>_xlfn.XLOOKUP(B93,'[7]september-2025'!$A:$A,'[7]september-2025'!$C:$C,0,0)</f>
        <v>29800</v>
      </c>
      <c r="BT93">
        <f t="shared" si="204"/>
        <v>5364</v>
      </c>
      <c r="BU93">
        <f t="shared" si="205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>IF(BS93&gt;0,SUM(BS93:BW93),0)</f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06"/>
        <v>150</v>
      </c>
      <c r="CB93">
        <f t="shared" si="207"/>
        <v>37090</v>
      </c>
      <c r="CC93">
        <f>_xlfn.XLOOKUP(B93,'[8]october-2025'!$A:$A,'[8]october-2025'!$C:$C,0,0)</f>
        <v>29800</v>
      </c>
      <c r="CD93">
        <f t="shared" si="208"/>
        <v>5364</v>
      </c>
      <c r="CE93">
        <f t="shared" si="209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>IF(CC93&gt;0,SUM(CC93:CG93),0)</f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10"/>
        <v>150</v>
      </c>
      <c r="CL93">
        <f t="shared" si="211"/>
        <v>37090</v>
      </c>
      <c r="CM93">
        <f>_xlfn.XLOOKUP(B93,'[9]november-2025'!$A:$A,'[9]november-2025'!$C:$C,0,0)</f>
        <v>29800</v>
      </c>
      <c r="CN93">
        <f t="shared" si="212"/>
        <v>5364</v>
      </c>
      <c r="CO93">
        <f t="shared" si="213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>IF(CM93&gt;0,SUM(CM93:CQ93),0)</f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14"/>
        <v>150</v>
      </c>
      <c r="CV93">
        <f t="shared" si="215"/>
        <v>37090</v>
      </c>
      <c r="CW93">
        <f>_xlfn.XLOOKUP(B93,'[10]december-2025'!$A:$A,'[10]december-2025'!$C:$C,0,0)</f>
        <v>29800</v>
      </c>
      <c r="CX93">
        <f t="shared" si="216"/>
        <v>5364</v>
      </c>
      <c r="CY93">
        <f t="shared" si="217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>IF(CW93&gt;0,SUM(CW93:DA93),0)</f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18"/>
        <v>150</v>
      </c>
      <c r="DF93">
        <f t="shared" si="219"/>
        <v>37090</v>
      </c>
      <c r="DG93">
        <f>_xlfn.XLOOKUP(B93,'[11]january-2026'!$A:$A,'[11]january-2026'!$C:$C,0,0)</f>
        <v>29800</v>
      </c>
      <c r="DH93">
        <f t="shared" si="220"/>
        <v>5364</v>
      </c>
      <c r="DI93">
        <f t="shared" si="221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>IF(DG93&gt;0,SUM(DG93:DK93),0)</f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22"/>
        <v>150</v>
      </c>
      <c r="DP93">
        <f t="shared" si="223"/>
        <v>37090</v>
      </c>
      <c r="DQ93">
        <f>_xlfn.XLOOKUP(B93,'[12]february-2026'!$A:$A,'[12]february-2026'!$C:$C,0,0)</f>
        <v>29800</v>
      </c>
      <c r="DR93">
        <f t="shared" si="224"/>
        <v>5364</v>
      </c>
      <c r="DS93">
        <f t="shared" si="225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>IF(DQ93&gt;0,SUM(DQ93:DU93),0)</f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26"/>
        <v>150</v>
      </c>
      <c r="DZ93">
        <f t="shared" si="227"/>
        <v>37090</v>
      </c>
      <c r="EA93">
        <f>_xlfn.XLOOKUP(B93,'[1]march-2025'!$A:$A,'[1]march-2025'!$J:$J,0,0)</f>
        <v>0</v>
      </c>
      <c r="EB93">
        <f>_xlfn.XLOOKUP(B93,'[2]april-2025'!$A:$A,'[2]april-2025'!$J:$J,0,0)</f>
        <v>0</v>
      </c>
      <c r="EC93">
        <f>_xlfn.XLOOKUP(B93,'[3]may-2025'!$A:$A,'[3]may-2025'!$J:$J,0,0)</f>
        <v>34471</v>
      </c>
      <c r="ED93">
        <f>_xlfn.XLOOKUP(B93,'[4]june-2025'!$A:$A,'[4]june-2025'!$J:$J,0,0)</f>
        <v>0</v>
      </c>
      <c r="EE93">
        <f>_xlfn.XLOOKUP(B93,'[5]july-2025'!$A:$A,'[5]july-2025'!$J:$J,0,0)</f>
        <v>0</v>
      </c>
      <c r="EF93">
        <f>_xlfn.XLOOKUP(B93,'[6]august-2025'!$A:$A,'[6]august-2025'!$J:$J,0,0)</f>
        <v>0</v>
      </c>
      <c r="EG93">
        <f>_xlfn.XLOOKUP(B93,'[7]september-2025'!$A:$A,'[7]september-2025'!$J:$J,0,0)</f>
        <v>0</v>
      </c>
      <c r="EH93">
        <f>_xlfn.XLOOKUP(B93,'[8]october-2025'!$A:$A,'[8]october-2025'!$J:$J,0,0)</f>
        <v>0</v>
      </c>
      <c r="EI93">
        <f>_xlfn.XLOOKUP(C93,'[9]november-2025'!$A:$A,'[9]november-2025'!$J:$J,0,0)</f>
        <v>0</v>
      </c>
      <c r="EJ93">
        <f>_xlfn.XLOOKUP(B93,'[10]december-2025'!$A:$A,'[10]december-2025'!$J:$J,0,0)</f>
        <v>0</v>
      </c>
      <c r="EK93">
        <f>_xlfn.XLOOKUP(B93,'[11]january-2026'!$A:$A,'[11]january-2026'!$J:$J,0,0)</f>
        <v>0</v>
      </c>
      <c r="EL93">
        <f>_xlfn.XLOOKUP(B93,'[12]february-2026'!$A:$A,'[12]february-2026'!$J:$J,0,0)</f>
        <v>0</v>
      </c>
      <c r="EM93">
        <f t="shared" si="228"/>
        <v>34471</v>
      </c>
      <c r="EN93">
        <f>DV93+DL93+DB93+CR93+CH93+BX93+BN93+BD93+AS93+AI93+Y93+O93+H93+I93</f>
        <v>471844</v>
      </c>
      <c r="EO93">
        <f>DY93+DO93+DE93+CU93+CK93+CA93+BQ93+BG93+AV93+AL93+AB93+R93</f>
        <v>1800</v>
      </c>
      <c r="EP93">
        <f t="shared" si="229"/>
        <v>50000</v>
      </c>
      <c r="EQ93">
        <v>0</v>
      </c>
      <c r="ER93">
        <f t="shared" si="230"/>
        <v>454515</v>
      </c>
      <c r="ES93">
        <f>DW93+DM93+DC93+CS93+CI93+BY93+BO93+BE93+AT93+AJ93+Z93+P93</f>
        <v>24000</v>
      </c>
      <c r="ET93">
        <f>DX93+DN93+DD93+CT93+CJ93+BZ93+BP93+BF93+AU93+AK93+AA93+Q93</f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231"/>
        <v>24000</v>
      </c>
      <c r="FF93">
        <f t="shared" si="232"/>
        <v>24000</v>
      </c>
      <c r="FG93">
        <f t="shared" si="233"/>
        <v>430515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>SUM(FH93:FN93)+(IF(F93="YES",50000,0))</f>
        <v>0</v>
      </c>
      <c r="FP93">
        <f t="shared" si="234"/>
        <v>430515</v>
      </c>
      <c r="FQ93">
        <f t="shared" si="235"/>
        <v>9026</v>
      </c>
      <c r="FR93">
        <f t="shared" si="236"/>
        <v>0</v>
      </c>
      <c r="FS93">
        <f t="shared" si="237"/>
        <v>9026</v>
      </c>
      <c r="FT93">
        <f t="shared" si="238"/>
        <v>0</v>
      </c>
      <c r="FU93">
        <f t="shared" si="239"/>
        <v>0</v>
      </c>
      <c r="FV93">
        <f t="shared" si="240"/>
        <v>0</v>
      </c>
      <c r="FW93">
        <v>0</v>
      </c>
      <c r="FX93">
        <f t="shared" si="241"/>
        <v>0</v>
      </c>
      <c r="FY93" t="b">
        <f t="shared" si="242"/>
        <v>0</v>
      </c>
      <c r="FZ93">
        <f t="shared" ca="1" si="243"/>
        <v>2897</v>
      </c>
      <c r="GA93">
        <f t="shared" ca="1" si="244"/>
        <v>474741</v>
      </c>
      <c r="GB93">
        <f t="shared" si="245"/>
        <v>75000</v>
      </c>
      <c r="GC93">
        <f t="shared" ca="1" si="246"/>
        <v>399741</v>
      </c>
      <c r="GD93">
        <f t="shared" ca="1" si="247"/>
        <v>0</v>
      </c>
      <c r="GE93">
        <f t="shared" ca="1" si="248"/>
        <v>0</v>
      </c>
      <c r="GF93">
        <f t="shared" ca="1" si="249"/>
        <v>0</v>
      </c>
      <c r="GG93">
        <f t="shared" ca="1" si="250"/>
        <v>0</v>
      </c>
      <c r="GH93">
        <f t="shared" ca="1" si="251"/>
        <v>0</v>
      </c>
      <c r="GI93">
        <f t="shared" ca="1" si="252"/>
        <v>0</v>
      </c>
      <c r="GJ93">
        <f ca="1">IF(GC93&gt;1200000,GC93-1200000-IF(F93="YES",50000,0)-GH93,0)</f>
        <v>0</v>
      </c>
      <c r="GK93">
        <f t="shared" ca="1" si="253"/>
        <v>0</v>
      </c>
      <c r="GL93">
        <f t="shared" ca="1" si="254"/>
        <v>0</v>
      </c>
      <c r="GM93">
        <f t="shared" ca="1" si="255"/>
        <v>0</v>
      </c>
      <c r="GN93">
        <f t="shared" ca="1" si="256"/>
        <v>0</v>
      </c>
      <c r="GO93">
        <f t="shared" ca="1" si="257"/>
        <v>0</v>
      </c>
      <c r="GP93">
        <f t="shared" ca="1" si="258"/>
        <v>0</v>
      </c>
      <c r="GQ93">
        <f t="shared" ca="1" si="259"/>
        <v>0</v>
      </c>
      <c r="GR93">
        <f t="shared" ca="1" si="260"/>
        <v>0</v>
      </c>
      <c r="GS93">
        <f t="shared" ca="1" si="261"/>
        <v>0</v>
      </c>
      <c r="GT93">
        <f t="shared" ca="1" si="262"/>
        <v>0</v>
      </c>
      <c r="GU93" t="b">
        <f t="shared" ca="1" si="263"/>
        <v>0</v>
      </c>
      <c r="GV93">
        <f t="shared" ca="1" si="264"/>
        <v>0</v>
      </c>
      <c r="GW93">
        <f t="shared" ca="1" si="265"/>
        <v>0</v>
      </c>
      <c r="GX93">
        <f t="shared" ca="1" si="266"/>
        <v>0</v>
      </c>
      <c r="GY93">
        <f t="shared" ca="1" si="267"/>
        <v>0</v>
      </c>
      <c r="GZ93">
        <f t="shared" ca="1" si="268"/>
        <v>0</v>
      </c>
    </row>
    <row r="94" spans="1:208" x14ac:dyDescent="0.25">
      <c r="A94">
        <f>_xlfn.AGGREGATE(3,5,$B$2:B94)</f>
        <v>93</v>
      </c>
      <c r="B94" t="s">
        <v>303</v>
      </c>
      <c r="C94" t="s">
        <v>304</v>
      </c>
      <c r="D94" t="s">
        <v>775</v>
      </c>
      <c r="E94" t="s">
        <v>831</v>
      </c>
      <c r="F94" t="s">
        <v>957</v>
      </c>
      <c r="G94" t="s">
        <v>891</v>
      </c>
      <c r="H94">
        <f t="shared" si="178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179"/>
        <v>4830.0000000000009</v>
      </c>
      <c r="L94">
        <f t="shared" si="180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>IF(J94&gt;0,SUM(J94:N94),0)</f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269"/>
        <v>200</v>
      </c>
      <c r="S94">
        <f t="shared" si="181"/>
        <v>41270</v>
      </c>
      <c r="T94">
        <f>_xlfn.XLOOKUP(B94,'[2]april-2025'!$A:$A,'[2]april-2025'!$C:$C,0,0)</f>
        <v>34500</v>
      </c>
      <c r="U94">
        <f t="shared" si="182"/>
        <v>6210</v>
      </c>
      <c r="V94">
        <f t="shared" si="183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184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185"/>
        <v>200</v>
      </c>
      <c r="AC94">
        <f t="shared" si="186"/>
        <v>42650</v>
      </c>
      <c r="AD94">
        <f>_xlfn.XLOOKUP(B94,'[3]may-2025'!$A:$A,'[3]may-2025'!$C:$C,0,0)</f>
        <v>34500</v>
      </c>
      <c r="AE94">
        <f t="shared" si="187"/>
        <v>6210</v>
      </c>
      <c r="AF94">
        <f t="shared" si="188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189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190"/>
        <v>200</v>
      </c>
      <c r="AM94">
        <f t="shared" si="191"/>
        <v>42650</v>
      </c>
      <c r="AN94">
        <f>_xlfn.XLOOKUP(B94,'[4]june-2025'!$A:$A,'[4]june-2025'!$C:$C,0,0)</f>
        <v>34500</v>
      </c>
      <c r="AO94">
        <f t="shared" si="192"/>
        <v>6210</v>
      </c>
      <c r="AP94">
        <f t="shared" si="193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194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195"/>
        <v>200</v>
      </c>
      <c r="AW94">
        <f t="shared" si="196"/>
        <v>42650</v>
      </c>
      <c r="AX94">
        <f>_xlfn.XLOOKUP(B94,'[5]july-2025'!$A:$A,'[5]july-2025'!$C:$C,0,0)</f>
        <v>35500</v>
      </c>
      <c r="AY94">
        <f t="shared" si="197"/>
        <v>6390</v>
      </c>
      <c r="AZ94">
        <v>0</v>
      </c>
      <c r="BA94">
        <f t="shared" si="198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>IF(AX94&gt;0,SUM(AX94:BC94),0)</f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199"/>
        <v>200</v>
      </c>
      <c r="BH94">
        <f t="shared" si="200"/>
        <v>43950</v>
      </c>
      <c r="BI94">
        <f>_xlfn.XLOOKUP(B94,'[6]august-2025'!$A:$A,'[6]august-2025'!$C:$C,0,0)</f>
        <v>35500</v>
      </c>
      <c r="BJ94">
        <f t="shared" si="201"/>
        <v>6390</v>
      </c>
      <c r="BK94">
        <f t="shared" si="202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03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>IF($F94="YES",0,IF(BN94&gt;40000,200,IF(BN94&gt;25000,150,IF(BN94&gt;15000,130,IF(BN94&gt;10000,110,0)))))</f>
        <v>200</v>
      </c>
      <c r="BR94">
        <f>BN94-BO94-BP94-BQ94</f>
        <v>43950</v>
      </c>
      <c r="BS94">
        <f>_xlfn.XLOOKUP(B94,'[7]september-2025'!$A:$A,'[7]september-2025'!$C:$C,0,0)</f>
        <v>35500</v>
      </c>
      <c r="BT94">
        <f t="shared" si="204"/>
        <v>6390</v>
      </c>
      <c r="BU94">
        <f t="shared" si="205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>IF(BS94&gt;0,SUM(BS94:BW94),0)</f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06"/>
        <v>200</v>
      </c>
      <c r="CB94">
        <f t="shared" si="207"/>
        <v>43950</v>
      </c>
      <c r="CC94">
        <f>_xlfn.XLOOKUP(B94,'[8]october-2025'!$A:$A,'[8]october-2025'!$C:$C,0,0)</f>
        <v>35500</v>
      </c>
      <c r="CD94">
        <f t="shared" si="208"/>
        <v>6390</v>
      </c>
      <c r="CE94">
        <f t="shared" si="209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>IF(CC94&gt;0,SUM(CC94:CG94),0)</f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10"/>
        <v>200</v>
      </c>
      <c r="CL94">
        <f t="shared" si="211"/>
        <v>43950</v>
      </c>
      <c r="CM94">
        <f>_xlfn.XLOOKUP(B94,'[9]november-2025'!$A:$A,'[9]november-2025'!$C:$C,0,0)</f>
        <v>35500</v>
      </c>
      <c r="CN94">
        <f t="shared" si="212"/>
        <v>6390</v>
      </c>
      <c r="CO94">
        <f t="shared" si="213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>IF(CM94&gt;0,SUM(CM94:CQ94),0)</f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14"/>
        <v>200</v>
      </c>
      <c r="CV94">
        <f t="shared" si="215"/>
        <v>43950</v>
      </c>
      <c r="CW94">
        <f>_xlfn.XLOOKUP(B94,'[10]december-2025'!$A:$A,'[10]december-2025'!$C:$C,0,0)</f>
        <v>35500</v>
      </c>
      <c r="CX94">
        <f t="shared" si="216"/>
        <v>6390</v>
      </c>
      <c r="CY94">
        <f t="shared" si="217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>IF(CW94&gt;0,SUM(CW94:DA94),0)</f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18"/>
        <v>200</v>
      </c>
      <c r="DF94">
        <f t="shared" si="219"/>
        <v>43950</v>
      </c>
      <c r="DG94">
        <f>_xlfn.XLOOKUP(B94,'[11]january-2026'!$A:$A,'[11]january-2026'!$C:$C,0,0)</f>
        <v>35500</v>
      </c>
      <c r="DH94">
        <f t="shared" si="220"/>
        <v>6390</v>
      </c>
      <c r="DI94">
        <f t="shared" si="221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>IF(DG94&gt;0,SUM(DG94:DK94),0)</f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22"/>
        <v>200</v>
      </c>
      <c r="DP94">
        <f t="shared" si="223"/>
        <v>43950</v>
      </c>
      <c r="DQ94">
        <f>_xlfn.XLOOKUP(B94,'[12]february-2026'!$A:$A,'[12]february-2026'!$C:$C,0,0)</f>
        <v>35500</v>
      </c>
      <c r="DR94">
        <f t="shared" si="224"/>
        <v>6390</v>
      </c>
      <c r="DS94">
        <f t="shared" si="225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>IF(DQ94&gt;0,SUM(DQ94:DU94),0)</f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26"/>
        <v>200</v>
      </c>
      <c r="DZ94">
        <f t="shared" si="227"/>
        <v>43950</v>
      </c>
      <c r="EA94">
        <f>_xlfn.XLOOKUP(B94,'[1]march-2025'!$A:$A,'[1]march-2025'!$J:$J,0,0)</f>
        <v>0</v>
      </c>
      <c r="EB94">
        <f>_xlfn.XLOOKUP(B94,'[2]april-2025'!$A:$A,'[2]april-2025'!$J:$J,0,0)</f>
        <v>0</v>
      </c>
      <c r="EC94">
        <f>_xlfn.XLOOKUP(B94,'[3]may-2025'!$A:$A,'[3]may-2025'!$J:$J,0,0)</f>
        <v>0</v>
      </c>
      <c r="ED94">
        <f>_xlfn.XLOOKUP(B94,'[4]june-2025'!$A:$A,'[4]june-2025'!$J:$J,0,0)</f>
        <v>0</v>
      </c>
      <c r="EE94">
        <f>_xlfn.XLOOKUP(B94,'[5]july-2025'!$A:$A,'[5]july-2025'!$J:$J,0,0)</f>
        <v>0</v>
      </c>
      <c r="EF94">
        <f>_xlfn.XLOOKUP(B94,'[6]august-2025'!$A:$A,'[6]august-2025'!$J:$J,0,0)</f>
        <v>0</v>
      </c>
      <c r="EG94">
        <f>_xlfn.XLOOKUP(B94,'[7]september-2025'!$A:$A,'[7]september-2025'!$J:$J,0,0)</f>
        <v>0</v>
      </c>
      <c r="EH94">
        <f>_xlfn.XLOOKUP(B94,'[8]october-2025'!$A:$A,'[8]october-2025'!$J:$J,0,0)</f>
        <v>0</v>
      </c>
      <c r="EI94">
        <f>_xlfn.XLOOKUP(C94,'[9]november-2025'!$A:$A,'[9]november-2025'!$J:$J,0,0)</f>
        <v>0</v>
      </c>
      <c r="EJ94">
        <f>_xlfn.XLOOKUP(B94,'[10]december-2025'!$A:$A,'[10]december-2025'!$J:$J,0,0)</f>
        <v>0</v>
      </c>
      <c r="EK94">
        <f>_xlfn.XLOOKUP(B94,'[11]january-2026'!$A:$A,'[11]january-2026'!$J:$J,0,0)</f>
        <v>0</v>
      </c>
      <c r="EL94">
        <f>_xlfn.XLOOKUP(B94,'[12]february-2026'!$A:$A,'[12]february-2026'!$J:$J,0,0)</f>
        <v>0</v>
      </c>
      <c r="EM94">
        <f t="shared" si="228"/>
        <v>0</v>
      </c>
      <c r="EN94">
        <f>DV94+DL94+DB94+CR94+CH94+BX94+BN94+BD94+AS94+AI94+Y94+O94+H94+I94</f>
        <v>560020</v>
      </c>
      <c r="EO94">
        <f>DY94+DO94+DE94+CU94+CK94+CA94+BQ94+BG94+AV94+AL94+AB94+R94</f>
        <v>2400</v>
      </c>
      <c r="EP94">
        <f t="shared" si="229"/>
        <v>50000</v>
      </c>
      <c r="EQ94">
        <v>0</v>
      </c>
      <c r="ER94">
        <f t="shared" si="230"/>
        <v>507620</v>
      </c>
      <c r="ES94">
        <f>DW94+DM94+DC94+CS94+CI94+BY94+BO94+BE94+AT94+AJ94+Z94+P94</f>
        <v>30000</v>
      </c>
      <c r="ET94">
        <f>DX94+DN94+DD94+CT94+CJ94+BZ94+BP94+BF94+AU94+AK94+AA94+Q94</f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231"/>
        <v>30000</v>
      </c>
      <c r="FF94">
        <f t="shared" si="232"/>
        <v>30000</v>
      </c>
      <c r="FG94">
        <f t="shared" si="233"/>
        <v>477620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>SUM(FH94:FN94)+(IF(F94="YES",50000,0))</f>
        <v>0</v>
      </c>
      <c r="FP94">
        <f t="shared" si="234"/>
        <v>477620</v>
      </c>
      <c r="FQ94">
        <f t="shared" si="235"/>
        <v>11381</v>
      </c>
      <c r="FR94">
        <f t="shared" si="236"/>
        <v>0</v>
      </c>
      <c r="FS94">
        <f t="shared" si="237"/>
        <v>11381</v>
      </c>
      <c r="FT94">
        <f t="shared" si="238"/>
        <v>0</v>
      </c>
      <c r="FU94">
        <f t="shared" si="239"/>
        <v>0</v>
      </c>
      <c r="FV94">
        <f t="shared" si="240"/>
        <v>0</v>
      </c>
      <c r="FW94">
        <v>0</v>
      </c>
      <c r="FX94">
        <f t="shared" si="241"/>
        <v>0</v>
      </c>
      <c r="FY94" t="b">
        <f t="shared" si="242"/>
        <v>1</v>
      </c>
      <c r="FZ94">
        <f t="shared" ca="1" si="243"/>
        <v>724</v>
      </c>
      <c r="GA94">
        <f t="shared" ca="1" si="244"/>
        <v>560744</v>
      </c>
      <c r="GB94">
        <f t="shared" si="245"/>
        <v>75000</v>
      </c>
      <c r="GC94">
        <f t="shared" ca="1" si="246"/>
        <v>485744</v>
      </c>
      <c r="GD94">
        <f t="shared" ca="1" si="247"/>
        <v>0</v>
      </c>
      <c r="GE94">
        <f t="shared" ca="1" si="248"/>
        <v>0</v>
      </c>
      <c r="GF94">
        <f t="shared" ca="1" si="249"/>
        <v>0</v>
      </c>
      <c r="GG94">
        <f t="shared" ca="1" si="250"/>
        <v>0</v>
      </c>
      <c r="GH94">
        <f t="shared" ca="1" si="251"/>
        <v>0</v>
      </c>
      <c r="GI94">
        <f t="shared" ca="1" si="252"/>
        <v>0</v>
      </c>
      <c r="GJ94">
        <f ca="1">IF(GC94&gt;1200000,GC94-1200000-IF(F94="YES",50000,0)-GH94,0)</f>
        <v>0</v>
      </c>
      <c r="GK94">
        <f t="shared" ca="1" si="253"/>
        <v>0</v>
      </c>
      <c r="GL94">
        <f t="shared" ca="1" si="254"/>
        <v>0</v>
      </c>
      <c r="GM94">
        <f t="shared" ca="1" si="255"/>
        <v>0</v>
      </c>
      <c r="GN94">
        <f t="shared" ca="1" si="256"/>
        <v>85744</v>
      </c>
      <c r="GO94">
        <f t="shared" ca="1" si="257"/>
        <v>4287.2</v>
      </c>
      <c r="GP94">
        <f t="shared" ca="1" si="258"/>
        <v>4287</v>
      </c>
      <c r="GQ94">
        <f t="shared" ca="1" si="259"/>
        <v>0</v>
      </c>
      <c r="GR94">
        <f t="shared" ca="1" si="260"/>
        <v>0</v>
      </c>
      <c r="GS94">
        <f t="shared" ca="1" si="261"/>
        <v>4287</v>
      </c>
      <c r="GT94">
        <f t="shared" ca="1" si="262"/>
        <v>0</v>
      </c>
      <c r="GU94" t="b">
        <f t="shared" ca="1" si="263"/>
        <v>0</v>
      </c>
      <c r="GV94">
        <f t="shared" ca="1" si="264"/>
        <v>0</v>
      </c>
      <c r="GW94">
        <f t="shared" ca="1" si="265"/>
        <v>4287</v>
      </c>
      <c r="GX94">
        <f t="shared" ca="1" si="266"/>
        <v>0</v>
      </c>
      <c r="GY94">
        <f t="shared" ca="1" si="267"/>
        <v>0</v>
      </c>
      <c r="GZ94">
        <f t="shared" ca="1" si="268"/>
        <v>0</v>
      </c>
    </row>
    <row r="95" spans="1:208" x14ac:dyDescent="0.25">
      <c r="A95">
        <f>_xlfn.AGGREGATE(3,5,$B$2:B95)</f>
        <v>94</v>
      </c>
      <c r="B95" t="s">
        <v>305</v>
      </c>
      <c r="C95" t="s">
        <v>306</v>
      </c>
      <c r="D95" t="s">
        <v>775</v>
      </c>
      <c r="E95" t="s">
        <v>831</v>
      </c>
      <c r="F95" t="s">
        <v>957</v>
      </c>
      <c r="G95" t="s">
        <v>915</v>
      </c>
      <c r="H95">
        <f t="shared" si="178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179"/>
        <v>3556.0000000000005</v>
      </c>
      <c r="L95">
        <f t="shared" si="180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>IF(J95&gt;0,SUM(J95:N95),0)</f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269"/>
        <v>150</v>
      </c>
      <c r="S95">
        <f t="shared" si="181"/>
        <v>30354</v>
      </c>
      <c r="T95">
        <f>_xlfn.XLOOKUP(B95,'[2]april-2025'!$A:$A,'[2]april-2025'!$C:$C,0,0)</f>
        <v>25400</v>
      </c>
      <c r="U95">
        <f t="shared" si="182"/>
        <v>4572</v>
      </c>
      <c r="V95">
        <f t="shared" si="183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184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185"/>
        <v>150</v>
      </c>
      <c r="AC95">
        <f t="shared" si="186"/>
        <v>31370</v>
      </c>
      <c r="AD95">
        <f>_xlfn.XLOOKUP(B95,'[3]may-2025'!$A:$A,'[3]may-2025'!$C:$C,0,0)</f>
        <v>25400</v>
      </c>
      <c r="AE95">
        <f t="shared" si="187"/>
        <v>4572</v>
      </c>
      <c r="AF95">
        <f t="shared" si="188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189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190"/>
        <v>150</v>
      </c>
      <c r="AM95">
        <f t="shared" si="191"/>
        <v>31370</v>
      </c>
      <c r="AN95">
        <f>_xlfn.XLOOKUP(B95,'[4]june-2025'!$A:$A,'[4]june-2025'!$C:$C,0,0)</f>
        <v>25400</v>
      </c>
      <c r="AO95">
        <f t="shared" si="192"/>
        <v>4572</v>
      </c>
      <c r="AP95">
        <f t="shared" si="193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194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195"/>
        <v>150</v>
      </c>
      <c r="AW95">
        <f t="shared" si="196"/>
        <v>31370</v>
      </c>
      <c r="AX95">
        <f>_xlfn.XLOOKUP(B95,'[5]july-2025'!$A:$A,'[5]july-2025'!$C:$C,0,0)</f>
        <v>26200</v>
      </c>
      <c r="AY95">
        <f t="shared" si="197"/>
        <v>4716</v>
      </c>
      <c r="AZ95">
        <v>0</v>
      </c>
      <c r="BA95">
        <f t="shared" si="198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>IF(AX95&gt;0,SUM(AX95:BC95),0)</f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199"/>
        <v>150</v>
      </c>
      <c r="BH95">
        <f t="shared" si="200"/>
        <v>32410</v>
      </c>
      <c r="BI95">
        <f>_xlfn.XLOOKUP(B95,'[6]august-2025'!$A:$A,'[6]august-2025'!$C:$C,0,0)</f>
        <v>26200</v>
      </c>
      <c r="BJ95">
        <f t="shared" si="201"/>
        <v>4716</v>
      </c>
      <c r="BK95">
        <f t="shared" si="202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03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>IF($F95="YES",0,IF(BN95&gt;40000,200,IF(BN95&gt;25000,150,IF(BN95&gt;15000,130,IF(BN95&gt;10000,110,0)))))</f>
        <v>150</v>
      </c>
      <c r="BR95">
        <f>BN95-BO95-BP95-BQ95</f>
        <v>32410</v>
      </c>
      <c r="BS95">
        <f>_xlfn.XLOOKUP(B95,'[7]september-2025'!$A:$A,'[7]september-2025'!$C:$C,0,0)</f>
        <v>26200</v>
      </c>
      <c r="BT95">
        <f t="shared" si="204"/>
        <v>4716</v>
      </c>
      <c r="BU95">
        <f t="shared" si="205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>IF(BS95&gt;0,SUM(BS95:BW95),0)</f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06"/>
        <v>150</v>
      </c>
      <c r="CB95">
        <f t="shared" si="207"/>
        <v>32410</v>
      </c>
      <c r="CC95">
        <f>_xlfn.XLOOKUP(B95,'[8]october-2025'!$A:$A,'[8]october-2025'!$C:$C,0,0)</f>
        <v>26200</v>
      </c>
      <c r="CD95">
        <f t="shared" si="208"/>
        <v>4716</v>
      </c>
      <c r="CE95">
        <f t="shared" si="209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>IF(CC95&gt;0,SUM(CC95:CG95),0)</f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10"/>
        <v>150</v>
      </c>
      <c r="CL95">
        <f t="shared" si="211"/>
        <v>32410</v>
      </c>
      <c r="CM95">
        <f>_xlfn.XLOOKUP(B95,'[9]november-2025'!$A:$A,'[9]november-2025'!$C:$C,0,0)</f>
        <v>26200</v>
      </c>
      <c r="CN95">
        <f t="shared" si="212"/>
        <v>4716</v>
      </c>
      <c r="CO95">
        <f t="shared" si="213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>IF(CM95&gt;0,SUM(CM95:CQ95),0)</f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14"/>
        <v>150</v>
      </c>
      <c r="CV95">
        <f t="shared" si="215"/>
        <v>32410</v>
      </c>
      <c r="CW95">
        <f>_xlfn.XLOOKUP(B95,'[10]december-2025'!$A:$A,'[10]december-2025'!$C:$C,0,0)</f>
        <v>26200</v>
      </c>
      <c r="CX95">
        <f t="shared" si="216"/>
        <v>4716</v>
      </c>
      <c r="CY95">
        <f t="shared" si="217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>IF(CW95&gt;0,SUM(CW95:DA95),0)</f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18"/>
        <v>150</v>
      </c>
      <c r="DF95">
        <f t="shared" si="219"/>
        <v>32410</v>
      </c>
      <c r="DG95">
        <f>_xlfn.XLOOKUP(B95,'[11]january-2026'!$A:$A,'[11]january-2026'!$C:$C,0,0)</f>
        <v>26200</v>
      </c>
      <c r="DH95">
        <f t="shared" si="220"/>
        <v>4716</v>
      </c>
      <c r="DI95">
        <f t="shared" si="221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>IF(DG95&gt;0,SUM(DG95:DK95),0)</f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22"/>
        <v>150</v>
      </c>
      <c r="DP95">
        <f t="shared" si="223"/>
        <v>32410</v>
      </c>
      <c r="DQ95">
        <f>_xlfn.XLOOKUP(B95,'[12]february-2026'!$A:$A,'[12]february-2026'!$C:$C,0,0)</f>
        <v>26200</v>
      </c>
      <c r="DR95">
        <f t="shared" si="224"/>
        <v>4716</v>
      </c>
      <c r="DS95">
        <f t="shared" si="225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>IF(DQ95&gt;0,SUM(DQ95:DU95),0)</f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26"/>
        <v>150</v>
      </c>
      <c r="DZ95">
        <f t="shared" si="227"/>
        <v>32410</v>
      </c>
      <c r="EA95">
        <f>_xlfn.XLOOKUP(B95,'[1]march-2025'!$A:$A,'[1]march-2025'!$J:$J,0,0)</f>
        <v>0</v>
      </c>
      <c r="EB95">
        <f>_xlfn.XLOOKUP(B95,'[2]april-2025'!$A:$A,'[2]april-2025'!$J:$J,0,0)</f>
        <v>0</v>
      </c>
      <c r="EC95">
        <f>_xlfn.XLOOKUP(B95,'[3]may-2025'!$A:$A,'[3]may-2025'!$J:$J,0,0)</f>
        <v>0</v>
      </c>
      <c r="ED95">
        <f>_xlfn.XLOOKUP(B95,'[4]june-2025'!$A:$A,'[4]june-2025'!$J:$J,0,0)</f>
        <v>0</v>
      </c>
      <c r="EE95">
        <f>_xlfn.XLOOKUP(B95,'[5]july-2025'!$A:$A,'[5]july-2025'!$J:$J,0,0)</f>
        <v>0</v>
      </c>
      <c r="EF95">
        <f>_xlfn.XLOOKUP(B95,'[6]august-2025'!$A:$A,'[6]august-2025'!$J:$J,0,0)</f>
        <v>0</v>
      </c>
      <c r="EG95">
        <f>_xlfn.XLOOKUP(B95,'[7]september-2025'!$A:$A,'[7]september-2025'!$J:$J,0,0)</f>
        <v>0</v>
      </c>
      <c r="EH95">
        <f>_xlfn.XLOOKUP(B95,'[8]october-2025'!$A:$A,'[8]october-2025'!$J:$J,0,0)</f>
        <v>0</v>
      </c>
      <c r="EI95">
        <f>_xlfn.XLOOKUP(C95,'[9]november-2025'!$A:$A,'[9]november-2025'!$J:$J,0,0)</f>
        <v>0</v>
      </c>
      <c r="EJ95">
        <f>_xlfn.XLOOKUP(B95,'[10]december-2025'!$A:$A,'[10]december-2025'!$J:$J,0,0)</f>
        <v>0</v>
      </c>
      <c r="EK95">
        <f>_xlfn.XLOOKUP(B95,'[11]january-2026'!$A:$A,'[11]january-2026'!$J:$J,0,0)</f>
        <v>0</v>
      </c>
      <c r="EL95">
        <f>_xlfn.XLOOKUP(B95,'[12]february-2026'!$A:$A,'[12]february-2026'!$J:$J,0,0)</f>
        <v>0</v>
      </c>
      <c r="EM95">
        <f t="shared" si="228"/>
        <v>0</v>
      </c>
      <c r="EN95">
        <f>DV95+DL95+DB95+CR95+CH95+BX95+BN95+BD95+AS95+AI95+Y95+O95+H95+I95</f>
        <v>416344</v>
      </c>
      <c r="EO95">
        <f>DY95+DO95+DE95+CU95+CK95+CA95+BQ95+BG95+AV95+AL95+AB95+R95</f>
        <v>1800</v>
      </c>
      <c r="EP95">
        <f t="shared" si="229"/>
        <v>50000</v>
      </c>
      <c r="EQ95">
        <v>0</v>
      </c>
      <c r="ER95">
        <f t="shared" si="230"/>
        <v>364544</v>
      </c>
      <c r="ES95">
        <f>DW95+DM95+DC95+CS95+CI95+BY95+BO95+BE95+AT95+AJ95+Z95+P95</f>
        <v>24000</v>
      </c>
      <c r="ET95">
        <f>DX95+DN95+DD95+CT95+CJ95+BZ95+BP95+BF95+AU95+AK95+AA95+Q95</f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231"/>
        <v>24000</v>
      </c>
      <c r="FF95">
        <f t="shared" si="232"/>
        <v>24000</v>
      </c>
      <c r="FG95">
        <f t="shared" si="233"/>
        <v>340544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>SUM(FH95:FN95)+(IF(F95="YES",50000,0))</f>
        <v>0</v>
      </c>
      <c r="FP95">
        <f t="shared" si="234"/>
        <v>340544</v>
      </c>
      <c r="FQ95">
        <f t="shared" si="235"/>
        <v>4527</v>
      </c>
      <c r="FR95">
        <f t="shared" si="236"/>
        <v>0</v>
      </c>
      <c r="FS95">
        <f t="shared" si="237"/>
        <v>4527</v>
      </c>
      <c r="FT95">
        <f t="shared" si="238"/>
        <v>0</v>
      </c>
      <c r="FU95">
        <f t="shared" si="239"/>
        <v>0</v>
      </c>
      <c r="FV95">
        <f t="shared" si="240"/>
        <v>0</v>
      </c>
      <c r="FW95">
        <v>0</v>
      </c>
      <c r="FX95">
        <f t="shared" si="241"/>
        <v>0</v>
      </c>
      <c r="FY95" t="b">
        <f t="shared" si="242"/>
        <v>0</v>
      </c>
      <c r="FZ95">
        <f t="shared" ca="1" si="243"/>
        <v>2287</v>
      </c>
      <c r="GA95">
        <f t="shared" ca="1" si="244"/>
        <v>418631</v>
      </c>
      <c r="GB95">
        <f t="shared" si="245"/>
        <v>75000</v>
      </c>
      <c r="GC95">
        <f t="shared" ca="1" si="246"/>
        <v>343631</v>
      </c>
      <c r="GD95">
        <f t="shared" ca="1" si="247"/>
        <v>0</v>
      </c>
      <c r="GE95">
        <f t="shared" ca="1" si="248"/>
        <v>0</v>
      </c>
      <c r="GF95">
        <f t="shared" ca="1" si="249"/>
        <v>0</v>
      </c>
      <c r="GG95">
        <f t="shared" ca="1" si="250"/>
        <v>0</v>
      </c>
      <c r="GH95">
        <f t="shared" ca="1" si="251"/>
        <v>0</v>
      </c>
      <c r="GI95">
        <f t="shared" ca="1" si="252"/>
        <v>0</v>
      </c>
      <c r="GJ95">
        <f ca="1">IF(GC95&gt;1200000,GC95-1200000-IF(F95="YES",50000,0)-GH95,0)</f>
        <v>0</v>
      </c>
      <c r="GK95">
        <f t="shared" ca="1" si="253"/>
        <v>0</v>
      </c>
      <c r="GL95">
        <f t="shared" ca="1" si="254"/>
        <v>0</v>
      </c>
      <c r="GM95">
        <f t="shared" ca="1" si="255"/>
        <v>0</v>
      </c>
      <c r="GN95">
        <f t="shared" ca="1" si="256"/>
        <v>0</v>
      </c>
      <c r="GO95">
        <f t="shared" ca="1" si="257"/>
        <v>0</v>
      </c>
      <c r="GP95">
        <f t="shared" ca="1" si="258"/>
        <v>0</v>
      </c>
      <c r="GQ95">
        <f t="shared" ca="1" si="259"/>
        <v>0</v>
      </c>
      <c r="GR95">
        <f t="shared" ca="1" si="260"/>
        <v>0</v>
      </c>
      <c r="GS95">
        <f t="shared" ca="1" si="261"/>
        <v>0</v>
      </c>
      <c r="GT95">
        <f t="shared" ca="1" si="262"/>
        <v>0</v>
      </c>
      <c r="GU95" t="b">
        <f t="shared" ca="1" si="263"/>
        <v>0</v>
      </c>
      <c r="GV95">
        <f t="shared" ca="1" si="264"/>
        <v>0</v>
      </c>
      <c r="GW95">
        <f t="shared" ca="1" si="265"/>
        <v>0</v>
      </c>
      <c r="GX95">
        <f t="shared" ca="1" si="266"/>
        <v>0</v>
      </c>
      <c r="GY95">
        <f t="shared" ca="1" si="267"/>
        <v>0</v>
      </c>
      <c r="GZ95">
        <f t="shared" ca="1" si="268"/>
        <v>0</v>
      </c>
    </row>
    <row r="96" spans="1:208" x14ac:dyDescent="0.25">
      <c r="A96">
        <f>_xlfn.AGGREGATE(3,5,$B$2:B96)</f>
        <v>95</v>
      </c>
      <c r="B96" t="s">
        <v>307</v>
      </c>
      <c r="C96" t="s">
        <v>308</v>
      </c>
      <c r="D96" t="s">
        <v>775</v>
      </c>
      <c r="E96" t="s">
        <v>831</v>
      </c>
      <c r="F96" t="s">
        <v>957</v>
      </c>
      <c r="G96" t="s">
        <v>881</v>
      </c>
      <c r="H96">
        <f t="shared" si="178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179"/>
        <v>4046.0000000000005</v>
      </c>
      <c r="L96">
        <f t="shared" si="180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>IF(J96&gt;0,SUM(J96:N96),0)</f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269"/>
        <v>150</v>
      </c>
      <c r="S96">
        <f t="shared" si="181"/>
        <v>34764</v>
      </c>
      <c r="T96">
        <f>_xlfn.XLOOKUP(B96,'[2]april-2025'!$A:$A,'[2]april-2025'!$C:$C,0,0)</f>
        <v>28900</v>
      </c>
      <c r="U96">
        <f t="shared" si="182"/>
        <v>5202</v>
      </c>
      <c r="V96">
        <f t="shared" si="183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184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185"/>
        <v>150</v>
      </c>
      <c r="AC96">
        <f t="shared" si="186"/>
        <v>35920</v>
      </c>
      <c r="AD96">
        <f>_xlfn.XLOOKUP(B96,'[3]may-2025'!$A:$A,'[3]may-2025'!$C:$C,0,0)</f>
        <v>28900</v>
      </c>
      <c r="AE96">
        <f t="shared" si="187"/>
        <v>5202</v>
      </c>
      <c r="AF96">
        <f t="shared" si="188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189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190"/>
        <v>150</v>
      </c>
      <c r="AM96">
        <f t="shared" si="191"/>
        <v>35920</v>
      </c>
      <c r="AN96">
        <f>_xlfn.XLOOKUP(B96,'[4]june-2025'!$A:$A,'[4]june-2025'!$C:$C,0,0)</f>
        <v>28900</v>
      </c>
      <c r="AO96">
        <f t="shared" si="192"/>
        <v>5202</v>
      </c>
      <c r="AP96">
        <f t="shared" si="193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194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195"/>
        <v>150</v>
      </c>
      <c r="AW96">
        <f t="shared" si="196"/>
        <v>35920</v>
      </c>
      <c r="AX96">
        <f>_xlfn.XLOOKUP(B96,'[5]july-2025'!$A:$A,'[5]july-2025'!$C:$C,0,0)</f>
        <v>29800</v>
      </c>
      <c r="AY96">
        <f t="shared" si="197"/>
        <v>5364</v>
      </c>
      <c r="AZ96">
        <v>0</v>
      </c>
      <c r="BA96">
        <f t="shared" si="198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>IF(AX96&gt;0,SUM(AX96:BC96),0)</f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199"/>
        <v>150</v>
      </c>
      <c r="BH96">
        <f t="shared" si="200"/>
        <v>37090</v>
      </c>
      <c r="BI96">
        <f>_xlfn.XLOOKUP(B96,'[6]august-2025'!$A:$A,'[6]august-2025'!$C:$C,0,0)</f>
        <v>29800</v>
      </c>
      <c r="BJ96">
        <f t="shared" si="201"/>
        <v>5364</v>
      </c>
      <c r="BK96">
        <f t="shared" si="202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03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>IF($F96="YES",0,IF(BN96&gt;40000,200,IF(BN96&gt;25000,150,IF(BN96&gt;15000,130,IF(BN96&gt;10000,110,0)))))</f>
        <v>150</v>
      </c>
      <c r="BR96">
        <f>BN96-BO96-BP96-BQ96</f>
        <v>37090</v>
      </c>
      <c r="BS96">
        <f>_xlfn.XLOOKUP(B96,'[7]september-2025'!$A:$A,'[7]september-2025'!$C:$C,0,0)</f>
        <v>29800</v>
      </c>
      <c r="BT96">
        <f t="shared" si="204"/>
        <v>5364</v>
      </c>
      <c r="BU96">
        <f t="shared" si="205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>IF(BS96&gt;0,SUM(BS96:BW96),0)</f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06"/>
        <v>150</v>
      </c>
      <c r="CB96">
        <f t="shared" si="207"/>
        <v>37090</v>
      </c>
      <c r="CC96">
        <f>_xlfn.XLOOKUP(B96,'[8]october-2025'!$A:$A,'[8]october-2025'!$C:$C,0,0)</f>
        <v>29800</v>
      </c>
      <c r="CD96">
        <f t="shared" si="208"/>
        <v>5364</v>
      </c>
      <c r="CE96">
        <f t="shared" si="209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>IF(CC96&gt;0,SUM(CC96:CG96),0)</f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10"/>
        <v>150</v>
      </c>
      <c r="CL96">
        <f t="shared" si="211"/>
        <v>37090</v>
      </c>
      <c r="CM96">
        <f>_xlfn.XLOOKUP(B96,'[9]november-2025'!$A:$A,'[9]november-2025'!$C:$C,0,0)</f>
        <v>29800</v>
      </c>
      <c r="CN96">
        <f t="shared" si="212"/>
        <v>5364</v>
      </c>
      <c r="CO96">
        <f t="shared" si="213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>IF(CM96&gt;0,SUM(CM96:CQ96),0)</f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14"/>
        <v>150</v>
      </c>
      <c r="CV96">
        <f t="shared" si="215"/>
        <v>37090</v>
      </c>
      <c r="CW96">
        <f>_xlfn.XLOOKUP(B96,'[10]december-2025'!$A:$A,'[10]december-2025'!$C:$C,0,0)</f>
        <v>29800</v>
      </c>
      <c r="CX96">
        <f t="shared" si="216"/>
        <v>5364</v>
      </c>
      <c r="CY96">
        <f t="shared" si="217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>IF(CW96&gt;0,SUM(CW96:DA96),0)</f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18"/>
        <v>150</v>
      </c>
      <c r="DF96">
        <f t="shared" si="219"/>
        <v>37090</v>
      </c>
      <c r="DG96">
        <f>_xlfn.XLOOKUP(B96,'[11]january-2026'!$A:$A,'[11]january-2026'!$C:$C,0,0)</f>
        <v>29800</v>
      </c>
      <c r="DH96">
        <f t="shared" si="220"/>
        <v>5364</v>
      </c>
      <c r="DI96">
        <f t="shared" si="221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>IF(DG96&gt;0,SUM(DG96:DK96),0)</f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22"/>
        <v>150</v>
      </c>
      <c r="DP96">
        <f t="shared" si="223"/>
        <v>37090</v>
      </c>
      <c r="DQ96">
        <f>_xlfn.XLOOKUP(B96,'[12]february-2026'!$A:$A,'[12]february-2026'!$C:$C,0,0)</f>
        <v>29800</v>
      </c>
      <c r="DR96">
        <f t="shared" si="224"/>
        <v>5364</v>
      </c>
      <c r="DS96">
        <f t="shared" si="225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>IF(DQ96&gt;0,SUM(DQ96:DU96),0)</f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26"/>
        <v>150</v>
      </c>
      <c r="DZ96">
        <f t="shared" si="227"/>
        <v>37090</v>
      </c>
      <c r="EA96">
        <f>_xlfn.XLOOKUP(B96,'[1]march-2025'!$A:$A,'[1]march-2025'!$J:$J,0,0)</f>
        <v>0</v>
      </c>
      <c r="EB96">
        <f>_xlfn.XLOOKUP(B96,'[2]april-2025'!$A:$A,'[2]april-2025'!$J:$J,0,0)</f>
        <v>0</v>
      </c>
      <c r="EC96">
        <f>_xlfn.XLOOKUP(B96,'[3]may-2025'!$A:$A,'[3]may-2025'!$J:$J,0,0)</f>
        <v>0</v>
      </c>
      <c r="ED96">
        <f>_xlfn.XLOOKUP(B96,'[4]june-2025'!$A:$A,'[4]june-2025'!$J:$J,0,0)</f>
        <v>0</v>
      </c>
      <c r="EE96">
        <f>_xlfn.XLOOKUP(B96,'[5]july-2025'!$A:$A,'[5]july-2025'!$J:$J,0,0)</f>
        <v>0</v>
      </c>
      <c r="EF96">
        <f>_xlfn.XLOOKUP(B96,'[6]august-2025'!$A:$A,'[6]august-2025'!$J:$J,0,0)</f>
        <v>0</v>
      </c>
      <c r="EG96">
        <f>_xlfn.XLOOKUP(B96,'[7]september-2025'!$A:$A,'[7]september-2025'!$J:$J,0,0)</f>
        <v>0</v>
      </c>
      <c r="EH96">
        <f>_xlfn.XLOOKUP(B96,'[8]october-2025'!$A:$A,'[8]october-2025'!$J:$J,0,0)</f>
        <v>0</v>
      </c>
      <c r="EI96">
        <f>_xlfn.XLOOKUP(C96,'[9]november-2025'!$A:$A,'[9]november-2025'!$J:$J,0,0)</f>
        <v>0</v>
      </c>
      <c r="EJ96">
        <f>_xlfn.XLOOKUP(B96,'[10]december-2025'!$A:$A,'[10]december-2025'!$J:$J,0,0)</f>
        <v>0</v>
      </c>
      <c r="EK96">
        <f>_xlfn.XLOOKUP(B96,'[11]january-2026'!$A:$A,'[11]january-2026'!$J:$J,0,0)</f>
        <v>0</v>
      </c>
      <c r="EL96">
        <f>_xlfn.XLOOKUP(B96,'[12]february-2026'!$A:$A,'[12]february-2026'!$J:$J,0,0)</f>
        <v>0</v>
      </c>
      <c r="EM96">
        <f t="shared" si="228"/>
        <v>0</v>
      </c>
      <c r="EN96">
        <f>DV96+DL96+DB96+CR96+CH96+BX96+BN96+BD96+AS96+AI96+Y96+O96+H96+I96</f>
        <v>471844</v>
      </c>
      <c r="EO96">
        <f>DY96+DO96+DE96+CU96+CK96+CA96+BQ96+BG96+AV96+AL96+AB96+R96</f>
        <v>1800</v>
      </c>
      <c r="EP96">
        <f t="shared" si="229"/>
        <v>50000</v>
      </c>
      <c r="EQ96">
        <v>0</v>
      </c>
      <c r="ER96">
        <f t="shared" si="230"/>
        <v>420044</v>
      </c>
      <c r="ES96">
        <f>DW96+DM96+DC96+CS96+CI96+BY96+BO96+BE96+AT96+AJ96+Z96+P96</f>
        <v>24000</v>
      </c>
      <c r="ET96">
        <f>DX96+DN96+DD96+CT96+CJ96+BZ96+BP96+BF96+AU96+AK96+AA96+Q96</f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231"/>
        <v>24000</v>
      </c>
      <c r="FF96">
        <f t="shared" si="232"/>
        <v>24000</v>
      </c>
      <c r="FG96">
        <f t="shared" si="233"/>
        <v>396044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>SUM(FH96:FN96)+(IF(F96="YES",50000,0))</f>
        <v>0</v>
      </c>
      <c r="FP96">
        <f t="shared" si="234"/>
        <v>396044</v>
      </c>
      <c r="FQ96">
        <f t="shared" si="235"/>
        <v>7302</v>
      </c>
      <c r="FR96">
        <f t="shared" si="236"/>
        <v>0</v>
      </c>
      <c r="FS96">
        <f t="shared" si="237"/>
        <v>7302</v>
      </c>
      <c r="FT96">
        <f t="shared" si="238"/>
        <v>0</v>
      </c>
      <c r="FU96">
        <f t="shared" si="239"/>
        <v>0</v>
      </c>
      <c r="FV96">
        <f t="shared" si="240"/>
        <v>0</v>
      </c>
      <c r="FW96">
        <v>0</v>
      </c>
      <c r="FX96">
        <f t="shared" si="241"/>
        <v>0</v>
      </c>
      <c r="FY96" t="b">
        <f t="shared" si="242"/>
        <v>0</v>
      </c>
      <c r="FZ96">
        <f t="shared" ca="1" si="243"/>
        <v>1805</v>
      </c>
      <c r="GA96">
        <f t="shared" ca="1" si="244"/>
        <v>473649</v>
      </c>
      <c r="GB96">
        <f t="shared" si="245"/>
        <v>75000</v>
      </c>
      <c r="GC96">
        <f t="shared" ca="1" si="246"/>
        <v>398649</v>
      </c>
      <c r="GD96">
        <f t="shared" ca="1" si="247"/>
        <v>0</v>
      </c>
      <c r="GE96">
        <f t="shared" ca="1" si="248"/>
        <v>0</v>
      </c>
      <c r="GF96">
        <f t="shared" ca="1" si="249"/>
        <v>0</v>
      </c>
      <c r="GG96">
        <f t="shared" ca="1" si="250"/>
        <v>0</v>
      </c>
      <c r="GH96">
        <f t="shared" ca="1" si="251"/>
        <v>0</v>
      </c>
      <c r="GI96">
        <f t="shared" ca="1" si="252"/>
        <v>0</v>
      </c>
      <c r="GJ96">
        <f ca="1">IF(GC96&gt;1200000,GC96-1200000-IF(F96="YES",50000,0)-GH96,0)</f>
        <v>0</v>
      </c>
      <c r="GK96">
        <f t="shared" ca="1" si="253"/>
        <v>0</v>
      </c>
      <c r="GL96">
        <f t="shared" ca="1" si="254"/>
        <v>0</v>
      </c>
      <c r="GM96">
        <f t="shared" ca="1" si="255"/>
        <v>0</v>
      </c>
      <c r="GN96">
        <f t="shared" ca="1" si="256"/>
        <v>0</v>
      </c>
      <c r="GO96">
        <f t="shared" ca="1" si="257"/>
        <v>0</v>
      </c>
      <c r="GP96">
        <f t="shared" ca="1" si="258"/>
        <v>0</v>
      </c>
      <c r="GQ96">
        <f t="shared" ca="1" si="259"/>
        <v>0</v>
      </c>
      <c r="GR96">
        <f t="shared" ca="1" si="260"/>
        <v>0</v>
      </c>
      <c r="GS96">
        <f t="shared" ca="1" si="261"/>
        <v>0</v>
      </c>
      <c r="GT96">
        <f t="shared" ca="1" si="262"/>
        <v>0</v>
      </c>
      <c r="GU96" t="b">
        <f t="shared" ca="1" si="263"/>
        <v>0</v>
      </c>
      <c r="GV96">
        <f t="shared" ca="1" si="264"/>
        <v>0</v>
      </c>
      <c r="GW96">
        <f t="shared" ca="1" si="265"/>
        <v>0</v>
      </c>
      <c r="GX96">
        <f t="shared" ca="1" si="266"/>
        <v>0</v>
      </c>
      <c r="GY96">
        <f t="shared" ca="1" si="267"/>
        <v>0</v>
      </c>
      <c r="GZ96">
        <f t="shared" ca="1" si="268"/>
        <v>0</v>
      </c>
    </row>
    <row r="97" spans="1:208" x14ac:dyDescent="0.25">
      <c r="A97">
        <f>_xlfn.AGGREGATE(3,5,$B$2:B97)</f>
        <v>96</v>
      </c>
      <c r="B97" t="s">
        <v>309</v>
      </c>
      <c r="C97" t="s">
        <v>310</v>
      </c>
      <c r="D97" t="s">
        <v>776</v>
      </c>
      <c r="E97" t="s">
        <v>831</v>
      </c>
      <c r="F97" t="s">
        <v>957</v>
      </c>
      <c r="G97" t="s">
        <v>906</v>
      </c>
      <c r="H97">
        <f t="shared" si="178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179"/>
        <v>4830.0000000000009</v>
      </c>
      <c r="L97">
        <f t="shared" si="180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>IF(J97&gt;0,SUM(J97:N97),0)</f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269"/>
        <v>200</v>
      </c>
      <c r="S97">
        <f t="shared" si="181"/>
        <v>41670</v>
      </c>
      <c r="T97">
        <f>_xlfn.XLOOKUP(B97,'[2]april-2025'!$A:$A,'[2]april-2025'!$C:$C,0,0)</f>
        <v>34500</v>
      </c>
      <c r="U97">
        <f t="shared" si="182"/>
        <v>6210</v>
      </c>
      <c r="V97">
        <f t="shared" si="183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184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185"/>
        <v>200</v>
      </c>
      <c r="AC97">
        <f t="shared" si="186"/>
        <v>43050</v>
      </c>
      <c r="AD97">
        <f>_xlfn.XLOOKUP(B97,'[3]may-2025'!$A:$A,'[3]may-2025'!$C:$C,0,0)</f>
        <v>34500</v>
      </c>
      <c r="AE97">
        <f t="shared" si="187"/>
        <v>6210</v>
      </c>
      <c r="AF97">
        <f t="shared" si="188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189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190"/>
        <v>200</v>
      </c>
      <c r="AM97">
        <f t="shared" si="191"/>
        <v>43050</v>
      </c>
      <c r="AN97">
        <f>_xlfn.XLOOKUP(B97,'[4]june-2025'!$A:$A,'[4]june-2025'!$C:$C,0,0)</f>
        <v>34500</v>
      </c>
      <c r="AO97">
        <f t="shared" si="192"/>
        <v>6210</v>
      </c>
      <c r="AP97">
        <f t="shared" si="193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194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195"/>
        <v>200</v>
      </c>
      <c r="AW97">
        <f t="shared" si="196"/>
        <v>43050</v>
      </c>
      <c r="AX97">
        <f>_xlfn.XLOOKUP(B97,'[5]july-2025'!$A:$A,'[5]july-2025'!$C:$C,0,0)</f>
        <v>35500</v>
      </c>
      <c r="AY97">
        <f t="shared" si="197"/>
        <v>6390</v>
      </c>
      <c r="AZ97">
        <v>0</v>
      </c>
      <c r="BA97">
        <f t="shared" si="198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>IF(AX97&gt;0,SUM(AX97:BC97),0)</f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199"/>
        <v>200</v>
      </c>
      <c r="BH97">
        <f t="shared" si="200"/>
        <v>44350</v>
      </c>
      <c r="BI97">
        <f>_xlfn.XLOOKUP(B97,'[6]august-2025'!$A:$A,'[6]august-2025'!$C:$C,0,0)</f>
        <v>35500</v>
      </c>
      <c r="BJ97">
        <f t="shared" si="201"/>
        <v>6390</v>
      </c>
      <c r="BK97">
        <f t="shared" si="202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03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>IF($F97="YES",0,IF(BN97&gt;40000,200,IF(BN97&gt;25000,150,IF(BN97&gt;15000,130,IF(BN97&gt;10000,110,0)))))</f>
        <v>200</v>
      </c>
      <c r="BR97">
        <f>BN97-BO97-BP97-BQ97</f>
        <v>44350</v>
      </c>
      <c r="BS97">
        <f>_xlfn.XLOOKUP(B97,'[7]september-2025'!$A:$A,'[7]september-2025'!$C:$C,0,0)</f>
        <v>35500</v>
      </c>
      <c r="BT97">
        <f t="shared" si="204"/>
        <v>6390</v>
      </c>
      <c r="BU97">
        <f t="shared" si="205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>IF(BS97&gt;0,SUM(BS97:BW97),0)</f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06"/>
        <v>200</v>
      </c>
      <c r="CB97">
        <f t="shared" si="207"/>
        <v>44350</v>
      </c>
      <c r="CC97">
        <f>_xlfn.XLOOKUP(B97,'[8]october-2025'!$A:$A,'[8]october-2025'!$C:$C,0,0)</f>
        <v>35500</v>
      </c>
      <c r="CD97">
        <f t="shared" si="208"/>
        <v>6390</v>
      </c>
      <c r="CE97">
        <f t="shared" si="209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>IF(CC97&gt;0,SUM(CC97:CG97),0)</f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10"/>
        <v>200</v>
      </c>
      <c r="CL97">
        <f t="shared" si="211"/>
        <v>44350</v>
      </c>
      <c r="CM97">
        <f>_xlfn.XLOOKUP(B97,'[9]november-2025'!$A:$A,'[9]november-2025'!$C:$C,0,0)</f>
        <v>35500</v>
      </c>
      <c r="CN97">
        <f t="shared" si="212"/>
        <v>6390</v>
      </c>
      <c r="CO97">
        <f t="shared" si="213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>IF(CM97&gt;0,SUM(CM97:CQ97),0)</f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14"/>
        <v>200</v>
      </c>
      <c r="CV97">
        <f t="shared" si="215"/>
        <v>44350</v>
      </c>
      <c r="CW97">
        <f>_xlfn.XLOOKUP(B97,'[10]december-2025'!$A:$A,'[10]december-2025'!$C:$C,0,0)</f>
        <v>35500</v>
      </c>
      <c r="CX97">
        <f t="shared" si="216"/>
        <v>6390</v>
      </c>
      <c r="CY97">
        <f t="shared" si="217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>IF(CW97&gt;0,SUM(CW97:DA97),0)</f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18"/>
        <v>200</v>
      </c>
      <c r="DF97">
        <f t="shared" si="219"/>
        <v>44350</v>
      </c>
      <c r="DG97">
        <f>_xlfn.XLOOKUP(B97,'[11]january-2026'!$A:$A,'[11]january-2026'!$C:$C,0,0)</f>
        <v>35500</v>
      </c>
      <c r="DH97">
        <f t="shared" si="220"/>
        <v>6390</v>
      </c>
      <c r="DI97">
        <f t="shared" si="221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>IF(DG97&gt;0,SUM(DG97:DK97),0)</f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22"/>
        <v>200</v>
      </c>
      <c r="DP97">
        <f t="shared" si="223"/>
        <v>44350</v>
      </c>
      <c r="DQ97">
        <f>_xlfn.XLOOKUP(B97,'[12]february-2026'!$A:$A,'[12]february-2026'!$C:$C,0,0)</f>
        <v>35500</v>
      </c>
      <c r="DR97">
        <f t="shared" si="224"/>
        <v>6390</v>
      </c>
      <c r="DS97">
        <f t="shared" si="225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>IF(DQ97&gt;0,SUM(DQ97:DU97),0)</f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26"/>
        <v>200</v>
      </c>
      <c r="DZ97">
        <f t="shared" si="227"/>
        <v>44350</v>
      </c>
      <c r="EA97">
        <f>_xlfn.XLOOKUP(B97,'[1]march-2025'!$A:$A,'[1]march-2025'!$J:$J,0,0)</f>
        <v>0</v>
      </c>
      <c r="EB97">
        <f>_xlfn.XLOOKUP(B97,'[2]april-2025'!$A:$A,'[2]april-2025'!$J:$J,0,0)</f>
        <v>0</v>
      </c>
      <c r="EC97">
        <f>_xlfn.XLOOKUP(B97,'[3]may-2025'!$A:$A,'[3]may-2025'!$J:$J,0,0)</f>
        <v>0</v>
      </c>
      <c r="ED97">
        <f>_xlfn.XLOOKUP(B97,'[4]june-2025'!$A:$A,'[4]june-2025'!$J:$J,0,0)</f>
        <v>0</v>
      </c>
      <c r="EE97">
        <f>_xlfn.XLOOKUP(B97,'[5]july-2025'!$A:$A,'[5]july-2025'!$J:$J,0,0)</f>
        <v>0</v>
      </c>
      <c r="EF97">
        <f>_xlfn.XLOOKUP(B97,'[6]august-2025'!$A:$A,'[6]august-2025'!$J:$J,0,0)</f>
        <v>0</v>
      </c>
      <c r="EG97">
        <f>_xlfn.XLOOKUP(B97,'[7]september-2025'!$A:$A,'[7]september-2025'!$J:$J,0,0)</f>
        <v>0</v>
      </c>
      <c r="EH97">
        <f>_xlfn.XLOOKUP(B97,'[8]october-2025'!$A:$A,'[8]october-2025'!$J:$J,0,0)</f>
        <v>0</v>
      </c>
      <c r="EI97">
        <f>_xlfn.XLOOKUP(C97,'[9]november-2025'!$A:$A,'[9]november-2025'!$J:$J,0,0)</f>
        <v>0</v>
      </c>
      <c r="EJ97">
        <f>_xlfn.XLOOKUP(B97,'[10]december-2025'!$A:$A,'[10]december-2025'!$J:$J,0,0)</f>
        <v>0</v>
      </c>
      <c r="EK97">
        <f>_xlfn.XLOOKUP(B97,'[11]january-2026'!$A:$A,'[11]january-2026'!$J:$J,0,0)</f>
        <v>0</v>
      </c>
      <c r="EL97">
        <f>_xlfn.XLOOKUP(B97,'[12]february-2026'!$A:$A,'[12]february-2026'!$J:$J,0,0)</f>
        <v>0</v>
      </c>
      <c r="EM97">
        <f t="shared" si="228"/>
        <v>0</v>
      </c>
      <c r="EN97">
        <f>DV97+DL97+DB97+CR97+CH97+BX97+BN97+BD97+AS97+AI97+Y97+O97+H97+I97</f>
        <v>564820</v>
      </c>
      <c r="EO97">
        <f>DY97+DO97+DE97+CU97+CK97+CA97+BQ97+BG97+AV97+AL97+AB97+R97</f>
        <v>2400</v>
      </c>
      <c r="EP97">
        <f t="shared" si="229"/>
        <v>50000</v>
      </c>
      <c r="EQ97">
        <v>0</v>
      </c>
      <c r="ER97">
        <f t="shared" si="230"/>
        <v>512420</v>
      </c>
      <c r="ES97">
        <f>DW97+DM97+DC97+CS97+CI97+BY97+BO97+BE97+AT97+AJ97+Z97+P97</f>
        <v>30000</v>
      </c>
      <c r="ET97">
        <f>DX97+DN97+DD97+CT97+CJ97+BZ97+BP97+BF97+AU97+AK97+AA97+Q97</f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231"/>
        <v>30000</v>
      </c>
      <c r="FF97">
        <f t="shared" si="232"/>
        <v>30000</v>
      </c>
      <c r="FG97">
        <f t="shared" si="233"/>
        <v>482420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>SUM(FH97:FN97)+(IF(F97="YES",50000,0))</f>
        <v>0</v>
      </c>
      <c r="FP97">
        <f t="shared" si="234"/>
        <v>482420</v>
      </c>
      <c r="FQ97">
        <f t="shared" si="235"/>
        <v>11621</v>
      </c>
      <c r="FR97">
        <f t="shared" si="236"/>
        <v>0</v>
      </c>
      <c r="FS97">
        <f t="shared" si="237"/>
        <v>11621</v>
      </c>
      <c r="FT97">
        <f t="shared" si="238"/>
        <v>0</v>
      </c>
      <c r="FU97">
        <f t="shared" si="239"/>
        <v>0</v>
      </c>
      <c r="FV97">
        <f t="shared" si="240"/>
        <v>0</v>
      </c>
      <c r="FW97">
        <v>0</v>
      </c>
      <c r="FX97">
        <f t="shared" si="241"/>
        <v>0</v>
      </c>
      <c r="FY97" t="b">
        <f t="shared" si="242"/>
        <v>1</v>
      </c>
      <c r="FZ97">
        <f t="shared" ca="1" si="243"/>
        <v>526</v>
      </c>
      <c r="GA97">
        <f t="shared" ca="1" si="244"/>
        <v>565346</v>
      </c>
      <c r="GB97">
        <f t="shared" si="245"/>
        <v>75000</v>
      </c>
      <c r="GC97">
        <f t="shared" ca="1" si="246"/>
        <v>490346</v>
      </c>
      <c r="GD97">
        <f t="shared" ca="1" si="247"/>
        <v>0</v>
      </c>
      <c r="GE97">
        <f t="shared" ca="1" si="248"/>
        <v>0</v>
      </c>
      <c r="GF97">
        <f t="shared" ca="1" si="249"/>
        <v>0</v>
      </c>
      <c r="GG97">
        <f t="shared" ca="1" si="250"/>
        <v>0</v>
      </c>
      <c r="GH97">
        <f t="shared" ca="1" si="251"/>
        <v>0</v>
      </c>
      <c r="GI97">
        <f t="shared" ca="1" si="252"/>
        <v>0</v>
      </c>
      <c r="GJ97">
        <f ca="1">IF(GC97&gt;1200000,GC97-1200000-IF(F97="YES",50000,0)-GH97,0)</f>
        <v>0</v>
      </c>
      <c r="GK97">
        <f t="shared" ca="1" si="253"/>
        <v>0</v>
      </c>
      <c r="GL97">
        <f t="shared" ca="1" si="254"/>
        <v>0</v>
      </c>
      <c r="GM97">
        <f t="shared" ca="1" si="255"/>
        <v>0</v>
      </c>
      <c r="GN97">
        <f t="shared" ca="1" si="256"/>
        <v>90346</v>
      </c>
      <c r="GO97">
        <f t="shared" ca="1" si="257"/>
        <v>4517.3</v>
      </c>
      <c r="GP97">
        <f t="shared" ca="1" si="258"/>
        <v>4517</v>
      </c>
      <c r="GQ97">
        <f t="shared" ca="1" si="259"/>
        <v>0</v>
      </c>
      <c r="GR97">
        <f t="shared" ca="1" si="260"/>
        <v>0</v>
      </c>
      <c r="GS97">
        <f t="shared" ca="1" si="261"/>
        <v>4517</v>
      </c>
      <c r="GT97">
        <f t="shared" ca="1" si="262"/>
        <v>0</v>
      </c>
      <c r="GU97" t="b">
        <f t="shared" ca="1" si="263"/>
        <v>0</v>
      </c>
      <c r="GV97">
        <f t="shared" ca="1" si="264"/>
        <v>0</v>
      </c>
      <c r="GW97">
        <f t="shared" ca="1" si="265"/>
        <v>4517</v>
      </c>
      <c r="GX97">
        <f t="shared" ca="1" si="266"/>
        <v>0</v>
      </c>
      <c r="GY97">
        <f t="shared" ca="1" si="267"/>
        <v>0</v>
      </c>
      <c r="GZ97">
        <f t="shared" ca="1" si="268"/>
        <v>0</v>
      </c>
    </row>
    <row r="98" spans="1:208" x14ac:dyDescent="0.25">
      <c r="A98">
        <f>_xlfn.AGGREGATE(3,5,$B$2:B98)</f>
        <v>97</v>
      </c>
      <c r="B98" t="s">
        <v>311</v>
      </c>
      <c r="C98" t="s">
        <v>312</v>
      </c>
      <c r="D98" t="s">
        <v>776</v>
      </c>
      <c r="E98" t="s">
        <v>831</v>
      </c>
      <c r="F98" t="s">
        <v>957</v>
      </c>
      <c r="G98" t="s">
        <v>878</v>
      </c>
      <c r="H98">
        <f t="shared" si="178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179"/>
        <v>4830.0000000000009</v>
      </c>
      <c r="L98">
        <f t="shared" si="180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>IF(J98&gt;0,SUM(J98:N98),0)</f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269"/>
        <v>200</v>
      </c>
      <c r="S98">
        <f t="shared" si="181"/>
        <v>40770</v>
      </c>
      <c r="T98">
        <f>_xlfn.XLOOKUP(B98,'[2]april-2025'!$A:$A,'[2]april-2025'!$C:$C,0,0)</f>
        <v>34500</v>
      </c>
      <c r="U98">
        <f t="shared" si="182"/>
        <v>6210</v>
      </c>
      <c r="V98">
        <f t="shared" si="183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184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185"/>
        <v>200</v>
      </c>
      <c r="AC98">
        <f t="shared" si="186"/>
        <v>42150</v>
      </c>
      <c r="AD98">
        <f>_xlfn.XLOOKUP(B98,'[3]may-2025'!$A:$A,'[3]may-2025'!$C:$C,0,0)</f>
        <v>34500</v>
      </c>
      <c r="AE98">
        <f t="shared" si="187"/>
        <v>6210</v>
      </c>
      <c r="AF98">
        <f t="shared" si="188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189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190"/>
        <v>200</v>
      </c>
      <c r="AM98">
        <f t="shared" si="191"/>
        <v>42150</v>
      </c>
      <c r="AN98">
        <f>_xlfn.XLOOKUP(B98,'[4]june-2025'!$A:$A,'[4]june-2025'!$C:$C,0,0)</f>
        <v>34500</v>
      </c>
      <c r="AO98">
        <f t="shared" si="192"/>
        <v>6210</v>
      </c>
      <c r="AP98">
        <f t="shared" si="193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194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195"/>
        <v>200</v>
      </c>
      <c r="AW98">
        <f t="shared" si="196"/>
        <v>42150</v>
      </c>
      <c r="AX98">
        <f>_xlfn.XLOOKUP(B98,'[5]july-2025'!$A:$A,'[5]july-2025'!$C:$C,0,0)</f>
        <v>35500</v>
      </c>
      <c r="AY98">
        <f t="shared" si="197"/>
        <v>6390</v>
      </c>
      <c r="AZ98">
        <v>0</v>
      </c>
      <c r="BA98">
        <f t="shared" si="198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>IF(AX98&gt;0,SUM(AX98:BC98),0)</f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199"/>
        <v>200</v>
      </c>
      <c r="BH98">
        <f t="shared" si="200"/>
        <v>43450</v>
      </c>
      <c r="BI98">
        <f>_xlfn.XLOOKUP(B98,'[6]august-2025'!$A:$A,'[6]august-2025'!$C:$C,0,0)</f>
        <v>35500</v>
      </c>
      <c r="BJ98">
        <f t="shared" si="201"/>
        <v>6390</v>
      </c>
      <c r="BK98">
        <f t="shared" si="202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03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>IF($F98="YES",0,IF(BN98&gt;40000,200,IF(BN98&gt;25000,150,IF(BN98&gt;15000,130,IF(BN98&gt;10000,110,0)))))</f>
        <v>200</v>
      </c>
      <c r="BR98">
        <f>BN98-BO98-BP98-BQ98</f>
        <v>43450</v>
      </c>
      <c r="BS98">
        <f>_xlfn.XLOOKUP(B98,'[7]september-2025'!$A:$A,'[7]september-2025'!$C:$C,0,0)</f>
        <v>35500</v>
      </c>
      <c r="BT98">
        <f t="shared" si="204"/>
        <v>6390</v>
      </c>
      <c r="BU98">
        <f t="shared" si="205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>IF(BS98&gt;0,SUM(BS98:BW98),0)</f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06"/>
        <v>200</v>
      </c>
      <c r="CB98">
        <f t="shared" si="207"/>
        <v>43450</v>
      </c>
      <c r="CC98">
        <f>_xlfn.XLOOKUP(B98,'[8]october-2025'!$A:$A,'[8]october-2025'!$C:$C,0,0)</f>
        <v>35500</v>
      </c>
      <c r="CD98">
        <f t="shared" si="208"/>
        <v>6390</v>
      </c>
      <c r="CE98">
        <f t="shared" si="209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>IF(CC98&gt;0,SUM(CC98:CG98),0)</f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10"/>
        <v>200</v>
      </c>
      <c r="CL98">
        <f t="shared" si="211"/>
        <v>43450</v>
      </c>
      <c r="CM98">
        <f>_xlfn.XLOOKUP(B98,'[9]november-2025'!$A:$A,'[9]november-2025'!$C:$C,0,0)</f>
        <v>35500</v>
      </c>
      <c r="CN98">
        <f t="shared" si="212"/>
        <v>6390</v>
      </c>
      <c r="CO98">
        <f t="shared" si="213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>IF(CM98&gt;0,SUM(CM98:CQ98),0)</f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14"/>
        <v>200</v>
      </c>
      <c r="CV98">
        <f t="shared" si="215"/>
        <v>43450</v>
      </c>
      <c r="CW98">
        <f>_xlfn.XLOOKUP(B98,'[10]december-2025'!$A:$A,'[10]december-2025'!$C:$C,0,0)</f>
        <v>35500</v>
      </c>
      <c r="CX98">
        <f t="shared" si="216"/>
        <v>6390</v>
      </c>
      <c r="CY98">
        <f t="shared" si="217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>IF(CW98&gt;0,SUM(CW98:DA98),0)</f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18"/>
        <v>200</v>
      </c>
      <c r="DF98">
        <f t="shared" si="219"/>
        <v>43450</v>
      </c>
      <c r="DG98">
        <f>_xlfn.XLOOKUP(B98,'[11]january-2026'!$A:$A,'[11]january-2026'!$C:$C,0,0)</f>
        <v>35500</v>
      </c>
      <c r="DH98">
        <f t="shared" si="220"/>
        <v>6390</v>
      </c>
      <c r="DI98">
        <f t="shared" si="221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>IF(DG98&gt;0,SUM(DG98:DK98),0)</f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22"/>
        <v>200</v>
      </c>
      <c r="DP98">
        <f t="shared" si="223"/>
        <v>43450</v>
      </c>
      <c r="DQ98">
        <f>_xlfn.XLOOKUP(B98,'[12]february-2026'!$A:$A,'[12]february-2026'!$C:$C,0,0)</f>
        <v>35500</v>
      </c>
      <c r="DR98">
        <f t="shared" si="224"/>
        <v>6390</v>
      </c>
      <c r="DS98">
        <f t="shared" si="225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>IF(DQ98&gt;0,SUM(DQ98:DU98),0)</f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26"/>
        <v>200</v>
      </c>
      <c r="DZ98">
        <f t="shared" si="227"/>
        <v>43450</v>
      </c>
      <c r="EA98">
        <f>_xlfn.XLOOKUP(B98,'[1]march-2025'!$A:$A,'[1]march-2025'!$J:$J,0,0)</f>
        <v>0</v>
      </c>
      <c r="EB98">
        <f>_xlfn.XLOOKUP(B98,'[2]april-2025'!$A:$A,'[2]april-2025'!$J:$J,0,0)</f>
        <v>0</v>
      </c>
      <c r="EC98">
        <f>_xlfn.XLOOKUP(B98,'[3]may-2025'!$A:$A,'[3]may-2025'!$J:$J,0,0)</f>
        <v>0</v>
      </c>
      <c r="ED98">
        <f>_xlfn.XLOOKUP(B98,'[4]june-2025'!$A:$A,'[4]june-2025'!$J:$J,0,0)</f>
        <v>0</v>
      </c>
      <c r="EE98">
        <f>_xlfn.XLOOKUP(B98,'[5]july-2025'!$A:$A,'[5]july-2025'!$J:$J,0,0)</f>
        <v>0</v>
      </c>
      <c r="EF98">
        <f>_xlfn.XLOOKUP(B98,'[6]august-2025'!$A:$A,'[6]august-2025'!$J:$J,0,0)</f>
        <v>0</v>
      </c>
      <c r="EG98">
        <f>_xlfn.XLOOKUP(B98,'[7]september-2025'!$A:$A,'[7]september-2025'!$J:$J,0,0)</f>
        <v>0</v>
      </c>
      <c r="EH98">
        <f>_xlfn.XLOOKUP(B98,'[8]october-2025'!$A:$A,'[8]october-2025'!$J:$J,0,0)</f>
        <v>0</v>
      </c>
      <c r="EI98">
        <f>_xlfn.XLOOKUP(C98,'[9]november-2025'!$A:$A,'[9]november-2025'!$J:$J,0,0)</f>
        <v>0</v>
      </c>
      <c r="EJ98">
        <f>_xlfn.XLOOKUP(B98,'[10]december-2025'!$A:$A,'[10]december-2025'!$J:$J,0,0)</f>
        <v>0</v>
      </c>
      <c r="EK98">
        <f>_xlfn.XLOOKUP(B98,'[11]january-2026'!$A:$A,'[11]january-2026'!$J:$J,0,0)</f>
        <v>0</v>
      </c>
      <c r="EL98">
        <f>_xlfn.XLOOKUP(B98,'[12]february-2026'!$A:$A,'[12]february-2026'!$J:$J,0,0)</f>
        <v>0</v>
      </c>
      <c r="EM98">
        <f t="shared" si="228"/>
        <v>0</v>
      </c>
      <c r="EN98">
        <f>DV98+DL98+DB98+CR98+CH98+BX98+BN98+BD98+AS98+AI98+Y98+O98+H98+I98</f>
        <v>560020</v>
      </c>
      <c r="EO98">
        <f>DY98+DO98+DE98+CU98+CK98+CA98+BQ98+BG98+AV98+AL98+AB98+R98</f>
        <v>2400</v>
      </c>
      <c r="EP98">
        <f t="shared" si="229"/>
        <v>50000</v>
      </c>
      <c r="EQ98">
        <v>0</v>
      </c>
      <c r="ER98">
        <f t="shared" si="230"/>
        <v>507620</v>
      </c>
      <c r="ES98">
        <f>DW98+DM98+DC98+CS98+CI98+BY98+BO98+BE98+AT98+AJ98+Z98+P98</f>
        <v>36000</v>
      </c>
      <c r="ET98">
        <f>DX98+DN98+DD98+CT98+CJ98+BZ98+BP98+BF98+AU98+AK98+AA98+Q98</f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231"/>
        <v>36000</v>
      </c>
      <c r="FF98">
        <f t="shared" si="232"/>
        <v>36000</v>
      </c>
      <c r="FG98">
        <f t="shared" si="233"/>
        <v>471620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>SUM(FH98:FN98)+(IF(F98="YES",50000,0))</f>
        <v>0</v>
      </c>
      <c r="FP98">
        <f t="shared" si="234"/>
        <v>471620</v>
      </c>
      <c r="FQ98">
        <f t="shared" si="235"/>
        <v>11081</v>
      </c>
      <c r="FR98">
        <f t="shared" si="236"/>
        <v>0</v>
      </c>
      <c r="FS98">
        <f t="shared" si="237"/>
        <v>11081</v>
      </c>
      <c r="FT98">
        <f t="shared" si="238"/>
        <v>0</v>
      </c>
      <c r="FU98">
        <f t="shared" si="239"/>
        <v>0</v>
      </c>
      <c r="FV98">
        <f t="shared" si="240"/>
        <v>0</v>
      </c>
      <c r="FW98">
        <v>0</v>
      </c>
      <c r="FX98">
        <f t="shared" si="241"/>
        <v>0</v>
      </c>
      <c r="FY98" t="b">
        <f t="shared" si="242"/>
        <v>1</v>
      </c>
      <c r="FZ98">
        <f t="shared" ca="1" si="243"/>
        <v>627</v>
      </c>
      <c r="GA98">
        <f t="shared" ca="1" si="244"/>
        <v>560647</v>
      </c>
      <c r="GB98">
        <f t="shared" si="245"/>
        <v>75000</v>
      </c>
      <c r="GC98">
        <f t="shared" ca="1" si="246"/>
        <v>485647</v>
      </c>
      <c r="GD98">
        <f t="shared" ca="1" si="247"/>
        <v>0</v>
      </c>
      <c r="GE98">
        <f t="shared" ca="1" si="248"/>
        <v>0</v>
      </c>
      <c r="GF98">
        <f t="shared" ca="1" si="249"/>
        <v>0</v>
      </c>
      <c r="GG98">
        <f t="shared" ca="1" si="250"/>
        <v>0</v>
      </c>
      <c r="GH98">
        <f t="shared" ca="1" si="251"/>
        <v>0</v>
      </c>
      <c r="GI98">
        <f t="shared" ca="1" si="252"/>
        <v>0</v>
      </c>
      <c r="GJ98">
        <f ca="1">IF(GC98&gt;1200000,GC98-1200000-IF(F98="YES",50000,0)-GH98,0)</f>
        <v>0</v>
      </c>
      <c r="GK98">
        <f t="shared" ca="1" si="253"/>
        <v>0</v>
      </c>
      <c r="GL98">
        <f t="shared" ca="1" si="254"/>
        <v>0</v>
      </c>
      <c r="GM98">
        <f t="shared" ca="1" si="255"/>
        <v>0</v>
      </c>
      <c r="GN98">
        <f t="shared" ca="1" si="256"/>
        <v>85647</v>
      </c>
      <c r="GO98">
        <f t="shared" ca="1" si="257"/>
        <v>4282.3500000000004</v>
      </c>
      <c r="GP98">
        <f t="shared" ca="1" si="258"/>
        <v>4282</v>
      </c>
      <c r="GQ98">
        <f t="shared" ca="1" si="259"/>
        <v>0</v>
      </c>
      <c r="GR98">
        <f t="shared" ca="1" si="260"/>
        <v>0</v>
      </c>
      <c r="GS98">
        <f t="shared" ca="1" si="261"/>
        <v>4282</v>
      </c>
      <c r="GT98">
        <f t="shared" ca="1" si="262"/>
        <v>0</v>
      </c>
      <c r="GU98" t="b">
        <f t="shared" ca="1" si="263"/>
        <v>0</v>
      </c>
      <c r="GV98">
        <f t="shared" ca="1" si="264"/>
        <v>0</v>
      </c>
      <c r="GW98">
        <f t="shared" ca="1" si="265"/>
        <v>4282</v>
      </c>
      <c r="GX98">
        <f t="shared" ca="1" si="266"/>
        <v>0</v>
      </c>
      <c r="GY98">
        <f t="shared" ca="1" si="267"/>
        <v>0</v>
      </c>
      <c r="GZ98">
        <f t="shared" ca="1" si="268"/>
        <v>0</v>
      </c>
    </row>
    <row r="99" spans="1:208" x14ac:dyDescent="0.25">
      <c r="A99">
        <f>_xlfn.AGGREGATE(3,5,$B$2:B99)</f>
        <v>98</v>
      </c>
      <c r="B99" t="s">
        <v>313</v>
      </c>
      <c r="C99" t="s">
        <v>314</v>
      </c>
      <c r="D99" t="s">
        <v>776</v>
      </c>
      <c r="E99" t="s">
        <v>831</v>
      </c>
      <c r="F99" t="s">
        <v>957</v>
      </c>
      <c r="G99" t="s">
        <v>916</v>
      </c>
      <c r="H99">
        <f t="shared" ref="H99:H131" si="270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179"/>
        <v>4004.0000000000005</v>
      </c>
      <c r="L99">
        <f t="shared" si="180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>IF(J99&gt;0,SUM(J99:N99),0)</f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269"/>
        <v>150</v>
      </c>
      <c r="S99">
        <f t="shared" si="181"/>
        <v>34386</v>
      </c>
      <c r="T99">
        <f>_xlfn.XLOOKUP(B99,'[2]april-2025'!$A:$A,'[2]april-2025'!$C:$C,0,0)</f>
        <v>28600</v>
      </c>
      <c r="U99">
        <f t="shared" si="182"/>
        <v>5148</v>
      </c>
      <c r="V99">
        <f t="shared" si="183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184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185"/>
        <v>150</v>
      </c>
      <c r="AC99">
        <f t="shared" si="186"/>
        <v>35530</v>
      </c>
      <c r="AD99">
        <f>_xlfn.XLOOKUP(B99,'[3]may-2025'!$A:$A,'[3]may-2025'!$C:$C,0,0)</f>
        <v>28600</v>
      </c>
      <c r="AE99">
        <f t="shared" si="187"/>
        <v>5148</v>
      </c>
      <c r="AF99">
        <f t="shared" si="188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189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190"/>
        <v>150</v>
      </c>
      <c r="AM99">
        <f t="shared" si="191"/>
        <v>35530</v>
      </c>
      <c r="AN99">
        <f>_xlfn.XLOOKUP(B99,'[4]june-2025'!$A:$A,'[4]june-2025'!$C:$C,0,0)</f>
        <v>28600</v>
      </c>
      <c r="AO99">
        <f t="shared" si="192"/>
        <v>5148</v>
      </c>
      <c r="AP99">
        <f t="shared" si="193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194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195"/>
        <v>150</v>
      </c>
      <c r="AW99">
        <f t="shared" si="196"/>
        <v>35530</v>
      </c>
      <c r="AX99">
        <f>_xlfn.XLOOKUP(B99,'[5]july-2025'!$A:$A,'[5]july-2025'!$C:$C,0,0)</f>
        <v>29500</v>
      </c>
      <c r="AY99">
        <f t="shared" si="197"/>
        <v>5310</v>
      </c>
      <c r="AZ99">
        <v>0</v>
      </c>
      <c r="BA99">
        <f t="shared" si="198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>IF(AX99&gt;0,SUM(AX99:BC99),0)</f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199"/>
        <v>150</v>
      </c>
      <c r="BH99">
        <f t="shared" si="200"/>
        <v>36700</v>
      </c>
      <c r="BI99">
        <f>_xlfn.XLOOKUP(B99,'[6]august-2025'!$A:$A,'[6]august-2025'!$C:$C,0,0)</f>
        <v>29500</v>
      </c>
      <c r="BJ99">
        <f t="shared" si="201"/>
        <v>5310</v>
      </c>
      <c r="BK99">
        <f t="shared" si="202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03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>IF($F99="YES",0,IF(BN99&gt;40000,200,IF(BN99&gt;25000,150,IF(BN99&gt;15000,130,IF(BN99&gt;10000,110,0)))))</f>
        <v>150</v>
      </c>
      <c r="BR99">
        <f>BN99-BO99-BP99-BQ99</f>
        <v>36700</v>
      </c>
      <c r="BS99">
        <f>_xlfn.XLOOKUP(B99,'[7]september-2025'!$A:$A,'[7]september-2025'!$C:$C,0,0)</f>
        <v>29500</v>
      </c>
      <c r="BT99">
        <f t="shared" si="204"/>
        <v>5310</v>
      </c>
      <c r="BU99">
        <f t="shared" si="205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>IF(BS99&gt;0,SUM(BS99:BW99),0)</f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06"/>
        <v>150</v>
      </c>
      <c r="CB99">
        <f t="shared" si="207"/>
        <v>36700</v>
      </c>
      <c r="CC99">
        <f>_xlfn.XLOOKUP(B99,'[8]october-2025'!$A:$A,'[8]october-2025'!$C:$C,0,0)</f>
        <v>29500</v>
      </c>
      <c r="CD99">
        <f t="shared" si="208"/>
        <v>5310</v>
      </c>
      <c r="CE99">
        <f t="shared" si="209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>IF(CC99&gt;0,SUM(CC99:CG99),0)</f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10"/>
        <v>150</v>
      </c>
      <c r="CL99">
        <f t="shared" si="211"/>
        <v>36700</v>
      </c>
      <c r="CM99">
        <f>_xlfn.XLOOKUP(B99,'[9]november-2025'!$A:$A,'[9]november-2025'!$C:$C,0,0)</f>
        <v>29500</v>
      </c>
      <c r="CN99">
        <f t="shared" si="212"/>
        <v>5310</v>
      </c>
      <c r="CO99">
        <f t="shared" si="213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>IF(CM99&gt;0,SUM(CM99:CQ99),0)</f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14"/>
        <v>150</v>
      </c>
      <c r="CV99">
        <f t="shared" si="215"/>
        <v>36700</v>
      </c>
      <c r="CW99">
        <f>_xlfn.XLOOKUP(B99,'[10]december-2025'!$A:$A,'[10]december-2025'!$C:$C,0,0)</f>
        <v>29500</v>
      </c>
      <c r="CX99">
        <f t="shared" si="216"/>
        <v>5310</v>
      </c>
      <c r="CY99">
        <f t="shared" si="217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>IF(CW99&gt;0,SUM(CW99:DA99),0)</f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18"/>
        <v>150</v>
      </c>
      <c r="DF99">
        <f t="shared" si="219"/>
        <v>36700</v>
      </c>
      <c r="DG99">
        <f>_xlfn.XLOOKUP(B99,'[11]january-2026'!$A:$A,'[11]january-2026'!$C:$C,0,0)</f>
        <v>29500</v>
      </c>
      <c r="DH99">
        <f t="shared" si="220"/>
        <v>5310</v>
      </c>
      <c r="DI99">
        <f t="shared" si="221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>IF(DG99&gt;0,SUM(DG99:DK99),0)</f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22"/>
        <v>150</v>
      </c>
      <c r="DP99">
        <f t="shared" si="223"/>
        <v>36700</v>
      </c>
      <c r="DQ99">
        <f>_xlfn.XLOOKUP(B99,'[12]february-2026'!$A:$A,'[12]february-2026'!$C:$C,0,0)</f>
        <v>29500</v>
      </c>
      <c r="DR99">
        <f t="shared" si="224"/>
        <v>5310</v>
      </c>
      <c r="DS99">
        <f t="shared" si="225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>IF(DQ99&gt;0,SUM(DQ99:DU99),0)</f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26"/>
        <v>150</v>
      </c>
      <c r="DZ99">
        <f t="shared" si="227"/>
        <v>36700</v>
      </c>
      <c r="EA99">
        <f>_xlfn.XLOOKUP(B99,'[1]march-2025'!$A:$A,'[1]march-2025'!$J:$J,0,0)</f>
        <v>0</v>
      </c>
      <c r="EB99">
        <f>_xlfn.XLOOKUP(B99,'[2]april-2025'!$A:$A,'[2]april-2025'!$J:$J,0,0)</f>
        <v>0</v>
      </c>
      <c r="EC99">
        <f>_xlfn.XLOOKUP(B99,'[3]may-2025'!$A:$A,'[3]may-2025'!$J:$J,0,0)</f>
        <v>0</v>
      </c>
      <c r="ED99">
        <f>_xlfn.XLOOKUP(B99,'[4]june-2025'!$A:$A,'[4]june-2025'!$J:$J,0,0)</f>
        <v>0</v>
      </c>
      <c r="EE99">
        <f>_xlfn.XLOOKUP(B99,'[5]july-2025'!$A:$A,'[5]july-2025'!$J:$J,0,0)</f>
        <v>0</v>
      </c>
      <c r="EF99">
        <f>_xlfn.XLOOKUP(B99,'[6]august-2025'!$A:$A,'[6]august-2025'!$J:$J,0,0)</f>
        <v>0</v>
      </c>
      <c r="EG99">
        <f>_xlfn.XLOOKUP(B99,'[7]september-2025'!$A:$A,'[7]september-2025'!$J:$J,0,0)</f>
        <v>0</v>
      </c>
      <c r="EH99">
        <f>_xlfn.XLOOKUP(B99,'[8]october-2025'!$A:$A,'[8]october-2025'!$J:$J,0,0)</f>
        <v>0</v>
      </c>
      <c r="EI99">
        <f>_xlfn.XLOOKUP(C99,'[9]november-2025'!$A:$A,'[9]november-2025'!$J:$J,0,0)</f>
        <v>0</v>
      </c>
      <c r="EJ99">
        <f>_xlfn.XLOOKUP(B99,'[10]december-2025'!$A:$A,'[10]december-2025'!$J:$J,0,0)</f>
        <v>0</v>
      </c>
      <c r="EK99">
        <f>_xlfn.XLOOKUP(B99,'[11]january-2026'!$A:$A,'[11]january-2026'!$J:$J,0,0)</f>
        <v>0</v>
      </c>
      <c r="EL99">
        <f>_xlfn.XLOOKUP(B99,'[12]february-2026'!$A:$A,'[12]february-2026'!$J:$J,0,0)</f>
        <v>0</v>
      </c>
      <c r="EM99">
        <f t="shared" si="228"/>
        <v>0</v>
      </c>
      <c r="EN99">
        <f>DV99+DL99+DB99+CR99+CH99+BX99+BN99+BD99+AS99+AI99+Y99+O99+H99+I99</f>
        <v>467176</v>
      </c>
      <c r="EO99">
        <f>DY99+DO99+DE99+CU99+CK99+CA99+BQ99+BG99+AV99+AL99+AB99+R99</f>
        <v>1800</v>
      </c>
      <c r="EP99">
        <f t="shared" si="229"/>
        <v>50000</v>
      </c>
      <c r="EQ99">
        <v>0</v>
      </c>
      <c r="ER99">
        <f t="shared" si="230"/>
        <v>415376</v>
      </c>
      <c r="ES99">
        <f>DW99+DM99+DC99+CS99+CI99+BY99+BO99+BE99+AT99+AJ99+Z99+P99</f>
        <v>24000</v>
      </c>
      <c r="ET99">
        <f>DX99+DN99+DD99+CT99+CJ99+BZ99+BP99+BF99+AU99+AK99+AA99+Q99</f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si="231"/>
        <v>24000</v>
      </c>
      <c r="FF99">
        <f t="shared" si="232"/>
        <v>24000</v>
      </c>
      <c r="FG99">
        <f t="shared" si="233"/>
        <v>391376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>SUM(FH99:FN99)+(IF(F99="YES",50000,0))</f>
        <v>0</v>
      </c>
      <c r="FP99">
        <f t="shared" si="234"/>
        <v>391376</v>
      </c>
      <c r="FQ99">
        <f t="shared" si="235"/>
        <v>7069</v>
      </c>
      <c r="FR99">
        <f t="shared" si="236"/>
        <v>0</v>
      </c>
      <c r="FS99">
        <f t="shared" si="237"/>
        <v>7069</v>
      </c>
      <c r="FT99">
        <f t="shared" si="238"/>
        <v>0</v>
      </c>
      <c r="FU99">
        <f t="shared" si="239"/>
        <v>0</v>
      </c>
      <c r="FV99">
        <f t="shared" si="240"/>
        <v>0</v>
      </c>
      <c r="FW99">
        <v>0</v>
      </c>
      <c r="FX99">
        <f t="shared" si="241"/>
        <v>0</v>
      </c>
      <c r="FY99" t="b">
        <f t="shared" si="242"/>
        <v>0</v>
      </c>
      <c r="FZ99">
        <f t="shared" ca="1" si="243"/>
        <v>2501</v>
      </c>
      <c r="GA99">
        <f t="shared" ca="1" si="244"/>
        <v>469677</v>
      </c>
      <c r="GB99">
        <f t="shared" si="245"/>
        <v>75000</v>
      </c>
      <c r="GC99">
        <f t="shared" ca="1" si="246"/>
        <v>394677</v>
      </c>
      <c r="GD99">
        <f t="shared" ca="1" si="247"/>
        <v>0</v>
      </c>
      <c r="GE99">
        <f t="shared" ca="1" si="248"/>
        <v>0</v>
      </c>
      <c r="GF99">
        <f t="shared" ca="1" si="249"/>
        <v>0</v>
      </c>
      <c r="GG99">
        <f t="shared" ca="1" si="250"/>
        <v>0</v>
      </c>
      <c r="GH99">
        <f t="shared" ca="1" si="251"/>
        <v>0</v>
      </c>
      <c r="GI99">
        <f t="shared" ca="1" si="252"/>
        <v>0</v>
      </c>
      <c r="GJ99">
        <f ca="1">IF(GC99&gt;1200000,GC99-1200000-IF(F99="YES",50000,0)-GH99,0)</f>
        <v>0</v>
      </c>
      <c r="GK99">
        <f t="shared" ca="1" si="253"/>
        <v>0</v>
      </c>
      <c r="GL99">
        <f t="shared" ca="1" si="254"/>
        <v>0</v>
      </c>
      <c r="GM99">
        <f t="shared" ca="1" si="255"/>
        <v>0</v>
      </c>
      <c r="GN99">
        <f t="shared" ca="1" si="256"/>
        <v>0</v>
      </c>
      <c r="GO99">
        <f t="shared" ca="1" si="257"/>
        <v>0</v>
      </c>
      <c r="GP99">
        <f t="shared" ca="1" si="258"/>
        <v>0</v>
      </c>
      <c r="GQ99">
        <f t="shared" ca="1" si="259"/>
        <v>0</v>
      </c>
      <c r="GR99">
        <f t="shared" ca="1" si="260"/>
        <v>0</v>
      </c>
      <c r="GS99">
        <f t="shared" ca="1" si="261"/>
        <v>0</v>
      </c>
      <c r="GT99">
        <f t="shared" ca="1" si="262"/>
        <v>0</v>
      </c>
      <c r="GU99" t="b">
        <f t="shared" ca="1" si="263"/>
        <v>0</v>
      </c>
      <c r="GV99">
        <f t="shared" ca="1" si="264"/>
        <v>0</v>
      </c>
      <c r="GW99">
        <f t="shared" ca="1" si="265"/>
        <v>0</v>
      </c>
      <c r="GX99">
        <f t="shared" ca="1" si="266"/>
        <v>0</v>
      </c>
      <c r="GY99">
        <f t="shared" ca="1" si="267"/>
        <v>0</v>
      </c>
      <c r="GZ99">
        <f t="shared" ca="1" si="268"/>
        <v>0</v>
      </c>
    </row>
    <row r="100" spans="1:208" x14ac:dyDescent="0.25">
      <c r="A100">
        <f>_xlfn.AGGREGATE(3,5,$B$2:B100)</f>
        <v>99</v>
      </c>
      <c r="B100" t="s">
        <v>316</v>
      </c>
      <c r="C100" t="s">
        <v>317</v>
      </c>
      <c r="D100" t="s">
        <v>776</v>
      </c>
      <c r="E100" t="s">
        <v>831</v>
      </c>
      <c r="F100" t="s">
        <v>957</v>
      </c>
      <c r="G100" t="s">
        <v>917</v>
      </c>
      <c r="H100">
        <f t="shared" si="270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179"/>
        <v>4424</v>
      </c>
      <c r="L100">
        <f t="shared" si="180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>IF(J100&gt;0,SUM(J100:N100),0)</f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269"/>
        <v>200</v>
      </c>
      <c r="S100">
        <f t="shared" si="181"/>
        <v>38116</v>
      </c>
      <c r="T100">
        <f>_xlfn.XLOOKUP(B100,'[2]april-2025'!$A:$A,'[2]april-2025'!$C:$C,0,0)</f>
        <v>31600</v>
      </c>
      <c r="U100">
        <f t="shared" si="182"/>
        <v>5688</v>
      </c>
      <c r="V100">
        <f t="shared" si="183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184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185"/>
        <v>200</v>
      </c>
      <c r="AC100">
        <f t="shared" si="186"/>
        <v>39380</v>
      </c>
      <c r="AD100">
        <f>_xlfn.XLOOKUP(B100,'[3]may-2025'!$A:$A,'[3]may-2025'!$C:$C,0,0)</f>
        <v>31600</v>
      </c>
      <c r="AE100">
        <f t="shared" si="187"/>
        <v>5688</v>
      </c>
      <c r="AF100">
        <f t="shared" si="188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189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190"/>
        <v>200</v>
      </c>
      <c r="AM100">
        <f t="shared" si="191"/>
        <v>39380</v>
      </c>
      <c r="AN100">
        <f>_xlfn.XLOOKUP(B100,'[4]june-2025'!$A:$A,'[4]june-2025'!$C:$C,0,0)</f>
        <v>31600</v>
      </c>
      <c r="AO100">
        <f t="shared" si="192"/>
        <v>5688</v>
      </c>
      <c r="AP100">
        <f t="shared" si="193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194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195"/>
        <v>200</v>
      </c>
      <c r="AW100">
        <f t="shared" si="196"/>
        <v>39380</v>
      </c>
      <c r="AX100">
        <f>_xlfn.XLOOKUP(B100,'[5]july-2025'!$A:$A,'[5]july-2025'!$C:$C,0,0)</f>
        <v>32500</v>
      </c>
      <c r="AY100">
        <f t="shared" si="197"/>
        <v>5850</v>
      </c>
      <c r="AZ100">
        <v>0</v>
      </c>
      <c r="BA100">
        <f t="shared" si="198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>IF(AX100&gt;0,SUM(AX100:BC100),0)</f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199"/>
        <v>200</v>
      </c>
      <c r="BH100">
        <f t="shared" si="200"/>
        <v>40550</v>
      </c>
      <c r="BI100">
        <f>_xlfn.XLOOKUP(B100,'[6]august-2025'!$A:$A,'[6]august-2025'!$C:$C,0,0)</f>
        <v>32500</v>
      </c>
      <c r="BJ100">
        <f t="shared" si="201"/>
        <v>5850</v>
      </c>
      <c r="BK100">
        <f t="shared" si="202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03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>IF($F100="YES",0,IF(BN100&gt;40000,200,IF(BN100&gt;25000,150,IF(BN100&gt;15000,130,IF(BN100&gt;10000,110,0)))))</f>
        <v>200</v>
      </c>
      <c r="BR100">
        <f>BN100-BO100-BP100-BQ100</f>
        <v>40550</v>
      </c>
      <c r="BS100">
        <f>_xlfn.XLOOKUP(B100,'[7]september-2025'!$A:$A,'[7]september-2025'!$C:$C,0,0)</f>
        <v>32500</v>
      </c>
      <c r="BT100">
        <f t="shared" si="204"/>
        <v>5850</v>
      </c>
      <c r="BU100">
        <f t="shared" si="205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>IF(BS100&gt;0,SUM(BS100:BW100),0)</f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06"/>
        <v>200</v>
      </c>
      <c r="CB100">
        <f t="shared" si="207"/>
        <v>40550</v>
      </c>
      <c r="CC100">
        <f>_xlfn.XLOOKUP(B100,'[8]october-2025'!$A:$A,'[8]october-2025'!$C:$C,0,0)</f>
        <v>32500</v>
      </c>
      <c r="CD100">
        <f t="shared" si="208"/>
        <v>5850</v>
      </c>
      <c r="CE100">
        <f t="shared" si="209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>IF(CC100&gt;0,SUM(CC100:CG100),0)</f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10"/>
        <v>200</v>
      </c>
      <c r="CL100">
        <f t="shared" si="211"/>
        <v>40550</v>
      </c>
      <c r="CM100">
        <f>_xlfn.XLOOKUP(B100,'[9]november-2025'!$A:$A,'[9]november-2025'!$C:$C,0,0)</f>
        <v>32500</v>
      </c>
      <c r="CN100">
        <f t="shared" si="212"/>
        <v>5850</v>
      </c>
      <c r="CO100">
        <f t="shared" si="213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>IF(CM100&gt;0,SUM(CM100:CQ100),0)</f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14"/>
        <v>200</v>
      </c>
      <c r="CV100">
        <f t="shared" si="215"/>
        <v>40550</v>
      </c>
      <c r="CW100">
        <f>_xlfn.XLOOKUP(B100,'[10]december-2025'!$A:$A,'[10]december-2025'!$C:$C,0,0)</f>
        <v>32500</v>
      </c>
      <c r="CX100">
        <f t="shared" si="216"/>
        <v>5850</v>
      </c>
      <c r="CY100">
        <f t="shared" si="217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>IF(CW100&gt;0,SUM(CW100:DA100),0)</f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18"/>
        <v>200</v>
      </c>
      <c r="DF100">
        <f t="shared" si="219"/>
        <v>40550</v>
      </c>
      <c r="DG100">
        <f>_xlfn.XLOOKUP(B100,'[11]january-2026'!$A:$A,'[11]january-2026'!$C:$C,0,0)</f>
        <v>32500</v>
      </c>
      <c r="DH100">
        <f t="shared" si="220"/>
        <v>5850</v>
      </c>
      <c r="DI100">
        <f t="shared" si="221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>IF(DG100&gt;0,SUM(DG100:DK100),0)</f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22"/>
        <v>200</v>
      </c>
      <c r="DP100">
        <f t="shared" si="223"/>
        <v>40550</v>
      </c>
      <c r="DQ100">
        <f>_xlfn.XLOOKUP(B100,'[12]february-2026'!$A:$A,'[12]february-2026'!$C:$C,0,0)</f>
        <v>32500</v>
      </c>
      <c r="DR100">
        <f t="shared" si="224"/>
        <v>5850</v>
      </c>
      <c r="DS100">
        <f t="shared" si="225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>IF(DQ100&gt;0,SUM(DQ100:DU100),0)</f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26"/>
        <v>200</v>
      </c>
      <c r="DZ100">
        <f t="shared" si="227"/>
        <v>40550</v>
      </c>
      <c r="EA100">
        <f>_xlfn.XLOOKUP(B100,'[1]march-2025'!$A:$A,'[1]march-2025'!$J:$J,0,0)</f>
        <v>0</v>
      </c>
      <c r="EB100">
        <f>_xlfn.XLOOKUP(B100,'[2]april-2025'!$A:$A,'[2]april-2025'!$J:$J,0,0)</f>
        <v>0</v>
      </c>
      <c r="EC100">
        <f>_xlfn.XLOOKUP(B100,'[3]may-2025'!$A:$A,'[3]may-2025'!$J:$J,0,0)</f>
        <v>0</v>
      </c>
      <c r="ED100">
        <f>_xlfn.XLOOKUP(B100,'[4]june-2025'!$A:$A,'[4]june-2025'!$J:$J,0,0)</f>
        <v>0</v>
      </c>
      <c r="EE100">
        <f>_xlfn.XLOOKUP(B100,'[5]july-2025'!$A:$A,'[5]july-2025'!$J:$J,0,0)</f>
        <v>0</v>
      </c>
      <c r="EF100">
        <f>_xlfn.XLOOKUP(B100,'[6]august-2025'!$A:$A,'[6]august-2025'!$J:$J,0,0)</f>
        <v>0</v>
      </c>
      <c r="EG100">
        <f>_xlfn.XLOOKUP(B100,'[7]september-2025'!$A:$A,'[7]september-2025'!$J:$J,0,0)</f>
        <v>0</v>
      </c>
      <c r="EH100">
        <f>_xlfn.XLOOKUP(B100,'[8]october-2025'!$A:$A,'[8]october-2025'!$J:$J,0,0)</f>
        <v>0</v>
      </c>
      <c r="EI100">
        <f>_xlfn.XLOOKUP(C100,'[9]november-2025'!$A:$A,'[9]november-2025'!$J:$J,0,0)</f>
        <v>0</v>
      </c>
      <c r="EJ100">
        <f>_xlfn.XLOOKUP(B100,'[10]december-2025'!$A:$A,'[10]december-2025'!$J:$J,0,0)</f>
        <v>0</v>
      </c>
      <c r="EK100">
        <f>_xlfn.XLOOKUP(B100,'[11]january-2026'!$A:$A,'[11]january-2026'!$J:$J,0,0)</f>
        <v>0</v>
      </c>
      <c r="EL100">
        <f>_xlfn.XLOOKUP(B100,'[12]february-2026'!$A:$A,'[12]february-2026'!$J:$J,0,0)</f>
        <v>0</v>
      </c>
      <c r="EM100">
        <f t="shared" si="228"/>
        <v>0</v>
      </c>
      <c r="EN100">
        <f>DV100+DL100+DB100+CR100+CH100+BX100+BN100+BD100+AS100+AI100+Y100+O100+H100+I100</f>
        <v>513856</v>
      </c>
      <c r="EO100">
        <f>DY100+DO100+DE100+CU100+CK100+CA100+BQ100+BG100+AV100+AL100+AB100+R100</f>
        <v>2400</v>
      </c>
      <c r="EP100">
        <f t="shared" si="229"/>
        <v>50000</v>
      </c>
      <c r="EQ100">
        <v>0</v>
      </c>
      <c r="ER100">
        <f t="shared" si="230"/>
        <v>461456</v>
      </c>
      <c r="ES100">
        <f>DW100+DM100+DC100+CS100+CI100+BY100+BO100+BE100+AT100+AJ100+Z100+P100</f>
        <v>24000</v>
      </c>
      <c r="ET100">
        <f>DX100+DN100+DD100+CT100+CJ100+BZ100+BP100+BF100+AU100+AK100+AA100+Q100</f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231"/>
        <v>24000</v>
      </c>
      <c r="FF100">
        <f t="shared" si="232"/>
        <v>24000</v>
      </c>
      <c r="FG100">
        <f t="shared" si="233"/>
        <v>437456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>SUM(FH100:FN100)+(IF(F100="YES",50000,0))</f>
        <v>0</v>
      </c>
      <c r="FP100">
        <f t="shared" si="234"/>
        <v>437456</v>
      </c>
      <c r="FQ100">
        <f t="shared" si="235"/>
        <v>9373</v>
      </c>
      <c r="FR100">
        <f t="shared" si="236"/>
        <v>0</v>
      </c>
      <c r="FS100">
        <f t="shared" si="237"/>
        <v>9373</v>
      </c>
      <c r="FT100">
        <f t="shared" si="238"/>
        <v>0</v>
      </c>
      <c r="FU100">
        <f t="shared" si="239"/>
        <v>0</v>
      </c>
      <c r="FV100">
        <f t="shared" si="240"/>
        <v>0</v>
      </c>
      <c r="FW100">
        <v>0</v>
      </c>
      <c r="FX100">
        <f t="shared" si="241"/>
        <v>0</v>
      </c>
      <c r="FY100" t="b">
        <f t="shared" si="242"/>
        <v>1</v>
      </c>
      <c r="FZ100">
        <f t="shared" ca="1" si="243"/>
        <v>875</v>
      </c>
      <c r="GA100">
        <f t="shared" ca="1" si="244"/>
        <v>514731</v>
      </c>
      <c r="GB100">
        <f t="shared" si="245"/>
        <v>75000</v>
      </c>
      <c r="GC100">
        <f t="shared" ca="1" si="246"/>
        <v>439731</v>
      </c>
      <c r="GD100">
        <f t="shared" ca="1" si="247"/>
        <v>0</v>
      </c>
      <c r="GE100">
        <f t="shared" ca="1" si="248"/>
        <v>0</v>
      </c>
      <c r="GF100">
        <f t="shared" ca="1" si="249"/>
        <v>0</v>
      </c>
      <c r="GG100">
        <f t="shared" ca="1" si="250"/>
        <v>0</v>
      </c>
      <c r="GH100">
        <f t="shared" ca="1" si="251"/>
        <v>0</v>
      </c>
      <c r="GI100">
        <f t="shared" ca="1" si="252"/>
        <v>0</v>
      </c>
      <c r="GJ100">
        <f ca="1">IF(GC100&gt;1200000,GC100-1200000-IF(F100="YES",50000,0)-GH100,0)</f>
        <v>0</v>
      </c>
      <c r="GK100">
        <f t="shared" ca="1" si="253"/>
        <v>0</v>
      </c>
      <c r="GL100">
        <f t="shared" ca="1" si="254"/>
        <v>0</v>
      </c>
      <c r="GM100">
        <f t="shared" ca="1" si="255"/>
        <v>0</v>
      </c>
      <c r="GN100">
        <f t="shared" ca="1" si="256"/>
        <v>39731</v>
      </c>
      <c r="GO100">
        <f t="shared" ca="1" si="257"/>
        <v>1986.5500000000002</v>
      </c>
      <c r="GP100">
        <f t="shared" ca="1" si="258"/>
        <v>1987</v>
      </c>
      <c r="GQ100">
        <f t="shared" ca="1" si="259"/>
        <v>0</v>
      </c>
      <c r="GR100">
        <f t="shared" ca="1" si="260"/>
        <v>0</v>
      </c>
      <c r="GS100">
        <f t="shared" ca="1" si="261"/>
        <v>1987</v>
      </c>
      <c r="GT100">
        <f t="shared" ca="1" si="262"/>
        <v>0</v>
      </c>
      <c r="GU100" t="b">
        <f t="shared" ca="1" si="263"/>
        <v>0</v>
      </c>
      <c r="GV100">
        <f t="shared" ca="1" si="264"/>
        <v>0</v>
      </c>
      <c r="GW100">
        <f t="shared" ca="1" si="265"/>
        <v>1987</v>
      </c>
      <c r="GX100">
        <f t="shared" ca="1" si="266"/>
        <v>0</v>
      </c>
      <c r="GY100">
        <f t="shared" ca="1" si="267"/>
        <v>0</v>
      </c>
      <c r="GZ100">
        <f t="shared" ca="1" si="268"/>
        <v>0</v>
      </c>
    </row>
    <row r="101" spans="1:208" x14ac:dyDescent="0.25">
      <c r="A101">
        <f>_xlfn.AGGREGATE(3,5,$B$2:B101)</f>
        <v>100</v>
      </c>
      <c r="B101" t="s">
        <v>315</v>
      </c>
      <c r="C101" t="s">
        <v>860</v>
      </c>
      <c r="D101" t="s">
        <v>776</v>
      </c>
      <c r="E101" t="s">
        <v>831</v>
      </c>
      <c r="F101" t="s">
        <v>957</v>
      </c>
      <c r="G101" t="s">
        <v>918</v>
      </c>
      <c r="H101">
        <f t="shared" si="270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179"/>
        <v>4690</v>
      </c>
      <c r="L101">
        <f t="shared" si="180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>IF(J101&gt;0,SUM(J101:N101),0)</f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269"/>
        <v>200</v>
      </c>
      <c r="S101">
        <f t="shared" si="181"/>
        <v>40010</v>
      </c>
      <c r="T101">
        <f>_xlfn.XLOOKUP(B101,'[2]april-2025'!$A:$A,'[2]april-2025'!$C:$C,0,0)</f>
        <v>33500</v>
      </c>
      <c r="U101">
        <f t="shared" si="182"/>
        <v>6030</v>
      </c>
      <c r="V101">
        <f t="shared" si="183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184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185"/>
        <v>200</v>
      </c>
      <c r="AC101">
        <f t="shared" si="186"/>
        <v>41350</v>
      </c>
      <c r="AD101">
        <f>_xlfn.XLOOKUP(B101,'[3]may-2025'!$A:$A,'[3]may-2025'!$C:$C,0,0)</f>
        <v>33500</v>
      </c>
      <c r="AE101">
        <f t="shared" si="187"/>
        <v>6030</v>
      </c>
      <c r="AF101">
        <f t="shared" si="188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189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190"/>
        <v>200</v>
      </c>
      <c r="AM101">
        <f t="shared" si="191"/>
        <v>41350</v>
      </c>
      <c r="AN101">
        <f>_xlfn.XLOOKUP(B101,'[4]june-2025'!$A:$A,'[4]june-2025'!$C:$C,0,0)</f>
        <v>33500</v>
      </c>
      <c r="AO101">
        <f t="shared" si="192"/>
        <v>6030</v>
      </c>
      <c r="AP101">
        <f t="shared" si="193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194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195"/>
        <v>200</v>
      </c>
      <c r="AW101">
        <f t="shared" si="196"/>
        <v>41350</v>
      </c>
      <c r="AX101">
        <f>_xlfn.XLOOKUP(B101,'[5]july-2025'!$A:$A,'[5]july-2025'!$C:$C,0,0)</f>
        <v>34500</v>
      </c>
      <c r="AY101">
        <f t="shared" si="197"/>
        <v>6210</v>
      </c>
      <c r="AZ101">
        <v>0</v>
      </c>
      <c r="BA101">
        <f t="shared" si="198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>IF(AX101&gt;0,SUM(AX101:BC101),0)</f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199"/>
        <v>200</v>
      </c>
      <c r="BH101">
        <f t="shared" si="200"/>
        <v>42650</v>
      </c>
      <c r="BI101">
        <f>_xlfn.XLOOKUP(B101,'[6]august-2025'!$A:$A,'[6]august-2025'!$C:$C,0,0)</f>
        <v>34500</v>
      </c>
      <c r="BJ101">
        <f t="shared" si="201"/>
        <v>6210</v>
      </c>
      <c r="BK101">
        <f t="shared" si="202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03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>IF($F101="YES",0,IF(BN101&gt;40000,200,IF(BN101&gt;25000,150,IF(BN101&gt;15000,130,IF(BN101&gt;10000,110,0)))))</f>
        <v>200</v>
      </c>
      <c r="BR101">
        <f>BN101-BO101-BP101-BQ101</f>
        <v>42650</v>
      </c>
      <c r="BS101">
        <f>_xlfn.XLOOKUP(B101,'[7]september-2025'!$A:$A,'[7]september-2025'!$C:$C,0,0)</f>
        <v>34500</v>
      </c>
      <c r="BT101">
        <f t="shared" si="204"/>
        <v>6210</v>
      </c>
      <c r="BU101">
        <f t="shared" si="205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>IF(BS101&gt;0,SUM(BS101:BW101),0)</f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06"/>
        <v>200</v>
      </c>
      <c r="CB101">
        <f t="shared" si="207"/>
        <v>42650</v>
      </c>
      <c r="CC101">
        <f>_xlfn.XLOOKUP(B101,'[8]october-2025'!$A:$A,'[8]october-2025'!$C:$C,0,0)</f>
        <v>34500</v>
      </c>
      <c r="CD101">
        <f t="shared" si="208"/>
        <v>6210</v>
      </c>
      <c r="CE101">
        <f t="shared" si="209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>IF(CC101&gt;0,SUM(CC101:CG101),0)</f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10"/>
        <v>200</v>
      </c>
      <c r="CL101">
        <f t="shared" si="211"/>
        <v>42650</v>
      </c>
      <c r="CM101">
        <f>_xlfn.XLOOKUP(B101,'[9]november-2025'!$A:$A,'[9]november-2025'!$C:$C,0,0)</f>
        <v>34500</v>
      </c>
      <c r="CN101">
        <f t="shared" si="212"/>
        <v>6210</v>
      </c>
      <c r="CO101">
        <f t="shared" si="213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>IF(CM101&gt;0,SUM(CM101:CQ101),0)</f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14"/>
        <v>200</v>
      </c>
      <c r="CV101">
        <f t="shared" si="215"/>
        <v>42650</v>
      </c>
      <c r="CW101">
        <f>_xlfn.XLOOKUP(B101,'[10]december-2025'!$A:$A,'[10]december-2025'!$C:$C,0,0)</f>
        <v>34500</v>
      </c>
      <c r="CX101">
        <f t="shared" si="216"/>
        <v>6210</v>
      </c>
      <c r="CY101">
        <f t="shared" si="217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>IF(CW101&gt;0,SUM(CW101:DA101),0)</f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18"/>
        <v>200</v>
      </c>
      <c r="DF101">
        <f t="shared" si="219"/>
        <v>42650</v>
      </c>
      <c r="DG101">
        <f>_xlfn.XLOOKUP(B101,'[11]january-2026'!$A:$A,'[11]january-2026'!$C:$C,0,0)</f>
        <v>34500</v>
      </c>
      <c r="DH101">
        <f t="shared" si="220"/>
        <v>6210</v>
      </c>
      <c r="DI101">
        <f t="shared" si="221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>IF(DG101&gt;0,SUM(DG101:DK101),0)</f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22"/>
        <v>200</v>
      </c>
      <c r="DP101">
        <f t="shared" si="223"/>
        <v>42650</v>
      </c>
      <c r="DQ101">
        <f>_xlfn.XLOOKUP(B101,'[12]february-2026'!$A:$A,'[12]february-2026'!$C:$C,0,0)</f>
        <v>34500</v>
      </c>
      <c r="DR101">
        <f t="shared" si="224"/>
        <v>6210</v>
      </c>
      <c r="DS101">
        <f t="shared" si="225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>IF(DQ101&gt;0,SUM(DQ101:DU101),0)</f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26"/>
        <v>200</v>
      </c>
      <c r="DZ101">
        <f t="shared" si="227"/>
        <v>42650</v>
      </c>
      <c r="EA101">
        <f>_xlfn.XLOOKUP(B101,'[1]march-2025'!$A:$A,'[1]march-2025'!$J:$J,0,0)</f>
        <v>0</v>
      </c>
      <c r="EB101">
        <f>_xlfn.XLOOKUP(B101,'[2]april-2025'!$A:$A,'[2]april-2025'!$J:$J,0,0)</f>
        <v>0</v>
      </c>
      <c r="EC101">
        <f>_xlfn.XLOOKUP(B101,'[3]may-2025'!$A:$A,'[3]may-2025'!$J:$J,0,0)</f>
        <v>0</v>
      </c>
      <c r="ED101">
        <f>_xlfn.XLOOKUP(B101,'[4]june-2025'!$A:$A,'[4]june-2025'!$J:$J,0,0)</f>
        <v>0</v>
      </c>
      <c r="EE101">
        <f>_xlfn.XLOOKUP(B101,'[5]july-2025'!$A:$A,'[5]july-2025'!$J:$J,0,0)</f>
        <v>0</v>
      </c>
      <c r="EF101">
        <f>_xlfn.XLOOKUP(B101,'[6]august-2025'!$A:$A,'[6]august-2025'!$J:$J,0,0)</f>
        <v>0</v>
      </c>
      <c r="EG101">
        <f>_xlfn.XLOOKUP(B101,'[7]september-2025'!$A:$A,'[7]september-2025'!$J:$J,0,0)</f>
        <v>0</v>
      </c>
      <c r="EH101">
        <f>_xlfn.XLOOKUP(B101,'[8]october-2025'!$A:$A,'[8]october-2025'!$J:$J,0,0)</f>
        <v>0</v>
      </c>
      <c r="EI101">
        <f>_xlfn.XLOOKUP(C101,'[9]november-2025'!$A:$A,'[9]november-2025'!$J:$J,0,0)</f>
        <v>0</v>
      </c>
      <c r="EJ101">
        <f>_xlfn.XLOOKUP(B101,'[10]december-2025'!$A:$A,'[10]december-2025'!$J:$J,0,0)</f>
        <v>0</v>
      </c>
      <c r="EK101">
        <f>_xlfn.XLOOKUP(B101,'[11]january-2026'!$A:$A,'[11]january-2026'!$J:$J,0,0)</f>
        <v>0</v>
      </c>
      <c r="EL101">
        <f>_xlfn.XLOOKUP(B101,'[12]february-2026'!$A:$A,'[12]february-2026'!$J:$J,0,0)</f>
        <v>0</v>
      </c>
      <c r="EM101">
        <f t="shared" si="228"/>
        <v>0</v>
      </c>
      <c r="EN101">
        <f>DV101+DL101+DB101+CR101+CH101+BX101+BN101+BD101+AS101+AI101+Y101+O101+H101+I101</f>
        <v>544460</v>
      </c>
      <c r="EO101">
        <f>DY101+DO101+DE101+CU101+CK101+CA101+BQ101+BG101+AV101+AL101+AB101+R101</f>
        <v>2400</v>
      </c>
      <c r="EP101">
        <f t="shared" si="229"/>
        <v>50000</v>
      </c>
      <c r="EQ101">
        <v>0</v>
      </c>
      <c r="ER101">
        <f t="shared" si="230"/>
        <v>492060</v>
      </c>
      <c r="ES101">
        <f>DW101+DM101+DC101+CS101+CI101+BY101+BO101+BE101+AT101+AJ101+Z101+P101</f>
        <v>30000</v>
      </c>
      <c r="ET101">
        <f>DX101+DN101+DD101+CT101+CJ101+BZ101+BP101+BF101+AU101+AK101+AA101+Q101</f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231"/>
        <v>30000</v>
      </c>
      <c r="FF101">
        <f t="shared" si="232"/>
        <v>30000</v>
      </c>
      <c r="FG101">
        <f t="shared" si="233"/>
        <v>462060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>SUM(FH101:FN101)+(IF(F101="YES",50000,0))</f>
        <v>0</v>
      </c>
      <c r="FP101">
        <f t="shared" si="234"/>
        <v>462060</v>
      </c>
      <c r="FQ101">
        <f t="shared" si="235"/>
        <v>10603</v>
      </c>
      <c r="FR101">
        <f t="shared" si="236"/>
        <v>0</v>
      </c>
      <c r="FS101">
        <f t="shared" si="237"/>
        <v>10603</v>
      </c>
      <c r="FT101">
        <f t="shared" si="238"/>
        <v>0</v>
      </c>
      <c r="FU101">
        <f t="shared" si="239"/>
        <v>0</v>
      </c>
      <c r="FV101">
        <f t="shared" si="240"/>
        <v>0</v>
      </c>
      <c r="FW101">
        <v>0</v>
      </c>
      <c r="FX101">
        <f t="shared" si="241"/>
        <v>0</v>
      </c>
      <c r="FY101" t="b">
        <f t="shared" si="242"/>
        <v>1</v>
      </c>
      <c r="FZ101">
        <f t="shared" ca="1" si="243"/>
        <v>691</v>
      </c>
      <c r="GA101">
        <f t="shared" ca="1" si="244"/>
        <v>545151</v>
      </c>
      <c r="GB101">
        <f t="shared" si="245"/>
        <v>75000</v>
      </c>
      <c r="GC101">
        <f t="shared" ca="1" si="246"/>
        <v>470151</v>
      </c>
      <c r="GD101">
        <f t="shared" ca="1" si="247"/>
        <v>0</v>
      </c>
      <c r="GE101">
        <f t="shared" ca="1" si="248"/>
        <v>0</v>
      </c>
      <c r="GF101">
        <f t="shared" ca="1" si="249"/>
        <v>0</v>
      </c>
      <c r="GG101">
        <f t="shared" ca="1" si="250"/>
        <v>0</v>
      </c>
      <c r="GH101">
        <f t="shared" ca="1" si="251"/>
        <v>0</v>
      </c>
      <c r="GI101">
        <f t="shared" ca="1" si="252"/>
        <v>0</v>
      </c>
      <c r="GJ101">
        <f ca="1">IF(GC101&gt;1200000,GC101-1200000-IF(F101="YES",50000,0)-GH101,0)</f>
        <v>0</v>
      </c>
      <c r="GK101">
        <f t="shared" ca="1" si="253"/>
        <v>0</v>
      </c>
      <c r="GL101">
        <f t="shared" ca="1" si="254"/>
        <v>0</v>
      </c>
      <c r="GM101">
        <f t="shared" ca="1" si="255"/>
        <v>0</v>
      </c>
      <c r="GN101">
        <f t="shared" ca="1" si="256"/>
        <v>70151</v>
      </c>
      <c r="GO101">
        <f t="shared" ca="1" si="257"/>
        <v>3507.55</v>
      </c>
      <c r="GP101">
        <f t="shared" ca="1" si="258"/>
        <v>3508</v>
      </c>
      <c r="GQ101">
        <f t="shared" ca="1" si="259"/>
        <v>0</v>
      </c>
      <c r="GR101">
        <f t="shared" ca="1" si="260"/>
        <v>0</v>
      </c>
      <c r="GS101">
        <f t="shared" ca="1" si="261"/>
        <v>3508</v>
      </c>
      <c r="GT101">
        <f t="shared" ca="1" si="262"/>
        <v>0</v>
      </c>
      <c r="GU101" t="b">
        <f t="shared" ca="1" si="263"/>
        <v>0</v>
      </c>
      <c r="GV101">
        <f t="shared" ca="1" si="264"/>
        <v>0</v>
      </c>
      <c r="GW101">
        <f t="shared" ca="1" si="265"/>
        <v>3508</v>
      </c>
      <c r="GX101">
        <f t="shared" ca="1" si="266"/>
        <v>0</v>
      </c>
      <c r="GY101">
        <f t="shared" ca="1" si="267"/>
        <v>0</v>
      </c>
      <c r="GZ101">
        <f t="shared" ca="1" si="268"/>
        <v>0</v>
      </c>
    </row>
    <row r="102" spans="1:208" x14ac:dyDescent="0.25">
      <c r="A102">
        <f>_xlfn.AGGREGATE(3,5,$B$2:B102)</f>
        <v>101</v>
      </c>
      <c r="B102" t="s">
        <v>318</v>
      </c>
      <c r="C102" t="s">
        <v>319</v>
      </c>
      <c r="D102" t="s">
        <v>777</v>
      </c>
      <c r="E102" t="s">
        <v>831</v>
      </c>
      <c r="F102" t="s">
        <v>957</v>
      </c>
      <c r="G102" t="s">
        <v>899</v>
      </c>
      <c r="H102">
        <f t="shared" si="270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179"/>
        <v>6818.0000000000009</v>
      </c>
      <c r="L102">
        <f t="shared" si="180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>IF(J102&gt;0,SUM(J102:N102),0)</f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269"/>
        <v>200</v>
      </c>
      <c r="S102">
        <f t="shared" si="181"/>
        <v>57002</v>
      </c>
      <c r="T102">
        <f>_xlfn.XLOOKUP(B102,'[2]april-2025'!$A:$A,'[2]april-2025'!$C:$C,0,0)</f>
        <v>48700</v>
      </c>
      <c r="U102">
        <f t="shared" si="182"/>
        <v>8766</v>
      </c>
      <c r="V102">
        <f t="shared" si="183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184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185"/>
        <v>200</v>
      </c>
      <c r="AC102">
        <f t="shared" si="186"/>
        <v>58950</v>
      </c>
      <c r="AD102">
        <f>_xlfn.XLOOKUP(B102,'[3]may-2025'!$A:$A,'[3]may-2025'!$C:$C,0,0)</f>
        <v>48700</v>
      </c>
      <c r="AE102">
        <f t="shared" si="187"/>
        <v>8766</v>
      </c>
      <c r="AF102">
        <f t="shared" si="188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189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190"/>
        <v>200</v>
      </c>
      <c r="AM102">
        <f t="shared" si="191"/>
        <v>58950</v>
      </c>
      <c r="AN102">
        <f>_xlfn.XLOOKUP(B102,'[4]june-2025'!$A:$A,'[4]june-2025'!$C:$C,0,0)</f>
        <v>48700</v>
      </c>
      <c r="AO102">
        <f t="shared" si="192"/>
        <v>8766</v>
      </c>
      <c r="AP102">
        <f t="shared" si="193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194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195"/>
        <v>200</v>
      </c>
      <c r="AW102">
        <f t="shared" si="196"/>
        <v>58950</v>
      </c>
      <c r="AX102">
        <f>_xlfn.XLOOKUP(B102,'[5]july-2025'!$A:$A,'[5]july-2025'!$C:$C,0,0)</f>
        <v>51700</v>
      </c>
      <c r="AY102">
        <f t="shared" si="197"/>
        <v>9306</v>
      </c>
      <c r="AZ102">
        <v>0</v>
      </c>
      <c r="BA102">
        <f t="shared" si="198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>IF(AX102&gt;0,SUM(AX102:BC102),0)</f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199"/>
        <v>200</v>
      </c>
      <c r="BH102">
        <f t="shared" si="200"/>
        <v>62850</v>
      </c>
      <c r="BI102">
        <f>_xlfn.XLOOKUP(B102,'[6]august-2025'!$A:$A,'[6]august-2025'!$C:$C,0,0)</f>
        <v>51700</v>
      </c>
      <c r="BJ102">
        <f t="shared" si="201"/>
        <v>9306</v>
      </c>
      <c r="BK102">
        <f t="shared" si="202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03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>IF($F102="YES",0,IF(BN102&gt;40000,200,IF(BN102&gt;25000,150,IF(BN102&gt;15000,130,IF(BN102&gt;10000,110,0)))))</f>
        <v>200</v>
      </c>
      <c r="BR102">
        <f>BN102-BO102-BP102-BQ102</f>
        <v>62850</v>
      </c>
      <c r="BS102">
        <f>_xlfn.XLOOKUP(B102,'[7]september-2025'!$A:$A,'[7]september-2025'!$C:$C,0,0)</f>
        <v>51700</v>
      </c>
      <c r="BT102">
        <f t="shared" si="204"/>
        <v>9306</v>
      </c>
      <c r="BU102">
        <f t="shared" si="205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>IF(BS102&gt;0,SUM(BS102:BW102),0)</f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06"/>
        <v>200</v>
      </c>
      <c r="CB102">
        <f t="shared" si="207"/>
        <v>62850</v>
      </c>
      <c r="CC102">
        <f>_xlfn.XLOOKUP(B102,'[8]october-2025'!$A:$A,'[8]october-2025'!$C:$C,0,0)</f>
        <v>51700</v>
      </c>
      <c r="CD102">
        <f t="shared" si="208"/>
        <v>9306</v>
      </c>
      <c r="CE102">
        <f t="shared" si="209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>IF(CC102&gt;0,SUM(CC102:CG102),0)</f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10"/>
        <v>200</v>
      </c>
      <c r="CL102">
        <f t="shared" si="211"/>
        <v>62850</v>
      </c>
      <c r="CM102">
        <f>_xlfn.XLOOKUP(B102,'[9]november-2025'!$A:$A,'[9]november-2025'!$C:$C,0,0)</f>
        <v>51700</v>
      </c>
      <c r="CN102">
        <f t="shared" si="212"/>
        <v>9306</v>
      </c>
      <c r="CO102">
        <f t="shared" si="213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>IF(CM102&gt;0,SUM(CM102:CQ102),0)</f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14"/>
        <v>200</v>
      </c>
      <c r="CV102">
        <f t="shared" si="215"/>
        <v>62850</v>
      </c>
      <c r="CW102">
        <f>_xlfn.XLOOKUP(B102,'[10]december-2025'!$A:$A,'[10]december-2025'!$C:$C,0,0)</f>
        <v>51700</v>
      </c>
      <c r="CX102">
        <f t="shared" si="216"/>
        <v>9306</v>
      </c>
      <c r="CY102">
        <f t="shared" si="217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>IF(CW102&gt;0,SUM(CW102:DA102),0)</f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18"/>
        <v>200</v>
      </c>
      <c r="DF102">
        <f t="shared" si="219"/>
        <v>62850</v>
      </c>
      <c r="DG102">
        <f>_xlfn.XLOOKUP(B102,'[11]january-2026'!$A:$A,'[11]january-2026'!$C:$C,0,0)</f>
        <v>51700</v>
      </c>
      <c r="DH102">
        <f t="shared" si="220"/>
        <v>9306</v>
      </c>
      <c r="DI102">
        <f t="shared" si="221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>IF(DG102&gt;0,SUM(DG102:DK102),0)</f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22"/>
        <v>200</v>
      </c>
      <c r="DP102">
        <f t="shared" si="223"/>
        <v>62850</v>
      </c>
      <c r="DQ102">
        <f>_xlfn.XLOOKUP(B102,'[12]february-2026'!$A:$A,'[12]february-2026'!$C:$C,0,0)</f>
        <v>51700</v>
      </c>
      <c r="DR102">
        <f t="shared" si="224"/>
        <v>9306</v>
      </c>
      <c r="DS102">
        <f t="shared" si="225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>IF(DQ102&gt;0,SUM(DQ102:DU102),0)</f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26"/>
        <v>200</v>
      </c>
      <c r="DZ102">
        <f t="shared" si="227"/>
        <v>62850</v>
      </c>
      <c r="EA102">
        <f>_xlfn.XLOOKUP(B102,'[1]march-2025'!$A:$A,'[1]march-2025'!$J:$J,0,0)</f>
        <v>0</v>
      </c>
      <c r="EB102">
        <f>_xlfn.XLOOKUP(B102,'[2]april-2025'!$A:$A,'[2]april-2025'!$J:$J,0,0)</f>
        <v>0</v>
      </c>
      <c r="EC102">
        <f>_xlfn.XLOOKUP(B102,'[3]may-2025'!$A:$A,'[3]may-2025'!$J:$J,0,0)</f>
        <v>0</v>
      </c>
      <c r="ED102">
        <f>_xlfn.XLOOKUP(B102,'[4]june-2025'!$A:$A,'[4]june-2025'!$J:$J,0,0)</f>
        <v>0</v>
      </c>
      <c r="EE102">
        <f>_xlfn.XLOOKUP(B102,'[5]july-2025'!$A:$A,'[5]july-2025'!$J:$J,0,0)</f>
        <v>0</v>
      </c>
      <c r="EF102">
        <f>_xlfn.XLOOKUP(B102,'[6]august-2025'!$A:$A,'[6]august-2025'!$J:$J,0,0)</f>
        <v>0</v>
      </c>
      <c r="EG102">
        <f>_xlfn.XLOOKUP(B102,'[7]september-2025'!$A:$A,'[7]september-2025'!$J:$J,0,0)</f>
        <v>0</v>
      </c>
      <c r="EH102">
        <f>_xlfn.XLOOKUP(B102,'[8]october-2025'!$A:$A,'[8]october-2025'!$J:$J,0,0)</f>
        <v>0</v>
      </c>
      <c r="EI102">
        <f>_xlfn.XLOOKUP(C102,'[9]november-2025'!$A:$A,'[9]november-2025'!$J:$J,0,0)</f>
        <v>0</v>
      </c>
      <c r="EJ102">
        <f>_xlfn.XLOOKUP(B102,'[10]december-2025'!$A:$A,'[10]december-2025'!$J:$J,0,0)</f>
        <v>0</v>
      </c>
      <c r="EK102">
        <f>_xlfn.XLOOKUP(B102,'[11]january-2026'!$A:$A,'[11]january-2026'!$J:$J,0,0)</f>
        <v>0</v>
      </c>
      <c r="EL102">
        <f>_xlfn.XLOOKUP(B102,'[12]february-2026'!$A:$A,'[12]february-2026'!$J:$J,0,0)</f>
        <v>0</v>
      </c>
      <c r="EM102">
        <f t="shared" si="228"/>
        <v>0</v>
      </c>
      <c r="EN102">
        <f>DV102+DL102+DB102+CR102+CH102+BX102+BN102+BD102+AS102+AI102+Y102+O102+H102+I102</f>
        <v>806572</v>
      </c>
      <c r="EO102">
        <f>DY102+DO102+DE102+CU102+CK102+CA102+BQ102+BG102+AV102+AL102+AB102+R102</f>
        <v>2400</v>
      </c>
      <c r="EP102">
        <f t="shared" si="229"/>
        <v>50000</v>
      </c>
      <c r="EQ102">
        <v>0</v>
      </c>
      <c r="ER102">
        <f t="shared" si="230"/>
        <v>754172</v>
      </c>
      <c r="ES102">
        <f>DW102+DM102+DC102+CS102+CI102+BY102+BO102+BE102+AT102+AJ102+Z102+P102</f>
        <v>60000</v>
      </c>
      <c r="ET102">
        <f>DX102+DN102+DD102+CT102+CJ102+BZ102+BP102+BF102+AU102+AK102+AA102+Q102</f>
        <v>720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231"/>
        <v>60720</v>
      </c>
      <c r="FF102">
        <f t="shared" si="232"/>
        <v>60720</v>
      </c>
      <c r="FG102">
        <f t="shared" si="233"/>
        <v>693452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>SUM(FH102:FN102)+(IF(F102="YES",50000,0))</f>
        <v>0</v>
      </c>
      <c r="FP102">
        <f t="shared" si="234"/>
        <v>693452</v>
      </c>
      <c r="FQ102">
        <f t="shared" si="235"/>
        <v>12500</v>
      </c>
      <c r="FR102">
        <f t="shared" si="236"/>
        <v>38690</v>
      </c>
      <c r="FS102">
        <f t="shared" si="237"/>
        <v>51190</v>
      </c>
      <c r="FT102">
        <f t="shared" si="238"/>
        <v>51190</v>
      </c>
      <c r="FU102">
        <f t="shared" si="239"/>
        <v>2047.6000000000001</v>
      </c>
      <c r="FV102">
        <f t="shared" si="240"/>
        <v>53238</v>
      </c>
      <c r="FW102">
        <v>0</v>
      </c>
      <c r="FX102">
        <f t="shared" si="241"/>
        <v>53238</v>
      </c>
      <c r="FY102" t="b">
        <f t="shared" si="242"/>
        <v>1</v>
      </c>
      <c r="FZ102">
        <f t="shared" ca="1" si="243"/>
        <v>824</v>
      </c>
      <c r="GA102">
        <f t="shared" ca="1" si="244"/>
        <v>807396</v>
      </c>
      <c r="GB102">
        <f t="shared" si="245"/>
        <v>75000</v>
      </c>
      <c r="GC102">
        <f t="shared" ca="1" si="246"/>
        <v>732396</v>
      </c>
      <c r="GD102">
        <f t="shared" ca="1" si="247"/>
        <v>0</v>
      </c>
      <c r="GE102">
        <f t="shared" ca="1" si="248"/>
        <v>0</v>
      </c>
      <c r="GF102">
        <f t="shared" ca="1" si="249"/>
        <v>0</v>
      </c>
      <c r="GG102">
        <f t="shared" ca="1" si="250"/>
        <v>0</v>
      </c>
      <c r="GH102">
        <f t="shared" ca="1" si="251"/>
        <v>0</v>
      </c>
      <c r="GI102">
        <f t="shared" ca="1" si="252"/>
        <v>0</v>
      </c>
      <c r="GJ102">
        <f ca="1">IF(GC102&gt;1200000,GC102-1200000-IF(F102="YES",50000,0)-GH102,0)</f>
        <v>0</v>
      </c>
      <c r="GK102">
        <f t="shared" ca="1" si="253"/>
        <v>0</v>
      </c>
      <c r="GL102">
        <f t="shared" ca="1" si="254"/>
        <v>0</v>
      </c>
      <c r="GM102">
        <f t="shared" ca="1" si="255"/>
        <v>0</v>
      </c>
      <c r="GN102">
        <f t="shared" ca="1" si="256"/>
        <v>332396</v>
      </c>
      <c r="GO102">
        <f t="shared" ca="1" si="257"/>
        <v>16619.8</v>
      </c>
      <c r="GP102">
        <f t="shared" ca="1" si="258"/>
        <v>16620</v>
      </c>
      <c r="GQ102">
        <f t="shared" ca="1" si="259"/>
        <v>0</v>
      </c>
      <c r="GR102">
        <f t="shared" ca="1" si="260"/>
        <v>0</v>
      </c>
      <c r="GS102">
        <f t="shared" ca="1" si="261"/>
        <v>16620</v>
      </c>
      <c r="GT102">
        <f t="shared" ca="1" si="262"/>
        <v>0</v>
      </c>
      <c r="GU102" t="b">
        <f t="shared" ca="1" si="263"/>
        <v>0</v>
      </c>
      <c r="GV102">
        <f t="shared" ca="1" si="264"/>
        <v>0</v>
      </c>
      <c r="GW102">
        <f t="shared" ca="1" si="265"/>
        <v>16620</v>
      </c>
      <c r="GX102">
        <f t="shared" ca="1" si="266"/>
        <v>0</v>
      </c>
      <c r="GY102">
        <f t="shared" ca="1" si="267"/>
        <v>0</v>
      </c>
      <c r="GZ102">
        <f t="shared" ca="1" si="268"/>
        <v>0</v>
      </c>
    </row>
    <row r="103" spans="1:208" x14ac:dyDescent="0.25">
      <c r="A103">
        <f>_xlfn.AGGREGATE(3,5,$B$2:B103)</f>
        <v>102</v>
      </c>
      <c r="B103" t="s">
        <v>320</v>
      </c>
      <c r="C103" t="s">
        <v>321</v>
      </c>
      <c r="D103" t="s">
        <v>777</v>
      </c>
      <c r="E103" t="s">
        <v>831</v>
      </c>
      <c r="F103" t="s">
        <v>957</v>
      </c>
      <c r="G103" t="s">
        <v>879</v>
      </c>
      <c r="H103">
        <f t="shared" si="270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179"/>
        <v>4424</v>
      </c>
      <c r="L103">
        <f t="shared" si="180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>IF(J103&gt;0,SUM(J103:N103),0)</f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269"/>
        <v>200</v>
      </c>
      <c r="S103">
        <f t="shared" si="181"/>
        <v>38116</v>
      </c>
      <c r="T103">
        <f>_xlfn.XLOOKUP(B103,'[2]april-2025'!$A:$A,'[2]april-2025'!$C:$C,0,0)</f>
        <v>31600</v>
      </c>
      <c r="U103">
        <f t="shared" si="182"/>
        <v>5688</v>
      </c>
      <c r="V103">
        <f t="shared" si="183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184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185"/>
        <v>200</v>
      </c>
      <c r="AC103">
        <f t="shared" si="186"/>
        <v>39380</v>
      </c>
      <c r="AD103">
        <f>_xlfn.XLOOKUP(B103,'[3]may-2025'!$A:$A,'[3]may-2025'!$C:$C,0,0)</f>
        <v>31600</v>
      </c>
      <c r="AE103">
        <f t="shared" si="187"/>
        <v>5688</v>
      </c>
      <c r="AF103">
        <f t="shared" si="188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189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190"/>
        <v>200</v>
      </c>
      <c r="AM103">
        <f t="shared" si="191"/>
        <v>39380</v>
      </c>
      <c r="AN103">
        <f>_xlfn.XLOOKUP(B103,'[4]june-2025'!$A:$A,'[4]june-2025'!$C:$C,0,0)</f>
        <v>31600</v>
      </c>
      <c r="AO103">
        <f t="shared" si="192"/>
        <v>5688</v>
      </c>
      <c r="AP103">
        <f t="shared" si="193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194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195"/>
        <v>200</v>
      </c>
      <c r="AW103">
        <f t="shared" si="196"/>
        <v>39380</v>
      </c>
      <c r="AX103">
        <f>_xlfn.XLOOKUP(B103,'[5]july-2025'!$A:$A,'[5]july-2025'!$C:$C,0,0)</f>
        <v>32500</v>
      </c>
      <c r="AY103">
        <f t="shared" si="197"/>
        <v>5850</v>
      </c>
      <c r="AZ103">
        <v>0</v>
      </c>
      <c r="BA103">
        <f t="shared" si="198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>IF(AX103&gt;0,SUM(AX103:BC103),0)</f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199"/>
        <v>200</v>
      </c>
      <c r="BH103">
        <f t="shared" si="200"/>
        <v>40550</v>
      </c>
      <c r="BI103">
        <f>_xlfn.XLOOKUP(B103,'[6]august-2025'!$A:$A,'[6]august-2025'!$C:$C,0,0)</f>
        <v>32500</v>
      </c>
      <c r="BJ103">
        <f t="shared" si="201"/>
        <v>5850</v>
      </c>
      <c r="BK103">
        <f t="shared" si="202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03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>IF($F103="YES",0,IF(BN103&gt;40000,200,IF(BN103&gt;25000,150,IF(BN103&gt;15000,130,IF(BN103&gt;10000,110,0)))))</f>
        <v>200</v>
      </c>
      <c r="BR103">
        <f>BN103-BO103-BP103-BQ103</f>
        <v>40550</v>
      </c>
      <c r="BS103">
        <f>_xlfn.XLOOKUP(B103,'[7]september-2025'!$A:$A,'[7]september-2025'!$C:$C,0,0)</f>
        <v>32500</v>
      </c>
      <c r="BT103">
        <f t="shared" si="204"/>
        <v>5850</v>
      </c>
      <c r="BU103">
        <f t="shared" si="205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>IF(BS103&gt;0,SUM(BS103:BW103),0)</f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06"/>
        <v>200</v>
      </c>
      <c r="CB103">
        <f t="shared" si="207"/>
        <v>40550</v>
      </c>
      <c r="CC103">
        <f>_xlfn.XLOOKUP(B103,'[8]october-2025'!$A:$A,'[8]october-2025'!$C:$C,0,0)</f>
        <v>32500</v>
      </c>
      <c r="CD103">
        <f t="shared" si="208"/>
        <v>5850</v>
      </c>
      <c r="CE103">
        <f t="shared" si="209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>IF(CC103&gt;0,SUM(CC103:CG103),0)</f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10"/>
        <v>200</v>
      </c>
      <c r="CL103">
        <f t="shared" si="211"/>
        <v>40550</v>
      </c>
      <c r="CM103">
        <f>_xlfn.XLOOKUP(B103,'[9]november-2025'!$A:$A,'[9]november-2025'!$C:$C,0,0)</f>
        <v>32500</v>
      </c>
      <c r="CN103">
        <f t="shared" si="212"/>
        <v>5850</v>
      </c>
      <c r="CO103">
        <f t="shared" si="213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>IF(CM103&gt;0,SUM(CM103:CQ103),0)</f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14"/>
        <v>200</v>
      </c>
      <c r="CV103">
        <f t="shared" si="215"/>
        <v>40550</v>
      </c>
      <c r="CW103">
        <f>_xlfn.XLOOKUP(B103,'[10]december-2025'!$A:$A,'[10]december-2025'!$C:$C,0,0)</f>
        <v>32500</v>
      </c>
      <c r="CX103">
        <f t="shared" si="216"/>
        <v>5850</v>
      </c>
      <c r="CY103">
        <f t="shared" si="217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>IF(CW103&gt;0,SUM(CW103:DA103),0)</f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18"/>
        <v>200</v>
      </c>
      <c r="DF103">
        <f t="shared" si="219"/>
        <v>40550</v>
      </c>
      <c r="DG103">
        <f>_xlfn.XLOOKUP(B103,'[11]january-2026'!$A:$A,'[11]january-2026'!$C:$C,0,0)</f>
        <v>32500</v>
      </c>
      <c r="DH103">
        <f t="shared" si="220"/>
        <v>5850</v>
      </c>
      <c r="DI103">
        <f t="shared" si="221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>IF(DG103&gt;0,SUM(DG103:DK103),0)</f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22"/>
        <v>200</v>
      </c>
      <c r="DP103">
        <f t="shared" si="223"/>
        <v>40550</v>
      </c>
      <c r="DQ103">
        <f>_xlfn.XLOOKUP(B103,'[12]february-2026'!$A:$A,'[12]february-2026'!$C:$C,0,0)</f>
        <v>32500</v>
      </c>
      <c r="DR103">
        <f t="shared" si="224"/>
        <v>5850</v>
      </c>
      <c r="DS103">
        <f t="shared" si="225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>IF(DQ103&gt;0,SUM(DQ103:DU103),0)</f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26"/>
        <v>200</v>
      </c>
      <c r="DZ103">
        <f t="shared" si="227"/>
        <v>40550</v>
      </c>
      <c r="EA103">
        <f>_xlfn.XLOOKUP(B103,'[1]march-2025'!$A:$A,'[1]march-2025'!$J:$J,0,0)</f>
        <v>0</v>
      </c>
      <c r="EB103">
        <f>_xlfn.XLOOKUP(B103,'[2]april-2025'!$A:$A,'[2]april-2025'!$J:$J,0,0)</f>
        <v>0</v>
      </c>
      <c r="EC103">
        <f>_xlfn.XLOOKUP(B103,'[3]may-2025'!$A:$A,'[3]may-2025'!$J:$J,0,0)</f>
        <v>0</v>
      </c>
      <c r="ED103">
        <f>_xlfn.XLOOKUP(B103,'[4]june-2025'!$A:$A,'[4]june-2025'!$J:$J,0,0)</f>
        <v>0</v>
      </c>
      <c r="EE103">
        <f>_xlfn.XLOOKUP(B103,'[5]july-2025'!$A:$A,'[5]july-2025'!$J:$J,0,0)</f>
        <v>0</v>
      </c>
      <c r="EF103">
        <f>_xlfn.XLOOKUP(B103,'[6]august-2025'!$A:$A,'[6]august-2025'!$J:$J,0,0)</f>
        <v>0</v>
      </c>
      <c r="EG103">
        <f>_xlfn.XLOOKUP(B103,'[7]september-2025'!$A:$A,'[7]september-2025'!$J:$J,0,0)</f>
        <v>0</v>
      </c>
      <c r="EH103">
        <f>_xlfn.XLOOKUP(B103,'[8]october-2025'!$A:$A,'[8]october-2025'!$J:$J,0,0)</f>
        <v>0</v>
      </c>
      <c r="EI103">
        <f>_xlfn.XLOOKUP(C103,'[9]november-2025'!$A:$A,'[9]november-2025'!$J:$J,0,0)</f>
        <v>0</v>
      </c>
      <c r="EJ103">
        <f>_xlfn.XLOOKUP(B103,'[10]december-2025'!$A:$A,'[10]december-2025'!$J:$J,0,0)</f>
        <v>0</v>
      </c>
      <c r="EK103">
        <f>_xlfn.XLOOKUP(B103,'[11]january-2026'!$A:$A,'[11]january-2026'!$J:$J,0,0)</f>
        <v>0</v>
      </c>
      <c r="EL103">
        <f>_xlfn.XLOOKUP(B103,'[12]february-2026'!$A:$A,'[12]february-2026'!$J:$J,0,0)</f>
        <v>0</v>
      </c>
      <c r="EM103">
        <f t="shared" si="228"/>
        <v>0</v>
      </c>
      <c r="EN103">
        <f>DV103+DL103+DB103+CR103+CH103+BX103+BN103+BD103+AS103+AI103+Y103+O103+H103+I103</f>
        <v>513856</v>
      </c>
      <c r="EO103">
        <f>DY103+DO103+DE103+CU103+CK103+CA103+BQ103+BG103+AV103+AL103+AB103+R103</f>
        <v>2400</v>
      </c>
      <c r="EP103">
        <f t="shared" si="229"/>
        <v>50000</v>
      </c>
      <c r="EQ103">
        <v>0</v>
      </c>
      <c r="ER103">
        <f t="shared" si="230"/>
        <v>461456</v>
      </c>
      <c r="ES103">
        <f>DW103+DM103+DC103+CS103+CI103+BY103+BO103+BE103+AT103+AJ103+Z103+P103</f>
        <v>24000</v>
      </c>
      <c r="ET103">
        <f>DX103+DN103+DD103+CT103+CJ103+BZ103+BP103+BF103+AU103+AK103+AA103+Q103</f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231"/>
        <v>24000</v>
      </c>
      <c r="FF103">
        <f t="shared" si="232"/>
        <v>24000</v>
      </c>
      <c r="FG103">
        <f t="shared" si="233"/>
        <v>437456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>SUM(FH103:FN103)+(IF(F103="YES",50000,0))</f>
        <v>0</v>
      </c>
      <c r="FP103">
        <f t="shared" si="234"/>
        <v>437456</v>
      </c>
      <c r="FQ103">
        <f t="shared" si="235"/>
        <v>9373</v>
      </c>
      <c r="FR103">
        <f t="shared" si="236"/>
        <v>0</v>
      </c>
      <c r="FS103">
        <f t="shared" si="237"/>
        <v>9373</v>
      </c>
      <c r="FT103">
        <f t="shared" si="238"/>
        <v>0</v>
      </c>
      <c r="FU103">
        <f t="shared" si="239"/>
        <v>0</v>
      </c>
      <c r="FV103">
        <f t="shared" si="240"/>
        <v>0</v>
      </c>
      <c r="FW103">
        <v>0</v>
      </c>
      <c r="FX103">
        <f t="shared" si="241"/>
        <v>0</v>
      </c>
      <c r="FY103" t="b">
        <f t="shared" si="242"/>
        <v>1</v>
      </c>
      <c r="FZ103">
        <f t="shared" ca="1" si="243"/>
        <v>631</v>
      </c>
      <c r="GA103">
        <f t="shared" ca="1" si="244"/>
        <v>514487</v>
      </c>
      <c r="GB103">
        <f t="shared" si="245"/>
        <v>75000</v>
      </c>
      <c r="GC103">
        <f t="shared" ca="1" si="246"/>
        <v>439487</v>
      </c>
      <c r="GD103">
        <f t="shared" ca="1" si="247"/>
        <v>0</v>
      </c>
      <c r="GE103">
        <f t="shared" ca="1" si="248"/>
        <v>0</v>
      </c>
      <c r="GF103">
        <f t="shared" ca="1" si="249"/>
        <v>0</v>
      </c>
      <c r="GG103">
        <f t="shared" ca="1" si="250"/>
        <v>0</v>
      </c>
      <c r="GH103">
        <f t="shared" ca="1" si="251"/>
        <v>0</v>
      </c>
      <c r="GI103">
        <f t="shared" ca="1" si="252"/>
        <v>0</v>
      </c>
      <c r="GJ103">
        <f ca="1">IF(GC103&gt;1200000,GC103-1200000-IF(F103="YES",50000,0)-GH103,0)</f>
        <v>0</v>
      </c>
      <c r="GK103">
        <f t="shared" ca="1" si="253"/>
        <v>0</v>
      </c>
      <c r="GL103">
        <f t="shared" ca="1" si="254"/>
        <v>0</v>
      </c>
      <c r="GM103">
        <f t="shared" ca="1" si="255"/>
        <v>0</v>
      </c>
      <c r="GN103">
        <f t="shared" ca="1" si="256"/>
        <v>39487</v>
      </c>
      <c r="GO103">
        <f t="shared" ca="1" si="257"/>
        <v>1974.3500000000001</v>
      </c>
      <c r="GP103">
        <f t="shared" ca="1" si="258"/>
        <v>1974</v>
      </c>
      <c r="GQ103">
        <f t="shared" ca="1" si="259"/>
        <v>0</v>
      </c>
      <c r="GR103">
        <f t="shared" ca="1" si="260"/>
        <v>0</v>
      </c>
      <c r="GS103">
        <f t="shared" ca="1" si="261"/>
        <v>1974</v>
      </c>
      <c r="GT103">
        <f t="shared" ca="1" si="262"/>
        <v>0</v>
      </c>
      <c r="GU103" t="b">
        <f t="shared" ca="1" si="263"/>
        <v>0</v>
      </c>
      <c r="GV103">
        <f t="shared" ca="1" si="264"/>
        <v>0</v>
      </c>
      <c r="GW103">
        <f t="shared" ca="1" si="265"/>
        <v>1974</v>
      </c>
      <c r="GX103">
        <f t="shared" ca="1" si="266"/>
        <v>0</v>
      </c>
      <c r="GY103">
        <f t="shared" ca="1" si="267"/>
        <v>0</v>
      </c>
      <c r="GZ103">
        <f t="shared" ca="1" si="268"/>
        <v>0</v>
      </c>
    </row>
    <row r="104" spans="1:208" x14ac:dyDescent="0.25">
      <c r="A104">
        <f>_xlfn.AGGREGATE(3,5,$B$2:B104)</f>
        <v>103</v>
      </c>
      <c r="B104" t="s">
        <v>322</v>
      </c>
      <c r="C104" t="s">
        <v>323</v>
      </c>
      <c r="D104" t="s">
        <v>777</v>
      </c>
      <c r="E104" t="s">
        <v>831</v>
      </c>
      <c r="F104" t="s">
        <v>957</v>
      </c>
      <c r="G104" t="s">
        <v>919</v>
      </c>
      <c r="H104">
        <f t="shared" si="270"/>
        <v>6800</v>
      </c>
      <c r="I104">
        <f>_xlfn.XLOOKUP(B104,'[1]march-2025'!$A:$A,'[1]march-2025'!$J:$J,0,0)</f>
        <v>0</v>
      </c>
      <c r="J104">
        <f>_xlfn.XLOOKUP(B104,'[1]march-2025'!$A:$A,'[1]march-2025'!$C:$C,0,0)</f>
        <v>25400</v>
      </c>
      <c r="K104">
        <f t="shared" si="179"/>
        <v>3556.0000000000005</v>
      </c>
      <c r="L104">
        <f t="shared" si="180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>IF(J104&gt;0,SUM(J104:N104),0)</f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269"/>
        <v>150</v>
      </c>
      <c r="S104">
        <f t="shared" si="181"/>
        <v>30354</v>
      </c>
      <c r="T104">
        <f>_xlfn.XLOOKUP(B104,'[2]april-2025'!$A:$A,'[2]april-2025'!$C:$C,0,0)</f>
        <v>25400</v>
      </c>
      <c r="U104">
        <f t="shared" si="182"/>
        <v>4572</v>
      </c>
      <c r="V104">
        <f t="shared" si="183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184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185"/>
        <v>150</v>
      </c>
      <c r="AC104">
        <f t="shared" si="186"/>
        <v>31370</v>
      </c>
      <c r="AD104">
        <f>_xlfn.XLOOKUP(B104,'[3]may-2025'!$A:$A,'[3]may-2025'!$C:$C,0,0)</f>
        <v>25400</v>
      </c>
      <c r="AE104">
        <f t="shared" si="187"/>
        <v>4572</v>
      </c>
      <c r="AF104">
        <f t="shared" si="188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189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190"/>
        <v>150</v>
      </c>
      <c r="AM104">
        <f t="shared" si="191"/>
        <v>31370</v>
      </c>
      <c r="AN104">
        <f>_xlfn.XLOOKUP(B104,'[4]june-2025'!$A:$A,'[4]june-2025'!$C:$C,0,0)</f>
        <v>25400</v>
      </c>
      <c r="AO104">
        <f t="shared" si="192"/>
        <v>4572</v>
      </c>
      <c r="AP104">
        <f t="shared" si="193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194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195"/>
        <v>150</v>
      </c>
      <c r="AW104">
        <f t="shared" si="196"/>
        <v>31370</v>
      </c>
      <c r="AX104">
        <f>_xlfn.XLOOKUP(B104,'[5]july-2025'!$A:$A,'[5]july-2025'!$C:$C,0,0)</f>
        <v>26200</v>
      </c>
      <c r="AY104">
        <f t="shared" si="197"/>
        <v>4716</v>
      </c>
      <c r="AZ104">
        <v>0</v>
      </c>
      <c r="BA104">
        <f t="shared" si="198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>IF(AX104&gt;0,SUM(AX104:BC104),0)</f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199"/>
        <v>150</v>
      </c>
      <c r="BH104">
        <f t="shared" si="200"/>
        <v>32410</v>
      </c>
      <c r="BI104">
        <f>_xlfn.XLOOKUP(B104,'[6]august-2025'!$A:$A,'[6]august-2025'!$C:$C,0,0)</f>
        <v>26200</v>
      </c>
      <c r="BJ104">
        <f t="shared" si="201"/>
        <v>4716</v>
      </c>
      <c r="BK104">
        <f t="shared" si="202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03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>IF($F104="YES",0,IF(BN104&gt;40000,200,IF(BN104&gt;25000,150,IF(BN104&gt;15000,130,IF(BN104&gt;10000,110,0)))))</f>
        <v>150</v>
      </c>
      <c r="BR104">
        <f>BN104-BO104-BP104-BQ104</f>
        <v>32410</v>
      </c>
      <c r="BS104">
        <f>_xlfn.XLOOKUP(B104,'[7]september-2025'!$A:$A,'[7]september-2025'!$C:$C,0,0)</f>
        <v>26200</v>
      </c>
      <c r="BT104">
        <f t="shared" si="204"/>
        <v>4716</v>
      </c>
      <c r="BU104">
        <f t="shared" si="205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>IF(BS104&gt;0,SUM(BS104:BW104),0)</f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06"/>
        <v>150</v>
      </c>
      <c r="CB104">
        <f t="shared" si="207"/>
        <v>32410</v>
      </c>
      <c r="CC104">
        <f>_xlfn.XLOOKUP(B104,'[8]october-2025'!$A:$A,'[8]october-2025'!$C:$C,0,0)</f>
        <v>26200</v>
      </c>
      <c r="CD104">
        <f t="shared" si="208"/>
        <v>4716</v>
      </c>
      <c r="CE104">
        <f t="shared" si="209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>IF(CC104&gt;0,SUM(CC104:CG104),0)</f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10"/>
        <v>150</v>
      </c>
      <c r="CL104">
        <f t="shared" si="211"/>
        <v>32410</v>
      </c>
      <c r="CM104">
        <f>_xlfn.XLOOKUP(B104,'[9]november-2025'!$A:$A,'[9]november-2025'!$C:$C,0,0)</f>
        <v>26200</v>
      </c>
      <c r="CN104">
        <f t="shared" si="212"/>
        <v>4716</v>
      </c>
      <c r="CO104">
        <f t="shared" si="213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>IF(CM104&gt;0,SUM(CM104:CQ104),0)</f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14"/>
        <v>150</v>
      </c>
      <c r="CV104">
        <f t="shared" si="215"/>
        <v>32410</v>
      </c>
      <c r="CW104">
        <f>_xlfn.XLOOKUP(B104,'[10]december-2025'!$A:$A,'[10]december-2025'!$C:$C,0,0)</f>
        <v>26200</v>
      </c>
      <c r="CX104">
        <f t="shared" si="216"/>
        <v>4716</v>
      </c>
      <c r="CY104">
        <f t="shared" si="217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>IF(CW104&gt;0,SUM(CW104:DA104),0)</f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18"/>
        <v>150</v>
      </c>
      <c r="DF104">
        <f t="shared" si="219"/>
        <v>32410</v>
      </c>
      <c r="DG104">
        <f>_xlfn.XLOOKUP(B104,'[11]january-2026'!$A:$A,'[11]january-2026'!$C:$C,0,0)</f>
        <v>26200</v>
      </c>
      <c r="DH104">
        <f t="shared" si="220"/>
        <v>4716</v>
      </c>
      <c r="DI104">
        <f t="shared" si="221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>IF(DG104&gt;0,SUM(DG104:DK104),0)</f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22"/>
        <v>150</v>
      </c>
      <c r="DP104">
        <f t="shared" si="223"/>
        <v>32410</v>
      </c>
      <c r="DQ104">
        <f>_xlfn.XLOOKUP(B104,'[12]february-2026'!$A:$A,'[12]february-2026'!$C:$C,0,0)</f>
        <v>26200</v>
      </c>
      <c r="DR104">
        <f t="shared" si="224"/>
        <v>4716</v>
      </c>
      <c r="DS104">
        <f t="shared" si="225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>IF(DQ104&gt;0,SUM(DQ104:DU104),0)</f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26"/>
        <v>150</v>
      </c>
      <c r="DZ104">
        <f t="shared" si="227"/>
        <v>32410</v>
      </c>
      <c r="EA104">
        <f>_xlfn.XLOOKUP(B104,'[1]march-2025'!$A:$A,'[1]march-2025'!$J:$J,0,0)</f>
        <v>0</v>
      </c>
      <c r="EB104">
        <f>_xlfn.XLOOKUP(B104,'[2]april-2025'!$A:$A,'[2]april-2025'!$J:$J,0,0)</f>
        <v>0</v>
      </c>
      <c r="EC104">
        <f>_xlfn.XLOOKUP(B104,'[3]may-2025'!$A:$A,'[3]may-2025'!$J:$J,0,0)</f>
        <v>0</v>
      </c>
      <c r="ED104">
        <f>_xlfn.XLOOKUP(B104,'[4]june-2025'!$A:$A,'[4]june-2025'!$J:$J,0,0)</f>
        <v>0</v>
      </c>
      <c r="EE104">
        <f>_xlfn.XLOOKUP(B104,'[5]july-2025'!$A:$A,'[5]july-2025'!$J:$J,0,0)</f>
        <v>0</v>
      </c>
      <c r="EF104">
        <f>_xlfn.XLOOKUP(B104,'[6]august-2025'!$A:$A,'[6]august-2025'!$J:$J,0,0)</f>
        <v>0</v>
      </c>
      <c r="EG104">
        <f>_xlfn.XLOOKUP(B104,'[7]september-2025'!$A:$A,'[7]september-2025'!$J:$J,0,0)</f>
        <v>0</v>
      </c>
      <c r="EH104">
        <f>_xlfn.XLOOKUP(B104,'[8]october-2025'!$A:$A,'[8]october-2025'!$J:$J,0,0)</f>
        <v>0</v>
      </c>
      <c r="EI104">
        <f>_xlfn.XLOOKUP(C104,'[9]november-2025'!$A:$A,'[9]november-2025'!$J:$J,0,0)</f>
        <v>0</v>
      </c>
      <c r="EJ104">
        <f>_xlfn.XLOOKUP(B104,'[10]december-2025'!$A:$A,'[10]december-2025'!$J:$J,0,0)</f>
        <v>0</v>
      </c>
      <c r="EK104">
        <f>_xlfn.XLOOKUP(B104,'[11]january-2026'!$A:$A,'[11]january-2026'!$J:$J,0,0)</f>
        <v>0</v>
      </c>
      <c r="EL104">
        <f>_xlfn.XLOOKUP(B104,'[12]february-2026'!$A:$A,'[12]february-2026'!$J:$J,0,0)</f>
        <v>0</v>
      </c>
      <c r="EM104">
        <f t="shared" si="228"/>
        <v>0</v>
      </c>
      <c r="EN104">
        <f>DV104+DL104+DB104+CR104+CH104+BX104+BN104+BD104+AS104+AI104+Y104+O104+H104+I104</f>
        <v>416344</v>
      </c>
      <c r="EO104">
        <f>DY104+DO104+DE104+CU104+CK104+CA104+BQ104+BG104+AV104+AL104+AB104+R104</f>
        <v>1800</v>
      </c>
      <c r="EP104">
        <f t="shared" si="229"/>
        <v>50000</v>
      </c>
      <c r="EQ104">
        <v>0</v>
      </c>
      <c r="ER104">
        <f t="shared" si="230"/>
        <v>364544</v>
      </c>
      <c r="ES104">
        <f>DW104+DM104+DC104+CS104+CI104+BY104+BO104+BE104+AT104+AJ104+Z104+P104</f>
        <v>24000</v>
      </c>
      <c r="ET104">
        <f>DX104+DN104+DD104+CT104+CJ104+BZ104+BP104+BF104+AU104+AK104+AA104+Q104</f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231"/>
        <v>24000</v>
      </c>
      <c r="FF104">
        <f t="shared" si="232"/>
        <v>24000</v>
      </c>
      <c r="FG104">
        <f t="shared" si="233"/>
        <v>340544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>SUM(FH104:FN104)+(IF(F104="YES",50000,0))</f>
        <v>0</v>
      </c>
      <c r="FP104">
        <f t="shared" si="234"/>
        <v>340544</v>
      </c>
      <c r="FQ104">
        <f t="shared" si="235"/>
        <v>4527</v>
      </c>
      <c r="FR104">
        <f t="shared" si="236"/>
        <v>0</v>
      </c>
      <c r="FS104">
        <f t="shared" si="237"/>
        <v>4527</v>
      </c>
      <c r="FT104">
        <f t="shared" si="238"/>
        <v>0</v>
      </c>
      <c r="FU104">
        <f t="shared" si="239"/>
        <v>0</v>
      </c>
      <c r="FV104">
        <f t="shared" si="240"/>
        <v>0</v>
      </c>
      <c r="FW104">
        <v>0</v>
      </c>
      <c r="FX104">
        <f t="shared" si="241"/>
        <v>0</v>
      </c>
      <c r="FY104" t="b">
        <f t="shared" si="242"/>
        <v>0</v>
      </c>
      <c r="FZ104">
        <f t="shared" ca="1" si="243"/>
        <v>1258</v>
      </c>
      <c r="GA104">
        <f t="shared" ca="1" si="244"/>
        <v>417602</v>
      </c>
      <c r="GB104">
        <f t="shared" si="245"/>
        <v>75000</v>
      </c>
      <c r="GC104">
        <f t="shared" ca="1" si="246"/>
        <v>342602</v>
      </c>
      <c r="GD104">
        <f t="shared" ca="1" si="247"/>
        <v>0</v>
      </c>
      <c r="GE104">
        <f t="shared" ca="1" si="248"/>
        <v>0</v>
      </c>
      <c r="GF104">
        <f t="shared" ca="1" si="249"/>
        <v>0</v>
      </c>
      <c r="GG104">
        <f t="shared" ca="1" si="250"/>
        <v>0</v>
      </c>
      <c r="GH104">
        <f t="shared" ca="1" si="251"/>
        <v>0</v>
      </c>
      <c r="GI104">
        <f t="shared" ca="1" si="252"/>
        <v>0</v>
      </c>
      <c r="GJ104">
        <f ca="1">IF(GC104&gt;1200000,GC104-1200000-IF(F104="YES",50000,0)-GH104,0)</f>
        <v>0</v>
      </c>
      <c r="GK104">
        <f t="shared" ca="1" si="253"/>
        <v>0</v>
      </c>
      <c r="GL104">
        <f t="shared" ca="1" si="254"/>
        <v>0</v>
      </c>
      <c r="GM104">
        <f t="shared" ca="1" si="255"/>
        <v>0</v>
      </c>
      <c r="GN104">
        <f t="shared" ca="1" si="256"/>
        <v>0</v>
      </c>
      <c r="GO104">
        <f t="shared" ca="1" si="257"/>
        <v>0</v>
      </c>
      <c r="GP104">
        <f t="shared" ca="1" si="258"/>
        <v>0</v>
      </c>
      <c r="GQ104">
        <f t="shared" ca="1" si="259"/>
        <v>0</v>
      </c>
      <c r="GR104">
        <f t="shared" ca="1" si="260"/>
        <v>0</v>
      </c>
      <c r="GS104">
        <f t="shared" ca="1" si="261"/>
        <v>0</v>
      </c>
      <c r="GT104">
        <f t="shared" ca="1" si="262"/>
        <v>0</v>
      </c>
      <c r="GU104" t="b">
        <f t="shared" ca="1" si="263"/>
        <v>0</v>
      </c>
      <c r="GV104">
        <f t="shared" ca="1" si="264"/>
        <v>0</v>
      </c>
      <c r="GW104">
        <f t="shared" ca="1" si="265"/>
        <v>0</v>
      </c>
      <c r="GX104">
        <f t="shared" ca="1" si="266"/>
        <v>0</v>
      </c>
      <c r="GY104">
        <f t="shared" ca="1" si="267"/>
        <v>0</v>
      </c>
      <c r="GZ104">
        <f t="shared" ca="1" si="268"/>
        <v>0</v>
      </c>
    </row>
    <row r="105" spans="1:208" x14ac:dyDescent="0.25">
      <c r="A105">
        <f>_xlfn.AGGREGATE(3,5,$B$2:B105)</f>
        <v>104</v>
      </c>
      <c r="B105" t="s">
        <v>324</v>
      </c>
      <c r="C105" t="s">
        <v>325</v>
      </c>
      <c r="D105" t="s">
        <v>778</v>
      </c>
      <c r="E105" t="s">
        <v>831</v>
      </c>
      <c r="F105" t="s">
        <v>957</v>
      </c>
      <c r="G105" t="s">
        <v>878</v>
      </c>
      <c r="H105">
        <f t="shared" si="270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179"/>
        <v>4830.0000000000009</v>
      </c>
      <c r="L105">
        <f t="shared" si="180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>IF(J105&gt;0,SUM(J105:N105),0)</f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269"/>
        <v>200</v>
      </c>
      <c r="S105">
        <f t="shared" si="181"/>
        <v>40170</v>
      </c>
      <c r="T105">
        <f>_xlfn.XLOOKUP(B105,'[2]april-2025'!$A:$A,'[2]april-2025'!$C:$C,0,0)</f>
        <v>34500</v>
      </c>
      <c r="U105">
        <f t="shared" si="182"/>
        <v>6210</v>
      </c>
      <c r="V105">
        <f t="shared" si="183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184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185"/>
        <v>200</v>
      </c>
      <c r="AC105">
        <f t="shared" si="186"/>
        <v>41550</v>
      </c>
      <c r="AD105">
        <f>_xlfn.XLOOKUP(B105,'[3]may-2025'!$A:$A,'[3]may-2025'!$C:$C,0,0)</f>
        <v>34500</v>
      </c>
      <c r="AE105">
        <f t="shared" si="187"/>
        <v>6210</v>
      </c>
      <c r="AF105">
        <f t="shared" si="188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189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190"/>
        <v>200</v>
      </c>
      <c r="AM105">
        <f t="shared" si="191"/>
        <v>41550</v>
      </c>
      <c r="AN105">
        <f>_xlfn.XLOOKUP(B105,'[4]june-2025'!$A:$A,'[4]june-2025'!$C:$C,0,0)</f>
        <v>34500</v>
      </c>
      <c r="AO105">
        <f t="shared" si="192"/>
        <v>6210</v>
      </c>
      <c r="AP105">
        <f t="shared" si="193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194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195"/>
        <v>200</v>
      </c>
      <c r="AW105">
        <f t="shared" si="196"/>
        <v>41550</v>
      </c>
      <c r="AX105">
        <f>_xlfn.XLOOKUP(B105,'[5]july-2025'!$A:$A,'[5]july-2025'!$C:$C,0,0)</f>
        <v>35500</v>
      </c>
      <c r="AY105">
        <f t="shared" si="197"/>
        <v>6390</v>
      </c>
      <c r="AZ105">
        <v>0</v>
      </c>
      <c r="BA105">
        <f t="shared" si="198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>IF(AX105&gt;0,SUM(AX105:BC105),0)</f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199"/>
        <v>200</v>
      </c>
      <c r="BH105">
        <f t="shared" si="200"/>
        <v>42850</v>
      </c>
      <c r="BI105">
        <f>_xlfn.XLOOKUP(B105,'[6]august-2025'!$A:$A,'[6]august-2025'!$C:$C,0,0)</f>
        <v>35500</v>
      </c>
      <c r="BJ105">
        <f t="shared" si="201"/>
        <v>6390</v>
      </c>
      <c r="BK105">
        <f t="shared" si="202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03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>IF($F105="YES",0,IF(BN105&gt;40000,200,IF(BN105&gt;25000,150,IF(BN105&gt;15000,130,IF(BN105&gt;10000,110,0)))))</f>
        <v>200</v>
      </c>
      <c r="BR105">
        <f>BN105-BO105-BP105-BQ105</f>
        <v>42850</v>
      </c>
      <c r="BS105">
        <f>_xlfn.XLOOKUP(B105,'[7]september-2025'!$A:$A,'[7]september-2025'!$C:$C,0,0)</f>
        <v>35500</v>
      </c>
      <c r="BT105">
        <f t="shared" si="204"/>
        <v>6390</v>
      </c>
      <c r="BU105">
        <f t="shared" si="205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>IF(BS105&gt;0,SUM(BS105:BW105),0)</f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06"/>
        <v>200</v>
      </c>
      <c r="CB105">
        <f t="shared" si="207"/>
        <v>42850</v>
      </c>
      <c r="CC105">
        <f>_xlfn.XLOOKUP(B105,'[8]october-2025'!$A:$A,'[8]october-2025'!$C:$C,0,0)</f>
        <v>35500</v>
      </c>
      <c r="CD105">
        <f t="shared" si="208"/>
        <v>6390</v>
      </c>
      <c r="CE105">
        <f t="shared" si="209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>IF(CC105&gt;0,SUM(CC105:CG105),0)</f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10"/>
        <v>200</v>
      </c>
      <c r="CL105">
        <f t="shared" si="211"/>
        <v>42850</v>
      </c>
      <c r="CM105">
        <f>_xlfn.XLOOKUP(B105,'[9]november-2025'!$A:$A,'[9]november-2025'!$C:$C,0,0)</f>
        <v>35500</v>
      </c>
      <c r="CN105">
        <f t="shared" si="212"/>
        <v>6390</v>
      </c>
      <c r="CO105">
        <f t="shared" si="213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>IF(CM105&gt;0,SUM(CM105:CQ105),0)</f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14"/>
        <v>200</v>
      </c>
      <c r="CV105">
        <f t="shared" si="215"/>
        <v>42850</v>
      </c>
      <c r="CW105">
        <f>_xlfn.XLOOKUP(B105,'[10]december-2025'!$A:$A,'[10]december-2025'!$C:$C,0,0)</f>
        <v>35500</v>
      </c>
      <c r="CX105">
        <f t="shared" si="216"/>
        <v>6390</v>
      </c>
      <c r="CY105">
        <f t="shared" si="217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>IF(CW105&gt;0,SUM(CW105:DA105),0)</f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18"/>
        <v>200</v>
      </c>
      <c r="DF105">
        <f t="shared" si="219"/>
        <v>42850</v>
      </c>
      <c r="DG105">
        <f>_xlfn.XLOOKUP(B105,'[11]january-2026'!$A:$A,'[11]january-2026'!$C:$C,0,0)</f>
        <v>35500</v>
      </c>
      <c r="DH105">
        <f t="shared" si="220"/>
        <v>6390</v>
      </c>
      <c r="DI105">
        <f t="shared" si="221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>IF(DG105&gt;0,SUM(DG105:DK105),0)</f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22"/>
        <v>200</v>
      </c>
      <c r="DP105">
        <f t="shared" si="223"/>
        <v>42850</v>
      </c>
      <c r="DQ105">
        <f>_xlfn.XLOOKUP(B105,'[12]february-2026'!$A:$A,'[12]february-2026'!$C:$C,0,0)</f>
        <v>35500</v>
      </c>
      <c r="DR105">
        <f t="shared" si="224"/>
        <v>6390</v>
      </c>
      <c r="DS105">
        <f t="shared" si="225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>IF(DQ105&gt;0,SUM(DQ105:DU105),0)</f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26"/>
        <v>200</v>
      </c>
      <c r="DZ105">
        <f t="shared" si="227"/>
        <v>42850</v>
      </c>
      <c r="EA105">
        <f>_xlfn.XLOOKUP(B105,'[1]march-2025'!$A:$A,'[1]march-2025'!$J:$J,0,0)</f>
        <v>0</v>
      </c>
      <c r="EB105">
        <f>_xlfn.XLOOKUP(B105,'[2]april-2025'!$A:$A,'[2]april-2025'!$J:$J,0,0)</f>
        <v>0</v>
      </c>
      <c r="EC105">
        <f>_xlfn.XLOOKUP(B105,'[3]may-2025'!$A:$A,'[3]may-2025'!$J:$J,0,0)</f>
        <v>0</v>
      </c>
      <c r="ED105">
        <f>_xlfn.XLOOKUP(B105,'[4]june-2025'!$A:$A,'[4]june-2025'!$J:$J,0,0)</f>
        <v>0</v>
      </c>
      <c r="EE105">
        <f>_xlfn.XLOOKUP(B105,'[5]july-2025'!$A:$A,'[5]july-2025'!$J:$J,0,0)</f>
        <v>0</v>
      </c>
      <c r="EF105">
        <f>_xlfn.XLOOKUP(B105,'[6]august-2025'!$A:$A,'[6]august-2025'!$J:$J,0,0)</f>
        <v>0</v>
      </c>
      <c r="EG105">
        <f>_xlfn.XLOOKUP(B105,'[7]september-2025'!$A:$A,'[7]september-2025'!$J:$J,0,0)</f>
        <v>0</v>
      </c>
      <c r="EH105">
        <f>_xlfn.XLOOKUP(B105,'[8]october-2025'!$A:$A,'[8]october-2025'!$J:$J,0,0)</f>
        <v>0</v>
      </c>
      <c r="EI105">
        <f>_xlfn.XLOOKUP(C105,'[9]november-2025'!$A:$A,'[9]november-2025'!$J:$J,0,0)</f>
        <v>0</v>
      </c>
      <c r="EJ105">
        <f>_xlfn.XLOOKUP(B105,'[10]december-2025'!$A:$A,'[10]december-2025'!$J:$J,0,0)</f>
        <v>0</v>
      </c>
      <c r="EK105">
        <f>_xlfn.XLOOKUP(B105,'[11]january-2026'!$A:$A,'[11]january-2026'!$J:$J,0,0)</f>
        <v>0</v>
      </c>
      <c r="EL105">
        <f>_xlfn.XLOOKUP(B105,'[12]february-2026'!$A:$A,'[12]february-2026'!$J:$J,0,0)</f>
        <v>0</v>
      </c>
      <c r="EM105">
        <f t="shared" si="228"/>
        <v>0</v>
      </c>
      <c r="EN105">
        <f>DV105+DL105+DB105+CR105+CH105+BX105+BN105+BD105+AS105+AI105+Y105+O105+H105+I105</f>
        <v>564820</v>
      </c>
      <c r="EO105">
        <f>DY105+DO105+DE105+CU105+CK105+CA105+BQ105+BG105+AV105+AL105+AB105+R105</f>
        <v>2400</v>
      </c>
      <c r="EP105">
        <f t="shared" si="229"/>
        <v>50000</v>
      </c>
      <c r="EQ105">
        <v>0</v>
      </c>
      <c r="ER105">
        <f t="shared" si="230"/>
        <v>512420</v>
      </c>
      <c r="ES105">
        <f>DW105+DM105+DC105+CS105+CI105+BY105+BO105+BE105+AT105+AJ105+Z105+P105</f>
        <v>48000</v>
      </c>
      <c r="ET105">
        <f>DX105+DN105+DD105+CT105+CJ105+BZ105+BP105+BF105+AU105+AK105+AA105+Q105</f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231"/>
        <v>48000</v>
      </c>
      <c r="FF105">
        <f t="shared" si="232"/>
        <v>48000</v>
      </c>
      <c r="FG105">
        <f t="shared" si="233"/>
        <v>464420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>SUM(FH105:FN105)+(IF(F105="YES",50000,0))</f>
        <v>0</v>
      </c>
      <c r="FP105">
        <f t="shared" si="234"/>
        <v>464420</v>
      </c>
      <c r="FQ105">
        <f t="shared" si="235"/>
        <v>10721</v>
      </c>
      <c r="FR105">
        <f t="shared" si="236"/>
        <v>0</v>
      </c>
      <c r="FS105">
        <f t="shared" si="237"/>
        <v>10721</v>
      </c>
      <c r="FT105">
        <f t="shared" si="238"/>
        <v>0</v>
      </c>
      <c r="FU105">
        <f t="shared" si="239"/>
        <v>0</v>
      </c>
      <c r="FV105">
        <f t="shared" si="240"/>
        <v>0</v>
      </c>
      <c r="FW105">
        <v>0</v>
      </c>
      <c r="FX105">
        <f t="shared" si="241"/>
        <v>0</v>
      </c>
      <c r="FY105" t="b">
        <f t="shared" si="242"/>
        <v>1</v>
      </c>
      <c r="FZ105">
        <f t="shared" ca="1" si="243"/>
        <v>924</v>
      </c>
      <c r="GA105">
        <f t="shared" ca="1" si="244"/>
        <v>565744</v>
      </c>
      <c r="GB105">
        <f t="shared" si="245"/>
        <v>75000</v>
      </c>
      <c r="GC105">
        <f t="shared" ca="1" si="246"/>
        <v>490744</v>
      </c>
      <c r="GD105">
        <f t="shared" ca="1" si="247"/>
        <v>0</v>
      </c>
      <c r="GE105">
        <f t="shared" ca="1" si="248"/>
        <v>0</v>
      </c>
      <c r="GF105">
        <f t="shared" ca="1" si="249"/>
        <v>0</v>
      </c>
      <c r="GG105">
        <f t="shared" ca="1" si="250"/>
        <v>0</v>
      </c>
      <c r="GH105">
        <f t="shared" ca="1" si="251"/>
        <v>0</v>
      </c>
      <c r="GI105">
        <f t="shared" ca="1" si="252"/>
        <v>0</v>
      </c>
      <c r="GJ105">
        <f ca="1">IF(GC105&gt;1200000,GC105-1200000-IF(F105="YES",50000,0)-GH105,0)</f>
        <v>0</v>
      </c>
      <c r="GK105">
        <f t="shared" ca="1" si="253"/>
        <v>0</v>
      </c>
      <c r="GL105">
        <f t="shared" ca="1" si="254"/>
        <v>0</v>
      </c>
      <c r="GM105">
        <f t="shared" ca="1" si="255"/>
        <v>0</v>
      </c>
      <c r="GN105">
        <f t="shared" ca="1" si="256"/>
        <v>90744</v>
      </c>
      <c r="GO105">
        <f t="shared" ca="1" si="257"/>
        <v>4537.2</v>
      </c>
      <c r="GP105">
        <f t="shared" ca="1" si="258"/>
        <v>4537</v>
      </c>
      <c r="GQ105">
        <f t="shared" ca="1" si="259"/>
        <v>0</v>
      </c>
      <c r="GR105">
        <f t="shared" ca="1" si="260"/>
        <v>0</v>
      </c>
      <c r="GS105">
        <f t="shared" ca="1" si="261"/>
        <v>4537</v>
      </c>
      <c r="GT105">
        <f t="shared" ca="1" si="262"/>
        <v>0</v>
      </c>
      <c r="GU105" t="b">
        <f t="shared" ca="1" si="263"/>
        <v>0</v>
      </c>
      <c r="GV105">
        <f t="shared" ca="1" si="264"/>
        <v>0</v>
      </c>
      <c r="GW105">
        <f t="shared" ca="1" si="265"/>
        <v>4537</v>
      </c>
      <c r="GX105">
        <f t="shared" ca="1" si="266"/>
        <v>0</v>
      </c>
      <c r="GY105">
        <f t="shared" ca="1" si="267"/>
        <v>0</v>
      </c>
      <c r="GZ105">
        <f t="shared" ca="1" si="268"/>
        <v>0</v>
      </c>
    </row>
    <row r="106" spans="1:208" x14ac:dyDescent="0.25">
      <c r="A106">
        <f>_xlfn.AGGREGATE(3,5,$B$2:B106)</f>
        <v>105</v>
      </c>
      <c r="B106" t="s">
        <v>326</v>
      </c>
      <c r="C106" t="s">
        <v>327</v>
      </c>
      <c r="D106" t="s">
        <v>778</v>
      </c>
      <c r="E106" t="s">
        <v>831</v>
      </c>
      <c r="F106" t="s">
        <v>957</v>
      </c>
      <c r="G106" t="s">
        <v>878</v>
      </c>
      <c r="H106">
        <f t="shared" si="270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179"/>
        <v>4830.0000000000009</v>
      </c>
      <c r="L106">
        <f t="shared" si="180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>IF(J106&gt;0,SUM(J106:N106),0)</f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269"/>
        <v>200</v>
      </c>
      <c r="S106">
        <f t="shared" si="181"/>
        <v>39770</v>
      </c>
      <c r="T106">
        <f>_xlfn.XLOOKUP(B106,'[2]april-2025'!$A:$A,'[2]april-2025'!$C:$C,0,0)</f>
        <v>34500</v>
      </c>
      <c r="U106">
        <f t="shared" si="182"/>
        <v>6210</v>
      </c>
      <c r="V106">
        <f t="shared" si="183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184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185"/>
        <v>200</v>
      </c>
      <c r="AC106">
        <f t="shared" si="186"/>
        <v>41150</v>
      </c>
      <c r="AD106">
        <f>_xlfn.XLOOKUP(B106,'[3]may-2025'!$A:$A,'[3]may-2025'!$C:$C,0,0)</f>
        <v>34500</v>
      </c>
      <c r="AE106">
        <f t="shared" si="187"/>
        <v>6210</v>
      </c>
      <c r="AF106">
        <f t="shared" si="188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189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190"/>
        <v>200</v>
      </c>
      <c r="AM106">
        <f t="shared" si="191"/>
        <v>41150</v>
      </c>
      <c r="AN106">
        <f>_xlfn.XLOOKUP(B106,'[4]june-2025'!$A:$A,'[4]june-2025'!$C:$C,0,0)</f>
        <v>34500</v>
      </c>
      <c r="AO106">
        <f t="shared" si="192"/>
        <v>6210</v>
      </c>
      <c r="AP106">
        <f t="shared" si="193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194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195"/>
        <v>200</v>
      </c>
      <c r="AW106">
        <f t="shared" si="196"/>
        <v>41150</v>
      </c>
      <c r="AX106">
        <f>_xlfn.XLOOKUP(B106,'[5]july-2025'!$A:$A,'[5]july-2025'!$C:$C,0,0)</f>
        <v>35500</v>
      </c>
      <c r="AY106">
        <f t="shared" si="197"/>
        <v>6390</v>
      </c>
      <c r="AZ106">
        <v>0</v>
      </c>
      <c r="BA106">
        <f t="shared" si="198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>IF(AX106&gt;0,SUM(AX106:BC106),0)</f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199"/>
        <v>200</v>
      </c>
      <c r="BH106">
        <f t="shared" si="200"/>
        <v>42450</v>
      </c>
      <c r="BI106">
        <f>_xlfn.XLOOKUP(B106,'[6]august-2025'!$A:$A,'[6]august-2025'!$C:$C,0,0)</f>
        <v>35500</v>
      </c>
      <c r="BJ106">
        <f t="shared" si="201"/>
        <v>6390</v>
      </c>
      <c r="BK106">
        <f t="shared" si="202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03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>IF($F106="YES",0,IF(BN106&gt;40000,200,IF(BN106&gt;25000,150,IF(BN106&gt;15000,130,IF(BN106&gt;10000,110,0)))))</f>
        <v>200</v>
      </c>
      <c r="BR106">
        <f>BN106-BO106-BP106-BQ106</f>
        <v>42450</v>
      </c>
      <c r="BS106">
        <f>_xlfn.XLOOKUP(B106,'[7]september-2025'!$A:$A,'[7]september-2025'!$C:$C,0,0)</f>
        <v>35500</v>
      </c>
      <c r="BT106">
        <f t="shared" si="204"/>
        <v>6390</v>
      </c>
      <c r="BU106">
        <f t="shared" si="205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>IF(BS106&gt;0,SUM(BS106:BW106),0)</f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06"/>
        <v>200</v>
      </c>
      <c r="CB106">
        <f t="shared" si="207"/>
        <v>42450</v>
      </c>
      <c r="CC106">
        <f>_xlfn.XLOOKUP(B106,'[8]october-2025'!$A:$A,'[8]october-2025'!$C:$C,0,0)</f>
        <v>35500</v>
      </c>
      <c r="CD106">
        <f t="shared" si="208"/>
        <v>6390</v>
      </c>
      <c r="CE106">
        <f t="shared" si="209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>IF(CC106&gt;0,SUM(CC106:CG106),0)</f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10"/>
        <v>200</v>
      </c>
      <c r="CL106">
        <f t="shared" si="211"/>
        <v>42450</v>
      </c>
      <c r="CM106">
        <f>_xlfn.XLOOKUP(B106,'[9]november-2025'!$A:$A,'[9]november-2025'!$C:$C,0,0)</f>
        <v>35500</v>
      </c>
      <c r="CN106">
        <f t="shared" si="212"/>
        <v>6390</v>
      </c>
      <c r="CO106">
        <f t="shared" si="213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>IF(CM106&gt;0,SUM(CM106:CQ106),0)</f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14"/>
        <v>200</v>
      </c>
      <c r="CV106">
        <f t="shared" si="215"/>
        <v>42450</v>
      </c>
      <c r="CW106">
        <f>_xlfn.XLOOKUP(B106,'[10]december-2025'!$A:$A,'[10]december-2025'!$C:$C,0,0)</f>
        <v>35500</v>
      </c>
      <c r="CX106">
        <f t="shared" si="216"/>
        <v>6390</v>
      </c>
      <c r="CY106">
        <f t="shared" si="217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>IF(CW106&gt;0,SUM(CW106:DA106),0)</f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18"/>
        <v>200</v>
      </c>
      <c r="DF106">
        <f t="shared" si="219"/>
        <v>42450</v>
      </c>
      <c r="DG106">
        <f>_xlfn.XLOOKUP(B106,'[11]january-2026'!$A:$A,'[11]january-2026'!$C:$C,0,0)</f>
        <v>35500</v>
      </c>
      <c r="DH106">
        <f t="shared" si="220"/>
        <v>6390</v>
      </c>
      <c r="DI106">
        <f t="shared" si="221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>IF(DG106&gt;0,SUM(DG106:DK106),0)</f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22"/>
        <v>200</v>
      </c>
      <c r="DP106">
        <f t="shared" si="223"/>
        <v>42450</v>
      </c>
      <c r="DQ106">
        <f>_xlfn.XLOOKUP(B106,'[12]february-2026'!$A:$A,'[12]february-2026'!$C:$C,0,0)</f>
        <v>35500</v>
      </c>
      <c r="DR106">
        <f t="shared" si="224"/>
        <v>6390</v>
      </c>
      <c r="DS106">
        <f t="shared" si="225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>IF(DQ106&gt;0,SUM(DQ106:DU106),0)</f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26"/>
        <v>200</v>
      </c>
      <c r="DZ106">
        <f t="shared" si="227"/>
        <v>42450</v>
      </c>
      <c r="EA106">
        <f>_xlfn.XLOOKUP(B106,'[1]march-2025'!$A:$A,'[1]march-2025'!$J:$J,0,0)</f>
        <v>0</v>
      </c>
      <c r="EB106">
        <f>_xlfn.XLOOKUP(B106,'[2]april-2025'!$A:$A,'[2]april-2025'!$J:$J,0,0)</f>
        <v>0</v>
      </c>
      <c r="EC106">
        <f>_xlfn.XLOOKUP(B106,'[3]may-2025'!$A:$A,'[3]may-2025'!$J:$J,0,0)</f>
        <v>0</v>
      </c>
      <c r="ED106">
        <f>_xlfn.XLOOKUP(B106,'[4]june-2025'!$A:$A,'[4]june-2025'!$J:$J,0,0)</f>
        <v>0</v>
      </c>
      <c r="EE106">
        <f>_xlfn.XLOOKUP(B106,'[5]july-2025'!$A:$A,'[5]july-2025'!$J:$J,0,0)</f>
        <v>0</v>
      </c>
      <c r="EF106">
        <f>_xlfn.XLOOKUP(B106,'[6]august-2025'!$A:$A,'[6]august-2025'!$J:$J,0,0)</f>
        <v>0</v>
      </c>
      <c r="EG106">
        <f>_xlfn.XLOOKUP(B106,'[7]september-2025'!$A:$A,'[7]september-2025'!$J:$J,0,0)</f>
        <v>0</v>
      </c>
      <c r="EH106">
        <f>_xlfn.XLOOKUP(B106,'[8]october-2025'!$A:$A,'[8]october-2025'!$J:$J,0,0)</f>
        <v>0</v>
      </c>
      <c r="EI106">
        <f>_xlfn.XLOOKUP(C106,'[9]november-2025'!$A:$A,'[9]november-2025'!$J:$J,0,0)</f>
        <v>0</v>
      </c>
      <c r="EJ106">
        <f>_xlfn.XLOOKUP(B106,'[10]december-2025'!$A:$A,'[10]december-2025'!$J:$J,0,0)</f>
        <v>0</v>
      </c>
      <c r="EK106">
        <f>_xlfn.XLOOKUP(B106,'[11]january-2026'!$A:$A,'[11]january-2026'!$J:$J,0,0)</f>
        <v>0</v>
      </c>
      <c r="EL106">
        <f>_xlfn.XLOOKUP(B106,'[12]february-2026'!$A:$A,'[12]february-2026'!$J:$J,0,0)</f>
        <v>0</v>
      </c>
      <c r="EM106">
        <f t="shared" si="228"/>
        <v>0</v>
      </c>
      <c r="EN106">
        <f>DV106+DL106+DB106+CR106+CH106+BX106+BN106+BD106+AS106+AI106+Y106+O106+H106+I106</f>
        <v>560020</v>
      </c>
      <c r="EO106">
        <f>DY106+DO106+DE106+CU106+CK106+CA106+BQ106+BG106+AV106+AL106+AB106+R106</f>
        <v>2400</v>
      </c>
      <c r="EP106">
        <f t="shared" si="229"/>
        <v>50000</v>
      </c>
      <c r="EQ106">
        <v>0</v>
      </c>
      <c r="ER106">
        <f t="shared" si="230"/>
        <v>507620</v>
      </c>
      <c r="ES106">
        <f>DW106+DM106+DC106+CS106+CI106+BY106+BO106+BE106+AT106+AJ106+Z106+P106</f>
        <v>48000</v>
      </c>
      <c r="ET106">
        <f>DX106+DN106+DD106+CT106+CJ106+BZ106+BP106+BF106+AU106+AK106+AA106+Q106</f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231"/>
        <v>48000</v>
      </c>
      <c r="FF106">
        <f t="shared" si="232"/>
        <v>48000</v>
      </c>
      <c r="FG106">
        <f t="shared" si="233"/>
        <v>459620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>SUM(FH106:FN106)+(IF(F106="YES",50000,0))</f>
        <v>0</v>
      </c>
      <c r="FP106">
        <f t="shared" si="234"/>
        <v>459620</v>
      </c>
      <c r="FQ106">
        <f t="shared" si="235"/>
        <v>10481</v>
      </c>
      <c r="FR106">
        <f t="shared" si="236"/>
        <v>0</v>
      </c>
      <c r="FS106">
        <f t="shared" si="237"/>
        <v>10481</v>
      </c>
      <c r="FT106">
        <f t="shared" si="238"/>
        <v>0</v>
      </c>
      <c r="FU106">
        <f t="shared" si="239"/>
        <v>0</v>
      </c>
      <c r="FV106">
        <f t="shared" si="240"/>
        <v>0</v>
      </c>
      <c r="FW106">
        <v>0</v>
      </c>
      <c r="FX106">
        <f t="shared" si="241"/>
        <v>0</v>
      </c>
      <c r="FY106" t="b">
        <f t="shared" si="242"/>
        <v>1</v>
      </c>
      <c r="FZ106">
        <f t="shared" ca="1" si="243"/>
        <v>645</v>
      </c>
      <c r="GA106">
        <f t="shared" ca="1" si="244"/>
        <v>560665</v>
      </c>
      <c r="GB106">
        <f t="shared" si="245"/>
        <v>75000</v>
      </c>
      <c r="GC106">
        <f t="shared" ca="1" si="246"/>
        <v>485665</v>
      </c>
      <c r="GD106">
        <f t="shared" ca="1" si="247"/>
        <v>0</v>
      </c>
      <c r="GE106">
        <f t="shared" ca="1" si="248"/>
        <v>0</v>
      </c>
      <c r="GF106">
        <f t="shared" ca="1" si="249"/>
        <v>0</v>
      </c>
      <c r="GG106">
        <f t="shared" ca="1" si="250"/>
        <v>0</v>
      </c>
      <c r="GH106">
        <f t="shared" ca="1" si="251"/>
        <v>0</v>
      </c>
      <c r="GI106">
        <f t="shared" ca="1" si="252"/>
        <v>0</v>
      </c>
      <c r="GJ106">
        <f ca="1">IF(GC106&gt;1200000,GC106-1200000-IF(F106="YES",50000,0)-GH106,0)</f>
        <v>0</v>
      </c>
      <c r="GK106">
        <f t="shared" ca="1" si="253"/>
        <v>0</v>
      </c>
      <c r="GL106">
        <f t="shared" ca="1" si="254"/>
        <v>0</v>
      </c>
      <c r="GM106">
        <f t="shared" ca="1" si="255"/>
        <v>0</v>
      </c>
      <c r="GN106">
        <f t="shared" ca="1" si="256"/>
        <v>85665</v>
      </c>
      <c r="GO106">
        <f t="shared" ca="1" si="257"/>
        <v>4283.25</v>
      </c>
      <c r="GP106">
        <f t="shared" ca="1" si="258"/>
        <v>4283</v>
      </c>
      <c r="GQ106">
        <f t="shared" ca="1" si="259"/>
        <v>0</v>
      </c>
      <c r="GR106">
        <f t="shared" ca="1" si="260"/>
        <v>0</v>
      </c>
      <c r="GS106">
        <f t="shared" ca="1" si="261"/>
        <v>4283</v>
      </c>
      <c r="GT106">
        <f t="shared" ca="1" si="262"/>
        <v>0</v>
      </c>
      <c r="GU106" t="b">
        <f t="shared" ca="1" si="263"/>
        <v>0</v>
      </c>
      <c r="GV106">
        <f t="shared" ca="1" si="264"/>
        <v>0</v>
      </c>
      <c r="GW106">
        <f t="shared" ca="1" si="265"/>
        <v>4283</v>
      </c>
      <c r="GX106">
        <f t="shared" ca="1" si="266"/>
        <v>0</v>
      </c>
      <c r="GY106">
        <f t="shared" ca="1" si="267"/>
        <v>0</v>
      </c>
      <c r="GZ106">
        <f t="shared" ca="1" si="268"/>
        <v>0</v>
      </c>
    </row>
    <row r="107" spans="1:208" x14ac:dyDescent="0.25">
      <c r="A107">
        <f>_xlfn.AGGREGATE(3,5,$B$2:B107)</f>
        <v>106</v>
      </c>
      <c r="B107" t="s">
        <v>328</v>
      </c>
      <c r="C107" t="s">
        <v>329</v>
      </c>
      <c r="D107" t="s">
        <v>778</v>
      </c>
      <c r="E107" t="s">
        <v>831</v>
      </c>
      <c r="F107" t="s">
        <v>957</v>
      </c>
      <c r="G107" t="s">
        <v>879</v>
      </c>
      <c r="H107">
        <f t="shared" si="270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179"/>
        <v>3780.0000000000005</v>
      </c>
      <c r="L107">
        <f t="shared" si="180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>IF(J107&gt;0,SUM(J107:N107),0)</f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269"/>
        <v>150</v>
      </c>
      <c r="S107">
        <f t="shared" si="181"/>
        <v>32370</v>
      </c>
      <c r="T107">
        <f>_xlfn.XLOOKUP(B107,'[2]april-2025'!$A:$A,'[2]april-2025'!$C:$C,0,0)</f>
        <v>27000</v>
      </c>
      <c r="U107">
        <f t="shared" si="182"/>
        <v>4860</v>
      </c>
      <c r="V107">
        <f t="shared" si="183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184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185"/>
        <v>150</v>
      </c>
      <c r="AC107">
        <f t="shared" si="186"/>
        <v>33450</v>
      </c>
      <c r="AD107">
        <f>_xlfn.XLOOKUP(B107,'[3]may-2025'!$A:$A,'[3]may-2025'!$C:$C,0,0)</f>
        <v>31600</v>
      </c>
      <c r="AE107">
        <f t="shared" si="187"/>
        <v>5688</v>
      </c>
      <c r="AF107">
        <f t="shared" si="188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189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190"/>
        <v>200</v>
      </c>
      <c r="AM107">
        <f t="shared" si="191"/>
        <v>39380</v>
      </c>
      <c r="AN107">
        <f>_xlfn.XLOOKUP(B107,'[4]june-2025'!$A:$A,'[4]june-2025'!$C:$C,0,0)</f>
        <v>31600</v>
      </c>
      <c r="AO107">
        <f t="shared" si="192"/>
        <v>5688</v>
      </c>
      <c r="AP107">
        <f t="shared" si="193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194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195"/>
        <v>200</v>
      </c>
      <c r="AW107">
        <f t="shared" si="196"/>
        <v>39380</v>
      </c>
      <c r="AX107">
        <f>_xlfn.XLOOKUP(B107,'[5]july-2025'!$A:$A,'[5]july-2025'!$C:$C,0,0)</f>
        <v>32500</v>
      </c>
      <c r="AY107">
        <f t="shared" si="197"/>
        <v>5850</v>
      </c>
      <c r="AZ107">
        <v>0</v>
      </c>
      <c r="BA107">
        <f t="shared" si="198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>IF(AX107&gt;0,SUM(AX107:BC107),0)</f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199"/>
        <v>200</v>
      </c>
      <c r="BH107">
        <f t="shared" si="200"/>
        <v>40550</v>
      </c>
      <c r="BI107">
        <f>_xlfn.XLOOKUP(B107,'[6]august-2025'!$A:$A,'[6]august-2025'!$C:$C,0,0)</f>
        <v>32500</v>
      </c>
      <c r="BJ107">
        <f t="shared" si="201"/>
        <v>5850</v>
      </c>
      <c r="BK107">
        <f t="shared" si="202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03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>IF($F107="YES",0,IF(BN107&gt;40000,200,IF(BN107&gt;25000,150,IF(BN107&gt;15000,130,IF(BN107&gt;10000,110,0)))))</f>
        <v>200</v>
      </c>
      <c r="BR107">
        <f>BN107-BO107-BP107-BQ107</f>
        <v>40550</v>
      </c>
      <c r="BS107">
        <f>_xlfn.XLOOKUP(B107,'[7]september-2025'!$A:$A,'[7]september-2025'!$C:$C,0,0)</f>
        <v>32500</v>
      </c>
      <c r="BT107">
        <f t="shared" si="204"/>
        <v>5850</v>
      </c>
      <c r="BU107">
        <f t="shared" si="205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>IF(BS107&gt;0,SUM(BS107:BW107),0)</f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06"/>
        <v>200</v>
      </c>
      <c r="CB107">
        <f t="shared" si="207"/>
        <v>40550</v>
      </c>
      <c r="CC107">
        <f>_xlfn.XLOOKUP(B107,'[8]october-2025'!$A:$A,'[8]october-2025'!$C:$C,0,0)</f>
        <v>32500</v>
      </c>
      <c r="CD107">
        <f t="shared" si="208"/>
        <v>5850</v>
      </c>
      <c r="CE107">
        <f t="shared" si="209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>IF(CC107&gt;0,SUM(CC107:CG107),0)</f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10"/>
        <v>200</v>
      </c>
      <c r="CL107">
        <f t="shared" si="211"/>
        <v>40550</v>
      </c>
      <c r="CM107">
        <f>_xlfn.XLOOKUP(B107,'[9]november-2025'!$A:$A,'[9]november-2025'!$C:$C,0,0)</f>
        <v>32500</v>
      </c>
      <c r="CN107">
        <f t="shared" si="212"/>
        <v>5850</v>
      </c>
      <c r="CO107">
        <f t="shared" si="213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>IF(CM107&gt;0,SUM(CM107:CQ107),0)</f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14"/>
        <v>200</v>
      </c>
      <c r="CV107">
        <f t="shared" si="215"/>
        <v>40550</v>
      </c>
      <c r="CW107">
        <f>_xlfn.XLOOKUP(B107,'[10]december-2025'!$A:$A,'[10]december-2025'!$C:$C,0,0)</f>
        <v>32500</v>
      </c>
      <c r="CX107">
        <f t="shared" si="216"/>
        <v>5850</v>
      </c>
      <c r="CY107">
        <f t="shared" si="217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>IF(CW107&gt;0,SUM(CW107:DA107),0)</f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18"/>
        <v>200</v>
      </c>
      <c r="DF107">
        <f t="shared" si="219"/>
        <v>40550</v>
      </c>
      <c r="DG107">
        <f>_xlfn.XLOOKUP(B107,'[11]january-2026'!$A:$A,'[11]january-2026'!$C:$C,0,0)</f>
        <v>32500</v>
      </c>
      <c r="DH107">
        <f t="shared" si="220"/>
        <v>5850</v>
      </c>
      <c r="DI107">
        <f t="shared" si="221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>IF(DG107&gt;0,SUM(DG107:DK107),0)</f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22"/>
        <v>200</v>
      </c>
      <c r="DP107">
        <f t="shared" si="223"/>
        <v>40550</v>
      </c>
      <c r="DQ107">
        <f>_xlfn.XLOOKUP(B107,'[12]february-2026'!$A:$A,'[12]february-2026'!$C:$C,0,0)</f>
        <v>32500</v>
      </c>
      <c r="DR107">
        <f t="shared" si="224"/>
        <v>5850</v>
      </c>
      <c r="DS107">
        <f t="shared" si="225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>IF(DQ107&gt;0,SUM(DQ107:DU107),0)</f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26"/>
        <v>200</v>
      </c>
      <c r="DZ107">
        <f t="shared" si="227"/>
        <v>40550</v>
      </c>
      <c r="EA107">
        <f>_xlfn.XLOOKUP(B107,'[1]march-2025'!$A:$A,'[1]march-2025'!$J:$J,0,0)</f>
        <v>0</v>
      </c>
      <c r="EB107">
        <f>_xlfn.XLOOKUP(B107,'[2]april-2025'!$A:$A,'[2]april-2025'!$J:$J,0,0)</f>
        <v>0</v>
      </c>
      <c r="EC107">
        <f>_xlfn.XLOOKUP(B107,'[3]may-2025'!$A:$A,'[3]may-2025'!$J:$J,0,0)</f>
        <v>0</v>
      </c>
      <c r="ED107">
        <f>_xlfn.XLOOKUP(B107,'[4]june-2025'!$A:$A,'[4]june-2025'!$J:$J,0,0)</f>
        <v>0</v>
      </c>
      <c r="EE107">
        <f>_xlfn.XLOOKUP(B107,'[5]july-2025'!$A:$A,'[5]july-2025'!$J:$J,0,0)</f>
        <v>0</v>
      </c>
      <c r="EF107">
        <f>_xlfn.XLOOKUP(B107,'[6]august-2025'!$A:$A,'[6]august-2025'!$J:$J,0,0)</f>
        <v>0</v>
      </c>
      <c r="EG107">
        <f>_xlfn.XLOOKUP(B107,'[7]september-2025'!$A:$A,'[7]september-2025'!$J:$J,0,0)</f>
        <v>0</v>
      </c>
      <c r="EH107">
        <f>_xlfn.XLOOKUP(B107,'[8]october-2025'!$A:$A,'[8]october-2025'!$J:$J,0,0)</f>
        <v>0</v>
      </c>
      <c r="EI107">
        <f>_xlfn.XLOOKUP(C107,'[9]november-2025'!$A:$A,'[9]november-2025'!$J:$J,0,0)</f>
        <v>0</v>
      </c>
      <c r="EJ107">
        <f>_xlfn.XLOOKUP(B107,'[10]december-2025'!$A:$A,'[10]december-2025'!$J:$J,0,0)</f>
        <v>0</v>
      </c>
      <c r="EK107">
        <f>_xlfn.XLOOKUP(B107,'[11]january-2026'!$A:$A,'[11]january-2026'!$J:$J,0,0)</f>
        <v>0</v>
      </c>
      <c r="EL107">
        <f>_xlfn.XLOOKUP(B107,'[12]february-2026'!$A:$A,'[12]february-2026'!$J:$J,0,0)</f>
        <v>0</v>
      </c>
      <c r="EM107">
        <f t="shared" si="228"/>
        <v>0</v>
      </c>
      <c r="EN107">
        <f>DV107+DL107+DB107+CR107+CH107+BX107+BN107+BD107+AS107+AI107+Y107+O107+H107+I107</f>
        <v>502080</v>
      </c>
      <c r="EO107">
        <f>DY107+DO107+DE107+CU107+CK107+CA107+BQ107+BG107+AV107+AL107+AB107+R107</f>
        <v>2300</v>
      </c>
      <c r="EP107">
        <f t="shared" si="229"/>
        <v>50000</v>
      </c>
      <c r="EQ107">
        <v>0</v>
      </c>
      <c r="ER107">
        <f t="shared" si="230"/>
        <v>449780</v>
      </c>
      <c r="ES107">
        <f>DW107+DM107+DC107+CS107+CI107+BY107+BO107+BE107+AT107+AJ107+Z107+P107</f>
        <v>24000</v>
      </c>
      <c r="ET107">
        <f>DX107+DN107+DD107+CT107+CJ107+BZ107+BP107+BF107+AU107+AK107+AA107+Q107</f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231"/>
        <v>24000</v>
      </c>
      <c r="FF107">
        <f t="shared" si="232"/>
        <v>24000</v>
      </c>
      <c r="FG107">
        <f t="shared" si="233"/>
        <v>425780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>SUM(FH107:FN107)+(IF(F107="YES",50000,0))</f>
        <v>0</v>
      </c>
      <c r="FP107">
        <f t="shared" si="234"/>
        <v>425780</v>
      </c>
      <c r="FQ107">
        <f t="shared" si="235"/>
        <v>8789</v>
      </c>
      <c r="FR107">
        <f t="shared" si="236"/>
        <v>0</v>
      </c>
      <c r="FS107">
        <f t="shared" si="237"/>
        <v>8789</v>
      </c>
      <c r="FT107">
        <f t="shared" si="238"/>
        <v>0</v>
      </c>
      <c r="FU107">
        <f t="shared" si="239"/>
        <v>0</v>
      </c>
      <c r="FV107">
        <f t="shared" si="240"/>
        <v>0</v>
      </c>
      <c r="FW107">
        <v>0</v>
      </c>
      <c r="FX107">
        <f t="shared" si="241"/>
        <v>0</v>
      </c>
      <c r="FY107" t="b">
        <f t="shared" si="242"/>
        <v>1</v>
      </c>
      <c r="FZ107">
        <f t="shared" ca="1" si="243"/>
        <v>689</v>
      </c>
      <c r="GA107">
        <f t="shared" ca="1" si="244"/>
        <v>502769</v>
      </c>
      <c r="GB107">
        <f t="shared" si="245"/>
        <v>75000</v>
      </c>
      <c r="GC107">
        <f t="shared" ca="1" si="246"/>
        <v>427769</v>
      </c>
      <c r="GD107">
        <f t="shared" ca="1" si="247"/>
        <v>0</v>
      </c>
      <c r="GE107">
        <f t="shared" ca="1" si="248"/>
        <v>0</v>
      </c>
      <c r="GF107">
        <f t="shared" ca="1" si="249"/>
        <v>0</v>
      </c>
      <c r="GG107">
        <f t="shared" ca="1" si="250"/>
        <v>0</v>
      </c>
      <c r="GH107">
        <f t="shared" ca="1" si="251"/>
        <v>0</v>
      </c>
      <c r="GI107">
        <f t="shared" ca="1" si="252"/>
        <v>0</v>
      </c>
      <c r="GJ107">
        <f ca="1">IF(GC107&gt;1200000,GC107-1200000-IF(F107="YES",50000,0)-GH107,0)</f>
        <v>0</v>
      </c>
      <c r="GK107">
        <f t="shared" ca="1" si="253"/>
        <v>0</v>
      </c>
      <c r="GL107">
        <f t="shared" ca="1" si="254"/>
        <v>0</v>
      </c>
      <c r="GM107">
        <f t="shared" ca="1" si="255"/>
        <v>0</v>
      </c>
      <c r="GN107">
        <f t="shared" ca="1" si="256"/>
        <v>27769</v>
      </c>
      <c r="GO107">
        <f t="shared" ca="1" si="257"/>
        <v>1388.45</v>
      </c>
      <c r="GP107">
        <f t="shared" ca="1" si="258"/>
        <v>1388</v>
      </c>
      <c r="GQ107">
        <f t="shared" ca="1" si="259"/>
        <v>0</v>
      </c>
      <c r="GR107">
        <f t="shared" ca="1" si="260"/>
        <v>0</v>
      </c>
      <c r="GS107">
        <f t="shared" ca="1" si="261"/>
        <v>1388</v>
      </c>
      <c r="GT107">
        <f t="shared" ca="1" si="262"/>
        <v>0</v>
      </c>
      <c r="GU107" t="b">
        <f t="shared" ca="1" si="263"/>
        <v>0</v>
      </c>
      <c r="GV107">
        <f t="shared" ca="1" si="264"/>
        <v>0</v>
      </c>
      <c r="GW107">
        <f t="shared" ca="1" si="265"/>
        <v>1388</v>
      </c>
      <c r="GX107">
        <f t="shared" ca="1" si="266"/>
        <v>0</v>
      </c>
      <c r="GY107">
        <f t="shared" ca="1" si="267"/>
        <v>0</v>
      </c>
      <c r="GZ107">
        <f t="shared" ca="1" si="268"/>
        <v>0</v>
      </c>
    </row>
    <row r="108" spans="1:208" x14ac:dyDescent="0.25">
      <c r="A108">
        <f>_xlfn.AGGREGATE(3,5,$B$2:B108)</f>
        <v>107</v>
      </c>
      <c r="B108" t="s">
        <v>330</v>
      </c>
      <c r="C108" t="s">
        <v>331</v>
      </c>
      <c r="D108" t="s">
        <v>778</v>
      </c>
      <c r="E108" t="s">
        <v>831</v>
      </c>
      <c r="F108" t="s">
        <v>957</v>
      </c>
      <c r="G108" t="s">
        <v>904</v>
      </c>
      <c r="H108">
        <f t="shared" si="270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179"/>
        <v>4046.0000000000005</v>
      </c>
      <c r="L108">
        <f t="shared" si="180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>IF(J108&gt;0,SUM(J108:N108),0)</f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269"/>
        <v>150</v>
      </c>
      <c r="S108">
        <f t="shared" si="181"/>
        <v>34764</v>
      </c>
      <c r="T108">
        <f>_xlfn.XLOOKUP(B108,'[2]april-2025'!$A:$A,'[2]april-2025'!$C:$C,0,0)</f>
        <v>28900</v>
      </c>
      <c r="U108">
        <f t="shared" si="182"/>
        <v>5202</v>
      </c>
      <c r="V108">
        <f t="shared" si="183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184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185"/>
        <v>150</v>
      </c>
      <c r="AC108">
        <f t="shared" si="186"/>
        <v>35920</v>
      </c>
      <c r="AD108">
        <f>_xlfn.XLOOKUP(B108,'[3]may-2025'!$A:$A,'[3]may-2025'!$C:$C,0,0)</f>
        <v>28900</v>
      </c>
      <c r="AE108">
        <f t="shared" si="187"/>
        <v>5202</v>
      </c>
      <c r="AF108">
        <f t="shared" si="188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189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190"/>
        <v>150</v>
      </c>
      <c r="AM108">
        <f t="shared" si="191"/>
        <v>35920</v>
      </c>
      <c r="AN108">
        <f>_xlfn.XLOOKUP(B108,'[4]june-2025'!$A:$A,'[4]june-2025'!$C:$C,0,0)</f>
        <v>28900</v>
      </c>
      <c r="AO108">
        <f t="shared" si="192"/>
        <v>5202</v>
      </c>
      <c r="AP108">
        <f t="shared" si="193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194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195"/>
        <v>150</v>
      </c>
      <c r="AW108">
        <f t="shared" si="196"/>
        <v>35920</v>
      </c>
      <c r="AX108">
        <f>_xlfn.XLOOKUP(B108,'[5]july-2025'!$A:$A,'[5]july-2025'!$C:$C,0,0)</f>
        <v>29800</v>
      </c>
      <c r="AY108">
        <f t="shared" si="197"/>
        <v>5364</v>
      </c>
      <c r="AZ108">
        <v>0</v>
      </c>
      <c r="BA108">
        <f t="shared" si="198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>IF(AX108&gt;0,SUM(AX108:BC108),0)</f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199"/>
        <v>150</v>
      </c>
      <c r="BH108">
        <f t="shared" si="200"/>
        <v>37090</v>
      </c>
      <c r="BI108">
        <f>_xlfn.XLOOKUP(B108,'[6]august-2025'!$A:$A,'[6]august-2025'!$C:$C,0,0)</f>
        <v>29800</v>
      </c>
      <c r="BJ108">
        <f t="shared" si="201"/>
        <v>5364</v>
      </c>
      <c r="BK108">
        <f t="shared" si="202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03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>IF($F108="YES",0,IF(BN108&gt;40000,200,IF(BN108&gt;25000,150,IF(BN108&gt;15000,130,IF(BN108&gt;10000,110,0)))))</f>
        <v>150</v>
      </c>
      <c r="BR108">
        <f>BN108-BO108-BP108-BQ108</f>
        <v>37090</v>
      </c>
      <c r="BS108">
        <f>_xlfn.XLOOKUP(B108,'[7]september-2025'!$A:$A,'[7]september-2025'!$C:$C,0,0)</f>
        <v>29800</v>
      </c>
      <c r="BT108">
        <f t="shared" si="204"/>
        <v>5364</v>
      </c>
      <c r="BU108">
        <f t="shared" si="205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>IF(BS108&gt;0,SUM(BS108:BW108),0)</f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06"/>
        <v>150</v>
      </c>
      <c r="CB108">
        <f t="shared" si="207"/>
        <v>37090</v>
      </c>
      <c r="CC108">
        <f>_xlfn.XLOOKUP(B108,'[8]october-2025'!$A:$A,'[8]october-2025'!$C:$C,0,0)</f>
        <v>29800</v>
      </c>
      <c r="CD108">
        <f t="shared" si="208"/>
        <v>5364</v>
      </c>
      <c r="CE108">
        <f t="shared" si="209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>IF(CC108&gt;0,SUM(CC108:CG108),0)</f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10"/>
        <v>150</v>
      </c>
      <c r="CL108">
        <f t="shared" si="211"/>
        <v>37090</v>
      </c>
      <c r="CM108">
        <f>_xlfn.XLOOKUP(B108,'[9]november-2025'!$A:$A,'[9]november-2025'!$C:$C,0,0)</f>
        <v>29800</v>
      </c>
      <c r="CN108">
        <f t="shared" si="212"/>
        <v>5364</v>
      </c>
      <c r="CO108">
        <f t="shared" si="213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>IF(CM108&gt;0,SUM(CM108:CQ108),0)</f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14"/>
        <v>150</v>
      </c>
      <c r="CV108">
        <f t="shared" si="215"/>
        <v>37090</v>
      </c>
      <c r="CW108">
        <f>_xlfn.XLOOKUP(B108,'[10]december-2025'!$A:$A,'[10]december-2025'!$C:$C,0,0)</f>
        <v>29800</v>
      </c>
      <c r="CX108">
        <f t="shared" si="216"/>
        <v>5364</v>
      </c>
      <c r="CY108">
        <f t="shared" si="217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>IF(CW108&gt;0,SUM(CW108:DA108),0)</f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18"/>
        <v>150</v>
      </c>
      <c r="DF108">
        <f t="shared" si="219"/>
        <v>37090</v>
      </c>
      <c r="DG108">
        <f>_xlfn.XLOOKUP(B108,'[11]january-2026'!$A:$A,'[11]january-2026'!$C:$C,0,0)</f>
        <v>29800</v>
      </c>
      <c r="DH108">
        <f t="shared" si="220"/>
        <v>5364</v>
      </c>
      <c r="DI108">
        <f t="shared" si="221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>IF(DG108&gt;0,SUM(DG108:DK108),0)</f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22"/>
        <v>150</v>
      </c>
      <c r="DP108">
        <f t="shared" si="223"/>
        <v>37090</v>
      </c>
      <c r="DQ108">
        <f>_xlfn.XLOOKUP(B108,'[12]february-2026'!$A:$A,'[12]february-2026'!$C:$C,0,0)</f>
        <v>29800</v>
      </c>
      <c r="DR108">
        <f t="shared" si="224"/>
        <v>5364</v>
      </c>
      <c r="DS108">
        <f t="shared" si="225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>IF(DQ108&gt;0,SUM(DQ108:DU108),0)</f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26"/>
        <v>150</v>
      </c>
      <c r="DZ108">
        <f t="shared" si="227"/>
        <v>37090</v>
      </c>
      <c r="EA108">
        <f>_xlfn.XLOOKUP(B108,'[1]march-2025'!$A:$A,'[1]march-2025'!$J:$J,0,0)</f>
        <v>0</v>
      </c>
      <c r="EB108">
        <f>_xlfn.XLOOKUP(B108,'[2]april-2025'!$A:$A,'[2]april-2025'!$J:$J,0,0)</f>
        <v>0</v>
      </c>
      <c r="EC108">
        <f>_xlfn.XLOOKUP(B108,'[3]may-2025'!$A:$A,'[3]may-2025'!$J:$J,0,0)</f>
        <v>34471</v>
      </c>
      <c r="ED108">
        <f>_xlfn.XLOOKUP(B108,'[4]june-2025'!$A:$A,'[4]june-2025'!$J:$J,0,0)</f>
        <v>0</v>
      </c>
      <c r="EE108">
        <f>_xlfn.XLOOKUP(B108,'[5]july-2025'!$A:$A,'[5]july-2025'!$J:$J,0,0)</f>
        <v>0</v>
      </c>
      <c r="EF108">
        <f>_xlfn.XLOOKUP(B108,'[6]august-2025'!$A:$A,'[6]august-2025'!$J:$J,0,0)</f>
        <v>0</v>
      </c>
      <c r="EG108">
        <f>_xlfn.XLOOKUP(B108,'[7]september-2025'!$A:$A,'[7]september-2025'!$J:$J,0,0)</f>
        <v>0</v>
      </c>
      <c r="EH108">
        <f>_xlfn.XLOOKUP(B108,'[8]october-2025'!$A:$A,'[8]october-2025'!$J:$J,0,0)</f>
        <v>0</v>
      </c>
      <c r="EI108">
        <f>_xlfn.XLOOKUP(C108,'[9]november-2025'!$A:$A,'[9]november-2025'!$J:$J,0,0)</f>
        <v>0</v>
      </c>
      <c r="EJ108">
        <f>_xlfn.XLOOKUP(B108,'[10]december-2025'!$A:$A,'[10]december-2025'!$J:$J,0,0)</f>
        <v>0</v>
      </c>
      <c r="EK108">
        <f>_xlfn.XLOOKUP(B108,'[11]january-2026'!$A:$A,'[11]january-2026'!$J:$J,0,0)</f>
        <v>0</v>
      </c>
      <c r="EL108">
        <f>_xlfn.XLOOKUP(B108,'[12]february-2026'!$A:$A,'[12]february-2026'!$J:$J,0,0)</f>
        <v>0</v>
      </c>
      <c r="EM108">
        <f t="shared" si="228"/>
        <v>34471</v>
      </c>
      <c r="EN108">
        <f>DV108+DL108+DB108+CR108+CH108+BX108+BN108+BD108+AS108+AI108+Y108+O108+H108+I108</f>
        <v>471844</v>
      </c>
      <c r="EO108">
        <f>DY108+DO108+DE108+CU108+CK108+CA108+BQ108+BG108+AV108+AL108+AB108+R108</f>
        <v>1800</v>
      </c>
      <c r="EP108">
        <f t="shared" si="229"/>
        <v>50000</v>
      </c>
      <c r="EQ108">
        <v>0</v>
      </c>
      <c r="ER108">
        <f t="shared" si="230"/>
        <v>454515</v>
      </c>
      <c r="ES108">
        <f>DW108+DM108+DC108+CS108+CI108+BY108+BO108+BE108+AT108+AJ108+Z108+P108</f>
        <v>24000</v>
      </c>
      <c r="ET108">
        <f>DX108+DN108+DD108+CT108+CJ108+BZ108+BP108+BF108+AU108+AK108+AA108+Q108</f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231"/>
        <v>24000</v>
      </c>
      <c r="FF108">
        <f t="shared" si="232"/>
        <v>24000</v>
      </c>
      <c r="FG108">
        <f t="shared" si="233"/>
        <v>430515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>SUM(FH108:FN108)+(IF(F108="YES",50000,0))</f>
        <v>0</v>
      </c>
      <c r="FP108">
        <f t="shared" si="234"/>
        <v>430515</v>
      </c>
      <c r="FQ108">
        <f t="shared" si="235"/>
        <v>9026</v>
      </c>
      <c r="FR108">
        <f t="shared" si="236"/>
        <v>0</v>
      </c>
      <c r="FS108">
        <f t="shared" si="237"/>
        <v>9026</v>
      </c>
      <c r="FT108">
        <f t="shared" si="238"/>
        <v>0</v>
      </c>
      <c r="FU108">
        <f t="shared" si="239"/>
        <v>0</v>
      </c>
      <c r="FV108">
        <f t="shared" si="240"/>
        <v>0</v>
      </c>
      <c r="FW108">
        <v>0</v>
      </c>
      <c r="FX108">
        <f t="shared" si="241"/>
        <v>0</v>
      </c>
      <c r="FY108" t="b">
        <f t="shared" si="242"/>
        <v>0</v>
      </c>
      <c r="FZ108">
        <f t="shared" ca="1" si="243"/>
        <v>2592</v>
      </c>
      <c r="GA108">
        <f t="shared" ca="1" si="244"/>
        <v>474436</v>
      </c>
      <c r="GB108">
        <f t="shared" si="245"/>
        <v>75000</v>
      </c>
      <c r="GC108">
        <f t="shared" ca="1" si="246"/>
        <v>399436</v>
      </c>
      <c r="GD108">
        <f t="shared" ca="1" si="247"/>
        <v>0</v>
      </c>
      <c r="GE108">
        <f t="shared" ca="1" si="248"/>
        <v>0</v>
      </c>
      <c r="GF108">
        <f t="shared" ca="1" si="249"/>
        <v>0</v>
      </c>
      <c r="GG108">
        <f t="shared" ca="1" si="250"/>
        <v>0</v>
      </c>
      <c r="GH108">
        <f t="shared" ca="1" si="251"/>
        <v>0</v>
      </c>
      <c r="GI108">
        <f t="shared" ca="1" si="252"/>
        <v>0</v>
      </c>
      <c r="GJ108">
        <f ca="1">IF(GC108&gt;1200000,GC108-1200000-IF(F108="YES",50000,0)-GH108,0)</f>
        <v>0</v>
      </c>
      <c r="GK108">
        <f t="shared" ca="1" si="253"/>
        <v>0</v>
      </c>
      <c r="GL108">
        <f t="shared" ca="1" si="254"/>
        <v>0</v>
      </c>
      <c r="GM108">
        <f t="shared" ca="1" si="255"/>
        <v>0</v>
      </c>
      <c r="GN108">
        <f t="shared" ca="1" si="256"/>
        <v>0</v>
      </c>
      <c r="GO108">
        <f t="shared" ca="1" si="257"/>
        <v>0</v>
      </c>
      <c r="GP108">
        <f t="shared" ca="1" si="258"/>
        <v>0</v>
      </c>
      <c r="GQ108">
        <f t="shared" ca="1" si="259"/>
        <v>0</v>
      </c>
      <c r="GR108">
        <f t="shared" ca="1" si="260"/>
        <v>0</v>
      </c>
      <c r="GS108">
        <f t="shared" ca="1" si="261"/>
        <v>0</v>
      </c>
      <c r="GT108">
        <f t="shared" ca="1" si="262"/>
        <v>0</v>
      </c>
      <c r="GU108" t="b">
        <f t="shared" ca="1" si="263"/>
        <v>0</v>
      </c>
      <c r="GV108">
        <f t="shared" ca="1" si="264"/>
        <v>0</v>
      </c>
      <c r="GW108">
        <f t="shared" ca="1" si="265"/>
        <v>0</v>
      </c>
      <c r="GX108">
        <f t="shared" ca="1" si="266"/>
        <v>0</v>
      </c>
      <c r="GY108">
        <f t="shared" ca="1" si="267"/>
        <v>0</v>
      </c>
      <c r="GZ108">
        <f t="shared" ca="1" si="268"/>
        <v>0</v>
      </c>
    </row>
    <row r="109" spans="1:208" x14ac:dyDescent="0.25">
      <c r="A109">
        <f>_xlfn.AGGREGATE(3,5,$B$2:B109)</f>
        <v>108</v>
      </c>
      <c r="B109" t="s">
        <v>332</v>
      </c>
      <c r="C109" t="s">
        <v>333</v>
      </c>
      <c r="D109" t="s">
        <v>779</v>
      </c>
      <c r="E109" t="s">
        <v>831</v>
      </c>
      <c r="F109" t="s">
        <v>957</v>
      </c>
      <c r="G109" t="s">
        <v>886</v>
      </c>
      <c r="H109">
        <f t="shared" si="270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179"/>
        <v>4690</v>
      </c>
      <c r="L109">
        <f t="shared" si="180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>IF(J109&gt;0,SUM(J109:N109),0)</f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269"/>
        <v>200</v>
      </c>
      <c r="S109">
        <f t="shared" si="181"/>
        <v>40410</v>
      </c>
      <c r="T109">
        <f>_xlfn.XLOOKUP(B109,'[2]april-2025'!$A:$A,'[2]april-2025'!$C:$C,0,0)</f>
        <v>33500</v>
      </c>
      <c r="U109">
        <f t="shared" si="182"/>
        <v>6030</v>
      </c>
      <c r="V109">
        <f t="shared" si="183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184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185"/>
        <v>200</v>
      </c>
      <c r="AC109">
        <f t="shared" si="186"/>
        <v>41750</v>
      </c>
      <c r="AD109">
        <f>_xlfn.XLOOKUP(B109,'[3]may-2025'!$A:$A,'[3]may-2025'!$C:$C,0,0)</f>
        <v>33500</v>
      </c>
      <c r="AE109">
        <f t="shared" si="187"/>
        <v>6030</v>
      </c>
      <c r="AF109">
        <f t="shared" si="188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189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190"/>
        <v>200</v>
      </c>
      <c r="AM109">
        <f t="shared" si="191"/>
        <v>41750</v>
      </c>
      <c r="AN109">
        <f>_xlfn.XLOOKUP(B109,'[4]june-2025'!$A:$A,'[4]june-2025'!$C:$C,0,0)</f>
        <v>33500</v>
      </c>
      <c r="AO109">
        <f t="shared" si="192"/>
        <v>6030</v>
      </c>
      <c r="AP109">
        <f t="shared" si="193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194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195"/>
        <v>200</v>
      </c>
      <c r="AW109">
        <f t="shared" si="196"/>
        <v>41750</v>
      </c>
      <c r="AX109">
        <f>_xlfn.XLOOKUP(B109,'[5]july-2025'!$A:$A,'[5]july-2025'!$C:$C,0,0)</f>
        <v>34500</v>
      </c>
      <c r="AY109">
        <f t="shared" si="197"/>
        <v>6210</v>
      </c>
      <c r="AZ109">
        <v>0</v>
      </c>
      <c r="BA109">
        <f t="shared" si="198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>IF(AX109&gt;0,SUM(AX109:BC109),0)</f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199"/>
        <v>200</v>
      </c>
      <c r="BH109">
        <f t="shared" si="200"/>
        <v>43050</v>
      </c>
      <c r="BI109">
        <f>_xlfn.XLOOKUP(B109,'[6]august-2025'!$A:$A,'[6]august-2025'!$C:$C,0,0)</f>
        <v>34500</v>
      </c>
      <c r="BJ109">
        <f t="shared" si="201"/>
        <v>6210</v>
      </c>
      <c r="BK109">
        <f t="shared" si="202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03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>IF($F109="YES",0,IF(BN109&gt;40000,200,IF(BN109&gt;25000,150,IF(BN109&gt;15000,130,IF(BN109&gt;10000,110,0)))))</f>
        <v>200</v>
      </c>
      <c r="BR109">
        <f>BN109-BO109-BP109-BQ109</f>
        <v>43050</v>
      </c>
      <c r="BS109">
        <f>_xlfn.XLOOKUP(B109,'[7]september-2025'!$A:$A,'[7]september-2025'!$C:$C,0,0)</f>
        <v>34500</v>
      </c>
      <c r="BT109">
        <f t="shared" si="204"/>
        <v>6210</v>
      </c>
      <c r="BU109">
        <f t="shared" si="205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>IF(BS109&gt;0,SUM(BS109:BW109),0)</f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06"/>
        <v>200</v>
      </c>
      <c r="CB109">
        <f t="shared" si="207"/>
        <v>43050</v>
      </c>
      <c r="CC109">
        <f>_xlfn.XLOOKUP(B109,'[8]october-2025'!$A:$A,'[8]october-2025'!$C:$C,0,0)</f>
        <v>34500</v>
      </c>
      <c r="CD109">
        <f t="shared" si="208"/>
        <v>6210</v>
      </c>
      <c r="CE109">
        <f t="shared" si="209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>IF(CC109&gt;0,SUM(CC109:CG109),0)</f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10"/>
        <v>200</v>
      </c>
      <c r="CL109">
        <f t="shared" si="211"/>
        <v>43050</v>
      </c>
      <c r="CM109">
        <f>_xlfn.XLOOKUP(B109,'[9]november-2025'!$A:$A,'[9]november-2025'!$C:$C,0,0)</f>
        <v>34500</v>
      </c>
      <c r="CN109">
        <f t="shared" si="212"/>
        <v>6210</v>
      </c>
      <c r="CO109">
        <f t="shared" si="213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>IF(CM109&gt;0,SUM(CM109:CQ109),0)</f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14"/>
        <v>200</v>
      </c>
      <c r="CV109">
        <f t="shared" si="215"/>
        <v>43050</v>
      </c>
      <c r="CW109">
        <f>_xlfn.XLOOKUP(B109,'[10]december-2025'!$A:$A,'[10]december-2025'!$C:$C,0,0)</f>
        <v>34500</v>
      </c>
      <c r="CX109">
        <f t="shared" si="216"/>
        <v>6210</v>
      </c>
      <c r="CY109">
        <f t="shared" si="217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>IF(CW109&gt;0,SUM(CW109:DA109),0)</f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18"/>
        <v>200</v>
      </c>
      <c r="DF109">
        <f t="shared" si="219"/>
        <v>43050</v>
      </c>
      <c r="DG109">
        <f>_xlfn.XLOOKUP(B109,'[11]january-2026'!$A:$A,'[11]january-2026'!$C:$C,0,0)</f>
        <v>34500</v>
      </c>
      <c r="DH109">
        <f t="shared" si="220"/>
        <v>6210</v>
      </c>
      <c r="DI109">
        <f t="shared" si="221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>IF(DG109&gt;0,SUM(DG109:DK109),0)</f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22"/>
        <v>200</v>
      </c>
      <c r="DP109">
        <f t="shared" si="223"/>
        <v>43050</v>
      </c>
      <c r="DQ109">
        <f>_xlfn.XLOOKUP(B109,'[12]february-2026'!$A:$A,'[12]february-2026'!$C:$C,0,0)</f>
        <v>34500</v>
      </c>
      <c r="DR109">
        <f t="shared" si="224"/>
        <v>6210</v>
      </c>
      <c r="DS109">
        <f t="shared" si="225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>IF(DQ109&gt;0,SUM(DQ109:DU109),0)</f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26"/>
        <v>200</v>
      </c>
      <c r="DZ109">
        <f t="shared" si="227"/>
        <v>43050</v>
      </c>
      <c r="EA109">
        <f>_xlfn.XLOOKUP(B109,'[1]march-2025'!$A:$A,'[1]march-2025'!$J:$J,0,0)</f>
        <v>0</v>
      </c>
      <c r="EB109">
        <f>_xlfn.XLOOKUP(B109,'[2]april-2025'!$A:$A,'[2]april-2025'!$J:$J,0,0)</f>
        <v>0</v>
      </c>
      <c r="EC109">
        <f>_xlfn.XLOOKUP(B109,'[3]may-2025'!$A:$A,'[3]may-2025'!$J:$J,0,0)</f>
        <v>0</v>
      </c>
      <c r="ED109">
        <f>_xlfn.XLOOKUP(B109,'[4]june-2025'!$A:$A,'[4]june-2025'!$J:$J,0,0)</f>
        <v>0</v>
      </c>
      <c r="EE109">
        <f>_xlfn.XLOOKUP(B109,'[5]july-2025'!$A:$A,'[5]july-2025'!$J:$J,0,0)</f>
        <v>0</v>
      </c>
      <c r="EF109">
        <f>_xlfn.XLOOKUP(B109,'[6]august-2025'!$A:$A,'[6]august-2025'!$J:$J,0,0)</f>
        <v>0</v>
      </c>
      <c r="EG109">
        <f>_xlfn.XLOOKUP(B109,'[7]september-2025'!$A:$A,'[7]september-2025'!$J:$J,0,0)</f>
        <v>0</v>
      </c>
      <c r="EH109">
        <f>_xlfn.XLOOKUP(B109,'[8]october-2025'!$A:$A,'[8]october-2025'!$J:$J,0,0)</f>
        <v>0</v>
      </c>
      <c r="EI109">
        <f>_xlfn.XLOOKUP(C109,'[9]november-2025'!$A:$A,'[9]november-2025'!$J:$J,0,0)</f>
        <v>0</v>
      </c>
      <c r="EJ109">
        <f>_xlfn.XLOOKUP(B109,'[10]december-2025'!$A:$A,'[10]december-2025'!$J:$J,0,0)</f>
        <v>0</v>
      </c>
      <c r="EK109">
        <f>_xlfn.XLOOKUP(B109,'[11]january-2026'!$A:$A,'[11]january-2026'!$J:$J,0,0)</f>
        <v>0</v>
      </c>
      <c r="EL109">
        <f>_xlfn.XLOOKUP(B109,'[12]february-2026'!$A:$A,'[12]february-2026'!$J:$J,0,0)</f>
        <v>0</v>
      </c>
      <c r="EM109">
        <f t="shared" si="228"/>
        <v>0</v>
      </c>
      <c r="EN109">
        <f>DV109+DL109+DB109+CR109+CH109+BX109+BN109+BD109+AS109+AI109+Y109+O109+H109+I109</f>
        <v>549260</v>
      </c>
      <c r="EO109">
        <f>DY109+DO109+DE109+CU109+CK109+CA109+BQ109+BG109+AV109+AL109+AB109+R109</f>
        <v>2400</v>
      </c>
      <c r="EP109">
        <f t="shared" si="229"/>
        <v>50000</v>
      </c>
      <c r="EQ109">
        <v>0</v>
      </c>
      <c r="ER109">
        <f t="shared" si="230"/>
        <v>496860</v>
      </c>
      <c r="ES109">
        <f>DW109+DM109+DC109+CS109+CI109+BY109+BO109+BE109+AT109+AJ109+Z109+P109</f>
        <v>30000</v>
      </c>
      <c r="ET109">
        <f>DX109+DN109+DD109+CT109+CJ109+BZ109+BP109+BF109+AU109+AK109+AA109+Q109</f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231"/>
        <v>30000</v>
      </c>
      <c r="FF109">
        <f t="shared" si="232"/>
        <v>30000</v>
      </c>
      <c r="FG109">
        <f t="shared" si="233"/>
        <v>466860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>SUM(FH109:FN109)+(IF(F109="YES",50000,0))</f>
        <v>0</v>
      </c>
      <c r="FP109">
        <f t="shared" si="234"/>
        <v>466860</v>
      </c>
      <c r="FQ109">
        <f t="shared" si="235"/>
        <v>10843</v>
      </c>
      <c r="FR109">
        <f t="shared" si="236"/>
        <v>0</v>
      </c>
      <c r="FS109">
        <f t="shared" si="237"/>
        <v>10843</v>
      </c>
      <c r="FT109">
        <f t="shared" si="238"/>
        <v>0</v>
      </c>
      <c r="FU109">
        <f t="shared" si="239"/>
        <v>0</v>
      </c>
      <c r="FV109">
        <f t="shared" si="240"/>
        <v>0</v>
      </c>
      <c r="FW109">
        <v>0</v>
      </c>
      <c r="FX109">
        <f t="shared" si="241"/>
        <v>0</v>
      </c>
      <c r="FY109" t="b">
        <f t="shared" si="242"/>
        <v>1</v>
      </c>
      <c r="FZ109">
        <f t="shared" ca="1" si="243"/>
        <v>563</v>
      </c>
      <c r="GA109">
        <f t="shared" ca="1" si="244"/>
        <v>549823</v>
      </c>
      <c r="GB109">
        <f t="shared" si="245"/>
        <v>75000</v>
      </c>
      <c r="GC109">
        <f t="shared" ca="1" si="246"/>
        <v>474823</v>
      </c>
      <c r="GD109">
        <f t="shared" ca="1" si="247"/>
        <v>0</v>
      </c>
      <c r="GE109">
        <f t="shared" ca="1" si="248"/>
        <v>0</v>
      </c>
      <c r="GF109">
        <f t="shared" ca="1" si="249"/>
        <v>0</v>
      </c>
      <c r="GG109">
        <f t="shared" ca="1" si="250"/>
        <v>0</v>
      </c>
      <c r="GH109">
        <f t="shared" ca="1" si="251"/>
        <v>0</v>
      </c>
      <c r="GI109">
        <f t="shared" ca="1" si="252"/>
        <v>0</v>
      </c>
      <c r="GJ109">
        <f ca="1">IF(GC109&gt;1200000,GC109-1200000-IF(F109="YES",50000,0)-GH109,0)</f>
        <v>0</v>
      </c>
      <c r="GK109">
        <f t="shared" ca="1" si="253"/>
        <v>0</v>
      </c>
      <c r="GL109">
        <f t="shared" ca="1" si="254"/>
        <v>0</v>
      </c>
      <c r="GM109">
        <f t="shared" ca="1" si="255"/>
        <v>0</v>
      </c>
      <c r="GN109">
        <f t="shared" ca="1" si="256"/>
        <v>74823</v>
      </c>
      <c r="GO109">
        <f t="shared" ca="1" si="257"/>
        <v>3741.15</v>
      </c>
      <c r="GP109">
        <f t="shared" ca="1" si="258"/>
        <v>3741</v>
      </c>
      <c r="GQ109">
        <f t="shared" ca="1" si="259"/>
        <v>0</v>
      </c>
      <c r="GR109">
        <f t="shared" ca="1" si="260"/>
        <v>0</v>
      </c>
      <c r="GS109">
        <f t="shared" ca="1" si="261"/>
        <v>3741</v>
      </c>
      <c r="GT109">
        <f t="shared" ca="1" si="262"/>
        <v>0</v>
      </c>
      <c r="GU109" t="b">
        <f t="shared" ca="1" si="263"/>
        <v>0</v>
      </c>
      <c r="GV109">
        <f t="shared" ca="1" si="264"/>
        <v>0</v>
      </c>
      <c r="GW109">
        <f t="shared" ca="1" si="265"/>
        <v>3741</v>
      </c>
      <c r="GX109">
        <f t="shared" ca="1" si="266"/>
        <v>0</v>
      </c>
      <c r="GY109">
        <f t="shared" ca="1" si="267"/>
        <v>0</v>
      </c>
      <c r="GZ109">
        <f t="shared" ca="1" si="268"/>
        <v>0</v>
      </c>
    </row>
    <row r="110" spans="1:208" x14ac:dyDescent="0.25">
      <c r="A110">
        <f>_xlfn.AGGREGATE(3,5,$B$2:B110)</f>
        <v>109</v>
      </c>
      <c r="B110" t="s">
        <v>334</v>
      </c>
      <c r="C110" t="s">
        <v>335</v>
      </c>
      <c r="D110" t="s">
        <v>779</v>
      </c>
      <c r="E110" t="s">
        <v>831</v>
      </c>
      <c r="F110" t="s">
        <v>957</v>
      </c>
      <c r="G110" t="s">
        <v>910</v>
      </c>
      <c r="H110">
        <f t="shared" si="270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179"/>
        <v>4690</v>
      </c>
      <c r="L110">
        <f t="shared" si="180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>IF(J110&gt;0,SUM(J110:N110),0)</f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269"/>
        <v>200</v>
      </c>
      <c r="S110">
        <f t="shared" si="181"/>
        <v>40010</v>
      </c>
      <c r="T110">
        <f>_xlfn.XLOOKUP(B110,'[2]april-2025'!$A:$A,'[2]april-2025'!$C:$C,0,0)</f>
        <v>33500</v>
      </c>
      <c r="U110">
        <f t="shared" si="182"/>
        <v>6030</v>
      </c>
      <c r="V110">
        <f t="shared" si="183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184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185"/>
        <v>200</v>
      </c>
      <c r="AC110">
        <f t="shared" si="186"/>
        <v>41350</v>
      </c>
      <c r="AD110">
        <f>_xlfn.XLOOKUP(B110,'[3]may-2025'!$A:$A,'[3]may-2025'!$C:$C,0,0)</f>
        <v>33500</v>
      </c>
      <c r="AE110">
        <f t="shared" si="187"/>
        <v>6030</v>
      </c>
      <c r="AF110">
        <f t="shared" si="188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189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190"/>
        <v>200</v>
      </c>
      <c r="AM110">
        <f t="shared" si="191"/>
        <v>41350</v>
      </c>
      <c r="AN110">
        <f>_xlfn.XLOOKUP(B110,'[4]june-2025'!$A:$A,'[4]june-2025'!$C:$C,0,0)</f>
        <v>33500</v>
      </c>
      <c r="AO110">
        <f t="shared" si="192"/>
        <v>6030</v>
      </c>
      <c r="AP110">
        <f t="shared" si="193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194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195"/>
        <v>200</v>
      </c>
      <c r="AW110">
        <f t="shared" si="196"/>
        <v>41350</v>
      </c>
      <c r="AX110">
        <f>_xlfn.XLOOKUP(B110,'[5]july-2025'!$A:$A,'[5]july-2025'!$C:$C,0,0)</f>
        <v>34500</v>
      </c>
      <c r="AY110">
        <f t="shared" si="197"/>
        <v>6210</v>
      </c>
      <c r="AZ110">
        <v>0</v>
      </c>
      <c r="BA110">
        <f t="shared" si="198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>IF(AX110&gt;0,SUM(AX110:BC110),0)</f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199"/>
        <v>200</v>
      </c>
      <c r="BH110">
        <f t="shared" si="200"/>
        <v>42650</v>
      </c>
      <c r="BI110">
        <f>_xlfn.XLOOKUP(B110,'[6]august-2025'!$A:$A,'[6]august-2025'!$C:$C,0,0)</f>
        <v>34500</v>
      </c>
      <c r="BJ110">
        <f t="shared" si="201"/>
        <v>6210</v>
      </c>
      <c r="BK110">
        <f t="shared" si="202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03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>IF($F110="YES",0,IF(BN110&gt;40000,200,IF(BN110&gt;25000,150,IF(BN110&gt;15000,130,IF(BN110&gt;10000,110,0)))))</f>
        <v>200</v>
      </c>
      <c r="BR110">
        <f>BN110-BO110-BP110-BQ110</f>
        <v>42650</v>
      </c>
      <c r="BS110">
        <f>_xlfn.XLOOKUP(B110,'[7]september-2025'!$A:$A,'[7]september-2025'!$C:$C,0,0)</f>
        <v>34500</v>
      </c>
      <c r="BT110">
        <f t="shared" si="204"/>
        <v>6210</v>
      </c>
      <c r="BU110">
        <f t="shared" si="205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>IF(BS110&gt;0,SUM(BS110:BW110),0)</f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06"/>
        <v>200</v>
      </c>
      <c r="CB110">
        <f t="shared" si="207"/>
        <v>42650</v>
      </c>
      <c r="CC110">
        <f>_xlfn.XLOOKUP(B110,'[8]october-2025'!$A:$A,'[8]october-2025'!$C:$C,0,0)</f>
        <v>34500</v>
      </c>
      <c r="CD110">
        <f t="shared" si="208"/>
        <v>6210</v>
      </c>
      <c r="CE110">
        <f t="shared" si="209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>IF(CC110&gt;0,SUM(CC110:CG110),0)</f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10"/>
        <v>200</v>
      </c>
      <c r="CL110">
        <f t="shared" si="211"/>
        <v>42650</v>
      </c>
      <c r="CM110">
        <f>_xlfn.XLOOKUP(B110,'[9]november-2025'!$A:$A,'[9]november-2025'!$C:$C,0,0)</f>
        <v>34500</v>
      </c>
      <c r="CN110">
        <f t="shared" si="212"/>
        <v>6210</v>
      </c>
      <c r="CO110">
        <f t="shared" si="213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>IF(CM110&gt;0,SUM(CM110:CQ110),0)</f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14"/>
        <v>200</v>
      </c>
      <c r="CV110">
        <f t="shared" si="215"/>
        <v>42650</v>
      </c>
      <c r="CW110">
        <f>_xlfn.XLOOKUP(B110,'[10]december-2025'!$A:$A,'[10]december-2025'!$C:$C,0,0)</f>
        <v>34500</v>
      </c>
      <c r="CX110">
        <f t="shared" si="216"/>
        <v>6210</v>
      </c>
      <c r="CY110">
        <f t="shared" si="217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>IF(CW110&gt;0,SUM(CW110:DA110),0)</f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18"/>
        <v>200</v>
      </c>
      <c r="DF110">
        <f t="shared" si="219"/>
        <v>42650</v>
      </c>
      <c r="DG110">
        <f>_xlfn.XLOOKUP(B110,'[11]january-2026'!$A:$A,'[11]january-2026'!$C:$C,0,0)</f>
        <v>34500</v>
      </c>
      <c r="DH110">
        <f t="shared" si="220"/>
        <v>6210</v>
      </c>
      <c r="DI110">
        <f t="shared" si="221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>IF(DG110&gt;0,SUM(DG110:DK110),0)</f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22"/>
        <v>200</v>
      </c>
      <c r="DP110">
        <f t="shared" si="223"/>
        <v>42650</v>
      </c>
      <c r="DQ110">
        <f>_xlfn.XLOOKUP(B110,'[12]february-2026'!$A:$A,'[12]february-2026'!$C:$C,0,0)</f>
        <v>34500</v>
      </c>
      <c r="DR110">
        <f t="shared" si="224"/>
        <v>6210</v>
      </c>
      <c r="DS110">
        <f t="shared" si="225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>IF(DQ110&gt;0,SUM(DQ110:DU110),0)</f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26"/>
        <v>200</v>
      </c>
      <c r="DZ110">
        <f t="shared" si="227"/>
        <v>42650</v>
      </c>
      <c r="EA110">
        <f>_xlfn.XLOOKUP(B110,'[1]march-2025'!$A:$A,'[1]march-2025'!$J:$J,0,0)</f>
        <v>0</v>
      </c>
      <c r="EB110">
        <f>_xlfn.XLOOKUP(B110,'[2]april-2025'!$A:$A,'[2]april-2025'!$J:$J,0,0)</f>
        <v>0</v>
      </c>
      <c r="EC110">
        <f>_xlfn.XLOOKUP(B110,'[3]may-2025'!$A:$A,'[3]may-2025'!$J:$J,0,0)</f>
        <v>0</v>
      </c>
      <c r="ED110">
        <f>_xlfn.XLOOKUP(B110,'[4]june-2025'!$A:$A,'[4]june-2025'!$J:$J,0,0)</f>
        <v>0</v>
      </c>
      <c r="EE110">
        <f>_xlfn.XLOOKUP(B110,'[5]july-2025'!$A:$A,'[5]july-2025'!$J:$J,0,0)</f>
        <v>0</v>
      </c>
      <c r="EF110">
        <f>_xlfn.XLOOKUP(B110,'[6]august-2025'!$A:$A,'[6]august-2025'!$J:$J,0,0)</f>
        <v>0</v>
      </c>
      <c r="EG110">
        <f>_xlfn.XLOOKUP(B110,'[7]september-2025'!$A:$A,'[7]september-2025'!$J:$J,0,0)</f>
        <v>0</v>
      </c>
      <c r="EH110">
        <f>_xlfn.XLOOKUP(B110,'[8]october-2025'!$A:$A,'[8]october-2025'!$J:$J,0,0)</f>
        <v>0</v>
      </c>
      <c r="EI110">
        <f>_xlfn.XLOOKUP(C110,'[9]november-2025'!$A:$A,'[9]november-2025'!$J:$J,0,0)</f>
        <v>0</v>
      </c>
      <c r="EJ110">
        <f>_xlfn.XLOOKUP(B110,'[10]december-2025'!$A:$A,'[10]december-2025'!$J:$J,0,0)</f>
        <v>0</v>
      </c>
      <c r="EK110">
        <f>_xlfn.XLOOKUP(B110,'[11]january-2026'!$A:$A,'[11]january-2026'!$J:$J,0,0)</f>
        <v>0</v>
      </c>
      <c r="EL110">
        <f>_xlfn.XLOOKUP(B110,'[12]february-2026'!$A:$A,'[12]february-2026'!$J:$J,0,0)</f>
        <v>0</v>
      </c>
      <c r="EM110">
        <f t="shared" si="228"/>
        <v>0</v>
      </c>
      <c r="EN110">
        <f>DV110+DL110+DB110+CR110+CH110+BX110+BN110+BD110+AS110+AI110+Y110+O110+H110+I110</f>
        <v>544460</v>
      </c>
      <c r="EO110">
        <f>DY110+DO110+DE110+CU110+CK110+CA110+BQ110+BG110+AV110+AL110+AB110+R110</f>
        <v>2400</v>
      </c>
      <c r="EP110">
        <f t="shared" si="229"/>
        <v>50000</v>
      </c>
      <c r="EQ110">
        <v>0</v>
      </c>
      <c r="ER110">
        <f t="shared" si="230"/>
        <v>492060</v>
      </c>
      <c r="ES110">
        <f>DW110+DM110+DC110+CS110+CI110+BY110+BO110+BE110+AT110+AJ110+Z110+P110</f>
        <v>30000</v>
      </c>
      <c r="ET110">
        <f>DX110+DN110+DD110+CT110+CJ110+BZ110+BP110+BF110+AU110+AK110+AA110+Q110</f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231"/>
        <v>30000</v>
      </c>
      <c r="FF110">
        <f t="shared" si="232"/>
        <v>30000</v>
      </c>
      <c r="FG110">
        <f t="shared" si="233"/>
        <v>462060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>SUM(FH110:FN110)+(IF(F110="YES",50000,0))</f>
        <v>0</v>
      </c>
      <c r="FP110">
        <f t="shared" si="234"/>
        <v>462060</v>
      </c>
      <c r="FQ110">
        <f t="shared" si="235"/>
        <v>10603</v>
      </c>
      <c r="FR110">
        <f t="shared" si="236"/>
        <v>0</v>
      </c>
      <c r="FS110">
        <f t="shared" si="237"/>
        <v>10603</v>
      </c>
      <c r="FT110">
        <f t="shared" si="238"/>
        <v>0</v>
      </c>
      <c r="FU110">
        <f t="shared" si="239"/>
        <v>0</v>
      </c>
      <c r="FV110">
        <f t="shared" si="240"/>
        <v>0</v>
      </c>
      <c r="FW110">
        <v>0</v>
      </c>
      <c r="FX110">
        <f t="shared" si="241"/>
        <v>0</v>
      </c>
      <c r="FY110" t="b">
        <f t="shared" si="242"/>
        <v>1</v>
      </c>
      <c r="FZ110">
        <f t="shared" ca="1" si="243"/>
        <v>590</v>
      </c>
      <c r="GA110">
        <f t="shared" ca="1" si="244"/>
        <v>545050</v>
      </c>
      <c r="GB110">
        <f t="shared" si="245"/>
        <v>75000</v>
      </c>
      <c r="GC110">
        <f t="shared" ca="1" si="246"/>
        <v>470050</v>
      </c>
      <c r="GD110">
        <f t="shared" ca="1" si="247"/>
        <v>0</v>
      </c>
      <c r="GE110">
        <f t="shared" ca="1" si="248"/>
        <v>0</v>
      </c>
      <c r="GF110">
        <f t="shared" ca="1" si="249"/>
        <v>0</v>
      </c>
      <c r="GG110">
        <f t="shared" ca="1" si="250"/>
        <v>0</v>
      </c>
      <c r="GH110">
        <f t="shared" ca="1" si="251"/>
        <v>0</v>
      </c>
      <c r="GI110">
        <f t="shared" ca="1" si="252"/>
        <v>0</v>
      </c>
      <c r="GJ110">
        <f ca="1">IF(GC110&gt;1200000,GC110-1200000-IF(F110="YES",50000,0)-GH110,0)</f>
        <v>0</v>
      </c>
      <c r="GK110">
        <f t="shared" ca="1" si="253"/>
        <v>0</v>
      </c>
      <c r="GL110">
        <f t="shared" ca="1" si="254"/>
        <v>0</v>
      </c>
      <c r="GM110">
        <f t="shared" ca="1" si="255"/>
        <v>0</v>
      </c>
      <c r="GN110">
        <f t="shared" ca="1" si="256"/>
        <v>70050</v>
      </c>
      <c r="GO110">
        <f t="shared" ca="1" si="257"/>
        <v>3502.5</v>
      </c>
      <c r="GP110">
        <f t="shared" ca="1" si="258"/>
        <v>3503</v>
      </c>
      <c r="GQ110">
        <f t="shared" ca="1" si="259"/>
        <v>0</v>
      </c>
      <c r="GR110">
        <f t="shared" ca="1" si="260"/>
        <v>0</v>
      </c>
      <c r="GS110">
        <f t="shared" ca="1" si="261"/>
        <v>3503</v>
      </c>
      <c r="GT110">
        <f t="shared" ca="1" si="262"/>
        <v>0</v>
      </c>
      <c r="GU110" t="b">
        <f t="shared" ca="1" si="263"/>
        <v>0</v>
      </c>
      <c r="GV110">
        <f t="shared" ca="1" si="264"/>
        <v>0</v>
      </c>
      <c r="GW110">
        <f t="shared" ca="1" si="265"/>
        <v>3503</v>
      </c>
      <c r="GX110">
        <f t="shared" ca="1" si="266"/>
        <v>0</v>
      </c>
      <c r="GY110">
        <f t="shared" ca="1" si="267"/>
        <v>0</v>
      </c>
      <c r="GZ110">
        <f t="shared" ca="1" si="268"/>
        <v>0</v>
      </c>
    </row>
    <row r="111" spans="1:208" x14ac:dyDescent="0.25">
      <c r="A111">
        <f>_xlfn.AGGREGATE(3,5,$B$2:B111)</f>
        <v>110</v>
      </c>
      <c r="B111" t="s">
        <v>336</v>
      </c>
      <c r="C111" t="s">
        <v>337</v>
      </c>
      <c r="D111" t="s">
        <v>779</v>
      </c>
      <c r="E111" t="s">
        <v>831</v>
      </c>
      <c r="F111" t="s">
        <v>957</v>
      </c>
      <c r="G111" t="s">
        <v>884</v>
      </c>
      <c r="H111">
        <f t="shared" si="270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179"/>
        <v>4424</v>
      </c>
      <c r="L111">
        <f t="shared" si="180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>IF(J111&gt;0,SUM(J111:N111),0)</f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269"/>
        <v>150</v>
      </c>
      <c r="S111">
        <f t="shared" si="181"/>
        <v>37666</v>
      </c>
      <c r="T111">
        <f>_xlfn.XLOOKUP(B111,'[2]april-2025'!$A:$A,'[2]april-2025'!$C:$C,0,0)</f>
        <v>31600</v>
      </c>
      <c r="U111">
        <f t="shared" si="182"/>
        <v>5688</v>
      </c>
      <c r="V111">
        <f t="shared" si="183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184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185"/>
        <v>200</v>
      </c>
      <c r="AC111">
        <f t="shared" si="186"/>
        <v>38880</v>
      </c>
      <c r="AD111">
        <f>_xlfn.XLOOKUP(B111,'[3]may-2025'!$A:$A,'[3]may-2025'!$C:$C,0,0)</f>
        <v>31600</v>
      </c>
      <c r="AE111">
        <f t="shared" si="187"/>
        <v>5688</v>
      </c>
      <c r="AF111">
        <f t="shared" si="188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189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190"/>
        <v>200</v>
      </c>
      <c r="AM111">
        <f t="shared" si="191"/>
        <v>38880</v>
      </c>
      <c r="AN111">
        <f>_xlfn.XLOOKUP(B111,'[4]june-2025'!$A:$A,'[4]june-2025'!$C:$C,0,0)</f>
        <v>31600</v>
      </c>
      <c r="AO111">
        <f t="shared" si="192"/>
        <v>5688</v>
      </c>
      <c r="AP111">
        <f t="shared" si="193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194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195"/>
        <v>200</v>
      </c>
      <c r="AW111">
        <f t="shared" si="196"/>
        <v>38880</v>
      </c>
      <c r="AX111">
        <f>_xlfn.XLOOKUP(B111,'[5]july-2025'!$A:$A,'[5]july-2025'!$C:$C,0,0)</f>
        <v>32500</v>
      </c>
      <c r="AY111">
        <f t="shared" si="197"/>
        <v>5850</v>
      </c>
      <c r="AZ111">
        <v>0</v>
      </c>
      <c r="BA111">
        <f t="shared" si="198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>IF(AX111&gt;0,SUM(AX111:BC111),0)</f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199"/>
        <v>200</v>
      </c>
      <c r="BH111">
        <f t="shared" si="200"/>
        <v>40050</v>
      </c>
      <c r="BI111">
        <f>_xlfn.XLOOKUP(B111,'[6]august-2025'!$A:$A,'[6]august-2025'!$C:$C,0,0)</f>
        <v>32500</v>
      </c>
      <c r="BJ111">
        <f t="shared" si="201"/>
        <v>5850</v>
      </c>
      <c r="BK111">
        <f t="shared" si="202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03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>IF($F111="YES",0,IF(BN111&gt;40000,200,IF(BN111&gt;25000,150,IF(BN111&gt;15000,130,IF(BN111&gt;10000,110,0)))))</f>
        <v>200</v>
      </c>
      <c r="BR111">
        <f>BN111-BO111-BP111-BQ111</f>
        <v>40050</v>
      </c>
      <c r="BS111">
        <f>_xlfn.XLOOKUP(B111,'[7]september-2025'!$A:$A,'[7]september-2025'!$C:$C,0,0)</f>
        <v>32500</v>
      </c>
      <c r="BT111">
        <f t="shared" si="204"/>
        <v>5850</v>
      </c>
      <c r="BU111">
        <f t="shared" si="205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>IF(BS111&gt;0,SUM(BS111:BW111),0)</f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06"/>
        <v>200</v>
      </c>
      <c r="CB111">
        <f t="shared" si="207"/>
        <v>40050</v>
      </c>
      <c r="CC111">
        <f>_xlfn.XLOOKUP(B111,'[8]october-2025'!$A:$A,'[8]october-2025'!$C:$C,0,0)</f>
        <v>32500</v>
      </c>
      <c r="CD111">
        <f t="shared" si="208"/>
        <v>5850</v>
      </c>
      <c r="CE111">
        <f t="shared" si="209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>IF(CC111&gt;0,SUM(CC111:CG111),0)</f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10"/>
        <v>200</v>
      </c>
      <c r="CL111">
        <f t="shared" si="211"/>
        <v>40050</v>
      </c>
      <c r="CM111">
        <f>_xlfn.XLOOKUP(B111,'[9]november-2025'!$A:$A,'[9]november-2025'!$C:$C,0,0)</f>
        <v>32500</v>
      </c>
      <c r="CN111">
        <f t="shared" si="212"/>
        <v>5850</v>
      </c>
      <c r="CO111">
        <f t="shared" si="213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>IF(CM111&gt;0,SUM(CM111:CQ111),0)</f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14"/>
        <v>200</v>
      </c>
      <c r="CV111">
        <f t="shared" si="215"/>
        <v>40050</v>
      </c>
      <c r="CW111">
        <f>_xlfn.XLOOKUP(B111,'[10]december-2025'!$A:$A,'[10]december-2025'!$C:$C,0,0)</f>
        <v>32500</v>
      </c>
      <c r="CX111">
        <f t="shared" si="216"/>
        <v>5850</v>
      </c>
      <c r="CY111">
        <f t="shared" si="217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>IF(CW111&gt;0,SUM(CW111:DA111),0)</f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18"/>
        <v>200</v>
      </c>
      <c r="DF111">
        <f t="shared" si="219"/>
        <v>40050</v>
      </c>
      <c r="DG111">
        <f>_xlfn.XLOOKUP(B111,'[11]january-2026'!$A:$A,'[11]january-2026'!$C:$C,0,0)</f>
        <v>32500</v>
      </c>
      <c r="DH111">
        <f t="shared" si="220"/>
        <v>5850</v>
      </c>
      <c r="DI111">
        <f t="shared" si="221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>IF(DG111&gt;0,SUM(DG111:DK111),0)</f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22"/>
        <v>200</v>
      </c>
      <c r="DP111">
        <f t="shared" si="223"/>
        <v>40050</v>
      </c>
      <c r="DQ111">
        <f>_xlfn.XLOOKUP(B111,'[12]february-2026'!$A:$A,'[12]february-2026'!$C:$C,0,0)</f>
        <v>32500</v>
      </c>
      <c r="DR111">
        <f t="shared" si="224"/>
        <v>5850</v>
      </c>
      <c r="DS111">
        <f t="shared" si="225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>IF(DQ111&gt;0,SUM(DQ111:DU111),0)</f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26"/>
        <v>200</v>
      </c>
      <c r="DZ111">
        <f t="shared" si="227"/>
        <v>40050</v>
      </c>
      <c r="EA111">
        <f>_xlfn.XLOOKUP(B111,'[1]march-2025'!$A:$A,'[1]march-2025'!$J:$J,0,0)</f>
        <v>0</v>
      </c>
      <c r="EB111">
        <f>_xlfn.XLOOKUP(B111,'[2]april-2025'!$A:$A,'[2]april-2025'!$J:$J,0,0)</f>
        <v>0</v>
      </c>
      <c r="EC111">
        <f>_xlfn.XLOOKUP(B111,'[3]may-2025'!$A:$A,'[3]may-2025'!$J:$J,0,0)</f>
        <v>0</v>
      </c>
      <c r="ED111">
        <f>_xlfn.XLOOKUP(B111,'[4]june-2025'!$A:$A,'[4]june-2025'!$J:$J,0,0)</f>
        <v>0</v>
      </c>
      <c r="EE111">
        <f>_xlfn.XLOOKUP(B111,'[5]july-2025'!$A:$A,'[5]july-2025'!$J:$J,0,0)</f>
        <v>0</v>
      </c>
      <c r="EF111">
        <f>_xlfn.XLOOKUP(B111,'[6]august-2025'!$A:$A,'[6]august-2025'!$J:$J,0,0)</f>
        <v>0</v>
      </c>
      <c r="EG111">
        <f>_xlfn.XLOOKUP(B111,'[7]september-2025'!$A:$A,'[7]september-2025'!$J:$J,0,0)</f>
        <v>0</v>
      </c>
      <c r="EH111">
        <f>_xlfn.XLOOKUP(B111,'[8]october-2025'!$A:$A,'[8]october-2025'!$J:$J,0,0)</f>
        <v>0</v>
      </c>
      <c r="EI111">
        <f>_xlfn.XLOOKUP(C111,'[9]november-2025'!$A:$A,'[9]november-2025'!$J:$J,0,0)</f>
        <v>0</v>
      </c>
      <c r="EJ111">
        <f>_xlfn.XLOOKUP(B111,'[10]december-2025'!$A:$A,'[10]december-2025'!$J:$J,0,0)</f>
        <v>0</v>
      </c>
      <c r="EK111">
        <f>_xlfn.XLOOKUP(B111,'[11]january-2026'!$A:$A,'[11]january-2026'!$J:$J,0,0)</f>
        <v>0</v>
      </c>
      <c r="EL111">
        <f>_xlfn.XLOOKUP(B111,'[12]february-2026'!$A:$A,'[12]february-2026'!$J:$J,0,0)</f>
        <v>0</v>
      </c>
      <c r="EM111">
        <f t="shared" si="228"/>
        <v>0</v>
      </c>
      <c r="EN111">
        <f>DV111+DL111+DB111+CR111+CH111+BX111+BN111+BD111+AS111+AI111+Y111+O111+H111+I111</f>
        <v>507856</v>
      </c>
      <c r="EO111">
        <f>DY111+DO111+DE111+CU111+CK111+CA111+BQ111+BG111+AV111+AL111+AB111+R111</f>
        <v>2350</v>
      </c>
      <c r="EP111">
        <f t="shared" si="229"/>
        <v>50000</v>
      </c>
      <c r="EQ111">
        <v>0</v>
      </c>
      <c r="ER111">
        <f t="shared" si="230"/>
        <v>455506</v>
      </c>
      <c r="ES111">
        <f>DW111+DM111+DC111+CS111+CI111+BY111+BO111+BE111+AT111+AJ111+Z111+P111</f>
        <v>24000</v>
      </c>
      <c r="ET111">
        <f>DX111+DN111+DD111+CT111+CJ111+BZ111+BP111+BF111+AU111+AK111+AA111+Q111</f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231"/>
        <v>24000</v>
      </c>
      <c r="FF111">
        <f t="shared" si="232"/>
        <v>24000</v>
      </c>
      <c r="FG111">
        <f t="shared" si="233"/>
        <v>431506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>SUM(FH111:FN111)+(IF(F111="YES",50000,0))</f>
        <v>0</v>
      </c>
      <c r="FP111">
        <f t="shared" si="234"/>
        <v>431506</v>
      </c>
      <c r="FQ111">
        <f t="shared" si="235"/>
        <v>9075</v>
      </c>
      <c r="FR111">
        <f t="shared" si="236"/>
        <v>0</v>
      </c>
      <c r="FS111">
        <f t="shared" si="237"/>
        <v>9075</v>
      </c>
      <c r="FT111">
        <f t="shared" si="238"/>
        <v>0</v>
      </c>
      <c r="FU111">
        <f t="shared" si="239"/>
        <v>0</v>
      </c>
      <c r="FV111">
        <f t="shared" si="240"/>
        <v>0</v>
      </c>
      <c r="FW111">
        <v>0</v>
      </c>
      <c r="FX111">
        <f t="shared" si="241"/>
        <v>0</v>
      </c>
      <c r="FY111" t="b">
        <f t="shared" si="242"/>
        <v>1</v>
      </c>
      <c r="FZ111">
        <f t="shared" ca="1" si="243"/>
        <v>563</v>
      </c>
      <c r="GA111">
        <f t="shared" ca="1" si="244"/>
        <v>508419</v>
      </c>
      <c r="GB111">
        <f t="shared" si="245"/>
        <v>75000</v>
      </c>
      <c r="GC111">
        <f t="shared" ca="1" si="246"/>
        <v>433419</v>
      </c>
      <c r="GD111">
        <f t="shared" ca="1" si="247"/>
        <v>0</v>
      </c>
      <c r="GE111">
        <f t="shared" ca="1" si="248"/>
        <v>0</v>
      </c>
      <c r="GF111">
        <f t="shared" ca="1" si="249"/>
        <v>0</v>
      </c>
      <c r="GG111">
        <f t="shared" ca="1" si="250"/>
        <v>0</v>
      </c>
      <c r="GH111">
        <f t="shared" ca="1" si="251"/>
        <v>0</v>
      </c>
      <c r="GI111">
        <f t="shared" ca="1" si="252"/>
        <v>0</v>
      </c>
      <c r="GJ111">
        <f ca="1">IF(GC111&gt;1200000,GC111-1200000-IF(F111="YES",50000,0)-GH111,0)</f>
        <v>0</v>
      </c>
      <c r="GK111">
        <f t="shared" ca="1" si="253"/>
        <v>0</v>
      </c>
      <c r="GL111">
        <f t="shared" ca="1" si="254"/>
        <v>0</v>
      </c>
      <c r="GM111">
        <f t="shared" ca="1" si="255"/>
        <v>0</v>
      </c>
      <c r="GN111">
        <f t="shared" ca="1" si="256"/>
        <v>33419</v>
      </c>
      <c r="GO111">
        <f t="shared" ca="1" si="257"/>
        <v>1670.95</v>
      </c>
      <c r="GP111">
        <f t="shared" ca="1" si="258"/>
        <v>1671</v>
      </c>
      <c r="GQ111">
        <f t="shared" ca="1" si="259"/>
        <v>0</v>
      </c>
      <c r="GR111">
        <f t="shared" ca="1" si="260"/>
        <v>0</v>
      </c>
      <c r="GS111">
        <f t="shared" ca="1" si="261"/>
        <v>1671</v>
      </c>
      <c r="GT111">
        <f t="shared" ca="1" si="262"/>
        <v>0</v>
      </c>
      <c r="GU111" t="b">
        <f t="shared" ca="1" si="263"/>
        <v>0</v>
      </c>
      <c r="GV111">
        <f t="shared" ca="1" si="264"/>
        <v>0</v>
      </c>
      <c r="GW111">
        <f t="shared" ca="1" si="265"/>
        <v>1671</v>
      </c>
      <c r="GX111">
        <f t="shared" ca="1" si="266"/>
        <v>0</v>
      </c>
      <c r="GY111">
        <f t="shared" ca="1" si="267"/>
        <v>0</v>
      </c>
      <c r="GZ111">
        <f t="shared" ca="1" si="268"/>
        <v>0</v>
      </c>
    </row>
    <row r="112" spans="1:208" x14ac:dyDescent="0.25">
      <c r="A112">
        <f>_xlfn.AGGREGATE(3,5,$B$2:B112)</f>
        <v>111</v>
      </c>
      <c r="B112" t="s">
        <v>338</v>
      </c>
      <c r="C112" t="s">
        <v>339</v>
      </c>
      <c r="D112" t="s">
        <v>780</v>
      </c>
      <c r="E112" t="s">
        <v>832</v>
      </c>
      <c r="F112" t="s">
        <v>957</v>
      </c>
      <c r="G112" t="s">
        <v>885</v>
      </c>
      <c r="H112">
        <f t="shared" si="270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179"/>
        <v>7238.0000000000009</v>
      </c>
      <c r="L112">
        <f t="shared" si="180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>IF(J112&gt;0,SUM(J112:N112),0)</f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269"/>
        <v>200</v>
      </c>
      <c r="S112">
        <f t="shared" si="181"/>
        <v>55782</v>
      </c>
      <c r="T112">
        <f>_xlfn.XLOOKUP(B112,'[2]april-2025'!$A:$A,'[2]april-2025'!$C:$C,0,0)</f>
        <v>51700</v>
      </c>
      <c r="U112">
        <f t="shared" si="182"/>
        <v>9306</v>
      </c>
      <c r="V112">
        <f t="shared" si="183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184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185"/>
        <v>200</v>
      </c>
      <c r="AC112">
        <f t="shared" si="186"/>
        <v>57850</v>
      </c>
      <c r="AD112">
        <f>_xlfn.XLOOKUP(B112,'[3]may-2025'!$A:$A,'[3]may-2025'!$C:$C,0,0)</f>
        <v>51700</v>
      </c>
      <c r="AE112">
        <f t="shared" si="187"/>
        <v>9306</v>
      </c>
      <c r="AF112">
        <f t="shared" si="188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189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190"/>
        <v>200</v>
      </c>
      <c r="AM112">
        <f t="shared" si="191"/>
        <v>57850</v>
      </c>
      <c r="AN112">
        <f>_xlfn.XLOOKUP(B112,'[4]june-2025'!$A:$A,'[4]june-2025'!$C:$C,0,0)</f>
        <v>51700</v>
      </c>
      <c r="AO112">
        <f t="shared" si="192"/>
        <v>9306</v>
      </c>
      <c r="AP112">
        <f t="shared" si="193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194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195"/>
        <v>200</v>
      </c>
      <c r="AW112">
        <f t="shared" si="196"/>
        <v>57850</v>
      </c>
      <c r="AX112">
        <f>_xlfn.XLOOKUP(B112,'[5]july-2025'!$A:$A,'[5]july-2025'!$C:$C,0,0)</f>
        <v>53300</v>
      </c>
      <c r="AY112">
        <f t="shared" si="197"/>
        <v>9594</v>
      </c>
      <c r="AZ112">
        <v>0</v>
      </c>
      <c r="BA112">
        <f t="shared" si="198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>IF(AX112&gt;0,SUM(AX112:BC112),0)</f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199"/>
        <v>200</v>
      </c>
      <c r="BH112">
        <f t="shared" si="200"/>
        <v>59930</v>
      </c>
      <c r="BI112">
        <f>_xlfn.XLOOKUP(B112,'[6]august-2025'!$A:$A,'[6]august-2025'!$C:$C,0,0)</f>
        <v>53300</v>
      </c>
      <c r="BJ112">
        <f t="shared" si="201"/>
        <v>9594</v>
      </c>
      <c r="BK112">
        <f t="shared" si="202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03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>IF($F112="YES",0,IF(BN112&gt;40000,200,IF(BN112&gt;25000,150,IF(BN112&gt;15000,130,IF(BN112&gt;10000,110,0)))))</f>
        <v>200</v>
      </c>
      <c r="BR112">
        <f>BN112-BO112-BP112-BQ112</f>
        <v>59930</v>
      </c>
      <c r="BS112">
        <f>_xlfn.XLOOKUP(B112,'[7]september-2025'!$A:$A,'[7]september-2025'!$C:$C,0,0)</f>
        <v>53300</v>
      </c>
      <c r="BT112">
        <f t="shared" si="204"/>
        <v>9594</v>
      </c>
      <c r="BU112">
        <f t="shared" si="205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>IF(BS112&gt;0,SUM(BS112:BW112),0)</f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06"/>
        <v>200</v>
      </c>
      <c r="CB112">
        <f t="shared" si="207"/>
        <v>59930</v>
      </c>
      <c r="CC112">
        <f>_xlfn.XLOOKUP(B112,'[8]october-2025'!$A:$A,'[8]october-2025'!$C:$C,0,0)</f>
        <v>53300</v>
      </c>
      <c r="CD112">
        <f t="shared" si="208"/>
        <v>9594</v>
      </c>
      <c r="CE112">
        <f t="shared" si="209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>IF(CC112&gt;0,SUM(CC112:CG112),0)</f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10"/>
        <v>200</v>
      </c>
      <c r="CL112">
        <f t="shared" si="211"/>
        <v>59930</v>
      </c>
      <c r="CM112">
        <f>_xlfn.XLOOKUP(B112,'[9]november-2025'!$A:$A,'[9]november-2025'!$C:$C,0,0)</f>
        <v>53300</v>
      </c>
      <c r="CN112">
        <f t="shared" si="212"/>
        <v>9594</v>
      </c>
      <c r="CO112">
        <f t="shared" si="213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>IF(CM112&gt;0,SUM(CM112:CQ112),0)</f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14"/>
        <v>200</v>
      </c>
      <c r="CV112">
        <f t="shared" si="215"/>
        <v>59930</v>
      </c>
      <c r="CW112">
        <f>_xlfn.XLOOKUP(B112,'[10]december-2025'!$A:$A,'[10]december-2025'!$C:$C,0,0)</f>
        <v>53300</v>
      </c>
      <c r="CX112">
        <f t="shared" si="216"/>
        <v>9594</v>
      </c>
      <c r="CY112">
        <f t="shared" si="217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>IF(CW112&gt;0,SUM(CW112:DA112),0)</f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18"/>
        <v>200</v>
      </c>
      <c r="DF112">
        <f t="shared" si="219"/>
        <v>59930</v>
      </c>
      <c r="DG112">
        <f>_xlfn.XLOOKUP(B112,'[11]january-2026'!$A:$A,'[11]january-2026'!$C:$C,0,0)</f>
        <v>53300</v>
      </c>
      <c r="DH112">
        <f t="shared" si="220"/>
        <v>9594</v>
      </c>
      <c r="DI112">
        <f t="shared" si="221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>IF(DG112&gt;0,SUM(DG112:DK112),0)</f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22"/>
        <v>200</v>
      </c>
      <c r="DP112">
        <f t="shared" si="223"/>
        <v>59930</v>
      </c>
      <c r="DQ112">
        <f>_xlfn.XLOOKUP(B112,'[12]february-2026'!$A:$A,'[12]february-2026'!$C:$C,0,0)</f>
        <v>53300</v>
      </c>
      <c r="DR112">
        <f t="shared" si="224"/>
        <v>9594</v>
      </c>
      <c r="DS112">
        <f t="shared" si="225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>IF(DQ112&gt;0,SUM(DQ112:DU112),0)</f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26"/>
        <v>200</v>
      </c>
      <c r="DZ112">
        <f t="shared" si="227"/>
        <v>59930</v>
      </c>
      <c r="EA112">
        <f>_xlfn.XLOOKUP(B112,'[1]march-2025'!$A:$A,'[1]march-2025'!$J:$J,0,0)</f>
        <v>0</v>
      </c>
      <c r="EB112">
        <f>_xlfn.XLOOKUP(B112,'[2]april-2025'!$A:$A,'[2]april-2025'!$J:$J,0,0)</f>
        <v>0</v>
      </c>
      <c r="EC112">
        <f>_xlfn.XLOOKUP(B112,'[3]may-2025'!$A:$A,'[3]may-2025'!$J:$J,0,0)</f>
        <v>0</v>
      </c>
      <c r="ED112">
        <f>_xlfn.XLOOKUP(B112,'[4]june-2025'!$A:$A,'[4]june-2025'!$J:$J,0,0)</f>
        <v>0</v>
      </c>
      <c r="EE112">
        <f>_xlfn.XLOOKUP(B112,'[5]july-2025'!$A:$A,'[5]july-2025'!$J:$J,0,0)</f>
        <v>0</v>
      </c>
      <c r="EF112">
        <f>_xlfn.XLOOKUP(B112,'[6]august-2025'!$A:$A,'[6]august-2025'!$J:$J,0,0)</f>
        <v>0</v>
      </c>
      <c r="EG112">
        <f>_xlfn.XLOOKUP(B112,'[7]september-2025'!$A:$A,'[7]september-2025'!$J:$J,0,0)</f>
        <v>0</v>
      </c>
      <c r="EH112">
        <f>_xlfn.XLOOKUP(B112,'[8]october-2025'!$A:$A,'[8]october-2025'!$J:$J,0,0)</f>
        <v>0</v>
      </c>
      <c r="EI112">
        <f>_xlfn.XLOOKUP(C112,'[9]november-2025'!$A:$A,'[9]november-2025'!$J:$J,0,0)</f>
        <v>0</v>
      </c>
      <c r="EJ112">
        <f>_xlfn.XLOOKUP(B112,'[10]december-2025'!$A:$A,'[10]december-2025'!$J:$J,0,0)</f>
        <v>0</v>
      </c>
      <c r="EK112">
        <f>_xlfn.XLOOKUP(B112,'[11]january-2026'!$A:$A,'[11]january-2026'!$J:$J,0,0)</f>
        <v>0</v>
      </c>
      <c r="EL112">
        <f>_xlfn.XLOOKUP(B112,'[12]february-2026'!$A:$A,'[12]february-2026'!$J:$J,0,0)</f>
        <v>0</v>
      </c>
      <c r="EM112">
        <f t="shared" si="228"/>
        <v>0</v>
      </c>
      <c r="EN112">
        <f>DV112+DL112+DB112+CR112+CH112+BX112+BN112+BD112+AS112+AI112+Y112+O112+H112+I112</f>
        <v>838692</v>
      </c>
      <c r="EO112">
        <f>DY112+DO112+DE112+CU112+CK112+CA112+BQ112+BG112+AV112+AL112+AB112+R112</f>
        <v>2400</v>
      </c>
      <c r="EP112">
        <f t="shared" si="229"/>
        <v>50000</v>
      </c>
      <c r="EQ112">
        <v>0</v>
      </c>
      <c r="ER112">
        <f t="shared" si="230"/>
        <v>786292</v>
      </c>
      <c r="ES112">
        <f>DW112+DM112+DC112+CS112+CI112+BY112+BO112+BE112+AT112+AJ112+Z112+P112</f>
        <v>120000</v>
      </c>
      <c r="ET112">
        <f>DX112+DN112+DD112+CT112+CJ112+BZ112+BP112+BF112+AU112+AK112+AA112+Q112</f>
        <v>720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231"/>
        <v>120720</v>
      </c>
      <c r="FF112">
        <f t="shared" si="232"/>
        <v>120720</v>
      </c>
      <c r="FG112">
        <f t="shared" si="233"/>
        <v>665572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>SUM(FH112:FN112)+(IF(F112="YES",50000,0))</f>
        <v>0</v>
      </c>
      <c r="FP112">
        <f t="shared" si="234"/>
        <v>665572</v>
      </c>
      <c r="FQ112">
        <f t="shared" si="235"/>
        <v>12500</v>
      </c>
      <c r="FR112">
        <f t="shared" si="236"/>
        <v>33114</v>
      </c>
      <c r="FS112">
        <f t="shared" si="237"/>
        <v>45614</v>
      </c>
      <c r="FT112">
        <f t="shared" si="238"/>
        <v>45614</v>
      </c>
      <c r="FU112">
        <f t="shared" si="239"/>
        <v>1824.56</v>
      </c>
      <c r="FV112">
        <f t="shared" si="240"/>
        <v>47439</v>
      </c>
      <c r="FW112">
        <v>0</v>
      </c>
      <c r="FX112">
        <f t="shared" si="241"/>
        <v>47439</v>
      </c>
      <c r="FY112" t="b">
        <f t="shared" si="242"/>
        <v>1</v>
      </c>
      <c r="FZ112">
        <f t="shared" ca="1" si="243"/>
        <v>529</v>
      </c>
      <c r="GA112">
        <f t="shared" ca="1" si="244"/>
        <v>839221</v>
      </c>
      <c r="GB112">
        <f t="shared" si="245"/>
        <v>75000</v>
      </c>
      <c r="GC112">
        <f t="shared" ca="1" si="246"/>
        <v>764221</v>
      </c>
      <c r="GD112">
        <f t="shared" ca="1" si="247"/>
        <v>0</v>
      </c>
      <c r="GE112">
        <f t="shared" ca="1" si="248"/>
        <v>0</v>
      </c>
      <c r="GF112">
        <f t="shared" ca="1" si="249"/>
        <v>0</v>
      </c>
      <c r="GG112">
        <f t="shared" ca="1" si="250"/>
        <v>0</v>
      </c>
      <c r="GH112">
        <f t="shared" ca="1" si="251"/>
        <v>0</v>
      </c>
      <c r="GI112">
        <f t="shared" ca="1" si="252"/>
        <v>0</v>
      </c>
      <c r="GJ112">
        <f ca="1">IF(GC112&gt;1200000,GC112-1200000-IF(F112="YES",50000,0)-GH112,0)</f>
        <v>0</v>
      </c>
      <c r="GK112">
        <f t="shared" ca="1" si="253"/>
        <v>0</v>
      </c>
      <c r="GL112">
        <f t="shared" ca="1" si="254"/>
        <v>0</v>
      </c>
      <c r="GM112">
        <f t="shared" ca="1" si="255"/>
        <v>0</v>
      </c>
      <c r="GN112">
        <f t="shared" ca="1" si="256"/>
        <v>364221</v>
      </c>
      <c r="GO112">
        <f t="shared" ca="1" si="257"/>
        <v>18211.05</v>
      </c>
      <c r="GP112">
        <f t="shared" ca="1" si="258"/>
        <v>18211</v>
      </c>
      <c r="GQ112">
        <f t="shared" ca="1" si="259"/>
        <v>0</v>
      </c>
      <c r="GR112">
        <f t="shared" ca="1" si="260"/>
        <v>0</v>
      </c>
      <c r="GS112">
        <f t="shared" ca="1" si="261"/>
        <v>18211</v>
      </c>
      <c r="GT112">
        <f t="shared" ca="1" si="262"/>
        <v>0</v>
      </c>
      <c r="GU112" t="b">
        <f t="shared" ca="1" si="263"/>
        <v>0</v>
      </c>
      <c r="GV112">
        <f t="shared" ca="1" si="264"/>
        <v>0</v>
      </c>
      <c r="GW112">
        <f t="shared" ca="1" si="265"/>
        <v>18211</v>
      </c>
      <c r="GX112">
        <f t="shared" ca="1" si="266"/>
        <v>0</v>
      </c>
      <c r="GY112">
        <f t="shared" ca="1" si="267"/>
        <v>0</v>
      </c>
      <c r="GZ112">
        <f t="shared" ca="1" si="268"/>
        <v>0</v>
      </c>
    </row>
    <row r="113" spans="1:208" x14ac:dyDescent="0.25">
      <c r="A113">
        <f>_xlfn.AGGREGATE(3,5,$B$2:B113)</f>
        <v>112</v>
      </c>
      <c r="B113" t="s">
        <v>340</v>
      </c>
      <c r="C113" t="s">
        <v>341</v>
      </c>
      <c r="D113" t="s">
        <v>780</v>
      </c>
      <c r="E113" t="s">
        <v>832</v>
      </c>
      <c r="F113" t="s">
        <v>957</v>
      </c>
      <c r="G113" t="s">
        <v>905</v>
      </c>
      <c r="H113">
        <f t="shared" si="270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179"/>
        <v>5278.0000000000009</v>
      </c>
      <c r="L113">
        <f t="shared" si="180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>IF(J113&gt;0,SUM(J113:N113),0)</f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269"/>
        <v>200</v>
      </c>
      <c r="S113">
        <f t="shared" si="181"/>
        <v>42802</v>
      </c>
      <c r="T113">
        <f>_xlfn.XLOOKUP(B113,'[2]april-2025'!$A:$A,'[2]april-2025'!$C:$C,0,0)</f>
        <v>37700</v>
      </c>
      <c r="U113">
        <f t="shared" si="182"/>
        <v>6786</v>
      </c>
      <c r="V113">
        <f t="shared" si="183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184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185"/>
        <v>200</v>
      </c>
      <c r="AC113">
        <f t="shared" si="186"/>
        <v>44310</v>
      </c>
      <c r="AD113">
        <f>_xlfn.XLOOKUP(B113,'[3]may-2025'!$A:$A,'[3]may-2025'!$C:$C,0,0)</f>
        <v>37700</v>
      </c>
      <c r="AE113">
        <f t="shared" si="187"/>
        <v>6786</v>
      </c>
      <c r="AF113">
        <f t="shared" si="188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189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190"/>
        <v>200</v>
      </c>
      <c r="AM113">
        <f t="shared" si="191"/>
        <v>44310</v>
      </c>
      <c r="AN113">
        <f>_xlfn.XLOOKUP(B113,'[4]june-2025'!$A:$A,'[4]june-2025'!$C:$C,0,0)</f>
        <v>37700</v>
      </c>
      <c r="AO113">
        <f t="shared" si="192"/>
        <v>6786</v>
      </c>
      <c r="AP113">
        <f t="shared" si="193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194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195"/>
        <v>200</v>
      </c>
      <c r="AW113">
        <f t="shared" si="196"/>
        <v>44310</v>
      </c>
      <c r="AX113">
        <f>_xlfn.XLOOKUP(B113,'[5]july-2025'!$A:$A,'[5]july-2025'!$C:$C,0,0)</f>
        <v>38800</v>
      </c>
      <c r="AY113">
        <f t="shared" si="197"/>
        <v>6984</v>
      </c>
      <c r="AZ113">
        <v>0</v>
      </c>
      <c r="BA113">
        <f t="shared" si="198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>IF(AX113&gt;0,SUM(AX113:BC113),0)</f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199"/>
        <v>200</v>
      </c>
      <c r="BH113">
        <f t="shared" si="200"/>
        <v>45740</v>
      </c>
      <c r="BI113">
        <f>_xlfn.XLOOKUP(B113,'[6]august-2025'!$A:$A,'[6]august-2025'!$C:$C,0,0)</f>
        <v>38800</v>
      </c>
      <c r="BJ113">
        <f t="shared" si="201"/>
        <v>6984</v>
      </c>
      <c r="BK113">
        <f t="shared" si="202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03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>IF($F113="YES",0,IF(BN113&gt;40000,200,IF(BN113&gt;25000,150,IF(BN113&gt;15000,130,IF(BN113&gt;10000,110,0)))))</f>
        <v>200</v>
      </c>
      <c r="BR113">
        <f>BN113-BO113-BP113-BQ113</f>
        <v>45740</v>
      </c>
      <c r="BS113">
        <f>_xlfn.XLOOKUP(B113,'[7]september-2025'!$A:$A,'[7]september-2025'!$C:$C,0,0)</f>
        <v>38800</v>
      </c>
      <c r="BT113">
        <f t="shared" si="204"/>
        <v>6984</v>
      </c>
      <c r="BU113">
        <f t="shared" si="205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>IF(BS113&gt;0,SUM(BS113:BW113),0)</f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06"/>
        <v>200</v>
      </c>
      <c r="CB113">
        <f t="shared" si="207"/>
        <v>45740</v>
      </c>
      <c r="CC113">
        <f>_xlfn.XLOOKUP(B113,'[8]october-2025'!$A:$A,'[8]october-2025'!$C:$C,0,0)</f>
        <v>38800</v>
      </c>
      <c r="CD113">
        <f t="shared" si="208"/>
        <v>6984</v>
      </c>
      <c r="CE113">
        <f t="shared" si="209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>IF(CC113&gt;0,SUM(CC113:CG113),0)</f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10"/>
        <v>200</v>
      </c>
      <c r="CL113">
        <f t="shared" si="211"/>
        <v>45740</v>
      </c>
      <c r="CM113">
        <f>_xlfn.XLOOKUP(B113,'[9]november-2025'!$A:$A,'[9]november-2025'!$C:$C,0,0)</f>
        <v>38800</v>
      </c>
      <c r="CN113">
        <f t="shared" si="212"/>
        <v>6984</v>
      </c>
      <c r="CO113">
        <f t="shared" si="213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>IF(CM113&gt;0,SUM(CM113:CQ113),0)</f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14"/>
        <v>200</v>
      </c>
      <c r="CV113">
        <f t="shared" si="215"/>
        <v>45740</v>
      </c>
      <c r="CW113">
        <f>_xlfn.XLOOKUP(B113,'[10]december-2025'!$A:$A,'[10]december-2025'!$C:$C,0,0)</f>
        <v>38800</v>
      </c>
      <c r="CX113">
        <f t="shared" si="216"/>
        <v>6984</v>
      </c>
      <c r="CY113">
        <f t="shared" si="217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>IF(CW113&gt;0,SUM(CW113:DA113),0)</f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18"/>
        <v>200</v>
      </c>
      <c r="DF113">
        <f t="shared" si="219"/>
        <v>45740</v>
      </c>
      <c r="DG113">
        <f>_xlfn.XLOOKUP(B113,'[11]january-2026'!$A:$A,'[11]january-2026'!$C:$C,0,0)</f>
        <v>38800</v>
      </c>
      <c r="DH113">
        <f t="shared" si="220"/>
        <v>6984</v>
      </c>
      <c r="DI113">
        <f t="shared" si="221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>IF(DG113&gt;0,SUM(DG113:DK113),0)</f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22"/>
        <v>200</v>
      </c>
      <c r="DP113">
        <f t="shared" si="223"/>
        <v>45740</v>
      </c>
      <c r="DQ113">
        <f>_xlfn.XLOOKUP(B113,'[12]february-2026'!$A:$A,'[12]february-2026'!$C:$C,0,0)</f>
        <v>38800</v>
      </c>
      <c r="DR113">
        <f t="shared" si="224"/>
        <v>6984</v>
      </c>
      <c r="DS113">
        <f t="shared" si="225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>IF(DQ113&gt;0,SUM(DQ113:DU113),0)</f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26"/>
        <v>200</v>
      </c>
      <c r="DZ113">
        <f t="shared" si="227"/>
        <v>45740</v>
      </c>
      <c r="EA113">
        <f>_xlfn.XLOOKUP(B113,'[1]march-2025'!$A:$A,'[1]march-2025'!$J:$J,0,0)</f>
        <v>0</v>
      </c>
      <c r="EB113">
        <f>_xlfn.XLOOKUP(B113,'[2]april-2025'!$A:$A,'[2]april-2025'!$J:$J,0,0)</f>
        <v>0</v>
      </c>
      <c r="EC113">
        <f>_xlfn.XLOOKUP(B113,'[3]may-2025'!$A:$A,'[3]may-2025'!$J:$J,0,0)</f>
        <v>0</v>
      </c>
      <c r="ED113">
        <f>_xlfn.XLOOKUP(B113,'[4]june-2025'!$A:$A,'[4]june-2025'!$J:$J,0,0)</f>
        <v>0</v>
      </c>
      <c r="EE113">
        <f>_xlfn.XLOOKUP(B113,'[5]july-2025'!$A:$A,'[5]july-2025'!$J:$J,0,0)</f>
        <v>0</v>
      </c>
      <c r="EF113">
        <f>_xlfn.XLOOKUP(B113,'[6]august-2025'!$A:$A,'[6]august-2025'!$J:$J,0,0)</f>
        <v>0</v>
      </c>
      <c r="EG113">
        <f>_xlfn.XLOOKUP(B113,'[7]september-2025'!$A:$A,'[7]september-2025'!$J:$J,0,0)</f>
        <v>0</v>
      </c>
      <c r="EH113">
        <f>_xlfn.XLOOKUP(B113,'[8]october-2025'!$A:$A,'[8]october-2025'!$J:$J,0,0)</f>
        <v>0</v>
      </c>
      <c r="EI113">
        <f>_xlfn.XLOOKUP(C113,'[9]november-2025'!$A:$A,'[9]november-2025'!$J:$J,0,0)</f>
        <v>0</v>
      </c>
      <c r="EJ113">
        <f>_xlfn.XLOOKUP(B113,'[10]december-2025'!$A:$A,'[10]december-2025'!$J:$J,0,0)</f>
        <v>0</v>
      </c>
      <c r="EK113">
        <f>_xlfn.XLOOKUP(B113,'[11]january-2026'!$A:$A,'[11]january-2026'!$J:$J,0,0)</f>
        <v>0</v>
      </c>
      <c r="EL113">
        <f>_xlfn.XLOOKUP(B113,'[12]february-2026'!$A:$A,'[12]february-2026'!$J:$J,0,0)</f>
        <v>0</v>
      </c>
      <c r="EM113">
        <f t="shared" si="228"/>
        <v>0</v>
      </c>
      <c r="EN113">
        <f>DV113+DL113+DB113+CR113+CH113+BX113+BN113+BD113+AS113+AI113+Y113+O113+H113+I113</f>
        <v>610852</v>
      </c>
      <c r="EO113">
        <f>DY113+DO113+DE113+CU113+CK113+CA113+BQ113+BG113+AV113+AL113+AB113+R113</f>
        <v>2400</v>
      </c>
      <c r="EP113">
        <f t="shared" si="229"/>
        <v>50000</v>
      </c>
      <c r="EQ113">
        <v>0</v>
      </c>
      <c r="ER113">
        <f t="shared" si="230"/>
        <v>558452</v>
      </c>
      <c r="ES113">
        <f>DW113+DM113+DC113+CS113+CI113+BY113+BO113+BE113+AT113+AJ113+Z113+P113</f>
        <v>60000</v>
      </c>
      <c r="ET113">
        <f>DX113+DN113+DD113+CT113+CJ113+BZ113+BP113+BF113+AU113+AK113+AA113+Q113</f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231"/>
        <v>60000</v>
      </c>
      <c r="FF113">
        <f t="shared" si="232"/>
        <v>60000</v>
      </c>
      <c r="FG113">
        <f t="shared" si="233"/>
        <v>498452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>SUM(FH113:FN113)+(IF(F113="YES",50000,0))</f>
        <v>0</v>
      </c>
      <c r="FP113">
        <f t="shared" si="234"/>
        <v>498452</v>
      </c>
      <c r="FQ113">
        <f t="shared" si="235"/>
        <v>12423</v>
      </c>
      <c r="FR113">
        <f t="shared" si="236"/>
        <v>0</v>
      </c>
      <c r="FS113">
        <f t="shared" si="237"/>
        <v>12423</v>
      </c>
      <c r="FT113">
        <f t="shared" si="238"/>
        <v>0</v>
      </c>
      <c r="FU113">
        <f t="shared" si="239"/>
        <v>0</v>
      </c>
      <c r="FV113">
        <f t="shared" si="240"/>
        <v>0</v>
      </c>
      <c r="FW113">
        <v>0</v>
      </c>
      <c r="FX113">
        <f t="shared" si="241"/>
        <v>0</v>
      </c>
      <c r="FY113" t="b">
        <f t="shared" si="242"/>
        <v>1</v>
      </c>
      <c r="FZ113">
        <f t="shared" ca="1" si="243"/>
        <v>555</v>
      </c>
      <c r="GA113">
        <f t="shared" ca="1" si="244"/>
        <v>611407</v>
      </c>
      <c r="GB113">
        <f t="shared" si="245"/>
        <v>75000</v>
      </c>
      <c r="GC113">
        <f t="shared" ca="1" si="246"/>
        <v>536407</v>
      </c>
      <c r="GD113">
        <f t="shared" ca="1" si="247"/>
        <v>0</v>
      </c>
      <c r="GE113">
        <f t="shared" ca="1" si="248"/>
        <v>0</v>
      </c>
      <c r="GF113">
        <f t="shared" ca="1" si="249"/>
        <v>0</v>
      </c>
      <c r="GG113">
        <f t="shared" ca="1" si="250"/>
        <v>0</v>
      </c>
      <c r="GH113">
        <f t="shared" ca="1" si="251"/>
        <v>0</v>
      </c>
      <c r="GI113">
        <f t="shared" ca="1" si="252"/>
        <v>0</v>
      </c>
      <c r="GJ113">
        <f ca="1">IF(GC113&gt;1200000,GC113-1200000-IF(F113="YES",50000,0)-GH113,0)</f>
        <v>0</v>
      </c>
      <c r="GK113">
        <f t="shared" ca="1" si="253"/>
        <v>0</v>
      </c>
      <c r="GL113">
        <f t="shared" ca="1" si="254"/>
        <v>0</v>
      </c>
      <c r="GM113">
        <f t="shared" ca="1" si="255"/>
        <v>0</v>
      </c>
      <c r="GN113">
        <f t="shared" ca="1" si="256"/>
        <v>136407</v>
      </c>
      <c r="GO113">
        <f t="shared" ca="1" si="257"/>
        <v>6820.35</v>
      </c>
      <c r="GP113">
        <f t="shared" ca="1" si="258"/>
        <v>6820</v>
      </c>
      <c r="GQ113">
        <f t="shared" ca="1" si="259"/>
        <v>0</v>
      </c>
      <c r="GR113">
        <f t="shared" ca="1" si="260"/>
        <v>0</v>
      </c>
      <c r="GS113">
        <f t="shared" ca="1" si="261"/>
        <v>6820</v>
      </c>
      <c r="GT113">
        <f t="shared" ca="1" si="262"/>
        <v>0</v>
      </c>
      <c r="GU113" t="b">
        <f t="shared" ca="1" si="263"/>
        <v>0</v>
      </c>
      <c r="GV113">
        <f t="shared" ca="1" si="264"/>
        <v>0</v>
      </c>
      <c r="GW113">
        <f t="shared" ca="1" si="265"/>
        <v>6820</v>
      </c>
      <c r="GX113">
        <f t="shared" ca="1" si="266"/>
        <v>0</v>
      </c>
      <c r="GY113">
        <f t="shared" ca="1" si="267"/>
        <v>0</v>
      </c>
      <c r="GZ113">
        <f t="shared" ca="1" si="268"/>
        <v>0</v>
      </c>
    </row>
    <row r="114" spans="1:208" x14ac:dyDescent="0.25">
      <c r="A114">
        <f>_xlfn.AGGREGATE(3,5,$B$2:B114)</f>
        <v>113</v>
      </c>
      <c r="B114" t="s">
        <v>342</v>
      </c>
      <c r="C114" t="s">
        <v>343</v>
      </c>
      <c r="D114" t="s">
        <v>780</v>
      </c>
      <c r="E114" t="s">
        <v>831</v>
      </c>
      <c r="F114" t="s">
        <v>957</v>
      </c>
      <c r="G114" t="s">
        <v>900</v>
      </c>
      <c r="H114">
        <f t="shared" si="270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179"/>
        <v>4382</v>
      </c>
      <c r="L114">
        <f t="shared" si="180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>IF(J114&gt;0,SUM(J114:N114),0)</f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269"/>
        <v>150</v>
      </c>
      <c r="S114">
        <f t="shared" si="181"/>
        <v>37288</v>
      </c>
      <c r="T114">
        <f>_xlfn.XLOOKUP(B114,'[2]april-2025'!$A:$A,'[2]april-2025'!$C:$C,0,0)</f>
        <v>31300</v>
      </c>
      <c r="U114">
        <f t="shared" si="182"/>
        <v>5634</v>
      </c>
      <c r="V114">
        <f t="shared" si="183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184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185"/>
        <v>200</v>
      </c>
      <c r="AC114">
        <f t="shared" si="186"/>
        <v>38490</v>
      </c>
      <c r="AD114">
        <f>_xlfn.XLOOKUP(B114,'[3]may-2025'!$A:$A,'[3]may-2025'!$C:$C,0,0)</f>
        <v>31300</v>
      </c>
      <c r="AE114">
        <f t="shared" si="187"/>
        <v>5634</v>
      </c>
      <c r="AF114">
        <f t="shared" si="188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189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190"/>
        <v>200</v>
      </c>
      <c r="AM114">
        <f t="shared" si="191"/>
        <v>38490</v>
      </c>
      <c r="AN114">
        <f>_xlfn.XLOOKUP(B114,'[4]june-2025'!$A:$A,'[4]june-2025'!$C:$C,0,0)</f>
        <v>31300</v>
      </c>
      <c r="AO114">
        <f t="shared" si="192"/>
        <v>5634</v>
      </c>
      <c r="AP114">
        <f t="shared" si="193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194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195"/>
        <v>200</v>
      </c>
      <c r="AW114">
        <f t="shared" si="196"/>
        <v>38490</v>
      </c>
      <c r="AX114">
        <f>_xlfn.XLOOKUP(B114,'[5]july-2025'!$A:$A,'[5]july-2025'!$C:$C,0,0)</f>
        <v>32200</v>
      </c>
      <c r="AY114">
        <f t="shared" si="197"/>
        <v>5796</v>
      </c>
      <c r="AZ114">
        <v>0</v>
      </c>
      <c r="BA114">
        <f t="shared" si="198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>IF(AX114&gt;0,SUM(AX114:BC114),0)</f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199"/>
        <v>200</v>
      </c>
      <c r="BH114">
        <f t="shared" si="200"/>
        <v>39660</v>
      </c>
      <c r="BI114">
        <f>_xlfn.XLOOKUP(B114,'[6]august-2025'!$A:$A,'[6]august-2025'!$C:$C,0,0)</f>
        <v>32200</v>
      </c>
      <c r="BJ114">
        <f t="shared" si="201"/>
        <v>5796</v>
      </c>
      <c r="BK114">
        <f t="shared" si="202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03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>IF($F114="YES",0,IF(BN114&gt;40000,200,IF(BN114&gt;25000,150,IF(BN114&gt;15000,130,IF(BN114&gt;10000,110,0)))))</f>
        <v>200</v>
      </c>
      <c r="BR114">
        <f>BN114-BO114-BP114-BQ114</f>
        <v>39660</v>
      </c>
      <c r="BS114">
        <f>_xlfn.XLOOKUP(B114,'[7]september-2025'!$A:$A,'[7]september-2025'!$C:$C,0,0)</f>
        <v>32200</v>
      </c>
      <c r="BT114">
        <f t="shared" si="204"/>
        <v>5796</v>
      </c>
      <c r="BU114">
        <f t="shared" si="205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>IF(BS114&gt;0,SUM(BS114:BW114),0)</f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06"/>
        <v>200</v>
      </c>
      <c r="CB114">
        <f t="shared" si="207"/>
        <v>39660</v>
      </c>
      <c r="CC114">
        <f>_xlfn.XLOOKUP(B114,'[8]october-2025'!$A:$A,'[8]october-2025'!$C:$C,0,0)</f>
        <v>32200</v>
      </c>
      <c r="CD114">
        <f t="shared" si="208"/>
        <v>5796</v>
      </c>
      <c r="CE114">
        <f t="shared" si="209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>IF(CC114&gt;0,SUM(CC114:CG114),0)</f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10"/>
        <v>200</v>
      </c>
      <c r="CL114">
        <f t="shared" si="211"/>
        <v>39660</v>
      </c>
      <c r="CM114">
        <f>_xlfn.XLOOKUP(B114,'[9]november-2025'!$A:$A,'[9]november-2025'!$C:$C,0,0)</f>
        <v>32200</v>
      </c>
      <c r="CN114">
        <f t="shared" si="212"/>
        <v>5796</v>
      </c>
      <c r="CO114">
        <f t="shared" si="213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>IF(CM114&gt;0,SUM(CM114:CQ114),0)</f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14"/>
        <v>200</v>
      </c>
      <c r="CV114">
        <f t="shared" si="215"/>
        <v>39660</v>
      </c>
      <c r="CW114">
        <f>_xlfn.XLOOKUP(B114,'[10]december-2025'!$A:$A,'[10]december-2025'!$C:$C,0,0)</f>
        <v>32200</v>
      </c>
      <c r="CX114">
        <f t="shared" si="216"/>
        <v>5796</v>
      </c>
      <c r="CY114">
        <f t="shared" si="217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>IF(CW114&gt;0,SUM(CW114:DA114),0)</f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18"/>
        <v>200</v>
      </c>
      <c r="DF114">
        <f t="shared" si="219"/>
        <v>39660</v>
      </c>
      <c r="DG114">
        <f>_xlfn.XLOOKUP(B114,'[11]january-2026'!$A:$A,'[11]january-2026'!$C:$C,0,0)</f>
        <v>32200</v>
      </c>
      <c r="DH114">
        <f t="shared" si="220"/>
        <v>5796</v>
      </c>
      <c r="DI114">
        <f t="shared" si="221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>IF(DG114&gt;0,SUM(DG114:DK114),0)</f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22"/>
        <v>200</v>
      </c>
      <c r="DP114">
        <f t="shared" si="223"/>
        <v>39660</v>
      </c>
      <c r="DQ114">
        <f>_xlfn.XLOOKUP(B114,'[12]february-2026'!$A:$A,'[12]february-2026'!$C:$C,0,0)</f>
        <v>32200</v>
      </c>
      <c r="DR114">
        <f t="shared" si="224"/>
        <v>5796</v>
      </c>
      <c r="DS114">
        <f t="shared" si="225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>IF(DQ114&gt;0,SUM(DQ114:DU114),0)</f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26"/>
        <v>200</v>
      </c>
      <c r="DZ114">
        <f t="shared" si="227"/>
        <v>39660</v>
      </c>
      <c r="EA114">
        <f>_xlfn.XLOOKUP(B114,'[1]march-2025'!$A:$A,'[1]march-2025'!$J:$J,0,0)</f>
        <v>0</v>
      </c>
      <c r="EB114">
        <f>_xlfn.XLOOKUP(B114,'[2]april-2025'!$A:$A,'[2]april-2025'!$J:$J,0,0)</f>
        <v>0</v>
      </c>
      <c r="EC114">
        <f>_xlfn.XLOOKUP(B114,'[3]may-2025'!$A:$A,'[3]may-2025'!$J:$J,0,0)</f>
        <v>0</v>
      </c>
      <c r="ED114">
        <f>_xlfn.XLOOKUP(B114,'[4]june-2025'!$A:$A,'[4]june-2025'!$J:$J,0,0)</f>
        <v>0</v>
      </c>
      <c r="EE114">
        <f>_xlfn.XLOOKUP(B114,'[5]july-2025'!$A:$A,'[5]july-2025'!$J:$J,0,0)</f>
        <v>0</v>
      </c>
      <c r="EF114">
        <f>_xlfn.XLOOKUP(B114,'[6]august-2025'!$A:$A,'[6]august-2025'!$J:$J,0,0)</f>
        <v>0</v>
      </c>
      <c r="EG114">
        <f>_xlfn.XLOOKUP(B114,'[7]september-2025'!$A:$A,'[7]september-2025'!$J:$J,0,0)</f>
        <v>0</v>
      </c>
      <c r="EH114">
        <f>_xlfn.XLOOKUP(B114,'[8]october-2025'!$A:$A,'[8]october-2025'!$J:$J,0,0)</f>
        <v>0</v>
      </c>
      <c r="EI114">
        <f>_xlfn.XLOOKUP(C114,'[9]november-2025'!$A:$A,'[9]november-2025'!$J:$J,0,0)</f>
        <v>0</v>
      </c>
      <c r="EJ114">
        <f>_xlfn.XLOOKUP(B114,'[10]december-2025'!$A:$A,'[10]december-2025'!$J:$J,0,0)</f>
        <v>0</v>
      </c>
      <c r="EK114">
        <f>_xlfn.XLOOKUP(B114,'[11]january-2026'!$A:$A,'[11]january-2026'!$J:$J,0,0)</f>
        <v>0</v>
      </c>
      <c r="EL114">
        <f>_xlfn.XLOOKUP(B114,'[12]february-2026'!$A:$A,'[12]february-2026'!$J:$J,0,0)</f>
        <v>0</v>
      </c>
      <c r="EM114">
        <f t="shared" si="228"/>
        <v>0</v>
      </c>
      <c r="EN114">
        <f>DV114+DL114+DB114+CR114+CH114+BX114+BN114+BD114+AS114+AI114+Y114+O114+H114+I114</f>
        <v>503188</v>
      </c>
      <c r="EO114">
        <f>DY114+DO114+DE114+CU114+CK114+CA114+BQ114+BG114+AV114+AL114+AB114+R114</f>
        <v>2350</v>
      </c>
      <c r="EP114">
        <f t="shared" si="229"/>
        <v>50000</v>
      </c>
      <c r="EQ114">
        <v>0</v>
      </c>
      <c r="ER114">
        <f t="shared" si="230"/>
        <v>450838</v>
      </c>
      <c r="ES114">
        <f>DW114+DM114+DC114+CS114+CI114+BY114+BO114+BE114+AT114+AJ114+Z114+P114</f>
        <v>24000</v>
      </c>
      <c r="ET114">
        <f>DX114+DN114+DD114+CT114+CJ114+BZ114+BP114+BF114+AU114+AK114+AA114+Q114</f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231"/>
        <v>24000</v>
      </c>
      <c r="FF114">
        <f t="shared" si="232"/>
        <v>24000</v>
      </c>
      <c r="FG114">
        <f t="shared" si="233"/>
        <v>426838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>SUM(FH114:FN114)+(IF(F114="YES",50000,0))</f>
        <v>0</v>
      </c>
      <c r="FP114">
        <f t="shared" si="234"/>
        <v>426838</v>
      </c>
      <c r="FQ114">
        <f t="shared" si="235"/>
        <v>8842</v>
      </c>
      <c r="FR114">
        <f t="shared" si="236"/>
        <v>0</v>
      </c>
      <c r="FS114">
        <f t="shared" si="237"/>
        <v>8842</v>
      </c>
      <c r="FT114">
        <f t="shared" si="238"/>
        <v>0</v>
      </c>
      <c r="FU114">
        <f t="shared" si="239"/>
        <v>0</v>
      </c>
      <c r="FV114">
        <f t="shared" si="240"/>
        <v>0</v>
      </c>
      <c r="FW114">
        <v>0</v>
      </c>
      <c r="FX114">
        <f t="shared" si="241"/>
        <v>0</v>
      </c>
      <c r="FY114" t="b">
        <f t="shared" si="242"/>
        <v>1</v>
      </c>
      <c r="FZ114">
        <f t="shared" ca="1" si="243"/>
        <v>714</v>
      </c>
      <c r="GA114">
        <f t="shared" ca="1" si="244"/>
        <v>503902</v>
      </c>
      <c r="GB114">
        <f t="shared" si="245"/>
        <v>75000</v>
      </c>
      <c r="GC114">
        <f t="shared" ca="1" si="246"/>
        <v>428902</v>
      </c>
      <c r="GD114">
        <f t="shared" ca="1" si="247"/>
        <v>0</v>
      </c>
      <c r="GE114">
        <f t="shared" ca="1" si="248"/>
        <v>0</v>
      </c>
      <c r="GF114">
        <f t="shared" ca="1" si="249"/>
        <v>0</v>
      </c>
      <c r="GG114">
        <f t="shared" ca="1" si="250"/>
        <v>0</v>
      </c>
      <c r="GH114">
        <f t="shared" ca="1" si="251"/>
        <v>0</v>
      </c>
      <c r="GI114">
        <f t="shared" ca="1" si="252"/>
        <v>0</v>
      </c>
      <c r="GJ114">
        <f ca="1">IF(GC114&gt;1200000,GC114-1200000-IF(F114="YES",50000,0)-GH114,0)</f>
        <v>0</v>
      </c>
      <c r="GK114">
        <f t="shared" ca="1" si="253"/>
        <v>0</v>
      </c>
      <c r="GL114">
        <f t="shared" ca="1" si="254"/>
        <v>0</v>
      </c>
      <c r="GM114">
        <f t="shared" ca="1" si="255"/>
        <v>0</v>
      </c>
      <c r="GN114">
        <f t="shared" ca="1" si="256"/>
        <v>28902</v>
      </c>
      <c r="GO114">
        <f t="shared" ca="1" si="257"/>
        <v>1445.1000000000001</v>
      </c>
      <c r="GP114">
        <f t="shared" ca="1" si="258"/>
        <v>1445</v>
      </c>
      <c r="GQ114">
        <f t="shared" ca="1" si="259"/>
        <v>0</v>
      </c>
      <c r="GR114">
        <f t="shared" ca="1" si="260"/>
        <v>0</v>
      </c>
      <c r="GS114">
        <f t="shared" ca="1" si="261"/>
        <v>1445</v>
      </c>
      <c r="GT114">
        <f t="shared" ca="1" si="262"/>
        <v>0</v>
      </c>
      <c r="GU114" t="b">
        <f t="shared" ca="1" si="263"/>
        <v>0</v>
      </c>
      <c r="GV114">
        <f t="shared" ca="1" si="264"/>
        <v>0</v>
      </c>
      <c r="GW114">
        <f t="shared" ca="1" si="265"/>
        <v>1445</v>
      </c>
      <c r="GX114">
        <f t="shared" ca="1" si="266"/>
        <v>0</v>
      </c>
      <c r="GY114">
        <f t="shared" ca="1" si="267"/>
        <v>0</v>
      </c>
      <c r="GZ114">
        <f t="shared" ca="1" si="268"/>
        <v>0</v>
      </c>
    </row>
    <row r="115" spans="1:208" x14ac:dyDescent="0.25">
      <c r="A115">
        <f>_xlfn.AGGREGATE(3,5,$B$2:B115)</f>
        <v>114</v>
      </c>
      <c r="B115" t="s">
        <v>344</v>
      </c>
      <c r="C115" t="s">
        <v>345</v>
      </c>
      <c r="D115" t="s">
        <v>781</v>
      </c>
      <c r="E115" t="s">
        <v>832</v>
      </c>
      <c r="F115" t="s">
        <v>957</v>
      </c>
      <c r="G115" t="s">
        <v>920</v>
      </c>
      <c r="H115">
        <f t="shared" si="270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179"/>
        <v>7476.0000000000009</v>
      </c>
      <c r="L115">
        <f t="shared" si="180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>IF(J115&gt;0,SUM(J115:N115),0)</f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269"/>
        <v>200</v>
      </c>
      <c r="S115">
        <f t="shared" si="181"/>
        <v>62584</v>
      </c>
      <c r="T115">
        <f>_xlfn.XLOOKUP(B115,'[2]april-2025'!$A:$A,'[2]april-2025'!$C:$C,0,0)</f>
        <v>53400</v>
      </c>
      <c r="U115">
        <f t="shared" si="182"/>
        <v>9612</v>
      </c>
      <c r="V115">
        <f t="shared" si="183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184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185"/>
        <v>200</v>
      </c>
      <c r="AC115">
        <f t="shared" si="186"/>
        <v>64720</v>
      </c>
      <c r="AD115">
        <f>_xlfn.XLOOKUP(B115,'[3]may-2025'!$A:$A,'[3]may-2025'!$C:$C,0,0)</f>
        <v>53400</v>
      </c>
      <c r="AE115">
        <f t="shared" si="187"/>
        <v>9612</v>
      </c>
      <c r="AF115">
        <f t="shared" si="188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189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190"/>
        <v>200</v>
      </c>
      <c r="AM115">
        <f t="shared" si="191"/>
        <v>64720</v>
      </c>
      <c r="AN115">
        <f>_xlfn.XLOOKUP(B115,'[4]june-2025'!$A:$A,'[4]june-2025'!$C:$C,0,0)</f>
        <v>53400</v>
      </c>
      <c r="AO115">
        <f t="shared" si="192"/>
        <v>9612</v>
      </c>
      <c r="AP115">
        <f t="shared" si="193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194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195"/>
        <v>200</v>
      </c>
      <c r="AW115">
        <f t="shared" si="196"/>
        <v>64720</v>
      </c>
      <c r="AX115">
        <f>_xlfn.XLOOKUP(B115,'[5]july-2025'!$A:$A,'[5]july-2025'!$C:$C,0,0)</f>
        <v>55000</v>
      </c>
      <c r="AY115">
        <f t="shared" si="197"/>
        <v>9900</v>
      </c>
      <c r="AZ115">
        <v>0</v>
      </c>
      <c r="BA115">
        <f t="shared" si="198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>IF(AX115&gt;0,SUM(AX115:BC115),0)</f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199"/>
        <v>200</v>
      </c>
      <c r="BH115">
        <f t="shared" si="200"/>
        <v>66800</v>
      </c>
      <c r="BI115">
        <f>_xlfn.XLOOKUP(B115,'[6]august-2025'!$A:$A,'[6]august-2025'!$C:$C,0,0)</f>
        <v>55000</v>
      </c>
      <c r="BJ115">
        <f t="shared" si="201"/>
        <v>9900</v>
      </c>
      <c r="BK115">
        <f t="shared" si="202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03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>IF($F115="YES",0,IF(BN115&gt;40000,200,IF(BN115&gt;25000,150,IF(BN115&gt;15000,130,IF(BN115&gt;10000,110,0)))))</f>
        <v>200</v>
      </c>
      <c r="BR115">
        <f>BN115-BO115-BP115-BQ115</f>
        <v>66800</v>
      </c>
      <c r="BS115">
        <f>_xlfn.XLOOKUP(B115,'[7]september-2025'!$A:$A,'[7]september-2025'!$C:$C,0,0)</f>
        <v>55000</v>
      </c>
      <c r="BT115">
        <f t="shared" si="204"/>
        <v>9900</v>
      </c>
      <c r="BU115">
        <f t="shared" si="205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>IF(BS115&gt;0,SUM(BS115:BW115),0)</f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06"/>
        <v>200</v>
      </c>
      <c r="CB115">
        <f t="shared" si="207"/>
        <v>66800</v>
      </c>
      <c r="CC115">
        <f>_xlfn.XLOOKUP(B115,'[8]october-2025'!$A:$A,'[8]october-2025'!$C:$C,0,0)</f>
        <v>55000</v>
      </c>
      <c r="CD115">
        <f t="shared" si="208"/>
        <v>9900</v>
      </c>
      <c r="CE115">
        <f t="shared" si="209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>IF(CC115&gt;0,SUM(CC115:CG115),0)</f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10"/>
        <v>200</v>
      </c>
      <c r="CL115">
        <f t="shared" si="211"/>
        <v>66800</v>
      </c>
      <c r="CM115">
        <f>_xlfn.XLOOKUP(B115,'[9]november-2025'!$A:$A,'[9]november-2025'!$C:$C,0,0)</f>
        <v>55000</v>
      </c>
      <c r="CN115">
        <f t="shared" si="212"/>
        <v>9900</v>
      </c>
      <c r="CO115">
        <f t="shared" si="213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>IF(CM115&gt;0,SUM(CM115:CQ115),0)</f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14"/>
        <v>200</v>
      </c>
      <c r="CV115">
        <f t="shared" si="215"/>
        <v>66800</v>
      </c>
      <c r="CW115">
        <f>_xlfn.XLOOKUP(B115,'[10]december-2025'!$A:$A,'[10]december-2025'!$C:$C,0,0)</f>
        <v>55000</v>
      </c>
      <c r="CX115">
        <f t="shared" si="216"/>
        <v>9900</v>
      </c>
      <c r="CY115">
        <f t="shared" si="217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>IF(CW115&gt;0,SUM(CW115:DA115),0)</f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18"/>
        <v>200</v>
      </c>
      <c r="DF115">
        <f t="shared" si="219"/>
        <v>66800</v>
      </c>
      <c r="DG115">
        <f>_xlfn.XLOOKUP(B115,'[11]january-2026'!$A:$A,'[11]january-2026'!$C:$C,0,0)</f>
        <v>55000</v>
      </c>
      <c r="DH115">
        <f t="shared" si="220"/>
        <v>9900</v>
      </c>
      <c r="DI115">
        <f t="shared" si="221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>IF(DG115&gt;0,SUM(DG115:DK115),0)</f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22"/>
        <v>200</v>
      </c>
      <c r="DP115">
        <f t="shared" si="223"/>
        <v>66800</v>
      </c>
      <c r="DQ115">
        <f>_xlfn.XLOOKUP(B115,'[12]february-2026'!$A:$A,'[12]february-2026'!$C:$C,0,0)</f>
        <v>55000</v>
      </c>
      <c r="DR115">
        <f t="shared" si="224"/>
        <v>9900</v>
      </c>
      <c r="DS115">
        <f t="shared" si="225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>IF(DQ115&gt;0,SUM(DQ115:DU115),0)</f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26"/>
        <v>200</v>
      </c>
      <c r="DZ115">
        <f t="shared" si="227"/>
        <v>66800</v>
      </c>
      <c r="EA115">
        <f>_xlfn.XLOOKUP(B115,'[1]march-2025'!$A:$A,'[1]march-2025'!$J:$J,0,0)</f>
        <v>0</v>
      </c>
      <c r="EB115">
        <f>_xlfn.XLOOKUP(B115,'[2]april-2025'!$A:$A,'[2]april-2025'!$J:$J,0,0)</f>
        <v>0</v>
      </c>
      <c r="EC115">
        <f>_xlfn.XLOOKUP(B115,'[3]may-2025'!$A:$A,'[3]may-2025'!$J:$J,0,0)</f>
        <v>0</v>
      </c>
      <c r="ED115">
        <f>_xlfn.XLOOKUP(B115,'[4]june-2025'!$A:$A,'[4]june-2025'!$J:$J,0,0)</f>
        <v>0</v>
      </c>
      <c r="EE115">
        <f>_xlfn.XLOOKUP(B115,'[5]july-2025'!$A:$A,'[5]july-2025'!$J:$J,0,0)</f>
        <v>0</v>
      </c>
      <c r="EF115">
        <f>_xlfn.XLOOKUP(B115,'[6]august-2025'!$A:$A,'[6]august-2025'!$J:$J,0,0)</f>
        <v>0</v>
      </c>
      <c r="EG115">
        <f>_xlfn.XLOOKUP(B115,'[7]september-2025'!$A:$A,'[7]september-2025'!$J:$J,0,0)</f>
        <v>0</v>
      </c>
      <c r="EH115">
        <f>_xlfn.XLOOKUP(B115,'[8]october-2025'!$A:$A,'[8]october-2025'!$J:$J,0,0)</f>
        <v>0</v>
      </c>
      <c r="EI115">
        <f>_xlfn.XLOOKUP(C115,'[9]november-2025'!$A:$A,'[9]november-2025'!$J:$J,0,0)</f>
        <v>0</v>
      </c>
      <c r="EJ115">
        <f>_xlfn.XLOOKUP(B115,'[10]december-2025'!$A:$A,'[10]december-2025'!$J:$J,0,0)</f>
        <v>0</v>
      </c>
      <c r="EK115">
        <f>_xlfn.XLOOKUP(B115,'[11]january-2026'!$A:$A,'[11]january-2026'!$J:$J,0,0)</f>
        <v>0</v>
      </c>
      <c r="EL115">
        <f>_xlfn.XLOOKUP(B115,'[12]february-2026'!$A:$A,'[12]february-2026'!$J:$J,0,0)</f>
        <v>0</v>
      </c>
      <c r="EM115">
        <f t="shared" si="228"/>
        <v>0</v>
      </c>
      <c r="EN115">
        <f>DV115+DL115+DB115+CR115+CH115+BX115+BN115+BD115+AS115+AI115+Y115+O115+H115+I115</f>
        <v>860344</v>
      </c>
      <c r="EO115">
        <f>DY115+DO115+DE115+CU115+CK115+CA115+BQ115+BG115+AV115+AL115+AB115+R115</f>
        <v>2400</v>
      </c>
      <c r="EP115">
        <f t="shared" si="229"/>
        <v>50000</v>
      </c>
      <c r="EQ115">
        <v>0</v>
      </c>
      <c r="ER115">
        <f t="shared" si="230"/>
        <v>807944</v>
      </c>
      <c r="ES115">
        <f>DW115+DM115+DC115+CS115+CI115+BY115+BO115+BE115+AT115+AJ115+Z115+P115</f>
        <v>60000</v>
      </c>
      <c r="ET115">
        <f>DX115+DN115+DD115+CT115+CJ115+BZ115+BP115+BF115+AU115+AK115+AA115+Q115</f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231"/>
        <v>60000</v>
      </c>
      <c r="FF115">
        <f t="shared" si="232"/>
        <v>60000</v>
      </c>
      <c r="FG115">
        <f t="shared" si="233"/>
        <v>747944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>SUM(FH115:FN115)+(IF(F115="YES",50000,0))</f>
        <v>0</v>
      </c>
      <c r="FP115">
        <f t="shared" si="234"/>
        <v>747944</v>
      </c>
      <c r="FQ115">
        <f t="shared" si="235"/>
        <v>12500</v>
      </c>
      <c r="FR115">
        <f t="shared" si="236"/>
        <v>49589</v>
      </c>
      <c r="FS115">
        <f t="shared" si="237"/>
        <v>62089</v>
      </c>
      <c r="FT115">
        <f t="shared" si="238"/>
        <v>62089</v>
      </c>
      <c r="FU115">
        <f t="shared" si="239"/>
        <v>2483.56</v>
      </c>
      <c r="FV115">
        <f t="shared" si="240"/>
        <v>64573</v>
      </c>
      <c r="FW115">
        <v>0</v>
      </c>
      <c r="FX115">
        <f t="shared" si="241"/>
        <v>64573</v>
      </c>
      <c r="FY115" t="b">
        <f t="shared" si="242"/>
        <v>1</v>
      </c>
      <c r="FZ115">
        <f t="shared" ca="1" si="243"/>
        <v>943</v>
      </c>
      <c r="GA115">
        <f t="shared" ca="1" si="244"/>
        <v>861287</v>
      </c>
      <c r="GB115">
        <f t="shared" si="245"/>
        <v>75000</v>
      </c>
      <c r="GC115">
        <f t="shared" ca="1" si="246"/>
        <v>786287</v>
      </c>
      <c r="GD115">
        <f t="shared" ca="1" si="247"/>
        <v>0</v>
      </c>
      <c r="GE115">
        <f t="shared" ca="1" si="248"/>
        <v>0</v>
      </c>
      <c r="GF115">
        <f t="shared" ca="1" si="249"/>
        <v>0</v>
      </c>
      <c r="GG115">
        <f t="shared" ca="1" si="250"/>
        <v>0</v>
      </c>
      <c r="GH115">
        <f t="shared" ca="1" si="251"/>
        <v>0</v>
      </c>
      <c r="GI115">
        <f t="shared" ca="1" si="252"/>
        <v>0</v>
      </c>
      <c r="GJ115">
        <f ca="1">IF(GC115&gt;1200000,GC115-1200000-IF(F115="YES",50000,0)-GH115,0)</f>
        <v>0</v>
      </c>
      <c r="GK115">
        <f t="shared" ca="1" si="253"/>
        <v>0</v>
      </c>
      <c r="GL115">
        <f t="shared" ca="1" si="254"/>
        <v>0</v>
      </c>
      <c r="GM115">
        <f t="shared" ca="1" si="255"/>
        <v>0</v>
      </c>
      <c r="GN115">
        <f t="shared" ca="1" si="256"/>
        <v>386287</v>
      </c>
      <c r="GO115">
        <f t="shared" ca="1" si="257"/>
        <v>19314.350000000002</v>
      </c>
      <c r="GP115">
        <f t="shared" ca="1" si="258"/>
        <v>19314</v>
      </c>
      <c r="GQ115">
        <f t="shared" ca="1" si="259"/>
        <v>0</v>
      </c>
      <c r="GR115">
        <f t="shared" ca="1" si="260"/>
        <v>0</v>
      </c>
      <c r="GS115">
        <f t="shared" ca="1" si="261"/>
        <v>19314</v>
      </c>
      <c r="GT115">
        <f t="shared" ca="1" si="262"/>
        <v>0</v>
      </c>
      <c r="GU115" t="b">
        <f t="shared" ca="1" si="263"/>
        <v>0</v>
      </c>
      <c r="GV115">
        <f t="shared" ca="1" si="264"/>
        <v>0</v>
      </c>
      <c r="GW115">
        <f t="shared" ca="1" si="265"/>
        <v>19314</v>
      </c>
      <c r="GX115">
        <f t="shared" ca="1" si="266"/>
        <v>0</v>
      </c>
      <c r="GY115">
        <f t="shared" ca="1" si="267"/>
        <v>0</v>
      </c>
      <c r="GZ115">
        <f t="shared" ca="1" si="268"/>
        <v>0</v>
      </c>
    </row>
    <row r="116" spans="1:208" x14ac:dyDescent="0.25">
      <c r="A116">
        <f>_xlfn.AGGREGATE(3,5,$B$2:B116)</f>
        <v>115</v>
      </c>
      <c r="B116" t="s">
        <v>346</v>
      </c>
      <c r="C116" t="s">
        <v>347</v>
      </c>
      <c r="D116" t="s">
        <v>781</v>
      </c>
      <c r="E116" t="s">
        <v>831</v>
      </c>
      <c r="F116" t="s">
        <v>957</v>
      </c>
      <c r="G116" t="s">
        <v>897</v>
      </c>
      <c r="H116">
        <f t="shared" si="270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179"/>
        <v>4690</v>
      </c>
      <c r="L116">
        <f t="shared" si="180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>IF(J116&gt;0,SUM(J116:N116),0)</f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269"/>
        <v>200</v>
      </c>
      <c r="S116">
        <f t="shared" si="181"/>
        <v>39510</v>
      </c>
      <c r="T116">
        <f>_xlfn.XLOOKUP(B116,'[2]april-2025'!$A:$A,'[2]april-2025'!$C:$C,0,0)</f>
        <v>33500</v>
      </c>
      <c r="U116">
        <f t="shared" si="182"/>
        <v>6030</v>
      </c>
      <c r="V116">
        <f t="shared" si="183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184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185"/>
        <v>200</v>
      </c>
      <c r="AC116">
        <f t="shared" si="186"/>
        <v>40850</v>
      </c>
      <c r="AD116">
        <f>_xlfn.XLOOKUP(B116,'[3]may-2025'!$A:$A,'[3]may-2025'!$C:$C,0,0)</f>
        <v>33500</v>
      </c>
      <c r="AE116">
        <f t="shared" si="187"/>
        <v>6030</v>
      </c>
      <c r="AF116">
        <f t="shared" si="188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189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190"/>
        <v>200</v>
      </c>
      <c r="AM116">
        <f t="shared" si="191"/>
        <v>40850</v>
      </c>
      <c r="AN116">
        <f>_xlfn.XLOOKUP(B116,'[4]june-2025'!$A:$A,'[4]june-2025'!$C:$C,0,0)</f>
        <v>33500</v>
      </c>
      <c r="AO116">
        <f t="shared" si="192"/>
        <v>6030</v>
      </c>
      <c r="AP116">
        <f t="shared" si="193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194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195"/>
        <v>200</v>
      </c>
      <c r="AW116">
        <f t="shared" si="196"/>
        <v>40850</v>
      </c>
      <c r="AX116">
        <f>_xlfn.XLOOKUP(B116,'[5]july-2025'!$A:$A,'[5]july-2025'!$C:$C,0,0)</f>
        <v>34500</v>
      </c>
      <c r="AY116">
        <f t="shared" si="197"/>
        <v>6210</v>
      </c>
      <c r="AZ116">
        <v>0</v>
      </c>
      <c r="BA116">
        <f t="shared" si="198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>IF(AX116&gt;0,SUM(AX116:BC116),0)</f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199"/>
        <v>200</v>
      </c>
      <c r="BH116">
        <f t="shared" si="200"/>
        <v>42150</v>
      </c>
      <c r="BI116">
        <f>_xlfn.XLOOKUP(B116,'[6]august-2025'!$A:$A,'[6]august-2025'!$C:$C,0,0)</f>
        <v>34500</v>
      </c>
      <c r="BJ116">
        <f t="shared" si="201"/>
        <v>6210</v>
      </c>
      <c r="BK116">
        <f t="shared" si="202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03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>IF($F116="YES",0,IF(BN116&gt;40000,200,IF(BN116&gt;25000,150,IF(BN116&gt;15000,130,IF(BN116&gt;10000,110,0)))))</f>
        <v>200</v>
      </c>
      <c r="BR116">
        <f>BN116-BO116-BP116-BQ116</f>
        <v>42150</v>
      </c>
      <c r="BS116">
        <f>_xlfn.XLOOKUP(B116,'[7]september-2025'!$A:$A,'[7]september-2025'!$C:$C,0,0)</f>
        <v>34500</v>
      </c>
      <c r="BT116">
        <f t="shared" si="204"/>
        <v>6210</v>
      </c>
      <c r="BU116">
        <f t="shared" si="205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>IF(BS116&gt;0,SUM(BS116:BW116),0)</f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06"/>
        <v>200</v>
      </c>
      <c r="CB116">
        <f t="shared" si="207"/>
        <v>42150</v>
      </c>
      <c r="CC116">
        <f>_xlfn.XLOOKUP(B116,'[8]october-2025'!$A:$A,'[8]october-2025'!$C:$C,0,0)</f>
        <v>34500</v>
      </c>
      <c r="CD116">
        <f t="shared" si="208"/>
        <v>6210</v>
      </c>
      <c r="CE116">
        <f t="shared" si="209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>IF(CC116&gt;0,SUM(CC116:CG116),0)</f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10"/>
        <v>200</v>
      </c>
      <c r="CL116">
        <f t="shared" si="211"/>
        <v>42150</v>
      </c>
      <c r="CM116">
        <f>_xlfn.XLOOKUP(B116,'[9]november-2025'!$A:$A,'[9]november-2025'!$C:$C,0,0)</f>
        <v>34500</v>
      </c>
      <c r="CN116">
        <f t="shared" si="212"/>
        <v>6210</v>
      </c>
      <c r="CO116">
        <f t="shared" si="213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>IF(CM116&gt;0,SUM(CM116:CQ116),0)</f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14"/>
        <v>200</v>
      </c>
      <c r="CV116">
        <f t="shared" si="215"/>
        <v>42150</v>
      </c>
      <c r="CW116">
        <f>_xlfn.XLOOKUP(B116,'[10]december-2025'!$A:$A,'[10]december-2025'!$C:$C,0,0)</f>
        <v>34500</v>
      </c>
      <c r="CX116">
        <f t="shared" si="216"/>
        <v>6210</v>
      </c>
      <c r="CY116">
        <f t="shared" si="217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>IF(CW116&gt;0,SUM(CW116:DA116),0)</f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18"/>
        <v>200</v>
      </c>
      <c r="DF116">
        <f t="shared" si="219"/>
        <v>42150</v>
      </c>
      <c r="DG116">
        <f>_xlfn.XLOOKUP(B116,'[11]january-2026'!$A:$A,'[11]january-2026'!$C:$C,0,0)</f>
        <v>34500</v>
      </c>
      <c r="DH116">
        <f t="shared" si="220"/>
        <v>6210</v>
      </c>
      <c r="DI116">
        <f t="shared" si="221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>IF(DG116&gt;0,SUM(DG116:DK116),0)</f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22"/>
        <v>200</v>
      </c>
      <c r="DP116">
        <f t="shared" si="223"/>
        <v>42150</v>
      </c>
      <c r="DQ116">
        <f>_xlfn.XLOOKUP(B116,'[12]february-2026'!$A:$A,'[12]february-2026'!$C:$C,0,0)</f>
        <v>34500</v>
      </c>
      <c r="DR116">
        <f t="shared" si="224"/>
        <v>6210</v>
      </c>
      <c r="DS116">
        <f t="shared" si="225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>IF(DQ116&gt;0,SUM(DQ116:DU116),0)</f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26"/>
        <v>200</v>
      </c>
      <c r="DZ116">
        <f t="shared" si="227"/>
        <v>42150</v>
      </c>
      <c r="EA116">
        <f>_xlfn.XLOOKUP(B116,'[1]march-2025'!$A:$A,'[1]march-2025'!$J:$J,0,0)</f>
        <v>0</v>
      </c>
      <c r="EB116">
        <f>_xlfn.XLOOKUP(B116,'[2]april-2025'!$A:$A,'[2]april-2025'!$J:$J,0,0)</f>
        <v>0</v>
      </c>
      <c r="EC116">
        <f>_xlfn.XLOOKUP(B116,'[3]may-2025'!$A:$A,'[3]may-2025'!$J:$J,0,0)</f>
        <v>0</v>
      </c>
      <c r="ED116">
        <f>_xlfn.XLOOKUP(B116,'[4]june-2025'!$A:$A,'[4]june-2025'!$J:$J,0,0)</f>
        <v>0</v>
      </c>
      <c r="EE116">
        <f>_xlfn.XLOOKUP(B116,'[5]july-2025'!$A:$A,'[5]july-2025'!$J:$J,0,0)</f>
        <v>0</v>
      </c>
      <c r="EF116">
        <f>_xlfn.XLOOKUP(B116,'[6]august-2025'!$A:$A,'[6]august-2025'!$J:$J,0,0)</f>
        <v>0</v>
      </c>
      <c r="EG116">
        <f>_xlfn.XLOOKUP(B116,'[7]september-2025'!$A:$A,'[7]september-2025'!$J:$J,0,0)</f>
        <v>0</v>
      </c>
      <c r="EH116">
        <f>_xlfn.XLOOKUP(B116,'[8]october-2025'!$A:$A,'[8]october-2025'!$J:$J,0,0)</f>
        <v>0</v>
      </c>
      <c r="EI116">
        <f>_xlfn.XLOOKUP(C116,'[9]november-2025'!$A:$A,'[9]november-2025'!$J:$J,0,0)</f>
        <v>0</v>
      </c>
      <c r="EJ116">
        <f>_xlfn.XLOOKUP(B116,'[10]december-2025'!$A:$A,'[10]december-2025'!$J:$J,0,0)</f>
        <v>0</v>
      </c>
      <c r="EK116">
        <f>_xlfn.XLOOKUP(B116,'[11]january-2026'!$A:$A,'[11]january-2026'!$J:$J,0,0)</f>
        <v>0</v>
      </c>
      <c r="EL116">
        <f>_xlfn.XLOOKUP(B116,'[12]february-2026'!$A:$A,'[12]february-2026'!$J:$J,0,0)</f>
        <v>0</v>
      </c>
      <c r="EM116">
        <f t="shared" si="228"/>
        <v>0</v>
      </c>
      <c r="EN116">
        <f>DV116+DL116+DB116+CR116+CH116+BX116+BN116+BD116+AS116+AI116+Y116+O116+H116+I116</f>
        <v>538460</v>
      </c>
      <c r="EO116">
        <f>DY116+DO116+DE116+CU116+CK116+CA116+BQ116+BG116+AV116+AL116+AB116+R116</f>
        <v>2400</v>
      </c>
      <c r="EP116">
        <f t="shared" si="229"/>
        <v>50000</v>
      </c>
      <c r="EQ116">
        <v>0</v>
      </c>
      <c r="ER116">
        <f t="shared" si="230"/>
        <v>486060</v>
      </c>
      <c r="ES116">
        <f>DW116+DM116+DC116+CS116+CI116+BY116+BO116+BE116+AT116+AJ116+Z116+P116</f>
        <v>30000</v>
      </c>
      <c r="ET116">
        <f>DX116+DN116+DD116+CT116+CJ116+BZ116+BP116+BF116+AU116+AK116+AA116+Q116</f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231"/>
        <v>30000</v>
      </c>
      <c r="FF116">
        <f t="shared" si="232"/>
        <v>30000</v>
      </c>
      <c r="FG116">
        <f t="shared" si="233"/>
        <v>456060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>SUM(FH116:FN116)+(IF(F116="YES",50000,0))</f>
        <v>0</v>
      </c>
      <c r="FP116">
        <f t="shared" si="234"/>
        <v>456060</v>
      </c>
      <c r="FQ116">
        <f t="shared" si="235"/>
        <v>10303</v>
      </c>
      <c r="FR116">
        <f t="shared" si="236"/>
        <v>0</v>
      </c>
      <c r="FS116">
        <f t="shared" si="237"/>
        <v>10303</v>
      </c>
      <c r="FT116">
        <f t="shared" si="238"/>
        <v>0</v>
      </c>
      <c r="FU116">
        <f t="shared" si="239"/>
        <v>0</v>
      </c>
      <c r="FV116">
        <f t="shared" si="240"/>
        <v>0</v>
      </c>
      <c r="FW116">
        <v>0</v>
      </c>
      <c r="FX116">
        <f t="shared" si="241"/>
        <v>0</v>
      </c>
      <c r="FY116" t="b">
        <f t="shared" si="242"/>
        <v>1</v>
      </c>
      <c r="FZ116">
        <f t="shared" ca="1" si="243"/>
        <v>745</v>
      </c>
      <c r="GA116">
        <f t="shared" ca="1" si="244"/>
        <v>539205</v>
      </c>
      <c r="GB116">
        <f t="shared" si="245"/>
        <v>75000</v>
      </c>
      <c r="GC116">
        <f t="shared" ca="1" si="246"/>
        <v>464205</v>
      </c>
      <c r="GD116">
        <f t="shared" ca="1" si="247"/>
        <v>0</v>
      </c>
      <c r="GE116">
        <f t="shared" ca="1" si="248"/>
        <v>0</v>
      </c>
      <c r="GF116">
        <f t="shared" ca="1" si="249"/>
        <v>0</v>
      </c>
      <c r="GG116">
        <f t="shared" ca="1" si="250"/>
        <v>0</v>
      </c>
      <c r="GH116">
        <f t="shared" ca="1" si="251"/>
        <v>0</v>
      </c>
      <c r="GI116">
        <f t="shared" ca="1" si="252"/>
        <v>0</v>
      </c>
      <c r="GJ116">
        <f ca="1">IF(GC116&gt;1200000,GC116-1200000-IF(F116="YES",50000,0)-GH116,0)</f>
        <v>0</v>
      </c>
      <c r="GK116">
        <f t="shared" ca="1" si="253"/>
        <v>0</v>
      </c>
      <c r="GL116">
        <f t="shared" ca="1" si="254"/>
        <v>0</v>
      </c>
      <c r="GM116">
        <f t="shared" ca="1" si="255"/>
        <v>0</v>
      </c>
      <c r="GN116">
        <f t="shared" ca="1" si="256"/>
        <v>64205</v>
      </c>
      <c r="GO116">
        <f t="shared" ca="1" si="257"/>
        <v>3210.25</v>
      </c>
      <c r="GP116">
        <f t="shared" ca="1" si="258"/>
        <v>3210</v>
      </c>
      <c r="GQ116">
        <f t="shared" ca="1" si="259"/>
        <v>0</v>
      </c>
      <c r="GR116">
        <f t="shared" ca="1" si="260"/>
        <v>0</v>
      </c>
      <c r="GS116">
        <f t="shared" ca="1" si="261"/>
        <v>3210</v>
      </c>
      <c r="GT116">
        <f t="shared" ca="1" si="262"/>
        <v>0</v>
      </c>
      <c r="GU116" t="b">
        <f t="shared" ca="1" si="263"/>
        <v>0</v>
      </c>
      <c r="GV116">
        <f t="shared" ca="1" si="264"/>
        <v>0</v>
      </c>
      <c r="GW116">
        <f t="shared" ca="1" si="265"/>
        <v>3210</v>
      </c>
      <c r="GX116">
        <f t="shared" ca="1" si="266"/>
        <v>0</v>
      </c>
      <c r="GY116">
        <f t="shared" ca="1" si="267"/>
        <v>0</v>
      </c>
      <c r="GZ116">
        <f t="shared" ca="1" si="268"/>
        <v>0</v>
      </c>
    </row>
    <row r="117" spans="1:208" x14ac:dyDescent="0.25">
      <c r="A117">
        <f>_xlfn.AGGREGATE(3,5,$B$2:B117)</f>
        <v>116</v>
      </c>
      <c r="B117" t="s">
        <v>348</v>
      </c>
      <c r="C117" t="s">
        <v>349</v>
      </c>
      <c r="D117" t="s">
        <v>782</v>
      </c>
      <c r="E117" t="s">
        <v>832</v>
      </c>
      <c r="F117" t="s">
        <v>957</v>
      </c>
      <c r="G117" t="s">
        <v>880</v>
      </c>
      <c r="H117">
        <f t="shared" si="270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179"/>
        <v>7238.0000000000009</v>
      </c>
      <c r="L117">
        <f t="shared" si="180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>IF(J117&gt;0,SUM(J117:N117),0)</f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269"/>
        <v>200</v>
      </c>
      <c r="S117">
        <f t="shared" si="181"/>
        <v>60842</v>
      </c>
      <c r="T117">
        <f>_xlfn.XLOOKUP(B117,'[2]april-2025'!$A:$A,'[2]april-2025'!$C:$C,0,0)</f>
        <v>51700</v>
      </c>
      <c r="U117">
        <f t="shared" si="182"/>
        <v>9306</v>
      </c>
      <c r="V117">
        <f t="shared" si="183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184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185"/>
        <v>200</v>
      </c>
      <c r="AC117">
        <f t="shared" si="186"/>
        <v>62910</v>
      </c>
      <c r="AD117">
        <f>_xlfn.XLOOKUP(B117,'[3]may-2025'!$A:$A,'[3]may-2025'!$C:$C,0,0)</f>
        <v>51700</v>
      </c>
      <c r="AE117">
        <f t="shared" si="187"/>
        <v>9306</v>
      </c>
      <c r="AF117">
        <f t="shared" si="188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189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190"/>
        <v>200</v>
      </c>
      <c r="AM117">
        <f t="shared" si="191"/>
        <v>62910</v>
      </c>
      <c r="AN117">
        <f>_xlfn.XLOOKUP(B117,'[4]june-2025'!$A:$A,'[4]june-2025'!$C:$C,0,0)</f>
        <v>51700</v>
      </c>
      <c r="AO117">
        <f t="shared" si="192"/>
        <v>9306</v>
      </c>
      <c r="AP117">
        <f t="shared" si="193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194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195"/>
        <v>200</v>
      </c>
      <c r="AW117">
        <f t="shared" si="196"/>
        <v>62910</v>
      </c>
      <c r="AX117">
        <f>_xlfn.XLOOKUP(B117,'[5]july-2025'!$A:$A,'[5]july-2025'!$C:$C,0,0)</f>
        <v>53300</v>
      </c>
      <c r="AY117">
        <f t="shared" si="197"/>
        <v>9594</v>
      </c>
      <c r="AZ117">
        <v>0</v>
      </c>
      <c r="BA117">
        <f t="shared" si="198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>IF(AX117&gt;0,SUM(AX117:BC117),0)</f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199"/>
        <v>200</v>
      </c>
      <c r="BH117">
        <f t="shared" si="200"/>
        <v>64990</v>
      </c>
      <c r="BI117">
        <f>_xlfn.XLOOKUP(B117,'[6]august-2025'!$A:$A,'[6]august-2025'!$C:$C,0,0)</f>
        <v>53300</v>
      </c>
      <c r="BJ117">
        <f t="shared" si="201"/>
        <v>9594</v>
      </c>
      <c r="BK117">
        <f t="shared" si="202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03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>IF($F117="YES",0,IF(BN117&gt;40000,200,IF(BN117&gt;25000,150,IF(BN117&gt;15000,130,IF(BN117&gt;10000,110,0)))))</f>
        <v>200</v>
      </c>
      <c r="BR117">
        <f>BN117-BO117-BP117-BQ117</f>
        <v>64990</v>
      </c>
      <c r="BS117">
        <f>_xlfn.XLOOKUP(B117,'[7]september-2025'!$A:$A,'[7]september-2025'!$C:$C,0,0)</f>
        <v>53300</v>
      </c>
      <c r="BT117">
        <f t="shared" si="204"/>
        <v>9594</v>
      </c>
      <c r="BU117">
        <f t="shared" si="205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>IF(BS117&gt;0,SUM(BS117:BW117),0)</f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06"/>
        <v>200</v>
      </c>
      <c r="CB117">
        <f t="shared" si="207"/>
        <v>64990</v>
      </c>
      <c r="CC117">
        <f>_xlfn.XLOOKUP(B117,'[8]october-2025'!$A:$A,'[8]october-2025'!$C:$C,0,0)</f>
        <v>53300</v>
      </c>
      <c r="CD117">
        <f t="shared" si="208"/>
        <v>9594</v>
      </c>
      <c r="CE117">
        <f t="shared" si="209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>IF(CC117&gt;0,SUM(CC117:CG117),0)</f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10"/>
        <v>200</v>
      </c>
      <c r="CL117">
        <f t="shared" si="211"/>
        <v>64990</v>
      </c>
      <c r="CM117">
        <f>_xlfn.XLOOKUP(B117,'[9]november-2025'!$A:$A,'[9]november-2025'!$C:$C,0,0)</f>
        <v>53300</v>
      </c>
      <c r="CN117">
        <f t="shared" si="212"/>
        <v>9594</v>
      </c>
      <c r="CO117">
        <f t="shared" si="213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>IF(CM117&gt;0,SUM(CM117:CQ117),0)</f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14"/>
        <v>200</v>
      </c>
      <c r="CV117">
        <f t="shared" si="215"/>
        <v>64990</v>
      </c>
      <c r="CW117">
        <f>_xlfn.XLOOKUP(B117,'[10]december-2025'!$A:$A,'[10]december-2025'!$C:$C,0,0)</f>
        <v>53300</v>
      </c>
      <c r="CX117">
        <f t="shared" si="216"/>
        <v>9594</v>
      </c>
      <c r="CY117">
        <f t="shared" si="217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>IF(CW117&gt;0,SUM(CW117:DA117),0)</f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18"/>
        <v>200</v>
      </c>
      <c r="DF117">
        <f t="shared" si="219"/>
        <v>64990</v>
      </c>
      <c r="DG117">
        <f>_xlfn.XLOOKUP(B117,'[11]january-2026'!$A:$A,'[11]january-2026'!$C:$C,0,0)</f>
        <v>53300</v>
      </c>
      <c r="DH117">
        <f t="shared" si="220"/>
        <v>9594</v>
      </c>
      <c r="DI117">
        <f t="shared" si="221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>IF(DG117&gt;0,SUM(DG117:DK117),0)</f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22"/>
        <v>200</v>
      </c>
      <c r="DP117">
        <f t="shared" si="223"/>
        <v>64990</v>
      </c>
      <c r="DQ117">
        <f>_xlfn.XLOOKUP(B117,'[12]february-2026'!$A:$A,'[12]february-2026'!$C:$C,0,0)</f>
        <v>53300</v>
      </c>
      <c r="DR117">
        <f t="shared" si="224"/>
        <v>9594</v>
      </c>
      <c r="DS117">
        <f t="shared" si="225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>IF(DQ117&gt;0,SUM(DQ117:DU117),0)</f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26"/>
        <v>200</v>
      </c>
      <c r="DZ117">
        <f t="shared" si="227"/>
        <v>64990</v>
      </c>
      <c r="EA117">
        <f>_xlfn.XLOOKUP(B117,'[1]march-2025'!$A:$A,'[1]march-2025'!$J:$J,0,0)</f>
        <v>0</v>
      </c>
      <c r="EB117">
        <f>_xlfn.XLOOKUP(B117,'[2]april-2025'!$A:$A,'[2]april-2025'!$J:$J,0,0)</f>
        <v>0</v>
      </c>
      <c r="EC117">
        <f>_xlfn.XLOOKUP(B117,'[3]may-2025'!$A:$A,'[3]may-2025'!$J:$J,0,0)</f>
        <v>0</v>
      </c>
      <c r="ED117">
        <f>_xlfn.XLOOKUP(B117,'[4]june-2025'!$A:$A,'[4]june-2025'!$J:$J,0,0)</f>
        <v>0</v>
      </c>
      <c r="EE117">
        <f>_xlfn.XLOOKUP(B117,'[5]july-2025'!$A:$A,'[5]july-2025'!$J:$J,0,0)</f>
        <v>0</v>
      </c>
      <c r="EF117">
        <f>_xlfn.XLOOKUP(B117,'[6]august-2025'!$A:$A,'[6]august-2025'!$J:$J,0,0)</f>
        <v>0</v>
      </c>
      <c r="EG117">
        <f>_xlfn.XLOOKUP(B117,'[7]september-2025'!$A:$A,'[7]september-2025'!$J:$J,0,0)</f>
        <v>0</v>
      </c>
      <c r="EH117">
        <f>_xlfn.XLOOKUP(B117,'[8]october-2025'!$A:$A,'[8]october-2025'!$J:$J,0,0)</f>
        <v>0</v>
      </c>
      <c r="EI117">
        <f>_xlfn.XLOOKUP(C117,'[9]november-2025'!$A:$A,'[9]november-2025'!$J:$J,0,0)</f>
        <v>0</v>
      </c>
      <c r="EJ117">
        <f>_xlfn.XLOOKUP(B117,'[10]december-2025'!$A:$A,'[10]december-2025'!$J:$J,0,0)</f>
        <v>0</v>
      </c>
      <c r="EK117">
        <f>_xlfn.XLOOKUP(B117,'[11]january-2026'!$A:$A,'[11]january-2026'!$J:$J,0,0)</f>
        <v>0</v>
      </c>
      <c r="EL117">
        <f>_xlfn.XLOOKUP(B117,'[12]february-2026'!$A:$A,'[12]february-2026'!$J:$J,0,0)</f>
        <v>0</v>
      </c>
      <c r="EM117">
        <f t="shared" si="228"/>
        <v>0</v>
      </c>
      <c r="EN117">
        <f>DV117+DL117+DB117+CR117+CH117+BX117+BN117+BD117+AS117+AI117+Y117+O117+H117+I117</f>
        <v>838692</v>
      </c>
      <c r="EO117">
        <f>DY117+DO117+DE117+CU117+CK117+CA117+BQ117+BG117+AV117+AL117+AB117+R117</f>
        <v>2400</v>
      </c>
      <c r="EP117">
        <f t="shared" si="229"/>
        <v>50000</v>
      </c>
      <c r="EQ117">
        <v>0</v>
      </c>
      <c r="ER117">
        <f t="shared" si="230"/>
        <v>786292</v>
      </c>
      <c r="ES117">
        <f>DW117+DM117+DC117+CS117+CI117+BY117+BO117+BE117+AT117+AJ117+Z117+P117</f>
        <v>60000</v>
      </c>
      <c r="ET117">
        <f>DX117+DN117+DD117+CT117+CJ117+BZ117+BP117+BF117+AU117+AK117+AA117+Q117</f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231"/>
        <v>60000</v>
      </c>
      <c r="FF117">
        <f t="shared" si="232"/>
        <v>60000</v>
      </c>
      <c r="FG117">
        <f t="shared" si="233"/>
        <v>726292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>SUM(FH117:FN117)+(IF(F117="YES",50000,0))</f>
        <v>0</v>
      </c>
      <c r="FP117">
        <f t="shared" si="234"/>
        <v>726292</v>
      </c>
      <c r="FQ117">
        <f t="shared" si="235"/>
        <v>12500</v>
      </c>
      <c r="FR117">
        <f t="shared" si="236"/>
        <v>45258</v>
      </c>
      <c r="FS117">
        <f t="shared" si="237"/>
        <v>57758</v>
      </c>
      <c r="FT117">
        <f t="shared" si="238"/>
        <v>57758</v>
      </c>
      <c r="FU117">
        <f t="shared" si="239"/>
        <v>2310.3200000000002</v>
      </c>
      <c r="FV117">
        <f t="shared" si="240"/>
        <v>60068</v>
      </c>
      <c r="FW117">
        <v>0</v>
      </c>
      <c r="FX117">
        <f t="shared" si="241"/>
        <v>60068</v>
      </c>
      <c r="FY117" t="b">
        <f t="shared" si="242"/>
        <v>1</v>
      </c>
      <c r="FZ117">
        <f t="shared" ca="1" si="243"/>
        <v>581</v>
      </c>
      <c r="GA117">
        <f t="shared" ca="1" si="244"/>
        <v>839273</v>
      </c>
      <c r="GB117">
        <f t="shared" si="245"/>
        <v>75000</v>
      </c>
      <c r="GC117">
        <f t="shared" ca="1" si="246"/>
        <v>764273</v>
      </c>
      <c r="GD117">
        <f t="shared" ca="1" si="247"/>
        <v>0</v>
      </c>
      <c r="GE117">
        <f t="shared" ca="1" si="248"/>
        <v>0</v>
      </c>
      <c r="GF117">
        <f t="shared" ca="1" si="249"/>
        <v>0</v>
      </c>
      <c r="GG117">
        <f t="shared" ca="1" si="250"/>
        <v>0</v>
      </c>
      <c r="GH117">
        <f t="shared" ca="1" si="251"/>
        <v>0</v>
      </c>
      <c r="GI117">
        <f t="shared" ca="1" si="252"/>
        <v>0</v>
      </c>
      <c r="GJ117">
        <f ca="1">IF(GC117&gt;1200000,GC117-1200000-IF(F117="YES",50000,0)-GH117,0)</f>
        <v>0</v>
      </c>
      <c r="GK117">
        <f t="shared" ca="1" si="253"/>
        <v>0</v>
      </c>
      <c r="GL117">
        <f t="shared" ca="1" si="254"/>
        <v>0</v>
      </c>
      <c r="GM117">
        <f t="shared" ca="1" si="255"/>
        <v>0</v>
      </c>
      <c r="GN117">
        <f t="shared" ca="1" si="256"/>
        <v>364273</v>
      </c>
      <c r="GO117">
        <f t="shared" ca="1" si="257"/>
        <v>18213.650000000001</v>
      </c>
      <c r="GP117">
        <f t="shared" ca="1" si="258"/>
        <v>18214</v>
      </c>
      <c r="GQ117">
        <f t="shared" ca="1" si="259"/>
        <v>0</v>
      </c>
      <c r="GR117">
        <f t="shared" ca="1" si="260"/>
        <v>0</v>
      </c>
      <c r="GS117">
        <f t="shared" ca="1" si="261"/>
        <v>18214</v>
      </c>
      <c r="GT117">
        <f t="shared" ca="1" si="262"/>
        <v>0</v>
      </c>
      <c r="GU117" t="b">
        <f t="shared" ca="1" si="263"/>
        <v>0</v>
      </c>
      <c r="GV117">
        <f t="shared" ca="1" si="264"/>
        <v>0</v>
      </c>
      <c r="GW117">
        <f t="shared" ca="1" si="265"/>
        <v>18214</v>
      </c>
      <c r="GX117">
        <f t="shared" ca="1" si="266"/>
        <v>0</v>
      </c>
      <c r="GY117">
        <f t="shared" ca="1" si="267"/>
        <v>0</v>
      </c>
      <c r="GZ117">
        <f t="shared" ca="1" si="268"/>
        <v>0</v>
      </c>
    </row>
    <row r="118" spans="1:208" x14ac:dyDescent="0.25">
      <c r="A118">
        <f>_xlfn.AGGREGATE(3,5,$B$2:B118)</f>
        <v>117</v>
      </c>
      <c r="B118" t="s">
        <v>350</v>
      </c>
      <c r="C118" t="s">
        <v>351</v>
      </c>
      <c r="D118" t="s">
        <v>782</v>
      </c>
      <c r="E118" t="s">
        <v>833</v>
      </c>
      <c r="F118" t="s">
        <v>957</v>
      </c>
      <c r="G118" t="s">
        <v>880</v>
      </c>
      <c r="H118">
        <f t="shared" si="270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179"/>
        <v>6622.0000000000009</v>
      </c>
      <c r="L118">
        <f t="shared" si="180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>IF(J118&gt;0,SUM(J118:N118),0)</f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269"/>
        <v>200</v>
      </c>
      <c r="S118">
        <f t="shared" si="181"/>
        <v>53398</v>
      </c>
      <c r="T118">
        <f>_xlfn.XLOOKUP(B118,'[2]april-2025'!$A:$A,'[2]april-2025'!$C:$C,0,0)</f>
        <v>47300</v>
      </c>
      <c r="U118">
        <f t="shared" si="182"/>
        <v>8514</v>
      </c>
      <c r="V118">
        <f t="shared" si="183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184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185"/>
        <v>200</v>
      </c>
      <c r="AC118">
        <f t="shared" si="186"/>
        <v>55290</v>
      </c>
      <c r="AD118">
        <f>_xlfn.XLOOKUP(B118,'[3]may-2025'!$A:$A,'[3]may-2025'!$C:$C,0,0)</f>
        <v>47300</v>
      </c>
      <c r="AE118">
        <f t="shared" si="187"/>
        <v>8514</v>
      </c>
      <c r="AF118">
        <f t="shared" si="188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189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190"/>
        <v>200</v>
      </c>
      <c r="AM118">
        <f t="shared" si="191"/>
        <v>55290</v>
      </c>
      <c r="AN118">
        <f>_xlfn.XLOOKUP(B118,'[4]june-2025'!$A:$A,'[4]june-2025'!$C:$C,0,0)</f>
        <v>47300</v>
      </c>
      <c r="AO118">
        <f t="shared" si="192"/>
        <v>8514</v>
      </c>
      <c r="AP118">
        <f t="shared" si="193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194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195"/>
        <v>200</v>
      </c>
      <c r="AW118">
        <f t="shared" si="196"/>
        <v>55290</v>
      </c>
      <c r="AX118">
        <f>_xlfn.XLOOKUP(B118,'[5]july-2025'!$A:$A,'[5]july-2025'!$C:$C,0,0)</f>
        <v>48700</v>
      </c>
      <c r="AY118">
        <f t="shared" si="197"/>
        <v>8766</v>
      </c>
      <c r="AZ118">
        <v>0</v>
      </c>
      <c r="BA118">
        <f t="shared" si="198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>IF(AX118&gt;0,SUM(AX118:BC118),0)</f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199"/>
        <v>200</v>
      </c>
      <c r="BH118">
        <f t="shared" si="200"/>
        <v>57110</v>
      </c>
      <c r="BI118">
        <f>_xlfn.XLOOKUP(B118,'[6]august-2025'!$A:$A,'[6]august-2025'!$C:$C,0,0)</f>
        <v>48700</v>
      </c>
      <c r="BJ118">
        <f t="shared" si="201"/>
        <v>8766</v>
      </c>
      <c r="BK118">
        <f t="shared" si="202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03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>IF($F118="YES",0,IF(BN118&gt;40000,200,IF(BN118&gt;25000,150,IF(BN118&gt;15000,130,IF(BN118&gt;10000,110,0)))))</f>
        <v>200</v>
      </c>
      <c r="BR118">
        <f>BN118-BO118-BP118-BQ118</f>
        <v>57110</v>
      </c>
      <c r="BS118">
        <f>_xlfn.XLOOKUP(B118,'[7]september-2025'!$A:$A,'[7]september-2025'!$C:$C,0,0)</f>
        <v>48700</v>
      </c>
      <c r="BT118">
        <f t="shared" si="204"/>
        <v>8766</v>
      </c>
      <c r="BU118">
        <f t="shared" si="205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>IF(BS118&gt;0,SUM(BS118:BW118),0)</f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06"/>
        <v>200</v>
      </c>
      <c r="CB118">
        <f t="shared" si="207"/>
        <v>57110</v>
      </c>
      <c r="CC118">
        <f>_xlfn.XLOOKUP(B118,'[8]october-2025'!$A:$A,'[8]october-2025'!$C:$C,0,0)</f>
        <v>48700</v>
      </c>
      <c r="CD118">
        <f t="shared" si="208"/>
        <v>8766</v>
      </c>
      <c r="CE118">
        <f t="shared" si="209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>IF(CC118&gt;0,SUM(CC118:CG118),0)</f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10"/>
        <v>200</v>
      </c>
      <c r="CL118">
        <f t="shared" si="211"/>
        <v>57110</v>
      </c>
      <c r="CM118">
        <f>_xlfn.XLOOKUP(B118,'[9]november-2025'!$A:$A,'[9]november-2025'!$C:$C,0,0)</f>
        <v>48700</v>
      </c>
      <c r="CN118">
        <f t="shared" si="212"/>
        <v>8766</v>
      </c>
      <c r="CO118">
        <f t="shared" si="213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>IF(CM118&gt;0,SUM(CM118:CQ118),0)</f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14"/>
        <v>200</v>
      </c>
      <c r="CV118">
        <f t="shared" si="215"/>
        <v>57110</v>
      </c>
      <c r="CW118">
        <f>_xlfn.XLOOKUP(B118,'[10]december-2025'!$A:$A,'[10]december-2025'!$C:$C,0,0)</f>
        <v>48700</v>
      </c>
      <c r="CX118">
        <f t="shared" si="216"/>
        <v>8766</v>
      </c>
      <c r="CY118">
        <f t="shared" si="217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>IF(CW118&gt;0,SUM(CW118:DA118),0)</f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18"/>
        <v>200</v>
      </c>
      <c r="DF118">
        <f t="shared" si="219"/>
        <v>57110</v>
      </c>
      <c r="DG118">
        <f>_xlfn.XLOOKUP(B118,'[11]january-2026'!$A:$A,'[11]january-2026'!$C:$C,0,0)</f>
        <v>48700</v>
      </c>
      <c r="DH118">
        <f t="shared" si="220"/>
        <v>8766</v>
      </c>
      <c r="DI118">
        <f t="shared" si="221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>IF(DG118&gt;0,SUM(DG118:DK118),0)</f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22"/>
        <v>200</v>
      </c>
      <c r="DP118">
        <f t="shared" si="223"/>
        <v>57110</v>
      </c>
      <c r="DQ118">
        <f>_xlfn.XLOOKUP(B118,'[12]february-2026'!$A:$A,'[12]february-2026'!$C:$C,0,0)</f>
        <v>48700</v>
      </c>
      <c r="DR118">
        <f t="shared" si="224"/>
        <v>8766</v>
      </c>
      <c r="DS118">
        <f t="shared" si="225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>IF(DQ118&gt;0,SUM(DQ118:DU118),0)</f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26"/>
        <v>200</v>
      </c>
      <c r="DZ118">
        <f t="shared" si="227"/>
        <v>57110</v>
      </c>
      <c r="EA118">
        <f>_xlfn.XLOOKUP(B118,'[1]march-2025'!$A:$A,'[1]march-2025'!$J:$J,0,0)</f>
        <v>0</v>
      </c>
      <c r="EB118">
        <f>_xlfn.XLOOKUP(B118,'[2]april-2025'!$A:$A,'[2]april-2025'!$J:$J,0,0)</f>
        <v>0</v>
      </c>
      <c r="EC118">
        <f>_xlfn.XLOOKUP(B118,'[3]may-2025'!$A:$A,'[3]may-2025'!$J:$J,0,0)</f>
        <v>0</v>
      </c>
      <c r="ED118">
        <f>_xlfn.XLOOKUP(B118,'[4]june-2025'!$A:$A,'[4]june-2025'!$J:$J,0,0)</f>
        <v>0</v>
      </c>
      <c r="EE118">
        <f>_xlfn.XLOOKUP(B118,'[5]july-2025'!$A:$A,'[5]july-2025'!$J:$J,0,0)</f>
        <v>0</v>
      </c>
      <c r="EF118">
        <f>_xlfn.XLOOKUP(B118,'[6]august-2025'!$A:$A,'[6]august-2025'!$J:$J,0,0)</f>
        <v>0</v>
      </c>
      <c r="EG118">
        <f>_xlfn.XLOOKUP(B118,'[7]september-2025'!$A:$A,'[7]september-2025'!$J:$J,0,0)</f>
        <v>0</v>
      </c>
      <c r="EH118">
        <f>_xlfn.XLOOKUP(B118,'[8]october-2025'!$A:$A,'[8]october-2025'!$J:$J,0,0)</f>
        <v>0</v>
      </c>
      <c r="EI118">
        <f>_xlfn.XLOOKUP(C118,'[9]november-2025'!$A:$A,'[9]november-2025'!$J:$J,0,0)</f>
        <v>0</v>
      </c>
      <c r="EJ118">
        <f>_xlfn.XLOOKUP(B118,'[10]december-2025'!$A:$A,'[10]december-2025'!$J:$J,0,0)</f>
        <v>0</v>
      </c>
      <c r="EK118">
        <f>_xlfn.XLOOKUP(B118,'[11]january-2026'!$A:$A,'[11]january-2026'!$J:$J,0,0)</f>
        <v>0</v>
      </c>
      <c r="EL118">
        <f>_xlfn.XLOOKUP(B118,'[12]february-2026'!$A:$A,'[12]february-2026'!$J:$J,0,0)</f>
        <v>0</v>
      </c>
      <c r="EM118">
        <f t="shared" si="228"/>
        <v>0</v>
      </c>
      <c r="EN118">
        <f>DV118+DL118+DB118+CR118+CH118+BX118+BN118+BD118+AS118+AI118+Y118+O118+H118+I118</f>
        <v>757348</v>
      </c>
      <c r="EO118">
        <f>DY118+DO118+DE118+CU118+CK118+CA118+BQ118+BG118+AV118+AL118+AB118+R118</f>
        <v>2400</v>
      </c>
      <c r="EP118">
        <f t="shared" si="229"/>
        <v>50000</v>
      </c>
      <c r="EQ118">
        <v>0</v>
      </c>
      <c r="ER118">
        <f t="shared" si="230"/>
        <v>704948</v>
      </c>
      <c r="ES118">
        <f>DW118+DM118+DC118+CS118+CI118+BY118+BO118+BE118+AT118+AJ118+Z118+P118</f>
        <v>72000</v>
      </c>
      <c r="ET118">
        <f>DX118+DN118+DD118+CT118+CJ118+BZ118+BP118+BF118+AU118+AK118+AA118+Q118</f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231"/>
        <v>72000</v>
      </c>
      <c r="FF118">
        <f t="shared" si="232"/>
        <v>72000</v>
      </c>
      <c r="FG118">
        <f t="shared" si="233"/>
        <v>632948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>SUM(FH118:FN118)+(IF(F118="YES",50000,0))</f>
        <v>0</v>
      </c>
      <c r="FP118">
        <f t="shared" si="234"/>
        <v>632948</v>
      </c>
      <c r="FQ118">
        <f t="shared" si="235"/>
        <v>12500</v>
      </c>
      <c r="FR118">
        <f t="shared" si="236"/>
        <v>26590</v>
      </c>
      <c r="FS118">
        <f t="shared" si="237"/>
        <v>39090</v>
      </c>
      <c r="FT118">
        <f t="shared" si="238"/>
        <v>39090</v>
      </c>
      <c r="FU118">
        <f t="shared" si="239"/>
        <v>1563.6000000000001</v>
      </c>
      <c r="FV118">
        <f t="shared" si="240"/>
        <v>40654</v>
      </c>
      <c r="FW118">
        <v>0</v>
      </c>
      <c r="FX118">
        <f t="shared" si="241"/>
        <v>40654</v>
      </c>
      <c r="FY118" t="b">
        <f t="shared" si="242"/>
        <v>1</v>
      </c>
      <c r="FZ118">
        <f t="shared" ca="1" si="243"/>
        <v>650</v>
      </c>
      <c r="GA118">
        <f t="shared" ca="1" si="244"/>
        <v>757998</v>
      </c>
      <c r="GB118">
        <f t="shared" si="245"/>
        <v>75000</v>
      </c>
      <c r="GC118">
        <f t="shared" ca="1" si="246"/>
        <v>682998</v>
      </c>
      <c r="GD118">
        <f t="shared" ca="1" si="247"/>
        <v>0</v>
      </c>
      <c r="GE118">
        <f t="shared" ca="1" si="248"/>
        <v>0</v>
      </c>
      <c r="GF118">
        <f t="shared" ca="1" si="249"/>
        <v>0</v>
      </c>
      <c r="GG118">
        <f t="shared" ca="1" si="250"/>
        <v>0</v>
      </c>
      <c r="GH118">
        <f t="shared" ca="1" si="251"/>
        <v>0</v>
      </c>
      <c r="GI118">
        <f t="shared" ca="1" si="252"/>
        <v>0</v>
      </c>
      <c r="GJ118">
        <f ca="1">IF(GC118&gt;1200000,GC118-1200000-IF(F118="YES",50000,0)-GH118,0)</f>
        <v>0</v>
      </c>
      <c r="GK118">
        <f t="shared" ca="1" si="253"/>
        <v>0</v>
      </c>
      <c r="GL118">
        <f t="shared" ca="1" si="254"/>
        <v>0</v>
      </c>
      <c r="GM118">
        <f t="shared" ca="1" si="255"/>
        <v>0</v>
      </c>
      <c r="GN118">
        <f t="shared" ca="1" si="256"/>
        <v>282998</v>
      </c>
      <c r="GO118">
        <f t="shared" ca="1" si="257"/>
        <v>14149.900000000001</v>
      </c>
      <c r="GP118">
        <f t="shared" ca="1" si="258"/>
        <v>14150</v>
      </c>
      <c r="GQ118">
        <f t="shared" ca="1" si="259"/>
        <v>0</v>
      </c>
      <c r="GR118">
        <f t="shared" ca="1" si="260"/>
        <v>0</v>
      </c>
      <c r="GS118">
        <f t="shared" ca="1" si="261"/>
        <v>14150</v>
      </c>
      <c r="GT118">
        <f t="shared" ca="1" si="262"/>
        <v>0</v>
      </c>
      <c r="GU118" t="b">
        <f t="shared" ca="1" si="263"/>
        <v>0</v>
      </c>
      <c r="GV118">
        <f t="shared" ca="1" si="264"/>
        <v>0</v>
      </c>
      <c r="GW118">
        <f t="shared" ca="1" si="265"/>
        <v>14150</v>
      </c>
      <c r="GX118">
        <f t="shared" ca="1" si="266"/>
        <v>0</v>
      </c>
      <c r="GY118">
        <f t="shared" ca="1" si="267"/>
        <v>0</v>
      </c>
      <c r="GZ118">
        <f t="shared" ca="1" si="268"/>
        <v>0</v>
      </c>
    </row>
    <row r="119" spans="1:208" x14ac:dyDescent="0.25">
      <c r="A119">
        <f>_xlfn.AGGREGATE(3,5,$B$2:B119)</f>
        <v>118</v>
      </c>
      <c r="B119" t="s">
        <v>352</v>
      </c>
      <c r="C119" t="s">
        <v>353</v>
      </c>
      <c r="D119" t="s">
        <v>782</v>
      </c>
      <c r="E119" t="s">
        <v>831</v>
      </c>
      <c r="F119" t="s">
        <v>957</v>
      </c>
      <c r="G119" t="s">
        <v>893</v>
      </c>
      <c r="H119">
        <f t="shared" si="270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179"/>
        <v>4830.0000000000009</v>
      </c>
      <c r="L119">
        <f t="shared" si="180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>IF(J119&gt;0,SUM(J119:N119),0)</f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269"/>
        <v>200</v>
      </c>
      <c r="S119">
        <f t="shared" si="181"/>
        <v>38270</v>
      </c>
      <c r="T119">
        <f>_xlfn.XLOOKUP(B119,'[2]april-2025'!$A:$A,'[2]april-2025'!$C:$C,0,0)</f>
        <v>34500</v>
      </c>
      <c r="U119">
        <f t="shared" si="182"/>
        <v>6210</v>
      </c>
      <c r="V119">
        <f t="shared" si="183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184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185"/>
        <v>200</v>
      </c>
      <c r="AC119">
        <f t="shared" si="186"/>
        <v>39650</v>
      </c>
      <c r="AD119">
        <f>_xlfn.XLOOKUP(B119,'[3]may-2025'!$A:$A,'[3]may-2025'!$C:$C,0,0)</f>
        <v>34500</v>
      </c>
      <c r="AE119">
        <f t="shared" si="187"/>
        <v>6210</v>
      </c>
      <c r="AF119">
        <f t="shared" si="188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189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190"/>
        <v>200</v>
      </c>
      <c r="AM119">
        <f t="shared" si="191"/>
        <v>39650</v>
      </c>
      <c r="AN119">
        <f>_xlfn.XLOOKUP(B119,'[4]june-2025'!$A:$A,'[4]june-2025'!$C:$C,0,0)</f>
        <v>34500</v>
      </c>
      <c r="AO119">
        <f t="shared" si="192"/>
        <v>6210</v>
      </c>
      <c r="AP119">
        <f t="shared" si="193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194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195"/>
        <v>200</v>
      </c>
      <c r="AW119">
        <f t="shared" si="196"/>
        <v>39650</v>
      </c>
      <c r="AX119">
        <f>_xlfn.XLOOKUP(B119,'[5]july-2025'!$A:$A,'[5]july-2025'!$C:$C,0,0)</f>
        <v>35500</v>
      </c>
      <c r="AY119">
        <f t="shared" si="197"/>
        <v>6390</v>
      </c>
      <c r="AZ119">
        <v>0</v>
      </c>
      <c r="BA119">
        <f t="shared" si="198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>IF(AX119&gt;0,SUM(AX119:BC119),0)</f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199"/>
        <v>200</v>
      </c>
      <c r="BH119">
        <f t="shared" si="200"/>
        <v>40950</v>
      </c>
      <c r="BI119">
        <f>_xlfn.XLOOKUP(B119,'[6]august-2025'!$A:$A,'[6]august-2025'!$C:$C,0,0)</f>
        <v>35500</v>
      </c>
      <c r="BJ119">
        <f t="shared" si="201"/>
        <v>6390</v>
      </c>
      <c r="BK119">
        <f t="shared" si="202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03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>IF($F119="YES",0,IF(BN119&gt;40000,200,IF(BN119&gt;25000,150,IF(BN119&gt;15000,130,IF(BN119&gt;10000,110,0)))))</f>
        <v>200</v>
      </c>
      <c r="BR119">
        <f>BN119-BO119-BP119-BQ119</f>
        <v>40950</v>
      </c>
      <c r="BS119">
        <f>_xlfn.XLOOKUP(B119,'[7]september-2025'!$A:$A,'[7]september-2025'!$C:$C,0,0)</f>
        <v>35500</v>
      </c>
      <c r="BT119">
        <f t="shared" si="204"/>
        <v>6390</v>
      </c>
      <c r="BU119">
        <f t="shared" si="205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>IF(BS119&gt;0,SUM(BS119:BW119),0)</f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06"/>
        <v>200</v>
      </c>
      <c r="CB119">
        <f t="shared" si="207"/>
        <v>40950</v>
      </c>
      <c r="CC119">
        <f>_xlfn.XLOOKUP(B119,'[8]october-2025'!$A:$A,'[8]october-2025'!$C:$C,0,0)</f>
        <v>35500</v>
      </c>
      <c r="CD119">
        <f t="shared" si="208"/>
        <v>6390</v>
      </c>
      <c r="CE119">
        <f t="shared" si="209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>IF(CC119&gt;0,SUM(CC119:CG119),0)</f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10"/>
        <v>200</v>
      </c>
      <c r="CL119">
        <f t="shared" si="211"/>
        <v>40950</v>
      </c>
      <c r="CM119">
        <f>_xlfn.XLOOKUP(B119,'[9]november-2025'!$A:$A,'[9]november-2025'!$C:$C,0,0)</f>
        <v>35500</v>
      </c>
      <c r="CN119">
        <f t="shared" si="212"/>
        <v>6390</v>
      </c>
      <c r="CO119">
        <f t="shared" si="213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>IF(CM119&gt;0,SUM(CM119:CQ119),0)</f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14"/>
        <v>200</v>
      </c>
      <c r="CV119">
        <f t="shared" si="215"/>
        <v>40950</v>
      </c>
      <c r="CW119">
        <f>_xlfn.XLOOKUP(B119,'[10]december-2025'!$A:$A,'[10]december-2025'!$C:$C,0,0)</f>
        <v>35500</v>
      </c>
      <c r="CX119">
        <f t="shared" si="216"/>
        <v>6390</v>
      </c>
      <c r="CY119">
        <f t="shared" si="217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>IF(CW119&gt;0,SUM(CW119:DA119),0)</f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18"/>
        <v>200</v>
      </c>
      <c r="DF119">
        <f t="shared" si="219"/>
        <v>40950</v>
      </c>
      <c r="DG119">
        <f>_xlfn.XLOOKUP(B119,'[11]january-2026'!$A:$A,'[11]january-2026'!$C:$C,0,0)</f>
        <v>35500</v>
      </c>
      <c r="DH119">
        <f t="shared" si="220"/>
        <v>6390</v>
      </c>
      <c r="DI119">
        <f t="shared" si="221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>IF(DG119&gt;0,SUM(DG119:DK119),0)</f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22"/>
        <v>200</v>
      </c>
      <c r="DP119">
        <f t="shared" si="223"/>
        <v>40950</v>
      </c>
      <c r="DQ119">
        <f>_xlfn.XLOOKUP(B119,'[12]february-2026'!$A:$A,'[12]february-2026'!$C:$C,0,0)</f>
        <v>35500</v>
      </c>
      <c r="DR119">
        <f t="shared" si="224"/>
        <v>6390</v>
      </c>
      <c r="DS119">
        <f t="shared" si="225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>IF(DQ119&gt;0,SUM(DQ119:DU119),0)</f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26"/>
        <v>200</v>
      </c>
      <c r="DZ119">
        <f t="shared" si="227"/>
        <v>40950</v>
      </c>
      <c r="EA119">
        <f>_xlfn.XLOOKUP(B119,'[1]march-2025'!$A:$A,'[1]march-2025'!$J:$J,0,0)</f>
        <v>0</v>
      </c>
      <c r="EB119">
        <f>_xlfn.XLOOKUP(B119,'[2]april-2025'!$A:$A,'[2]april-2025'!$J:$J,0,0)</f>
        <v>0</v>
      </c>
      <c r="EC119">
        <f>_xlfn.XLOOKUP(B119,'[3]may-2025'!$A:$A,'[3]may-2025'!$J:$J,0,0)</f>
        <v>0</v>
      </c>
      <c r="ED119">
        <f>_xlfn.XLOOKUP(B119,'[4]june-2025'!$A:$A,'[4]june-2025'!$J:$J,0,0)</f>
        <v>0</v>
      </c>
      <c r="EE119">
        <f>_xlfn.XLOOKUP(B119,'[5]july-2025'!$A:$A,'[5]july-2025'!$J:$J,0,0)</f>
        <v>0</v>
      </c>
      <c r="EF119">
        <f>_xlfn.XLOOKUP(B119,'[6]august-2025'!$A:$A,'[6]august-2025'!$J:$J,0,0)</f>
        <v>0</v>
      </c>
      <c r="EG119">
        <f>_xlfn.XLOOKUP(B119,'[7]september-2025'!$A:$A,'[7]september-2025'!$J:$J,0,0)</f>
        <v>0</v>
      </c>
      <c r="EH119">
        <f>_xlfn.XLOOKUP(B119,'[8]october-2025'!$A:$A,'[8]october-2025'!$J:$J,0,0)</f>
        <v>0</v>
      </c>
      <c r="EI119">
        <f>_xlfn.XLOOKUP(C119,'[9]november-2025'!$A:$A,'[9]november-2025'!$J:$J,0,0)</f>
        <v>0</v>
      </c>
      <c r="EJ119">
        <f>_xlfn.XLOOKUP(B119,'[10]december-2025'!$A:$A,'[10]december-2025'!$J:$J,0,0)</f>
        <v>0</v>
      </c>
      <c r="EK119">
        <f>_xlfn.XLOOKUP(B119,'[11]january-2026'!$A:$A,'[11]january-2026'!$J:$J,0,0)</f>
        <v>0</v>
      </c>
      <c r="EL119">
        <f>_xlfn.XLOOKUP(B119,'[12]february-2026'!$A:$A,'[12]february-2026'!$J:$J,0,0)</f>
        <v>0</v>
      </c>
      <c r="EM119">
        <f t="shared" si="228"/>
        <v>0</v>
      </c>
      <c r="EN119">
        <f>DV119+DL119+DB119+CR119+CH119+BX119+BN119+BD119+AS119+AI119+Y119+O119+H119+I119</f>
        <v>554020</v>
      </c>
      <c r="EO119">
        <f>DY119+DO119+DE119+CU119+CK119+CA119+BQ119+BG119+AV119+AL119+AB119+R119</f>
        <v>2400</v>
      </c>
      <c r="EP119">
        <f t="shared" si="229"/>
        <v>50000</v>
      </c>
      <c r="EQ119">
        <v>0</v>
      </c>
      <c r="ER119">
        <f t="shared" si="230"/>
        <v>501620</v>
      </c>
      <c r="ES119">
        <f>DW119+DM119+DC119+CS119+CI119+BY119+BO119+BE119+AT119+AJ119+Z119+P119</f>
        <v>60000</v>
      </c>
      <c r="ET119">
        <f>DX119+DN119+DD119+CT119+CJ119+BZ119+BP119+BF119+AU119+AK119+AA119+Q119</f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231"/>
        <v>60000</v>
      </c>
      <c r="FF119">
        <f t="shared" si="232"/>
        <v>60000</v>
      </c>
      <c r="FG119">
        <f t="shared" si="233"/>
        <v>441620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>SUM(FH119:FN119)+(IF(F119="YES",50000,0))</f>
        <v>0</v>
      </c>
      <c r="FP119">
        <f t="shared" si="234"/>
        <v>441620</v>
      </c>
      <c r="FQ119">
        <f t="shared" si="235"/>
        <v>9581</v>
      </c>
      <c r="FR119">
        <f t="shared" si="236"/>
        <v>0</v>
      </c>
      <c r="FS119">
        <f t="shared" si="237"/>
        <v>9581</v>
      </c>
      <c r="FT119">
        <f t="shared" si="238"/>
        <v>0</v>
      </c>
      <c r="FU119">
        <f t="shared" si="239"/>
        <v>0</v>
      </c>
      <c r="FV119">
        <f t="shared" si="240"/>
        <v>0</v>
      </c>
      <c r="FW119">
        <v>0</v>
      </c>
      <c r="FX119">
        <f t="shared" si="241"/>
        <v>0</v>
      </c>
      <c r="FY119" t="b">
        <f t="shared" si="242"/>
        <v>1</v>
      </c>
      <c r="FZ119">
        <f t="shared" ca="1" si="243"/>
        <v>646</v>
      </c>
      <c r="GA119">
        <f t="shared" ca="1" si="244"/>
        <v>554666</v>
      </c>
      <c r="GB119">
        <f t="shared" si="245"/>
        <v>75000</v>
      </c>
      <c r="GC119">
        <f t="shared" ca="1" si="246"/>
        <v>479666</v>
      </c>
      <c r="GD119">
        <f t="shared" ca="1" si="247"/>
        <v>0</v>
      </c>
      <c r="GE119">
        <f t="shared" ca="1" si="248"/>
        <v>0</v>
      </c>
      <c r="GF119">
        <f t="shared" ca="1" si="249"/>
        <v>0</v>
      </c>
      <c r="GG119">
        <f t="shared" ca="1" si="250"/>
        <v>0</v>
      </c>
      <c r="GH119">
        <f t="shared" ca="1" si="251"/>
        <v>0</v>
      </c>
      <c r="GI119">
        <f t="shared" ca="1" si="252"/>
        <v>0</v>
      </c>
      <c r="GJ119">
        <f ca="1">IF(GC119&gt;1200000,GC119-1200000-IF(F119="YES",50000,0)-GH119,0)</f>
        <v>0</v>
      </c>
      <c r="GK119">
        <f t="shared" ca="1" si="253"/>
        <v>0</v>
      </c>
      <c r="GL119">
        <f t="shared" ca="1" si="254"/>
        <v>0</v>
      </c>
      <c r="GM119">
        <f t="shared" ca="1" si="255"/>
        <v>0</v>
      </c>
      <c r="GN119">
        <f t="shared" ca="1" si="256"/>
        <v>79666</v>
      </c>
      <c r="GO119">
        <f t="shared" ca="1" si="257"/>
        <v>3983.3</v>
      </c>
      <c r="GP119">
        <f t="shared" ca="1" si="258"/>
        <v>3983</v>
      </c>
      <c r="GQ119">
        <f t="shared" ca="1" si="259"/>
        <v>0</v>
      </c>
      <c r="GR119">
        <f t="shared" ca="1" si="260"/>
        <v>0</v>
      </c>
      <c r="GS119">
        <f t="shared" ca="1" si="261"/>
        <v>3983</v>
      </c>
      <c r="GT119">
        <f t="shared" ca="1" si="262"/>
        <v>0</v>
      </c>
      <c r="GU119" t="b">
        <f t="shared" ca="1" si="263"/>
        <v>0</v>
      </c>
      <c r="GV119">
        <f t="shared" ca="1" si="264"/>
        <v>0</v>
      </c>
      <c r="GW119">
        <f t="shared" ca="1" si="265"/>
        <v>3983</v>
      </c>
      <c r="GX119">
        <f t="shared" ca="1" si="266"/>
        <v>0</v>
      </c>
      <c r="GY119">
        <f t="shared" ca="1" si="267"/>
        <v>0</v>
      </c>
      <c r="GZ119">
        <f t="shared" ca="1" si="268"/>
        <v>0</v>
      </c>
    </row>
    <row r="120" spans="1:208" x14ac:dyDescent="0.25">
      <c r="A120">
        <f>_xlfn.AGGREGATE(3,5,$B$2:B120)</f>
        <v>119</v>
      </c>
      <c r="B120" t="s">
        <v>354</v>
      </c>
      <c r="C120" t="s">
        <v>355</v>
      </c>
      <c r="D120" t="s">
        <v>782</v>
      </c>
      <c r="E120" t="s">
        <v>831</v>
      </c>
      <c r="F120" t="s">
        <v>957</v>
      </c>
      <c r="G120" t="s">
        <v>921</v>
      </c>
      <c r="H120">
        <f t="shared" si="270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179"/>
        <v>4830.0000000000009</v>
      </c>
      <c r="L120">
        <f t="shared" si="180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>IF(J120&gt;0,SUM(J120:N120),0)</f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269"/>
        <v>200</v>
      </c>
      <c r="S120">
        <f t="shared" si="181"/>
        <v>38770</v>
      </c>
      <c r="T120">
        <f>_xlfn.XLOOKUP(B120,'[2]april-2025'!$A:$A,'[2]april-2025'!$C:$C,0,0)</f>
        <v>34500</v>
      </c>
      <c r="U120">
        <f t="shared" si="182"/>
        <v>6210</v>
      </c>
      <c r="V120">
        <f t="shared" si="183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184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185"/>
        <v>200</v>
      </c>
      <c r="AC120">
        <f t="shared" si="186"/>
        <v>40150</v>
      </c>
      <c r="AD120">
        <f>_xlfn.XLOOKUP(B120,'[3]may-2025'!$A:$A,'[3]may-2025'!$C:$C,0,0)</f>
        <v>34500</v>
      </c>
      <c r="AE120">
        <f t="shared" si="187"/>
        <v>6210</v>
      </c>
      <c r="AF120">
        <f t="shared" si="188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189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190"/>
        <v>200</v>
      </c>
      <c r="AM120">
        <f t="shared" si="191"/>
        <v>40150</v>
      </c>
      <c r="AN120">
        <f>_xlfn.XLOOKUP(B120,'[4]june-2025'!$A:$A,'[4]june-2025'!$C:$C,0,0)</f>
        <v>34500</v>
      </c>
      <c r="AO120">
        <f t="shared" si="192"/>
        <v>6210</v>
      </c>
      <c r="AP120">
        <f t="shared" si="193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194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195"/>
        <v>200</v>
      </c>
      <c r="AW120">
        <f t="shared" si="196"/>
        <v>40150</v>
      </c>
      <c r="AX120">
        <f>_xlfn.XLOOKUP(B120,'[5]july-2025'!$A:$A,'[5]july-2025'!$C:$C,0,0)</f>
        <v>35500</v>
      </c>
      <c r="AY120">
        <f t="shared" si="197"/>
        <v>6390</v>
      </c>
      <c r="AZ120">
        <v>0</v>
      </c>
      <c r="BA120">
        <f t="shared" si="198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>IF(AX120&gt;0,SUM(AX120:BC120),0)</f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199"/>
        <v>200</v>
      </c>
      <c r="BH120">
        <f t="shared" si="200"/>
        <v>41450</v>
      </c>
      <c r="BI120">
        <f>_xlfn.XLOOKUP(B120,'[6]august-2025'!$A:$A,'[6]august-2025'!$C:$C,0,0)</f>
        <v>35500</v>
      </c>
      <c r="BJ120">
        <f t="shared" si="201"/>
        <v>6390</v>
      </c>
      <c r="BK120">
        <f t="shared" si="202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03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>IF($F120="YES",0,IF(BN120&gt;40000,200,IF(BN120&gt;25000,150,IF(BN120&gt;15000,130,IF(BN120&gt;10000,110,0)))))</f>
        <v>200</v>
      </c>
      <c r="BR120">
        <f>BN120-BO120-BP120-BQ120</f>
        <v>41450</v>
      </c>
      <c r="BS120">
        <f>_xlfn.XLOOKUP(B120,'[7]september-2025'!$A:$A,'[7]september-2025'!$C:$C,0,0)</f>
        <v>35500</v>
      </c>
      <c r="BT120">
        <f t="shared" si="204"/>
        <v>6390</v>
      </c>
      <c r="BU120">
        <f t="shared" si="205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>IF(BS120&gt;0,SUM(BS120:BW120),0)</f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06"/>
        <v>200</v>
      </c>
      <c r="CB120">
        <f t="shared" si="207"/>
        <v>41450</v>
      </c>
      <c r="CC120">
        <f>_xlfn.XLOOKUP(B120,'[8]october-2025'!$A:$A,'[8]october-2025'!$C:$C,0,0)</f>
        <v>35500</v>
      </c>
      <c r="CD120">
        <f t="shared" si="208"/>
        <v>6390</v>
      </c>
      <c r="CE120">
        <f t="shared" si="209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>IF(CC120&gt;0,SUM(CC120:CG120),0)</f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10"/>
        <v>200</v>
      </c>
      <c r="CL120">
        <f t="shared" si="211"/>
        <v>41450</v>
      </c>
      <c r="CM120">
        <f>_xlfn.XLOOKUP(B120,'[9]november-2025'!$A:$A,'[9]november-2025'!$C:$C,0,0)</f>
        <v>35500</v>
      </c>
      <c r="CN120">
        <f t="shared" si="212"/>
        <v>6390</v>
      </c>
      <c r="CO120">
        <f t="shared" si="213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>IF(CM120&gt;0,SUM(CM120:CQ120),0)</f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14"/>
        <v>200</v>
      </c>
      <c r="CV120">
        <f t="shared" si="215"/>
        <v>41450</v>
      </c>
      <c r="CW120">
        <f>_xlfn.XLOOKUP(B120,'[10]december-2025'!$A:$A,'[10]december-2025'!$C:$C,0,0)</f>
        <v>35500</v>
      </c>
      <c r="CX120">
        <f t="shared" si="216"/>
        <v>6390</v>
      </c>
      <c r="CY120">
        <f t="shared" si="217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>IF(CW120&gt;0,SUM(CW120:DA120),0)</f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18"/>
        <v>200</v>
      </c>
      <c r="DF120">
        <f t="shared" si="219"/>
        <v>41450</v>
      </c>
      <c r="DG120">
        <f>_xlfn.XLOOKUP(B120,'[11]january-2026'!$A:$A,'[11]january-2026'!$C:$C,0,0)</f>
        <v>35500</v>
      </c>
      <c r="DH120">
        <f t="shared" si="220"/>
        <v>6390</v>
      </c>
      <c r="DI120">
        <f t="shared" si="221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>IF(DG120&gt;0,SUM(DG120:DK120),0)</f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22"/>
        <v>200</v>
      </c>
      <c r="DP120">
        <f t="shared" si="223"/>
        <v>41450</v>
      </c>
      <c r="DQ120">
        <f>_xlfn.XLOOKUP(B120,'[12]february-2026'!$A:$A,'[12]february-2026'!$C:$C,0,0)</f>
        <v>35500</v>
      </c>
      <c r="DR120">
        <f t="shared" si="224"/>
        <v>6390</v>
      </c>
      <c r="DS120">
        <f t="shared" si="225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>IF(DQ120&gt;0,SUM(DQ120:DU120),0)</f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26"/>
        <v>200</v>
      </c>
      <c r="DZ120">
        <f t="shared" si="227"/>
        <v>41450</v>
      </c>
      <c r="EA120">
        <f>_xlfn.XLOOKUP(B120,'[1]march-2025'!$A:$A,'[1]march-2025'!$J:$J,0,0)</f>
        <v>0</v>
      </c>
      <c r="EB120">
        <f>_xlfn.XLOOKUP(B120,'[2]april-2025'!$A:$A,'[2]april-2025'!$J:$J,0,0)</f>
        <v>0</v>
      </c>
      <c r="EC120">
        <f>_xlfn.XLOOKUP(B120,'[3]may-2025'!$A:$A,'[3]may-2025'!$J:$J,0,0)</f>
        <v>0</v>
      </c>
      <c r="ED120">
        <f>_xlfn.XLOOKUP(B120,'[4]june-2025'!$A:$A,'[4]june-2025'!$J:$J,0,0)</f>
        <v>0</v>
      </c>
      <c r="EE120">
        <f>_xlfn.XLOOKUP(B120,'[5]july-2025'!$A:$A,'[5]july-2025'!$J:$J,0,0)</f>
        <v>0</v>
      </c>
      <c r="EF120">
        <f>_xlfn.XLOOKUP(B120,'[6]august-2025'!$A:$A,'[6]august-2025'!$J:$J,0,0)</f>
        <v>0</v>
      </c>
      <c r="EG120">
        <f>_xlfn.XLOOKUP(B120,'[7]september-2025'!$A:$A,'[7]september-2025'!$J:$J,0,0)</f>
        <v>0</v>
      </c>
      <c r="EH120">
        <f>_xlfn.XLOOKUP(B120,'[8]october-2025'!$A:$A,'[8]october-2025'!$J:$J,0,0)</f>
        <v>0</v>
      </c>
      <c r="EI120">
        <f>_xlfn.XLOOKUP(C120,'[9]november-2025'!$A:$A,'[9]november-2025'!$J:$J,0,0)</f>
        <v>0</v>
      </c>
      <c r="EJ120">
        <f>_xlfn.XLOOKUP(B120,'[10]december-2025'!$A:$A,'[10]december-2025'!$J:$J,0,0)</f>
        <v>0</v>
      </c>
      <c r="EK120">
        <f>_xlfn.XLOOKUP(B120,'[11]january-2026'!$A:$A,'[11]january-2026'!$J:$J,0,0)</f>
        <v>0</v>
      </c>
      <c r="EL120">
        <f>_xlfn.XLOOKUP(B120,'[12]february-2026'!$A:$A,'[12]february-2026'!$J:$J,0,0)</f>
        <v>0</v>
      </c>
      <c r="EM120">
        <f t="shared" si="228"/>
        <v>0</v>
      </c>
      <c r="EN120">
        <f>DV120+DL120+DB120+CR120+CH120+BX120+BN120+BD120+AS120+AI120+Y120+O120+H120+I120</f>
        <v>560020</v>
      </c>
      <c r="EO120">
        <f>DY120+DO120+DE120+CU120+CK120+CA120+BQ120+BG120+AV120+AL120+AB120+R120</f>
        <v>2400</v>
      </c>
      <c r="EP120">
        <f t="shared" si="229"/>
        <v>50000</v>
      </c>
      <c r="EQ120">
        <v>0</v>
      </c>
      <c r="ER120">
        <f t="shared" si="230"/>
        <v>507620</v>
      </c>
      <c r="ES120">
        <f>DW120+DM120+DC120+CS120+CI120+BY120+BO120+BE120+AT120+AJ120+Z120+P120</f>
        <v>60000</v>
      </c>
      <c r="ET120">
        <f>DX120+DN120+DD120+CT120+CJ120+BZ120+BP120+BF120+AU120+AK120+AA120+Q120</f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231"/>
        <v>60000</v>
      </c>
      <c r="FF120">
        <f t="shared" si="232"/>
        <v>60000</v>
      </c>
      <c r="FG120">
        <f t="shared" si="233"/>
        <v>447620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>SUM(FH120:FN120)+(IF(F120="YES",50000,0))</f>
        <v>0</v>
      </c>
      <c r="FP120">
        <f t="shared" si="234"/>
        <v>447620</v>
      </c>
      <c r="FQ120">
        <f t="shared" si="235"/>
        <v>9881</v>
      </c>
      <c r="FR120">
        <f t="shared" si="236"/>
        <v>0</v>
      </c>
      <c r="FS120">
        <f t="shared" si="237"/>
        <v>9881</v>
      </c>
      <c r="FT120">
        <f t="shared" si="238"/>
        <v>0</v>
      </c>
      <c r="FU120">
        <f t="shared" si="239"/>
        <v>0</v>
      </c>
      <c r="FV120">
        <f t="shared" si="240"/>
        <v>0</v>
      </c>
      <c r="FW120">
        <v>0</v>
      </c>
      <c r="FX120">
        <f t="shared" si="241"/>
        <v>0</v>
      </c>
      <c r="FY120" t="b">
        <f t="shared" si="242"/>
        <v>1</v>
      </c>
      <c r="FZ120">
        <f t="shared" ca="1" si="243"/>
        <v>558</v>
      </c>
      <c r="GA120">
        <f t="shared" ca="1" si="244"/>
        <v>560578</v>
      </c>
      <c r="GB120">
        <f t="shared" si="245"/>
        <v>75000</v>
      </c>
      <c r="GC120">
        <f t="shared" ca="1" si="246"/>
        <v>485578</v>
      </c>
      <c r="GD120">
        <f t="shared" ca="1" si="247"/>
        <v>0</v>
      </c>
      <c r="GE120">
        <f t="shared" ca="1" si="248"/>
        <v>0</v>
      </c>
      <c r="GF120">
        <f t="shared" ca="1" si="249"/>
        <v>0</v>
      </c>
      <c r="GG120">
        <f t="shared" ca="1" si="250"/>
        <v>0</v>
      </c>
      <c r="GH120">
        <f t="shared" ca="1" si="251"/>
        <v>0</v>
      </c>
      <c r="GI120">
        <f t="shared" ca="1" si="252"/>
        <v>0</v>
      </c>
      <c r="GJ120">
        <f ca="1">IF(GC120&gt;1200000,GC120-1200000-IF(F120="YES",50000,0)-GH120,0)</f>
        <v>0</v>
      </c>
      <c r="GK120">
        <f t="shared" ca="1" si="253"/>
        <v>0</v>
      </c>
      <c r="GL120">
        <f t="shared" ca="1" si="254"/>
        <v>0</v>
      </c>
      <c r="GM120">
        <f t="shared" ca="1" si="255"/>
        <v>0</v>
      </c>
      <c r="GN120">
        <f t="shared" ca="1" si="256"/>
        <v>85578</v>
      </c>
      <c r="GO120">
        <f t="shared" ca="1" si="257"/>
        <v>4278.9000000000005</v>
      </c>
      <c r="GP120">
        <f t="shared" ca="1" si="258"/>
        <v>4279</v>
      </c>
      <c r="GQ120">
        <f t="shared" ca="1" si="259"/>
        <v>0</v>
      </c>
      <c r="GR120">
        <f t="shared" ca="1" si="260"/>
        <v>0</v>
      </c>
      <c r="GS120">
        <f t="shared" ca="1" si="261"/>
        <v>4279</v>
      </c>
      <c r="GT120">
        <f t="shared" ca="1" si="262"/>
        <v>0</v>
      </c>
      <c r="GU120" t="b">
        <f t="shared" ca="1" si="263"/>
        <v>0</v>
      </c>
      <c r="GV120">
        <f t="shared" ca="1" si="264"/>
        <v>0</v>
      </c>
      <c r="GW120">
        <f t="shared" ca="1" si="265"/>
        <v>4279</v>
      </c>
      <c r="GX120">
        <f t="shared" ca="1" si="266"/>
        <v>0</v>
      </c>
      <c r="GY120">
        <f t="shared" ca="1" si="267"/>
        <v>0</v>
      </c>
      <c r="GZ120">
        <f t="shared" ca="1" si="268"/>
        <v>0</v>
      </c>
    </row>
    <row r="121" spans="1:208" x14ac:dyDescent="0.25">
      <c r="A121">
        <f>_xlfn.AGGREGATE(3,5,$B$2:B121)</f>
        <v>120</v>
      </c>
      <c r="B121" t="s">
        <v>356</v>
      </c>
      <c r="C121" t="s">
        <v>357</v>
      </c>
      <c r="D121" t="s">
        <v>782</v>
      </c>
      <c r="E121" t="s">
        <v>831</v>
      </c>
      <c r="F121" t="s">
        <v>957</v>
      </c>
      <c r="G121" t="s">
        <v>879</v>
      </c>
      <c r="H121">
        <f t="shared" si="270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179"/>
        <v>3780.0000000000005</v>
      </c>
      <c r="L121">
        <f t="shared" si="180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>IF(J121&gt;0,SUM(J121:N121),0)</f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269"/>
        <v>150</v>
      </c>
      <c r="S121">
        <f t="shared" si="181"/>
        <v>31870</v>
      </c>
      <c r="T121">
        <f>_xlfn.XLOOKUP(B121,'[2]april-2025'!$A:$A,'[2]april-2025'!$C:$C,0,0)</f>
        <v>27000</v>
      </c>
      <c r="U121">
        <f t="shared" si="182"/>
        <v>4860</v>
      </c>
      <c r="V121">
        <f t="shared" si="183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184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185"/>
        <v>150</v>
      </c>
      <c r="AC121">
        <f t="shared" si="186"/>
        <v>32950</v>
      </c>
      <c r="AD121">
        <f>_xlfn.XLOOKUP(B121,'[3]may-2025'!$A:$A,'[3]may-2025'!$C:$C,0,0)</f>
        <v>31600</v>
      </c>
      <c r="AE121">
        <f t="shared" si="187"/>
        <v>5688</v>
      </c>
      <c r="AF121">
        <f t="shared" si="188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189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190"/>
        <v>200</v>
      </c>
      <c r="AM121">
        <f t="shared" si="191"/>
        <v>38880</v>
      </c>
      <c r="AN121">
        <f>_xlfn.XLOOKUP(B121,'[4]june-2025'!$A:$A,'[4]june-2025'!$C:$C,0,0)</f>
        <v>31600</v>
      </c>
      <c r="AO121">
        <f t="shared" si="192"/>
        <v>5688</v>
      </c>
      <c r="AP121">
        <f t="shared" si="193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194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195"/>
        <v>200</v>
      </c>
      <c r="AW121">
        <f t="shared" si="196"/>
        <v>38880</v>
      </c>
      <c r="AX121">
        <f>_xlfn.XLOOKUP(B121,'[5]july-2025'!$A:$A,'[5]july-2025'!$C:$C,0,0)</f>
        <v>32500</v>
      </c>
      <c r="AY121">
        <f t="shared" si="197"/>
        <v>5850</v>
      </c>
      <c r="AZ121">
        <v>0</v>
      </c>
      <c r="BA121">
        <f t="shared" si="198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>IF(AX121&gt;0,SUM(AX121:BC121),0)</f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199"/>
        <v>200</v>
      </c>
      <c r="BH121">
        <f t="shared" si="200"/>
        <v>40050</v>
      </c>
      <c r="BI121">
        <f>_xlfn.XLOOKUP(B121,'[6]august-2025'!$A:$A,'[6]august-2025'!$C:$C,0,0)</f>
        <v>32500</v>
      </c>
      <c r="BJ121">
        <f t="shared" si="201"/>
        <v>5850</v>
      </c>
      <c r="BK121">
        <f t="shared" si="202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03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>IF($F121="YES",0,IF(BN121&gt;40000,200,IF(BN121&gt;25000,150,IF(BN121&gt;15000,130,IF(BN121&gt;10000,110,0)))))</f>
        <v>200</v>
      </c>
      <c r="BR121">
        <f>BN121-BO121-BP121-BQ121</f>
        <v>40050</v>
      </c>
      <c r="BS121">
        <f>_xlfn.XLOOKUP(B121,'[7]september-2025'!$A:$A,'[7]september-2025'!$C:$C,0,0)</f>
        <v>32500</v>
      </c>
      <c r="BT121">
        <f t="shared" si="204"/>
        <v>5850</v>
      </c>
      <c r="BU121">
        <f t="shared" si="205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>IF(BS121&gt;0,SUM(BS121:BW121),0)</f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06"/>
        <v>200</v>
      </c>
      <c r="CB121">
        <f t="shared" si="207"/>
        <v>40050</v>
      </c>
      <c r="CC121">
        <f>_xlfn.XLOOKUP(B121,'[8]october-2025'!$A:$A,'[8]october-2025'!$C:$C,0,0)</f>
        <v>32500</v>
      </c>
      <c r="CD121">
        <f t="shared" si="208"/>
        <v>5850</v>
      </c>
      <c r="CE121">
        <f t="shared" si="209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>IF(CC121&gt;0,SUM(CC121:CG121),0)</f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10"/>
        <v>200</v>
      </c>
      <c r="CL121">
        <f t="shared" si="211"/>
        <v>40050</v>
      </c>
      <c r="CM121">
        <f>_xlfn.XLOOKUP(B121,'[9]november-2025'!$A:$A,'[9]november-2025'!$C:$C,0,0)</f>
        <v>32500</v>
      </c>
      <c r="CN121">
        <f t="shared" si="212"/>
        <v>5850</v>
      </c>
      <c r="CO121">
        <f t="shared" si="213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>IF(CM121&gt;0,SUM(CM121:CQ121),0)</f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14"/>
        <v>200</v>
      </c>
      <c r="CV121">
        <f t="shared" si="215"/>
        <v>40050</v>
      </c>
      <c r="CW121">
        <f>_xlfn.XLOOKUP(B121,'[10]december-2025'!$A:$A,'[10]december-2025'!$C:$C,0,0)</f>
        <v>32500</v>
      </c>
      <c r="CX121">
        <f t="shared" si="216"/>
        <v>5850</v>
      </c>
      <c r="CY121">
        <f t="shared" si="217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>IF(CW121&gt;0,SUM(CW121:DA121),0)</f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18"/>
        <v>200</v>
      </c>
      <c r="DF121">
        <f t="shared" si="219"/>
        <v>40050</v>
      </c>
      <c r="DG121">
        <f>_xlfn.XLOOKUP(B121,'[11]january-2026'!$A:$A,'[11]january-2026'!$C:$C,0,0)</f>
        <v>32500</v>
      </c>
      <c r="DH121">
        <f t="shared" si="220"/>
        <v>5850</v>
      </c>
      <c r="DI121">
        <f t="shared" si="221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>IF(DG121&gt;0,SUM(DG121:DK121),0)</f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22"/>
        <v>200</v>
      </c>
      <c r="DP121">
        <f t="shared" si="223"/>
        <v>40050</v>
      </c>
      <c r="DQ121">
        <f>_xlfn.XLOOKUP(B121,'[12]february-2026'!$A:$A,'[12]february-2026'!$C:$C,0,0)</f>
        <v>32500</v>
      </c>
      <c r="DR121">
        <f t="shared" si="224"/>
        <v>5850</v>
      </c>
      <c r="DS121">
        <f t="shared" si="225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>IF(DQ121&gt;0,SUM(DQ121:DU121),0)</f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26"/>
        <v>200</v>
      </c>
      <c r="DZ121">
        <f t="shared" si="227"/>
        <v>40050</v>
      </c>
      <c r="EA121">
        <f>_xlfn.XLOOKUP(B121,'[1]march-2025'!$A:$A,'[1]march-2025'!$J:$J,0,0)</f>
        <v>0</v>
      </c>
      <c r="EB121">
        <f>_xlfn.XLOOKUP(B121,'[2]april-2025'!$A:$A,'[2]april-2025'!$J:$J,0,0)</f>
        <v>0</v>
      </c>
      <c r="EC121">
        <f>_xlfn.XLOOKUP(B121,'[3]may-2025'!$A:$A,'[3]may-2025'!$J:$J,0,0)</f>
        <v>0</v>
      </c>
      <c r="ED121">
        <f>_xlfn.XLOOKUP(B121,'[4]june-2025'!$A:$A,'[4]june-2025'!$J:$J,0,0)</f>
        <v>0</v>
      </c>
      <c r="EE121">
        <f>_xlfn.XLOOKUP(B121,'[5]july-2025'!$A:$A,'[5]july-2025'!$J:$J,0,0)</f>
        <v>0</v>
      </c>
      <c r="EF121">
        <f>_xlfn.XLOOKUP(B121,'[6]august-2025'!$A:$A,'[6]august-2025'!$J:$J,0,0)</f>
        <v>0</v>
      </c>
      <c r="EG121">
        <f>_xlfn.XLOOKUP(B121,'[7]september-2025'!$A:$A,'[7]september-2025'!$J:$J,0,0)</f>
        <v>0</v>
      </c>
      <c r="EH121">
        <f>_xlfn.XLOOKUP(B121,'[8]october-2025'!$A:$A,'[8]october-2025'!$J:$J,0,0)</f>
        <v>0</v>
      </c>
      <c r="EI121">
        <f>_xlfn.XLOOKUP(C121,'[9]november-2025'!$A:$A,'[9]november-2025'!$J:$J,0,0)</f>
        <v>0</v>
      </c>
      <c r="EJ121">
        <f>_xlfn.XLOOKUP(B121,'[10]december-2025'!$A:$A,'[10]december-2025'!$J:$J,0,0)</f>
        <v>0</v>
      </c>
      <c r="EK121">
        <f>_xlfn.XLOOKUP(B121,'[11]january-2026'!$A:$A,'[11]january-2026'!$J:$J,0,0)</f>
        <v>0</v>
      </c>
      <c r="EL121">
        <f>_xlfn.XLOOKUP(B121,'[12]february-2026'!$A:$A,'[12]february-2026'!$J:$J,0,0)</f>
        <v>0</v>
      </c>
      <c r="EM121">
        <f t="shared" si="228"/>
        <v>0</v>
      </c>
      <c r="EN121">
        <f>DV121+DL121+DB121+CR121+CH121+BX121+BN121+BD121+AS121+AI121+Y121+O121+H121+I121</f>
        <v>496080</v>
      </c>
      <c r="EO121">
        <f>DY121+DO121+DE121+CU121+CK121+CA121+BQ121+BG121+AV121+AL121+AB121+R121</f>
        <v>2300</v>
      </c>
      <c r="EP121">
        <f t="shared" si="229"/>
        <v>50000</v>
      </c>
      <c r="EQ121">
        <v>0</v>
      </c>
      <c r="ER121">
        <f t="shared" si="230"/>
        <v>443780</v>
      </c>
      <c r="ES121">
        <f>DW121+DM121+DC121+CS121+CI121+BY121+BO121+BE121+AT121+AJ121+Z121+P121</f>
        <v>24000</v>
      </c>
      <c r="ET121">
        <f>DX121+DN121+DD121+CT121+CJ121+BZ121+BP121+BF121+AU121+AK121+AA121+Q121</f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231"/>
        <v>24000</v>
      </c>
      <c r="FF121">
        <f t="shared" si="232"/>
        <v>24000</v>
      </c>
      <c r="FG121">
        <f t="shared" si="233"/>
        <v>419780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>SUM(FH121:FN121)+(IF(F121="YES",50000,0))</f>
        <v>0</v>
      </c>
      <c r="FP121">
        <f t="shared" si="234"/>
        <v>419780</v>
      </c>
      <c r="FQ121">
        <f t="shared" si="235"/>
        <v>8489</v>
      </c>
      <c r="FR121">
        <f t="shared" si="236"/>
        <v>0</v>
      </c>
      <c r="FS121">
        <f t="shared" si="237"/>
        <v>8489</v>
      </c>
      <c r="FT121">
        <f t="shared" si="238"/>
        <v>0</v>
      </c>
      <c r="FU121">
        <f t="shared" si="239"/>
        <v>0</v>
      </c>
      <c r="FV121">
        <f t="shared" si="240"/>
        <v>0</v>
      </c>
      <c r="FW121">
        <v>0</v>
      </c>
      <c r="FX121">
        <f t="shared" si="241"/>
        <v>0</v>
      </c>
      <c r="FY121" t="b">
        <f t="shared" si="242"/>
        <v>0</v>
      </c>
      <c r="FZ121">
        <f t="shared" ca="1" si="243"/>
        <v>1349</v>
      </c>
      <c r="GA121">
        <f t="shared" ca="1" si="244"/>
        <v>497429</v>
      </c>
      <c r="GB121">
        <f t="shared" si="245"/>
        <v>75000</v>
      </c>
      <c r="GC121">
        <f t="shared" ca="1" si="246"/>
        <v>422429</v>
      </c>
      <c r="GD121">
        <f t="shared" ca="1" si="247"/>
        <v>0</v>
      </c>
      <c r="GE121">
        <f t="shared" ca="1" si="248"/>
        <v>0</v>
      </c>
      <c r="GF121">
        <f t="shared" ca="1" si="249"/>
        <v>0</v>
      </c>
      <c r="GG121">
        <f t="shared" ca="1" si="250"/>
        <v>0</v>
      </c>
      <c r="GH121">
        <f t="shared" ca="1" si="251"/>
        <v>0</v>
      </c>
      <c r="GI121">
        <f t="shared" ca="1" si="252"/>
        <v>0</v>
      </c>
      <c r="GJ121">
        <f ca="1">IF(GC121&gt;1200000,GC121-1200000-IF(F121="YES",50000,0)-GH121,0)</f>
        <v>0</v>
      </c>
      <c r="GK121">
        <f t="shared" ca="1" si="253"/>
        <v>0</v>
      </c>
      <c r="GL121">
        <f t="shared" ca="1" si="254"/>
        <v>0</v>
      </c>
      <c r="GM121">
        <f t="shared" ca="1" si="255"/>
        <v>0</v>
      </c>
      <c r="GN121">
        <f t="shared" ca="1" si="256"/>
        <v>22429</v>
      </c>
      <c r="GO121">
        <f t="shared" ca="1" si="257"/>
        <v>1121.45</v>
      </c>
      <c r="GP121">
        <f t="shared" ca="1" si="258"/>
        <v>1121</v>
      </c>
      <c r="GQ121">
        <f t="shared" ca="1" si="259"/>
        <v>0</v>
      </c>
      <c r="GR121">
        <f t="shared" ca="1" si="260"/>
        <v>0</v>
      </c>
      <c r="GS121">
        <f t="shared" ca="1" si="261"/>
        <v>1121</v>
      </c>
      <c r="GT121">
        <f t="shared" ca="1" si="262"/>
        <v>0</v>
      </c>
      <c r="GU121" t="b">
        <f t="shared" ca="1" si="263"/>
        <v>0</v>
      </c>
      <c r="GV121">
        <f t="shared" ca="1" si="264"/>
        <v>0</v>
      </c>
      <c r="GW121">
        <f t="shared" ca="1" si="265"/>
        <v>1121</v>
      </c>
      <c r="GX121">
        <f t="shared" ca="1" si="266"/>
        <v>0</v>
      </c>
      <c r="GY121">
        <f t="shared" ca="1" si="267"/>
        <v>0</v>
      </c>
      <c r="GZ121">
        <f t="shared" ca="1" si="268"/>
        <v>0</v>
      </c>
    </row>
    <row r="122" spans="1:208" x14ac:dyDescent="0.25">
      <c r="A122">
        <f>_xlfn.AGGREGATE(3,5,$B$2:B122)</f>
        <v>121</v>
      </c>
      <c r="B122" t="s">
        <v>358</v>
      </c>
      <c r="C122" t="s">
        <v>359</v>
      </c>
      <c r="D122" t="s">
        <v>782</v>
      </c>
      <c r="E122" t="s">
        <v>831</v>
      </c>
      <c r="F122" t="s">
        <v>957</v>
      </c>
      <c r="G122" t="s">
        <v>879</v>
      </c>
      <c r="H122">
        <f t="shared" si="270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179"/>
        <v>4424</v>
      </c>
      <c r="L122">
        <f t="shared" si="180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>IF(J122&gt;0,SUM(J122:N122),0)</f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269"/>
        <v>200</v>
      </c>
      <c r="S122">
        <f t="shared" si="181"/>
        <v>38116</v>
      </c>
      <c r="T122">
        <f>_xlfn.XLOOKUP(B122,'[2]april-2025'!$A:$A,'[2]april-2025'!$C:$C,0,0)</f>
        <v>31600</v>
      </c>
      <c r="U122">
        <f t="shared" si="182"/>
        <v>5688</v>
      </c>
      <c r="V122">
        <f t="shared" si="183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184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185"/>
        <v>200</v>
      </c>
      <c r="AC122">
        <f t="shared" si="186"/>
        <v>39380</v>
      </c>
      <c r="AD122">
        <f>_xlfn.XLOOKUP(B122,'[3]may-2025'!$A:$A,'[3]may-2025'!$C:$C,0,0)</f>
        <v>31600</v>
      </c>
      <c r="AE122">
        <f t="shared" si="187"/>
        <v>5688</v>
      </c>
      <c r="AF122">
        <f t="shared" si="188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189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190"/>
        <v>200</v>
      </c>
      <c r="AM122">
        <f t="shared" si="191"/>
        <v>39380</v>
      </c>
      <c r="AN122">
        <f>_xlfn.XLOOKUP(B122,'[4]june-2025'!$A:$A,'[4]june-2025'!$C:$C,0,0)</f>
        <v>31600</v>
      </c>
      <c r="AO122">
        <f t="shared" si="192"/>
        <v>5688</v>
      </c>
      <c r="AP122">
        <f t="shared" si="193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194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195"/>
        <v>200</v>
      </c>
      <c r="AW122">
        <f t="shared" si="196"/>
        <v>39380</v>
      </c>
      <c r="AX122">
        <f>_xlfn.XLOOKUP(B122,'[5]july-2025'!$A:$A,'[5]july-2025'!$C:$C,0,0)</f>
        <v>32500</v>
      </c>
      <c r="AY122">
        <f t="shared" si="197"/>
        <v>5850</v>
      </c>
      <c r="AZ122">
        <v>0</v>
      </c>
      <c r="BA122">
        <f t="shared" si="198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>IF(AX122&gt;0,SUM(AX122:BC122),0)</f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199"/>
        <v>200</v>
      </c>
      <c r="BH122">
        <f t="shared" si="200"/>
        <v>40550</v>
      </c>
      <c r="BI122">
        <f>_xlfn.XLOOKUP(B122,'[6]august-2025'!$A:$A,'[6]august-2025'!$C:$C,0,0)</f>
        <v>32500</v>
      </c>
      <c r="BJ122">
        <f t="shared" si="201"/>
        <v>5850</v>
      </c>
      <c r="BK122">
        <f t="shared" si="202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03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>IF($F122="YES",0,IF(BN122&gt;40000,200,IF(BN122&gt;25000,150,IF(BN122&gt;15000,130,IF(BN122&gt;10000,110,0)))))</f>
        <v>200</v>
      </c>
      <c r="BR122">
        <f>BN122-BO122-BP122-BQ122</f>
        <v>40550</v>
      </c>
      <c r="BS122">
        <f>_xlfn.XLOOKUP(B122,'[7]september-2025'!$A:$A,'[7]september-2025'!$C:$C,0,0)</f>
        <v>32500</v>
      </c>
      <c r="BT122">
        <f t="shared" si="204"/>
        <v>5850</v>
      </c>
      <c r="BU122">
        <f t="shared" si="205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>IF(BS122&gt;0,SUM(BS122:BW122),0)</f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06"/>
        <v>200</v>
      </c>
      <c r="CB122">
        <f t="shared" si="207"/>
        <v>40550</v>
      </c>
      <c r="CC122">
        <f>_xlfn.XLOOKUP(B122,'[8]october-2025'!$A:$A,'[8]october-2025'!$C:$C,0,0)</f>
        <v>32500</v>
      </c>
      <c r="CD122">
        <f t="shared" si="208"/>
        <v>5850</v>
      </c>
      <c r="CE122">
        <f t="shared" si="209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>IF(CC122&gt;0,SUM(CC122:CG122),0)</f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10"/>
        <v>200</v>
      </c>
      <c r="CL122">
        <f t="shared" si="211"/>
        <v>40550</v>
      </c>
      <c r="CM122">
        <f>_xlfn.XLOOKUP(B122,'[9]november-2025'!$A:$A,'[9]november-2025'!$C:$C,0,0)</f>
        <v>32500</v>
      </c>
      <c r="CN122">
        <f t="shared" si="212"/>
        <v>5850</v>
      </c>
      <c r="CO122">
        <f t="shared" si="213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>IF(CM122&gt;0,SUM(CM122:CQ122),0)</f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14"/>
        <v>200</v>
      </c>
      <c r="CV122">
        <f t="shared" si="215"/>
        <v>40550</v>
      </c>
      <c r="CW122">
        <f>_xlfn.XLOOKUP(B122,'[10]december-2025'!$A:$A,'[10]december-2025'!$C:$C,0,0)</f>
        <v>32500</v>
      </c>
      <c r="CX122">
        <f t="shared" si="216"/>
        <v>5850</v>
      </c>
      <c r="CY122">
        <f t="shared" si="217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>IF(CW122&gt;0,SUM(CW122:DA122),0)</f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18"/>
        <v>200</v>
      </c>
      <c r="DF122">
        <f t="shared" si="219"/>
        <v>40550</v>
      </c>
      <c r="DG122">
        <f>_xlfn.XLOOKUP(B122,'[11]january-2026'!$A:$A,'[11]january-2026'!$C:$C,0,0)</f>
        <v>32500</v>
      </c>
      <c r="DH122">
        <f t="shared" si="220"/>
        <v>5850</v>
      </c>
      <c r="DI122">
        <f t="shared" si="221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>IF(DG122&gt;0,SUM(DG122:DK122),0)</f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22"/>
        <v>200</v>
      </c>
      <c r="DP122">
        <f t="shared" si="223"/>
        <v>40550</v>
      </c>
      <c r="DQ122">
        <f>_xlfn.XLOOKUP(B122,'[12]february-2026'!$A:$A,'[12]february-2026'!$C:$C,0,0)</f>
        <v>32500</v>
      </c>
      <c r="DR122">
        <f t="shared" si="224"/>
        <v>5850</v>
      </c>
      <c r="DS122">
        <f t="shared" si="225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>IF(DQ122&gt;0,SUM(DQ122:DU122),0)</f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26"/>
        <v>200</v>
      </c>
      <c r="DZ122">
        <f t="shared" si="227"/>
        <v>40550</v>
      </c>
      <c r="EA122">
        <f>_xlfn.XLOOKUP(B122,'[1]march-2025'!$A:$A,'[1]march-2025'!$J:$J,0,0)</f>
        <v>0</v>
      </c>
      <c r="EB122">
        <f>_xlfn.XLOOKUP(B122,'[2]april-2025'!$A:$A,'[2]april-2025'!$J:$J,0,0)</f>
        <v>0</v>
      </c>
      <c r="EC122">
        <f>_xlfn.XLOOKUP(B122,'[3]may-2025'!$A:$A,'[3]may-2025'!$J:$J,0,0)</f>
        <v>0</v>
      </c>
      <c r="ED122">
        <f>_xlfn.XLOOKUP(B122,'[4]june-2025'!$A:$A,'[4]june-2025'!$J:$J,0,0)</f>
        <v>0</v>
      </c>
      <c r="EE122">
        <f>_xlfn.XLOOKUP(B122,'[5]july-2025'!$A:$A,'[5]july-2025'!$J:$J,0,0)</f>
        <v>0</v>
      </c>
      <c r="EF122">
        <f>_xlfn.XLOOKUP(B122,'[6]august-2025'!$A:$A,'[6]august-2025'!$J:$J,0,0)</f>
        <v>0</v>
      </c>
      <c r="EG122">
        <f>_xlfn.XLOOKUP(B122,'[7]september-2025'!$A:$A,'[7]september-2025'!$J:$J,0,0)</f>
        <v>0</v>
      </c>
      <c r="EH122">
        <f>_xlfn.XLOOKUP(B122,'[8]october-2025'!$A:$A,'[8]october-2025'!$J:$J,0,0)</f>
        <v>0</v>
      </c>
      <c r="EI122">
        <f>_xlfn.XLOOKUP(C122,'[9]november-2025'!$A:$A,'[9]november-2025'!$J:$J,0,0)</f>
        <v>0</v>
      </c>
      <c r="EJ122">
        <f>_xlfn.XLOOKUP(B122,'[10]december-2025'!$A:$A,'[10]december-2025'!$J:$J,0,0)</f>
        <v>0</v>
      </c>
      <c r="EK122">
        <f>_xlfn.XLOOKUP(B122,'[11]january-2026'!$A:$A,'[11]january-2026'!$J:$J,0,0)</f>
        <v>0</v>
      </c>
      <c r="EL122">
        <f>_xlfn.XLOOKUP(B122,'[12]february-2026'!$A:$A,'[12]february-2026'!$J:$J,0,0)</f>
        <v>0</v>
      </c>
      <c r="EM122">
        <f t="shared" si="228"/>
        <v>0</v>
      </c>
      <c r="EN122">
        <f>DV122+DL122+DB122+CR122+CH122+BX122+BN122+BD122+AS122+AI122+Y122+O122+H122+I122</f>
        <v>513856</v>
      </c>
      <c r="EO122">
        <f>DY122+DO122+DE122+CU122+CK122+CA122+BQ122+BG122+AV122+AL122+AB122+R122</f>
        <v>2400</v>
      </c>
      <c r="EP122">
        <f t="shared" si="229"/>
        <v>50000</v>
      </c>
      <c r="EQ122">
        <v>0</v>
      </c>
      <c r="ER122">
        <f t="shared" si="230"/>
        <v>461456</v>
      </c>
      <c r="ES122">
        <f>DW122+DM122+DC122+CS122+CI122+BY122+BO122+BE122+AT122+AJ122+Z122+P122</f>
        <v>24000</v>
      </c>
      <c r="ET122">
        <f>DX122+DN122+DD122+CT122+CJ122+BZ122+BP122+BF122+AU122+AK122+AA122+Q122</f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231"/>
        <v>24000</v>
      </c>
      <c r="FF122">
        <f t="shared" si="232"/>
        <v>24000</v>
      </c>
      <c r="FG122">
        <f t="shared" si="233"/>
        <v>437456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>SUM(FH122:FN122)+(IF(F122="YES",50000,0))</f>
        <v>0</v>
      </c>
      <c r="FP122">
        <f t="shared" si="234"/>
        <v>437456</v>
      </c>
      <c r="FQ122">
        <f t="shared" si="235"/>
        <v>9373</v>
      </c>
      <c r="FR122">
        <f t="shared" si="236"/>
        <v>0</v>
      </c>
      <c r="FS122">
        <f t="shared" si="237"/>
        <v>9373</v>
      </c>
      <c r="FT122">
        <f t="shared" si="238"/>
        <v>0</v>
      </c>
      <c r="FU122">
        <f t="shared" si="239"/>
        <v>0</v>
      </c>
      <c r="FV122">
        <f t="shared" si="240"/>
        <v>0</v>
      </c>
      <c r="FW122">
        <v>0</v>
      </c>
      <c r="FX122">
        <f t="shared" si="241"/>
        <v>0</v>
      </c>
      <c r="FY122" t="b">
        <f t="shared" si="242"/>
        <v>1</v>
      </c>
      <c r="FZ122">
        <f t="shared" ca="1" si="243"/>
        <v>594</v>
      </c>
      <c r="GA122">
        <f t="shared" ca="1" si="244"/>
        <v>514450</v>
      </c>
      <c r="GB122">
        <f t="shared" si="245"/>
        <v>75000</v>
      </c>
      <c r="GC122">
        <f t="shared" ca="1" si="246"/>
        <v>439450</v>
      </c>
      <c r="GD122">
        <f t="shared" ca="1" si="247"/>
        <v>0</v>
      </c>
      <c r="GE122">
        <f t="shared" ca="1" si="248"/>
        <v>0</v>
      </c>
      <c r="GF122">
        <f t="shared" ca="1" si="249"/>
        <v>0</v>
      </c>
      <c r="GG122">
        <f t="shared" ca="1" si="250"/>
        <v>0</v>
      </c>
      <c r="GH122">
        <f t="shared" ca="1" si="251"/>
        <v>0</v>
      </c>
      <c r="GI122">
        <f t="shared" ca="1" si="252"/>
        <v>0</v>
      </c>
      <c r="GJ122">
        <f ca="1">IF(GC122&gt;1200000,GC122-1200000-IF(F122="YES",50000,0)-GH122,0)</f>
        <v>0</v>
      </c>
      <c r="GK122">
        <f t="shared" ca="1" si="253"/>
        <v>0</v>
      </c>
      <c r="GL122">
        <f t="shared" ca="1" si="254"/>
        <v>0</v>
      </c>
      <c r="GM122">
        <f t="shared" ca="1" si="255"/>
        <v>0</v>
      </c>
      <c r="GN122">
        <f t="shared" ca="1" si="256"/>
        <v>39450</v>
      </c>
      <c r="GO122">
        <f t="shared" ca="1" si="257"/>
        <v>1972.5</v>
      </c>
      <c r="GP122">
        <f t="shared" ca="1" si="258"/>
        <v>1973</v>
      </c>
      <c r="GQ122">
        <f t="shared" ca="1" si="259"/>
        <v>0</v>
      </c>
      <c r="GR122">
        <f t="shared" ca="1" si="260"/>
        <v>0</v>
      </c>
      <c r="GS122">
        <f t="shared" ca="1" si="261"/>
        <v>1973</v>
      </c>
      <c r="GT122">
        <f t="shared" ca="1" si="262"/>
        <v>0</v>
      </c>
      <c r="GU122" t="b">
        <f t="shared" ca="1" si="263"/>
        <v>0</v>
      </c>
      <c r="GV122">
        <f t="shared" ca="1" si="264"/>
        <v>0</v>
      </c>
      <c r="GW122">
        <f t="shared" ca="1" si="265"/>
        <v>1973</v>
      </c>
      <c r="GX122">
        <f t="shared" ca="1" si="266"/>
        <v>0</v>
      </c>
      <c r="GY122">
        <f t="shared" ca="1" si="267"/>
        <v>0</v>
      </c>
      <c r="GZ122">
        <f t="shared" ca="1" si="268"/>
        <v>0</v>
      </c>
    </row>
    <row r="123" spans="1:208" x14ac:dyDescent="0.25">
      <c r="A123">
        <f>_xlfn.AGGREGATE(3,5,$B$2:B123)</f>
        <v>122</v>
      </c>
      <c r="B123" t="s">
        <v>972</v>
      </c>
      <c r="C123" t="s">
        <v>973</v>
      </c>
      <c r="D123" t="s">
        <v>782</v>
      </c>
      <c r="E123" t="s">
        <v>831</v>
      </c>
      <c r="F123" t="s">
        <v>957</v>
      </c>
      <c r="G123" t="s">
        <v>974</v>
      </c>
      <c r="H123">
        <f t="shared" ref="H123" si="271"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ref="K123" si="272">J123*0.14</f>
        <v>4424</v>
      </c>
      <c r="L123">
        <f t="shared" ref="L123" si="273"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>IF(J123&gt;0,SUM(J123:N123),0)</f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ref="R123" si="274">IF($F123="YES",0,IF(O123&gt;40000,200,IF(O123&gt;25000,150,IF(O123&gt;15000,130,IF(O123&gt;10000,110,0)))))</f>
        <v>200</v>
      </c>
      <c r="S123">
        <f t="shared" si="181"/>
        <v>38116</v>
      </c>
      <c r="T123">
        <f>_xlfn.XLOOKUP(B123,'[2]april-2025'!$A:$A,'[2]april-2025'!$C:$C,0,0)</f>
        <v>31600</v>
      </c>
      <c r="U123">
        <f t="shared" ref="U123" si="275">T123*0.18</f>
        <v>5688</v>
      </c>
      <c r="V123">
        <f t="shared" ref="V123" si="276"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si="184"/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ref="AB123" si="277">IF($F123="YES",0,IF(Y123&gt;40000,200,IF(Y123&gt;25000,150,IF(Y123&gt;15000,130,IF(Y123&gt;10000,110,0)))))</f>
        <v>200</v>
      </c>
      <c r="AC123">
        <f t="shared" ref="AC123" si="278">Y123-Z123-AA123-AB123</f>
        <v>39380</v>
      </c>
      <c r="AD123">
        <f>_xlfn.XLOOKUP(B123,'[3]may-2025'!$A:$A,'[3]may-2025'!$C:$C,0,0)</f>
        <v>31600</v>
      </c>
      <c r="AE123">
        <f t="shared" ref="AE123" si="279">AD123*0.18</f>
        <v>5688</v>
      </c>
      <c r="AF123">
        <f t="shared" ref="AF123" si="280"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si="189"/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ref="AL123" si="281">IF($F123="YES",0,IF(AI123&gt;40000,200,IF(AI123&gt;25000,150,IF(AI123&gt;15000,130,IF(AI123&gt;10000,110,0)))))</f>
        <v>200</v>
      </c>
      <c r="AM123">
        <f t="shared" ref="AM123" si="282">AI123-AJ123-AK123-AL123</f>
        <v>39380</v>
      </c>
      <c r="AN123">
        <f>_xlfn.XLOOKUP(B123,'[4]june-2025'!$A:$A,'[4]june-2025'!$C:$C,0,0)</f>
        <v>31600</v>
      </c>
      <c r="AO123">
        <f t="shared" ref="AO123" si="283">AN123*0.18</f>
        <v>5688</v>
      </c>
      <c r="AP123">
        <f t="shared" ref="AP123" si="284"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si="194"/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ref="AV123" si="285">IF($F123="YES",0,IF(AS123&gt;40000,200,IF(AS123&gt;25000,150,IF(AS123&gt;15000,130,IF(AS123&gt;10000,110,0)))))</f>
        <v>200</v>
      </c>
      <c r="AW123">
        <f t="shared" ref="AW123" si="286">AS123-AT123-AU123-AV123</f>
        <v>39380</v>
      </c>
      <c r="AX123">
        <f>_xlfn.XLOOKUP(B123,'[5]july-2025'!$A:$A,'[5]july-2025'!$C:$C,0,0)</f>
        <v>32500</v>
      </c>
      <c r="AY123">
        <f t="shared" ref="AY123" si="287">AX123*0.18</f>
        <v>5850</v>
      </c>
      <c r="AZ123">
        <v>1</v>
      </c>
      <c r="BA123">
        <f t="shared" ref="BA123" si="288"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>IF(AX123&gt;0,SUM(AX123:BC123),0)</f>
        <v>42751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ref="BG123" si="289">IF($F123="YES",0,IF(BD123&gt;40000,200,IF(BD123&gt;25000,150,IF(BD123&gt;15000,130,IF(BD123&gt;10000,110,0)))))</f>
        <v>200</v>
      </c>
      <c r="BH123">
        <f t="shared" ref="BH123" si="290">BD123-BE123-BF123-BG123</f>
        <v>40551</v>
      </c>
      <c r="BI123">
        <f>_xlfn.XLOOKUP(B123,'[6]august-2025'!$A:$A,'[6]august-2025'!$C:$C,0,0)</f>
        <v>32500</v>
      </c>
      <c r="BJ123">
        <f t="shared" ref="BJ123" si="291">BI123*0.18</f>
        <v>5850</v>
      </c>
      <c r="BK123">
        <f t="shared" ref="BK123" si="292"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ref="BN123" si="293"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>IF($F123="YES",0,IF(BN123&gt;40000,200,IF(BN123&gt;25000,150,IF(BN123&gt;15000,130,IF(BN123&gt;10000,110,0)))))</f>
        <v>200</v>
      </c>
      <c r="BR123">
        <f>BN123-BO123-BP123-BQ123</f>
        <v>40550</v>
      </c>
      <c r="BS123">
        <f>_xlfn.XLOOKUP(B123,'[7]september-2025'!$A:$A,'[7]september-2025'!$C:$C,0,0)</f>
        <v>32500</v>
      </c>
      <c r="BT123">
        <f t="shared" ref="BT123" si="294">BS123*0.18</f>
        <v>5850</v>
      </c>
      <c r="BU123">
        <f t="shared" ref="BU123" si="295"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>IF(BS123&gt;0,SUM(BS123:BW123),0)</f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ref="CA123" si="296">IF($F123="YES",0,IF(BX123&gt;40000,200,IF(BX123&gt;25000,150,IF(BX123&gt;15000,130,IF(BX123&gt;10000,110,0)))))</f>
        <v>200</v>
      </c>
      <c r="CB123">
        <f t="shared" ref="CB123" si="297">BX123-BY123-BZ123-CA123</f>
        <v>40550</v>
      </c>
      <c r="CC123">
        <f>_xlfn.XLOOKUP(B123,'[8]october-2025'!$A:$A,'[8]october-2025'!$C:$C,0,0)</f>
        <v>32500</v>
      </c>
      <c r="CD123">
        <f t="shared" ref="CD123" si="298">CC123*0.18</f>
        <v>5850</v>
      </c>
      <c r="CE123">
        <f t="shared" ref="CE123" si="299"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>IF(CC123&gt;0,SUM(CC123:CG123),0)</f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ref="CK123" si="300">IF($F123="YES",0,IF(CH123&gt;40000,200,IF(CH123&gt;25000,150,IF(CH123&gt;15000,130,IF(CH123&gt;10000,110,0)))))</f>
        <v>200</v>
      </c>
      <c r="CL123">
        <f t="shared" ref="CL123" si="301">CH123-CI123-CJ123-CK123</f>
        <v>40550</v>
      </c>
      <c r="CM123">
        <f>_xlfn.XLOOKUP(B123,'[9]november-2025'!$A:$A,'[9]november-2025'!$C:$C,0,0)</f>
        <v>32500</v>
      </c>
      <c r="CN123">
        <f t="shared" ref="CN123" si="302">CM123*0.18</f>
        <v>5850</v>
      </c>
      <c r="CO123">
        <f t="shared" ref="CO123" si="303"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>IF(CM123&gt;0,SUM(CM123:CQ123),0)</f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ref="CU123" si="304">IF($F123="YES",0,IF(CR123&gt;40000,200,IF(CR123&gt;25000,150,IF(CR123&gt;15000,130,IF(CR123&gt;10000,110,0)))))</f>
        <v>200</v>
      </c>
      <c r="CV123">
        <f t="shared" ref="CV123" si="305">CR123-CS123-CT123-CU123</f>
        <v>40550</v>
      </c>
      <c r="CW123">
        <f>_xlfn.XLOOKUP(B123,'[10]december-2025'!$A:$A,'[10]december-2025'!$C:$C,0,0)</f>
        <v>32500</v>
      </c>
      <c r="CX123">
        <f t="shared" ref="CX123" si="306">ROUND(CW123*0.18,0)</f>
        <v>5850</v>
      </c>
      <c r="CY123">
        <f t="shared" ref="CY123" si="307"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>IF(CW123&gt;0,SUM(CW123:DA123),0)</f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ref="DE123" si="308">IF($F123="YES",0,IF(DB123&gt;40000,200,IF(DB123&gt;25000,150,IF(DB123&gt;15000,130,IF(DB123&gt;10000,110,0)))))</f>
        <v>200</v>
      </c>
      <c r="DF123">
        <f t="shared" ref="DF123" si="309">DB123-DC123-DD123-DE123</f>
        <v>40550</v>
      </c>
      <c r="DG123">
        <f>_xlfn.XLOOKUP(B123,'[11]january-2026'!$A:$A,'[11]january-2026'!$C:$C,0,0)</f>
        <v>32500</v>
      </c>
      <c r="DH123">
        <f t="shared" ref="DH123" si="310">DG123*0.18</f>
        <v>5850</v>
      </c>
      <c r="DI123">
        <f t="shared" ref="DI123" si="311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>IF(DG123&gt;0,SUM(DG123:DK123),0)</f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12">IF($F123="YES",0,IF(DL123&gt;40000,200,IF(DL123&gt;25000,150,IF(DL123&gt;15000,130,IF(DL123&gt;10000,110,0)))))</f>
        <v>200</v>
      </c>
      <c r="DP123">
        <f t="shared" ref="DP123" si="313">DL123-DM123-DN123-DO123</f>
        <v>40550</v>
      </c>
      <c r="DQ123">
        <f>_xlfn.XLOOKUP(B123,'[12]february-2026'!$A:$A,'[12]february-2026'!$C:$C,0,0)</f>
        <v>32500</v>
      </c>
      <c r="DR123">
        <f t="shared" ref="DR123" si="314">DQ123*0.18</f>
        <v>5850</v>
      </c>
      <c r="DS123">
        <f t="shared" ref="DS123" si="315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>IF(DQ123&gt;0,SUM(DQ123:DU123),0)</f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16">IF($F123="YES",0,IF(DV123&gt;40000,200,IF(DV123&gt;25000,150,IF(DV123&gt;15000,130,IF(DV123&gt;10000,110,0)))))</f>
        <v>200</v>
      </c>
      <c r="DZ123">
        <f t="shared" ref="DZ123" si="317">DV123-DW123-DX123-DY123</f>
        <v>40550</v>
      </c>
      <c r="EA123">
        <f>_xlfn.XLOOKUP(B123,'[1]march-2025'!$A:$A,'[1]march-2025'!$J:$J,0,0)</f>
        <v>0</v>
      </c>
      <c r="EB123">
        <f>_xlfn.XLOOKUP(B123,'[2]april-2025'!$A:$A,'[2]april-2025'!$J:$J,0,0)</f>
        <v>0</v>
      </c>
      <c r="EC123">
        <f>_xlfn.XLOOKUP(B123,'[3]may-2025'!$A:$A,'[3]may-2025'!$J:$J,0,0)</f>
        <v>0</v>
      </c>
      <c r="ED123">
        <f>_xlfn.XLOOKUP(B123,'[4]june-2025'!$A:$A,'[4]june-2025'!$J:$J,0,0)</f>
        <v>0</v>
      </c>
      <c r="EE123">
        <f>_xlfn.XLOOKUP(B123,'[5]july-2025'!$A:$A,'[5]july-2025'!$J:$J,0,0)</f>
        <v>0</v>
      </c>
      <c r="EF123">
        <f>_xlfn.XLOOKUP(B123,'[6]august-2025'!$A:$A,'[6]august-2025'!$J:$J,0,0)</f>
        <v>0</v>
      </c>
      <c r="EG123">
        <f>_xlfn.XLOOKUP(B123,'[7]september-2025'!$A:$A,'[7]september-2025'!$J:$J,0,0)</f>
        <v>0</v>
      </c>
      <c r="EH123">
        <f>_xlfn.XLOOKUP(B123,'[8]october-2025'!$A:$A,'[8]october-2025'!$J:$J,0,0)</f>
        <v>0</v>
      </c>
      <c r="EI123">
        <f>_xlfn.XLOOKUP(C123,'[9]november-2025'!$A:$A,'[9]november-2025'!$J:$J,0,0)</f>
        <v>0</v>
      </c>
      <c r="EJ123">
        <f>_xlfn.XLOOKUP(B123,'[10]december-2025'!$A:$A,'[10]december-2025'!$J:$J,0,0)</f>
        <v>0</v>
      </c>
      <c r="EK123">
        <f>_xlfn.XLOOKUP(B123,'[11]january-2026'!$A:$A,'[11]january-2026'!$J:$J,0,0)</f>
        <v>0</v>
      </c>
      <c r="EL123">
        <f>_xlfn.XLOOKUP(B123,'[12]february-2026'!$A:$A,'[12]february-2026'!$J:$J,0,0)</f>
        <v>0</v>
      </c>
      <c r="EM123">
        <f t="shared" si="228"/>
        <v>0</v>
      </c>
      <c r="EN123">
        <f>DV123+DL123+DB123+CR123+CH123+BX123+BN123+BD123+AS123+AI123+Y123+O123+H123+I123</f>
        <v>513857</v>
      </c>
      <c r="EO123">
        <f>DY123+DO123+DE123+CU123+CK123+CA123+BQ123+BG123+AV123+AL123+AB123+R123</f>
        <v>2400</v>
      </c>
      <c r="EP123">
        <f t="shared" ref="EP123" si="318">IF(EN123&gt;0,50000,0)</f>
        <v>50000</v>
      </c>
      <c r="EQ123">
        <v>1</v>
      </c>
      <c r="ER123">
        <f t="shared" si="230"/>
        <v>461457</v>
      </c>
      <c r="ES123">
        <f>DW123+DM123+DC123+CS123+CI123+BY123+BO123+BE123+AT123+AJ123+Z123+P123</f>
        <v>24000</v>
      </c>
      <c r="ET123">
        <f>DX123+DN123+DD123+CT123+CJ123+BZ123+BP123+BF123+AU123+AK123+AA123+Q123</f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ref="FE123" si="319">SUM(ES123:FD123)</f>
        <v>24000</v>
      </c>
      <c r="FF123">
        <f t="shared" ref="FF123" si="320">IF(FE123&gt;=150000,150000,FE123)</f>
        <v>24000</v>
      </c>
      <c r="FG123">
        <f t="shared" ref="FG123" si="321">ER123-FF123</f>
        <v>437457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>SUM(FH123:FN123)+(IF(F123="YES",50000,0))</f>
        <v>0</v>
      </c>
      <c r="FP123">
        <f t="shared" ref="FP123" si="322">FG123-FO123</f>
        <v>437457</v>
      </c>
      <c r="FQ123">
        <f t="shared" ref="FQ123" si="323">ROUND(IF(FP123&gt;0,IF(FP123&gt;500000,12500,(FP123-250000)*0.05),0),0)</f>
        <v>9373</v>
      </c>
      <c r="FR123">
        <f t="shared" ref="FR123" si="324">IF(ROUND(IF(FP123&gt;0,IF(FP123&gt;1000000,25000,(FP123-500000)*0.2),0),0)&lt;0,0,ROUND(IF(FP123&gt;0,IF(FP123&gt;1000000,25000,(FP123-500000)*0.2),0),0))</f>
        <v>0</v>
      </c>
      <c r="FS123">
        <f t="shared" ref="FS123" si="325">FQ123+FR123</f>
        <v>9373</v>
      </c>
      <c r="FT123">
        <f t="shared" ref="FT123" si="326">IF(FS123&lt;12500,0,FS123)</f>
        <v>0</v>
      </c>
      <c r="FU123">
        <f t="shared" ref="FU123" si="327">FT123*0.04</f>
        <v>0</v>
      </c>
      <c r="FV123">
        <f t="shared" ref="FV123" si="328">ROUND(FU123+FT123,0)</f>
        <v>0</v>
      </c>
      <c r="FW123">
        <v>1</v>
      </c>
      <c r="FX123">
        <f t="shared" ref="FX123" si="329">FV123-FW123</f>
        <v>-1</v>
      </c>
      <c r="FY123" t="b">
        <f t="shared" ref="FY123" si="330">IF(EN123&gt;500000,TRUE,FALSE)</f>
        <v>1</v>
      </c>
      <c r="FZ123">
        <f t="shared" ref="FZ123" ca="1" si="331">IF(FY123,RANDBETWEEN(500,1000),RANDBETWEEN(1000,3000))</f>
        <v>836</v>
      </c>
      <c r="GA123">
        <f t="shared" ref="GA123" ca="1" si="332">EN123+FZ123</f>
        <v>514693</v>
      </c>
      <c r="GB123">
        <f t="shared" ref="GB123" si="333">IF(EN123&gt;0,75000,0)</f>
        <v>75000</v>
      </c>
      <c r="GC123">
        <f t="shared" ref="GC123" ca="1" si="334">GA123-GB123</f>
        <v>439693</v>
      </c>
      <c r="GD123">
        <f t="shared" ref="GD123" ca="1" si="335">IF(GC123&gt;2400000,GC123-2400000,0)</f>
        <v>0</v>
      </c>
      <c r="GE123">
        <f t="shared" ref="GE123" ca="1" si="336">GD123*0.3</f>
        <v>0</v>
      </c>
      <c r="GF123">
        <f t="shared" ref="GF123" ca="1" si="337">IF(GC123&gt;2000000,GC123-2000000,0)</f>
        <v>0</v>
      </c>
      <c r="GG123">
        <f t="shared" ref="GG123" ca="1" si="338">GF123*0.25</f>
        <v>0</v>
      </c>
      <c r="GH123">
        <f t="shared" ref="GH123" ca="1" si="339">IF(GC123&gt;1600000,GC123-1600000-GD123,0)</f>
        <v>0</v>
      </c>
      <c r="GI123">
        <f t="shared" ref="GI123" ca="1" si="340">GH123*0.2</f>
        <v>0</v>
      </c>
      <c r="GJ123">
        <f ca="1">IF(GC123&gt;1200000,GC123-1200000-IF(F123="YES",50000,0)-GH123,0)</f>
        <v>0</v>
      </c>
      <c r="GK123">
        <f t="shared" ref="GK123" ca="1" si="341">GJ123*0.15</f>
        <v>0</v>
      </c>
      <c r="GL123">
        <f t="shared" ref="GL123" ca="1" si="342">IF(GC123&gt;800000,GC123-800000-GD123-GH123-GJ123,0)</f>
        <v>0</v>
      </c>
      <c r="GM123">
        <f t="shared" ref="GM123" ca="1" si="343">GL123*0.1</f>
        <v>0</v>
      </c>
      <c r="GN123">
        <f t="shared" ref="GN123" ca="1" si="344">IF(GC123&gt;400000,GC123-400000-GD123-GH123-GJ123-GL123,0)</f>
        <v>39693</v>
      </c>
      <c r="GO123">
        <f t="shared" ref="GO123" ca="1" si="345">GN123*0.05</f>
        <v>1984.65</v>
      </c>
      <c r="GP123">
        <f t="shared" ref="GP123" ca="1" si="346">ROUND(GE123+GG123+GI123+GK123+GM123+GO123,0)</f>
        <v>1985</v>
      </c>
      <c r="GQ123">
        <f t="shared" ref="GQ123" ca="1" si="347">IF(GC123&gt;1200000,GC123,0)</f>
        <v>0</v>
      </c>
      <c r="GR123">
        <f t="shared" ref="GR123" ca="1" si="348">IF(GC123&gt;1200000,GQ123-1200000,0)</f>
        <v>0</v>
      </c>
      <c r="GS123">
        <f t="shared" ref="GS123" ca="1" si="349">IF(GC123&lt;1200001,MIN(GP123,60000),0)</f>
        <v>1985</v>
      </c>
      <c r="GT123">
        <f t="shared" ref="GT123" ca="1" si="350">IF(GC123&gt;1200000,GP123-GR123,0)</f>
        <v>0</v>
      </c>
      <c r="GU123" t="b">
        <f t="shared" ref="GU123" ca="1" si="351">IF(GT123&gt;0,TRUE,FALSE)</f>
        <v>0</v>
      </c>
      <c r="GV123">
        <f t="shared" ref="GV123" ca="1" si="352">IF(GU123,GT123,0)</f>
        <v>0</v>
      </c>
      <c r="GW123">
        <f t="shared" ref="GW123" ca="1" si="353">GS123+GV123</f>
        <v>1985</v>
      </c>
      <c r="GX123">
        <f t="shared" ref="GX123" ca="1" si="354">ROUND(GP123-GW123,0)</f>
        <v>0</v>
      </c>
      <c r="GY123">
        <f t="shared" ref="GY123" ca="1" si="355">GX123*0.04</f>
        <v>0</v>
      </c>
      <c r="GZ123">
        <f t="shared" ref="GZ123" ca="1" si="356">ROUNDUP(GX123+GY123,0)</f>
        <v>0</v>
      </c>
    </row>
    <row r="124" spans="1:208" x14ac:dyDescent="0.25">
      <c r="A124">
        <f>_xlfn.AGGREGATE(3,5,$B$2:B124)</f>
        <v>123</v>
      </c>
      <c r="B124" t="s">
        <v>360</v>
      </c>
      <c r="C124" t="s">
        <v>361</v>
      </c>
      <c r="D124" t="s">
        <v>783</v>
      </c>
      <c r="E124" t="s">
        <v>831</v>
      </c>
      <c r="F124" t="s">
        <v>957</v>
      </c>
      <c r="G124" t="s">
        <v>885</v>
      </c>
      <c r="H124">
        <f t="shared" si="270"/>
        <v>6800</v>
      </c>
      <c r="I124">
        <f>_xlfn.XLOOKUP(B124,'[1]march-2025'!$A:$A,'[1]march-2025'!$J:$J,0,0)</f>
        <v>0</v>
      </c>
      <c r="J124">
        <f>_xlfn.XLOOKUP(B124,'[1]march-2025'!$A:$A,'[1]march-2025'!$C:$C,0,0)</f>
        <v>47300</v>
      </c>
      <c r="K124">
        <f t="shared" si="179"/>
        <v>6622.0000000000009</v>
      </c>
      <c r="L124">
        <f t="shared" si="180"/>
        <v>5676</v>
      </c>
      <c r="M124">
        <f>_xlfn.XLOOKUP(B124,'[1]march-2025'!$A:$A,'[1]march-2025'!$D:$D,0,0)</f>
        <v>400</v>
      </c>
      <c r="N124">
        <f>_xlfn.XLOOKUP(B124,'[1]march-2025'!$A:$A,'[1]march-2025'!$G:$G,0,0)</f>
        <v>500</v>
      </c>
      <c r="O124">
        <f>IF(J124&gt;0,SUM(J124:N124),0)</f>
        <v>60498</v>
      </c>
      <c r="P124">
        <f>_xlfn.XLOOKUP(B124,'[1]march-2025'!$A:$A,'[1]march-2025'!$H:$H,0,0)</f>
        <v>3000</v>
      </c>
      <c r="Q124">
        <f>_xlfn.XLOOKUP(B124,'[1]march-2025'!$A:$A,'[1]march-2025'!$I:$I,0,0)</f>
        <v>60</v>
      </c>
      <c r="R124">
        <f t="shared" si="269"/>
        <v>200</v>
      </c>
      <c r="S124">
        <f t="shared" si="181"/>
        <v>57238</v>
      </c>
      <c r="T124">
        <f>_xlfn.XLOOKUP(B124,'[2]april-2025'!$A:$A,'[2]april-2025'!$C:$C,0,0)</f>
        <v>47300</v>
      </c>
      <c r="U124">
        <f t="shared" si="182"/>
        <v>8514</v>
      </c>
      <c r="V124">
        <f t="shared" si="183"/>
        <v>5676</v>
      </c>
      <c r="W124">
        <f>_xlfn.XLOOKUP(B124,'[2]april-2025'!$A:$A,'[2]april-2025'!$D:$D,0,0)</f>
        <v>400</v>
      </c>
      <c r="X124">
        <f>_xlfn.XLOOKUP(B124,'[2]april-2025'!$A:$A,'[2]april-2025'!$G:$G,0,0)</f>
        <v>500</v>
      </c>
      <c r="Y124">
        <f t="shared" si="184"/>
        <v>62390</v>
      </c>
      <c r="Z124">
        <f>_xlfn.XLOOKUP(B124,'[2]april-2025'!$A:$A,'[2]april-2025'!$H:$H,0,0)</f>
        <v>3000</v>
      </c>
      <c r="AA124">
        <f>_xlfn.XLOOKUP(B124,'[2]april-2025'!$A:$A,'[2]april-2025'!$I:$I,0,0)</f>
        <v>60</v>
      </c>
      <c r="AB124">
        <f t="shared" si="185"/>
        <v>200</v>
      </c>
      <c r="AC124">
        <f t="shared" si="186"/>
        <v>59130</v>
      </c>
      <c r="AD124">
        <f>_xlfn.XLOOKUP(B124,'[3]may-2025'!$A:$A,'[3]may-2025'!$C:$C,0,0)</f>
        <v>47300</v>
      </c>
      <c r="AE124">
        <f t="shared" si="187"/>
        <v>8514</v>
      </c>
      <c r="AF124">
        <f t="shared" si="188"/>
        <v>5676</v>
      </c>
      <c r="AG124">
        <f>_xlfn.XLOOKUP(B124,'[3]may-2025'!$A:$A,'[3]may-2025'!$D:$D,0,0)</f>
        <v>400</v>
      </c>
      <c r="AH124">
        <f>_xlfn.XLOOKUP(B124,'[3]may-2025'!$A:$A,'[3]may-2025'!$G:$G,0,0)</f>
        <v>500</v>
      </c>
      <c r="AI124">
        <f t="shared" si="189"/>
        <v>62390</v>
      </c>
      <c r="AJ124">
        <f>_xlfn.XLOOKUP(B124,'[3]may-2025'!$A:$A,'[3]may-2025'!$H:$H,0,0)</f>
        <v>3000</v>
      </c>
      <c r="AK124">
        <f>_xlfn.XLOOKUP(B124,'[3]may-2025'!$A:$A,'[3]may-2025'!$I:$I,0,0)</f>
        <v>60</v>
      </c>
      <c r="AL124">
        <f t="shared" si="190"/>
        <v>200</v>
      </c>
      <c r="AM124">
        <f t="shared" si="191"/>
        <v>59130</v>
      </c>
      <c r="AN124">
        <f>_xlfn.XLOOKUP(B124,'[4]june-2025'!$A:$A,'[4]june-2025'!$C:$C,0,0)</f>
        <v>47300</v>
      </c>
      <c r="AO124">
        <f t="shared" si="192"/>
        <v>8514</v>
      </c>
      <c r="AP124">
        <f t="shared" si="193"/>
        <v>5676</v>
      </c>
      <c r="AQ124">
        <f>_xlfn.XLOOKUP(B124,'[4]june-2025'!$A:$A,'[4]june-2025'!$D:$D,0,0)</f>
        <v>400</v>
      </c>
      <c r="AR124">
        <f>_xlfn.XLOOKUP(B124,'[4]june-2025'!$A:$A,'[4]june-2025'!$G:$G,0,0)</f>
        <v>500</v>
      </c>
      <c r="AS124">
        <f t="shared" si="194"/>
        <v>62390</v>
      </c>
      <c r="AT124">
        <f>_xlfn.XLOOKUP(B124,'[4]june-2025'!$A:$A,'[4]june-2025'!$H:$H,0,0)</f>
        <v>3000</v>
      </c>
      <c r="AU124">
        <f>_xlfn.XLOOKUP(B124,'[4]june-2025'!$A:$A,'[4]june-2025'!$I:$I,0,0)</f>
        <v>60</v>
      </c>
      <c r="AV124">
        <f t="shared" si="195"/>
        <v>200</v>
      </c>
      <c r="AW124">
        <f t="shared" si="196"/>
        <v>59130</v>
      </c>
      <c r="AX124">
        <f>_xlfn.XLOOKUP(B124,'[5]july-2025'!$A:$A,'[5]july-2025'!$C:$C,0,0)</f>
        <v>48700</v>
      </c>
      <c r="AY124">
        <f t="shared" si="197"/>
        <v>8766</v>
      </c>
      <c r="AZ124">
        <v>0</v>
      </c>
      <c r="BA124">
        <f t="shared" si="198"/>
        <v>5844</v>
      </c>
      <c r="BB124">
        <f>_xlfn.XLOOKUP(B124,'[5]july-2025'!$A:$A,'[5]july-2025'!$D:$D,0,0)</f>
        <v>400</v>
      </c>
      <c r="BC124">
        <f>_xlfn.XLOOKUP(B124,'[5]july-2025'!$A:$A,'[5]july-2025'!$G:$G,0,0)</f>
        <v>500</v>
      </c>
      <c r="BD124">
        <f>IF(AX124&gt;0,SUM(AX124:BC124),0)</f>
        <v>64210</v>
      </c>
      <c r="BE124">
        <f>_xlfn.XLOOKUP(B124,'[5]july-2025'!$A:$A,'[5]july-2025'!$H:$H,0,0)</f>
        <v>3000</v>
      </c>
      <c r="BF124">
        <f>_xlfn.XLOOKUP(B124,'[5]july-2025'!$A:$A,'[5]july-2025'!$I:$I,0,0)</f>
        <v>60</v>
      </c>
      <c r="BG124">
        <f t="shared" si="199"/>
        <v>200</v>
      </c>
      <c r="BH124">
        <f t="shared" si="200"/>
        <v>60950</v>
      </c>
      <c r="BI124">
        <f>_xlfn.XLOOKUP(B124,'[6]august-2025'!$A:$A,'[6]august-2025'!$C:$C,0,0)</f>
        <v>48700</v>
      </c>
      <c r="BJ124">
        <f t="shared" si="201"/>
        <v>8766</v>
      </c>
      <c r="BK124">
        <f t="shared" si="202"/>
        <v>5844</v>
      </c>
      <c r="BL124">
        <f>_xlfn.XLOOKUP(B124,'[6]august-2025'!$A:$A,'[6]august-2025'!$D:$D,0,0)</f>
        <v>400</v>
      </c>
      <c r="BM124">
        <f>_xlfn.XLOOKUP(B124,'[6]august-2025'!$A:$A,'[6]august-2025'!$G:$G,0,0)</f>
        <v>500</v>
      </c>
      <c r="BN124">
        <f t="shared" si="203"/>
        <v>64210</v>
      </c>
      <c r="BO124">
        <f>_xlfn.XLOOKUP(B124,'[6]august-2025'!$A:$A,'[6]august-2025'!$H:$H,0,0)</f>
        <v>3000</v>
      </c>
      <c r="BP124">
        <f>_xlfn.XLOOKUP(B124,'[6]august-2025'!$A:$A,'[6]august-2025'!$I:$I,0,0)</f>
        <v>60</v>
      </c>
      <c r="BQ124">
        <f>IF($F124="YES",0,IF(BN124&gt;40000,200,IF(BN124&gt;25000,150,IF(BN124&gt;15000,130,IF(BN124&gt;10000,110,0)))))</f>
        <v>200</v>
      </c>
      <c r="BR124">
        <f>BN124-BO124-BP124-BQ124</f>
        <v>60950</v>
      </c>
      <c r="BS124">
        <f>_xlfn.XLOOKUP(B124,'[7]september-2025'!$A:$A,'[7]september-2025'!$C:$C,0,0)</f>
        <v>48700</v>
      </c>
      <c r="BT124">
        <f t="shared" si="204"/>
        <v>8766</v>
      </c>
      <c r="BU124">
        <f t="shared" si="205"/>
        <v>5844</v>
      </c>
      <c r="BV124">
        <f>_xlfn.XLOOKUP(B124,'[7]september-2025'!$A:$A,'[7]september-2025'!$D:$D,0,0)</f>
        <v>400</v>
      </c>
      <c r="BW124">
        <f>_xlfn.XLOOKUP(B124,'[7]september-2025'!$A:$A,'[7]september-2025'!$G:$G,0,0)</f>
        <v>500</v>
      </c>
      <c r="BX124">
        <f>IF(BS124&gt;0,SUM(BS124:BW124),0)</f>
        <v>64210</v>
      </c>
      <c r="BY124">
        <f>_xlfn.XLOOKUP(B124,'[7]september-2025'!$A:$A,'[7]september-2025'!$H:$H,0,0)</f>
        <v>3000</v>
      </c>
      <c r="BZ124">
        <f>_xlfn.XLOOKUP(B124,'[7]september-2025'!$A:$A,'[7]september-2025'!$I:$I,0,0)</f>
        <v>60</v>
      </c>
      <c r="CA124">
        <f t="shared" si="206"/>
        <v>200</v>
      </c>
      <c r="CB124">
        <f t="shared" si="207"/>
        <v>60950</v>
      </c>
      <c r="CC124">
        <f>_xlfn.XLOOKUP(B124,'[8]october-2025'!$A:$A,'[8]october-2025'!$C:$C,0,0)</f>
        <v>48700</v>
      </c>
      <c r="CD124">
        <f t="shared" si="208"/>
        <v>8766</v>
      </c>
      <c r="CE124">
        <f t="shared" si="209"/>
        <v>5844</v>
      </c>
      <c r="CF124">
        <f>_xlfn.XLOOKUP(B124,'[8]october-2025'!$A:$A,'[8]october-2025'!$D:$D,0,0)</f>
        <v>400</v>
      </c>
      <c r="CG124">
        <f>_xlfn.XLOOKUP(B124,'[8]october-2025'!$A:$A,'[8]october-2025'!$G:$G,0,0)</f>
        <v>500</v>
      </c>
      <c r="CH124">
        <f>IF(CC124&gt;0,SUM(CC124:CG124),0)</f>
        <v>64210</v>
      </c>
      <c r="CI124">
        <f>_xlfn.XLOOKUP(B124,'[8]october-2025'!$A:$A,'[8]october-2025'!$H:$H,0,0)</f>
        <v>3000</v>
      </c>
      <c r="CJ124">
        <f>_xlfn.XLOOKUP(B124,'[8]october-2025'!$A:$A,'[8]october-2025'!$I:$I,0,0)</f>
        <v>60</v>
      </c>
      <c r="CK124">
        <f t="shared" si="210"/>
        <v>200</v>
      </c>
      <c r="CL124">
        <f t="shared" si="211"/>
        <v>60950</v>
      </c>
      <c r="CM124">
        <f>_xlfn.XLOOKUP(B124,'[9]november-2025'!$A:$A,'[9]november-2025'!$C:$C,0,0)</f>
        <v>48700</v>
      </c>
      <c r="CN124">
        <f t="shared" si="212"/>
        <v>8766</v>
      </c>
      <c r="CO124">
        <f t="shared" si="213"/>
        <v>5844</v>
      </c>
      <c r="CP124">
        <f>_xlfn.XLOOKUP(B124,'[9]november-2025'!$A:$A,'[9]november-2025'!$D:$D,0,0)</f>
        <v>400</v>
      </c>
      <c r="CQ124">
        <f>_xlfn.XLOOKUP(B124,'[9]november-2025'!$A:$A,'[9]november-2025'!$G:$G,0,0)</f>
        <v>500</v>
      </c>
      <c r="CR124">
        <f>IF(CM124&gt;0,SUM(CM124:CQ124),0)</f>
        <v>64210</v>
      </c>
      <c r="CS124">
        <f>_xlfn.XLOOKUP(B124,'[9]november-2025'!$A:$A,'[9]november-2025'!$H:$H,0,0)</f>
        <v>3000</v>
      </c>
      <c r="CT124">
        <f>_xlfn.XLOOKUP(B124,'[9]november-2025'!$A:$A,'[9]november-2025'!$I:$I,0,0)</f>
        <v>60</v>
      </c>
      <c r="CU124">
        <f t="shared" si="214"/>
        <v>200</v>
      </c>
      <c r="CV124">
        <f t="shared" si="215"/>
        <v>60950</v>
      </c>
      <c r="CW124">
        <f>_xlfn.XLOOKUP(B124,'[10]december-2025'!$A:$A,'[10]december-2025'!$C:$C,0,0)</f>
        <v>48700</v>
      </c>
      <c r="CX124">
        <f t="shared" si="216"/>
        <v>8766</v>
      </c>
      <c r="CY124">
        <f t="shared" si="217"/>
        <v>5844</v>
      </c>
      <c r="CZ124">
        <f>_xlfn.XLOOKUP(B124,'[10]december-2025'!$A:$A,'[10]december-2025'!$D:$D,0,0)</f>
        <v>400</v>
      </c>
      <c r="DA124">
        <f>_xlfn.XLOOKUP(B124,'[10]december-2025'!$A:$A,'[10]december-2025'!$G:$G,0,0)</f>
        <v>500</v>
      </c>
      <c r="DB124">
        <f>IF(CW124&gt;0,SUM(CW124:DA124),0)</f>
        <v>64210</v>
      </c>
      <c r="DC124">
        <f>_xlfn.XLOOKUP(B124,'[10]december-2025'!$A:$A,'[10]december-2025'!$H:$H,0,0)</f>
        <v>3000</v>
      </c>
      <c r="DD124">
        <f>_xlfn.XLOOKUP(B124,'[10]december-2025'!$A:$A,'[10]december-2025'!$I:$I,0,0)</f>
        <v>60</v>
      </c>
      <c r="DE124">
        <f t="shared" si="218"/>
        <v>200</v>
      </c>
      <c r="DF124">
        <f t="shared" si="219"/>
        <v>60950</v>
      </c>
      <c r="DG124">
        <f>_xlfn.XLOOKUP(B124,'[11]january-2026'!$A:$A,'[11]january-2026'!$C:$C,0,0)</f>
        <v>48700</v>
      </c>
      <c r="DH124">
        <f t="shared" si="220"/>
        <v>8766</v>
      </c>
      <c r="DI124">
        <f t="shared" si="221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>IF(DG124&gt;0,SUM(DG124:DK124),0)</f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22"/>
        <v>200</v>
      </c>
      <c r="DP124">
        <f t="shared" si="223"/>
        <v>60950</v>
      </c>
      <c r="DQ124">
        <f>_xlfn.XLOOKUP(B124,'[12]february-2026'!$A:$A,'[12]february-2026'!$C:$C,0,0)</f>
        <v>48700</v>
      </c>
      <c r="DR124">
        <f t="shared" si="224"/>
        <v>8766</v>
      </c>
      <c r="DS124">
        <f t="shared" si="225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>IF(DQ124&gt;0,SUM(DQ124:DU124),0)</f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26"/>
        <v>200</v>
      </c>
      <c r="DZ124">
        <f t="shared" si="227"/>
        <v>60950</v>
      </c>
      <c r="EA124">
        <f>_xlfn.XLOOKUP(B124,'[1]march-2025'!$A:$A,'[1]march-2025'!$J:$J,0,0)</f>
        <v>0</v>
      </c>
      <c r="EB124">
        <f>_xlfn.XLOOKUP(B124,'[2]april-2025'!$A:$A,'[2]april-2025'!$J:$J,0,0)</f>
        <v>0</v>
      </c>
      <c r="EC124">
        <f>_xlfn.XLOOKUP(B124,'[3]may-2025'!$A:$A,'[3]may-2025'!$J:$J,0,0)</f>
        <v>0</v>
      </c>
      <c r="ED124">
        <f>_xlfn.XLOOKUP(B124,'[4]june-2025'!$A:$A,'[4]june-2025'!$J:$J,0,0)</f>
        <v>0</v>
      </c>
      <c r="EE124">
        <f>_xlfn.XLOOKUP(B124,'[5]july-2025'!$A:$A,'[5]july-2025'!$J:$J,0,0)</f>
        <v>0</v>
      </c>
      <c r="EF124">
        <f>_xlfn.XLOOKUP(B124,'[6]august-2025'!$A:$A,'[6]august-2025'!$J:$J,0,0)</f>
        <v>0</v>
      </c>
      <c r="EG124">
        <f>_xlfn.XLOOKUP(B124,'[7]september-2025'!$A:$A,'[7]september-2025'!$J:$J,0,0)</f>
        <v>0</v>
      </c>
      <c r="EH124">
        <f>_xlfn.XLOOKUP(B124,'[8]october-2025'!$A:$A,'[8]october-2025'!$J:$J,0,0)</f>
        <v>0</v>
      </c>
      <c r="EI124">
        <f>_xlfn.XLOOKUP(C124,'[9]november-2025'!$A:$A,'[9]november-2025'!$J:$J,0,0)</f>
        <v>0</v>
      </c>
      <c r="EJ124">
        <f>_xlfn.XLOOKUP(B124,'[10]december-2025'!$A:$A,'[10]december-2025'!$J:$J,0,0)</f>
        <v>0</v>
      </c>
      <c r="EK124">
        <f>_xlfn.XLOOKUP(B124,'[11]january-2026'!$A:$A,'[11]january-2026'!$J:$J,0,0)</f>
        <v>0</v>
      </c>
      <c r="EL124">
        <f>_xlfn.XLOOKUP(B124,'[12]february-2026'!$A:$A,'[12]february-2026'!$J:$J,0,0)</f>
        <v>0</v>
      </c>
      <c r="EM124">
        <f t="shared" si="228"/>
        <v>0</v>
      </c>
      <c r="EN124">
        <f>DV124+DL124+DB124+CR124+CH124+BX124+BN124+BD124+AS124+AI124+Y124+O124+H124+I124</f>
        <v>768148</v>
      </c>
      <c r="EO124">
        <f>DY124+DO124+DE124+CU124+CK124+CA124+BQ124+BG124+AV124+AL124+AB124+R124</f>
        <v>2400</v>
      </c>
      <c r="EP124">
        <f t="shared" si="229"/>
        <v>50000</v>
      </c>
      <c r="EQ124">
        <v>0</v>
      </c>
      <c r="ER124">
        <f t="shared" si="230"/>
        <v>715748</v>
      </c>
      <c r="ES124">
        <f>DW124+DM124+DC124+CS124+CI124+BY124+BO124+BE124+AT124+AJ124+Z124+P124</f>
        <v>36000</v>
      </c>
      <c r="ET124">
        <f>DX124+DN124+DD124+CT124+CJ124+BZ124+BP124+BF124+AU124+AK124+AA124+Q124</f>
        <v>720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231"/>
        <v>36720</v>
      </c>
      <c r="FF124">
        <f t="shared" si="232"/>
        <v>36720</v>
      </c>
      <c r="FG124">
        <f t="shared" si="233"/>
        <v>679028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>SUM(FH124:FN124)+(IF(F124="YES",50000,0))</f>
        <v>0</v>
      </c>
      <c r="FP124">
        <f t="shared" si="234"/>
        <v>679028</v>
      </c>
      <c r="FQ124">
        <f t="shared" si="235"/>
        <v>12500</v>
      </c>
      <c r="FR124">
        <f t="shared" si="236"/>
        <v>35806</v>
      </c>
      <c r="FS124">
        <f t="shared" si="237"/>
        <v>48306</v>
      </c>
      <c r="FT124">
        <f t="shared" si="238"/>
        <v>48306</v>
      </c>
      <c r="FU124">
        <f t="shared" si="239"/>
        <v>1932.24</v>
      </c>
      <c r="FV124">
        <f t="shared" si="240"/>
        <v>50238</v>
      </c>
      <c r="FW124">
        <v>0</v>
      </c>
      <c r="FX124">
        <f t="shared" si="241"/>
        <v>50238</v>
      </c>
      <c r="FY124" t="b">
        <f t="shared" si="242"/>
        <v>1</v>
      </c>
      <c r="FZ124">
        <f t="shared" ca="1" si="243"/>
        <v>824</v>
      </c>
      <c r="GA124">
        <f t="shared" ca="1" si="244"/>
        <v>768972</v>
      </c>
      <c r="GB124">
        <f t="shared" si="245"/>
        <v>75000</v>
      </c>
      <c r="GC124">
        <f t="shared" ca="1" si="246"/>
        <v>693972</v>
      </c>
      <c r="GD124">
        <f t="shared" ca="1" si="247"/>
        <v>0</v>
      </c>
      <c r="GE124">
        <f t="shared" ca="1" si="248"/>
        <v>0</v>
      </c>
      <c r="GF124">
        <f t="shared" ca="1" si="249"/>
        <v>0</v>
      </c>
      <c r="GG124">
        <f t="shared" ca="1" si="250"/>
        <v>0</v>
      </c>
      <c r="GH124">
        <f t="shared" ca="1" si="251"/>
        <v>0</v>
      </c>
      <c r="GI124">
        <f t="shared" ca="1" si="252"/>
        <v>0</v>
      </c>
      <c r="GJ124">
        <f ca="1">IF(GC124&gt;1200000,GC124-1200000-IF(F124="YES",50000,0)-GH124,0)</f>
        <v>0</v>
      </c>
      <c r="GK124">
        <f t="shared" ca="1" si="253"/>
        <v>0</v>
      </c>
      <c r="GL124">
        <f t="shared" ca="1" si="254"/>
        <v>0</v>
      </c>
      <c r="GM124">
        <f t="shared" ca="1" si="255"/>
        <v>0</v>
      </c>
      <c r="GN124">
        <f t="shared" ca="1" si="256"/>
        <v>293972</v>
      </c>
      <c r="GO124">
        <f t="shared" ca="1" si="257"/>
        <v>14698.6</v>
      </c>
      <c r="GP124">
        <f t="shared" ca="1" si="258"/>
        <v>14699</v>
      </c>
      <c r="GQ124">
        <f t="shared" ca="1" si="259"/>
        <v>0</v>
      </c>
      <c r="GR124">
        <f t="shared" ca="1" si="260"/>
        <v>0</v>
      </c>
      <c r="GS124">
        <f t="shared" ca="1" si="261"/>
        <v>14699</v>
      </c>
      <c r="GT124">
        <f t="shared" ca="1" si="262"/>
        <v>0</v>
      </c>
      <c r="GU124" t="b">
        <f t="shared" ca="1" si="263"/>
        <v>0</v>
      </c>
      <c r="GV124">
        <f t="shared" ca="1" si="264"/>
        <v>0</v>
      </c>
      <c r="GW124">
        <f t="shared" ca="1" si="265"/>
        <v>14699</v>
      </c>
      <c r="GX124">
        <f t="shared" ca="1" si="266"/>
        <v>0</v>
      </c>
      <c r="GY124">
        <f t="shared" ca="1" si="267"/>
        <v>0</v>
      </c>
      <c r="GZ124">
        <f t="shared" ca="1" si="268"/>
        <v>0</v>
      </c>
    </row>
    <row r="125" spans="1:208" x14ac:dyDescent="0.25">
      <c r="A125">
        <f>_xlfn.AGGREGATE(3,5,$B$2:B125)</f>
        <v>124</v>
      </c>
      <c r="B125" t="s">
        <v>362</v>
      </c>
      <c r="C125" t="s">
        <v>363</v>
      </c>
      <c r="D125" t="s">
        <v>783</v>
      </c>
      <c r="E125" t="s">
        <v>831</v>
      </c>
      <c r="F125" t="s">
        <v>957</v>
      </c>
      <c r="G125" t="s">
        <v>922</v>
      </c>
      <c r="H125">
        <f t="shared" si="270"/>
        <v>6800</v>
      </c>
      <c r="I125">
        <f>_xlfn.XLOOKUP(B125,'[1]march-2025'!$A:$A,'[1]march-2025'!$J:$J,0,0)</f>
        <v>0</v>
      </c>
      <c r="J125">
        <f>_xlfn.XLOOKUP(B125,'[1]march-2025'!$A:$A,'[1]march-2025'!$C:$C,0,0)</f>
        <v>31600</v>
      </c>
      <c r="K125">
        <f t="shared" si="179"/>
        <v>4424</v>
      </c>
      <c r="L125">
        <f t="shared" si="180"/>
        <v>3792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>IF(J125&gt;0,SUM(J125:N125),0)</f>
        <v>40316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269"/>
        <v>200</v>
      </c>
      <c r="S125">
        <f t="shared" si="181"/>
        <v>38116</v>
      </c>
      <c r="T125">
        <f>_xlfn.XLOOKUP(B125,'[2]april-2025'!$A:$A,'[2]april-2025'!$C:$C,0,0)</f>
        <v>31600</v>
      </c>
      <c r="U125">
        <f t="shared" si="182"/>
        <v>5688</v>
      </c>
      <c r="V125">
        <f t="shared" si="183"/>
        <v>3792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184"/>
        <v>41580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185"/>
        <v>200</v>
      </c>
      <c r="AC125">
        <f t="shared" si="186"/>
        <v>39380</v>
      </c>
      <c r="AD125">
        <f>_xlfn.XLOOKUP(B125,'[3]may-2025'!$A:$A,'[3]may-2025'!$C:$C,0,0)</f>
        <v>31600</v>
      </c>
      <c r="AE125">
        <f t="shared" si="187"/>
        <v>5688</v>
      </c>
      <c r="AF125">
        <f t="shared" si="188"/>
        <v>3792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189"/>
        <v>41580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190"/>
        <v>200</v>
      </c>
      <c r="AM125">
        <f t="shared" si="191"/>
        <v>39380</v>
      </c>
      <c r="AN125">
        <f>_xlfn.XLOOKUP(B125,'[4]june-2025'!$A:$A,'[4]june-2025'!$C:$C,0,0)</f>
        <v>31600</v>
      </c>
      <c r="AO125">
        <f t="shared" si="192"/>
        <v>5688</v>
      </c>
      <c r="AP125">
        <f t="shared" si="193"/>
        <v>3792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194"/>
        <v>41580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195"/>
        <v>200</v>
      </c>
      <c r="AW125">
        <f t="shared" si="196"/>
        <v>39380</v>
      </c>
      <c r="AX125">
        <f>_xlfn.XLOOKUP(B125,'[5]july-2025'!$A:$A,'[5]july-2025'!$C:$C,0,0)</f>
        <v>32500</v>
      </c>
      <c r="AY125">
        <f t="shared" si="197"/>
        <v>5850</v>
      </c>
      <c r="AZ125">
        <v>0</v>
      </c>
      <c r="BA125">
        <f t="shared" si="198"/>
        <v>3900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>IF(AX125&gt;0,SUM(AX125:BC125),0)</f>
        <v>42750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199"/>
        <v>200</v>
      </c>
      <c r="BH125">
        <f t="shared" si="200"/>
        <v>40550</v>
      </c>
      <c r="BI125">
        <f>_xlfn.XLOOKUP(B125,'[6]august-2025'!$A:$A,'[6]august-2025'!$C:$C,0,0)</f>
        <v>32500</v>
      </c>
      <c r="BJ125">
        <f t="shared" si="201"/>
        <v>5850</v>
      </c>
      <c r="BK125">
        <f t="shared" si="202"/>
        <v>3900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03"/>
        <v>42750</v>
      </c>
      <c r="BO125">
        <f>_xlfn.XLOOKUP(B125,'[6]august-2025'!$A:$A,'[6]august-2025'!$H:$H,0,0)</f>
        <v>2000</v>
      </c>
      <c r="BP125">
        <f>_xlfn.XLOOKUP(B125,'[6]august-2025'!$A:$A,'[6]august-2025'!$I:$I,0,0)</f>
        <v>0</v>
      </c>
      <c r="BQ125">
        <f>IF($F125="YES",0,IF(BN125&gt;40000,200,IF(BN125&gt;25000,150,IF(BN125&gt;15000,130,IF(BN125&gt;10000,110,0)))))</f>
        <v>200</v>
      </c>
      <c r="BR125">
        <f>BN125-BO125-BP125-BQ125</f>
        <v>40550</v>
      </c>
      <c r="BS125">
        <f>_xlfn.XLOOKUP(B125,'[7]september-2025'!$A:$A,'[7]september-2025'!$C:$C,0,0)</f>
        <v>32500</v>
      </c>
      <c r="BT125">
        <f t="shared" si="204"/>
        <v>5850</v>
      </c>
      <c r="BU125">
        <f t="shared" si="205"/>
        <v>3900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>IF(BS125&gt;0,SUM(BS125:BW125),0)</f>
        <v>42750</v>
      </c>
      <c r="BY125">
        <f>_xlfn.XLOOKUP(B125,'[7]september-2025'!$A:$A,'[7]september-2025'!$H:$H,0,0)</f>
        <v>2000</v>
      </c>
      <c r="BZ125">
        <f>_xlfn.XLOOKUP(B125,'[7]september-2025'!$A:$A,'[7]september-2025'!$I:$I,0,0)</f>
        <v>0</v>
      </c>
      <c r="CA125">
        <f t="shared" si="206"/>
        <v>200</v>
      </c>
      <c r="CB125">
        <f t="shared" si="207"/>
        <v>40550</v>
      </c>
      <c r="CC125">
        <f>_xlfn.XLOOKUP(B125,'[8]october-2025'!$A:$A,'[8]october-2025'!$C:$C,0,0)</f>
        <v>32500</v>
      </c>
      <c r="CD125">
        <f t="shared" si="208"/>
        <v>5850</v>
      </c>
      <c r="CE125">
        <f t="shared" si="209"/>
        <v>3900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>IF(CC125&gt;0,SUM(CC125:CG125),0)</f>
        <v>42750</v>
      </c>
      <c r="CI125">
        <f>_xlfn.XLOOKUP(B125,'[8]october-2025'!$A:$A,'[8]october-2025'!$H:$H,0,0)</f>
        <v>2000</v>
      </c>
      <c r="CJ125">
        <f>_xlfn.XLOOKUP(B125,'[8]october-2025'!$A:$A,'[8]october-2025'!$I:$I,0,0)</f>
        <v>0</v>
      </c>
      <c r="CK125">
        <f t="shared" si="210"/>
        <v>200</v>
      </c>
      <c r="CL125">
        <f t="shared" si="211"/>
        <v>40550</v>
      </c>
      <c r="CM125">
        <f>_xlfn.XLOOKUP(B125,'[9]november-2025'!$A:$A,'[9]november-2025'!$C:$C,0,0)</f>
        <v>32500</v>
      </c>
      <c r="CN125">
        <f t="shared" si="212"/>
        <v>5850</v>
      </c>
      <c r="CO125">
        <f t="shared" si="213"/>
        <v>3900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>IF(CM125&gt;0,SUM(CM125:CQ125),0)</f>
        <v>42750</v>
      </c>
      <c r="CS125">
        <f>_xlfn.XLOOKUP(B125,'[9]november-2025'!$A:$A,'[9]november-2025'!$H:$H,0,0)</f>
        <v>2000</v>
      </c>
      <c r="CT125">
        <f>_xlfn.XLOOKUP(B125,'[9]november-2025'!$A:$A,'[9]november-2025'!$I:$I,0,0)</f>
        <v>0</v>
      </c>
      <c r="CU125">
        <f t="shared" si="214"/>
        <v>200</v>
      </c>
      <c r="CV125">
        <f t="shared" si="215"/>
        <v>40550</v>
      </c>
      <c r="CW125">
        <f>_xlfn.XLOOKUP(B125,'[10]december-2025'!$A:$A,'[10]december-2025'!$C:$C,0,0)</f>
        <v>32500</v>
      </c>
      <c r="CX125">
        <f t="shared" si="216"/>
        <v>5850</v>
      </c>
      <c r="CY125">
        <f t="shared" si="217"/>
        <v>3900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>IF(CW125&gt;0,SUM(CW125:DA125),0)</f>
        <v>42750</v>
      </c>
      <c r="DC125">
        <f>_xlfn.XLOOKUP(B125,'[10]december-2025'!$A:$A,'[10]december-2025'!$H:$H,0,0)</f>
        <v>2000</v>
      </c>
      <c r="DD125">
        <f>_xlfn.XLOOKUP(B125,'[10]december-2025'!$A:$A,'[10]december-2025'!$I:$I,0,0)</f>
        <v>0</v>
      </c>
      <c r="DE125">
        <f t="shared" si="218"/>
        <v>200</v>
      </c>
      <c r="DF125">
        <f t="shared" si="219"/>
        <v>40550</v>
      </c>
      <c r="DG125">
        <f>_xlfn.XLOOKUP(B125,'[11]january-2026'!$A:$A,'[11]january-2026'!$C:$C,0,0)</f>
        <v>32500</v>
      </c>
      <c r="DH125">
        <f t="shared" si="220"/>
        <v>5850</v>
      </c>
      <c r="DI125">
        <f t="shared" si="221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>IF(DG125&gt;0,SUM(DG125:DK125),0)</f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22"/>
        <v>200</v>
      </c>
      <c r="DP125">
        <f t="shared" si="223"/>
        <v>40550</v>
      </c>
      <c r="DQ125">
        <f>_xlfn.XLOOKUP(B125,'[12]february-2026'!$A:$A,'[12]february-2026'!$C:$C,0,0)</f>
        <v>32500</v>
      </c>
      <c r="DR125">
        <f t="shared" si="224"/>
        <v>5850</v>
      </c>
      <c r="DS125">
        <f t="shared" si="225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>IF(DQ125&gt;0,SUM(DQ125:DU125),0)</f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26"/>
        <v>200</v>
      </c>
      <c r="DZ125">
        <f t="shared" si="227"/>
        <v>40550</v>
      </c>
      <c r="EA125">
        <f>_xlfn.XLOOKUP(B125,'[1]march-2025'!$A:$A,'[1]march-2025'!$J:$J,0,0)</f>
        <v>0</v>
      </c>
      <c r="EB125">
        <f>_xlfn.XLOOKUP(B125,'[2]april-2025'!$A:$A,'[2]april-2025'!$J:$J,0,0)</f>
        <v>0</v>
      </c>
      <c r="EC125">
        <f>_xlfn.XLOOKUP(B125,'[3]may-2025'!$A:$A,'[3]may-2025'!$J:$J,0,0)</f>
        <v>0</v>
      </c>
      <c r="ED125">
        <f>_xlfn.XLOOKUP(B125,'[4]june-2025'!$A:$A,'[4]june-2025'!$J:$J,0,0)</f>
        <v>0</v>
      </c>
      <c r="EE125">
        <f>_xlfn.XLOOKUP(B125,'[5]july-2025'!$A:$A,'[5]july-2025'!$J:$J,0,0)</f>
        <v>0</v>
      </c>
      <c r="EF125">
        <f>_xlfn.XLOOKUP(B125,'[6]august-2025'!$A:$A,'[6]august-2025'!$J:$J,0,0)</f>
        <v>0</v>
      </c>
      <c r="EG125">
        <f>_xlfn.XLOOKUP(B125,'[7]september-2025'!$A:$A,'[7]september-2025'!$J:$J,0,0)</f>
        <v>0</v>
      </c>
      <c r="EH125">
        <f>_xlfn.XLOOKUP(B125,'[8]october-2025'!$A:$A,'[8]october-2025'!$J:$J,0,0)</f>
        <v>0</v>
      </c>
      <c r="EI125">
        <f>_xlfn.XLOOKUP(C125,'[9]november-2025'!$A:$A,'[9]november-2025'!$J:$J,0,0)</f>
        <v>0</v>
      </c>
      <c r="EJ125">
        <f>_xlfn.XLOOKUP(B125,'[10]december-2025'!$A:$A,'[10]december-2025'!$J:$J,0,0)</f>
        <v>0</v>
      </c>
      <c r="EK125">
        <f>_xlfn.XLOOKUP(B125,'[11]january-2026'!$A:$A,'[11]january-2026'!$J:$J,0,0)</f>
        <v>0</v>
      </c>
      <c r="EL125">
        <f>_xlfn.XLOOKUP(B125,'[12]february-2026'!$A:$A,'[12]february-2026'!$J:$J,0,0)</f>
        <v>0</v>
      </c>
      <c r="EM125">
        <f t="shared" si="228"/>
        <v>0</v>
      </c>
      <c r="EN125">
        <f>DV125+DL125+DB125+CR125+CH125+BX125+BN125+BD125+AS125+AI125+Y125+O125+H125+I125</f>
        <v>513856</v>
      </c>
      <c r="EO125">
        <f>DY125+DO125+DE125+CU125+CK125+CA125+BQ125+BG125+AV125+AL125+AB125+R125</f>
        <v>2400</v>
      </c>
      <c r="EP125">
        <f t="shared" si="229"/>
        <v>50000</v>
      </c>
      <c r="EQ125">
        <v>0</v>
      </c>
      <c r="ER125">
        <f t="shared" si="230"/>
        <v>461456</v>
      </c>
      <c r="ES125">
        <f>DW125+DM125+DC125+CS125+CI125+BY125+BO125+BE125+AT125+AJ125+Z125+P125</f>
        <v>24000</v>
      </c>
      <c r="ET125">
        <f>DX125+DN125+DD125+CT125+CJ125+BZ125+BP125+BF125+AU125+AK125+AA125+Q125</f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231"/>
        <v>24000</v>
      </c>
      <c r="FF125">
        <f t="shared" si="232"/>
        <v>24000</v>
      </c>
      <c r="FG125">
        <f t="shared" si="233"/>
        <v>437456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>SUM(FH125:FN125)+(IF(F125="YES",50000,0))</f>
        <v>0</v>
      </c>
      <c r="FP125">
        <f t="shared" si="234"/>
        <v>437456</v>
      </c>
      <c r="FQ125">
        <f t="shared" si="235"/>
        <v>9373</v>
      </c>
      <c r="FR125">
        <f t="shared" si="236"/>
        <v>0</v>
      </c>
      <c r="FS125">
        <f t="shared" si="237"/>
        <v>9373</v>
      </c>
      <c r="FT125">
        <f t="shared" si="238"/>
        <v>0</v>
      </c>
      <c r="FU125">
        <f t="shared" si="239"/>
        <v>0</v>
      </c>
      <c r="FV125">
        <f t="shared" si="240"/>
        <v>0</v>
      </c>
      <c r="FW125">
        <v>0</v>
      </c>
      <c r="FX125">
        <f t="shared" si="241"/>
        <v>0</v>
      </c>
      <c r="FY125" t="b">
        <f t="shared" si="242"/>
        <v>1</v>
      </c>
      <c r="FZ125">
        <f t="shared" ca="1" si="243"/>
        <v>626</v>
      </c>
      <c r="GA125">
        <f t="shared" ca="1" si="244"/>
        <v>514482</v>
      </c>
      <c r="GB125">
        <f t="shared" si="245"/>
        <v>75000</v>
      </c>
      <c r="GC125">
        <f t="shared" ca="1" si="246"/>
        <v>439482</v>
      </c>
      <c r="GD125">
        <f t="shared" ca="1" si="247"/>
        <v>0</v>
      </c>
      <c r="GE125">
        <f t="shared" ca="1" si="248"/>
        <v>0</v>
      </c>
      <c r="GF125">
        <f t="shared" ca="1" si="249"/>
        <v>0</v>
      </c>
      <c r="GG125">
        <f t="shared" ca="1" si="250"/>
        <v>0</v>
      </c>
      <c r="GH125">
        <f t="shared" ca="1" si="251"/>
        <v>0</v>
      </c>
      <c r="GI125">
        <f t="shared" ca="1" si="252"/>
        <v>0</v>
      </c>
      <c r="GJ125">
        <f ca="1">IF(GC125&gt;1200000,GC125-1200000-IF(F125="YES",50000,0)-GH125,0)</f>
        <v>0</v>
      </c>
      <c r="GK125">
        <f t="shared" ca="1" si="253"/>
        <v>0</v>
      </c>
      <c r="GL125">
        <f t="shared" ca="1" si="254"/>
        <v>0</v>
      </c>
      <c r="GM125">
        <f t="shared" ca="1" si="255"/>
        <v>0</v>
      </c>
      <c r="GN125">
        <f t="shared" ca="1" si="256"/>
        <v>39482</v>
      </c>
      <c r="GO125">
        <f t="shared" ca="1" si="257"/>
        <v>1974.1000000000001</v>
      </c>
      <c r="GP125">
        <f t="shared" ca="1" si="258"/>
        <v>1974</v>
      </c>
      <c r="GQ125">
        <f t="shared" ca="1" si="259"/>
        <v>0</v>
      </c>
      <c r="GR125">
        <f t="shared" ca="1" si="260"/>
        <v>0</v>
      </c>
      <c r="GS125">
        <f t="shared" ca="1" si="261"/>
        <v>1974</v>
      </c>
      <c r="GT125">
        <f t="shared" ca="1" si="262"/>
        <v>0</v>
      </c>
      <c r="GU125" t="b">
        <f t="shared" ca="1" si="263"/>
        <v>0</v>
      </c>
      <c r="GV125">
        <f t="shared" ca="1" si="264"/>
        <v>0</v>
      </c>
      <c r="GW125">
        <f t="shared" ca="1" si="265"/>
        <v>1974</v>
      </c>
      <c r="GX125">
        <f t="shared" ca="1" si="266"/>
        <v>0</v>
      </c>
      <c r="GY125">
        <f t="shared" ca="1" si="267"/>
        <v>0</v>
      </c>
      <c r="GZ125">
        <f t="shared" ca="1" si="268"/>
        <v>0</v>
      </c>
    </row>
    <row r="126" spans="1:208" x14ac:dyDescent="0.25">
      <c r="A126">
        <f>_xlfn.AGGREGATE(3,5,$B$2:B126)</f>
        <v>125</v>
      </c>
      <c r="B126" t="s">
        <v>364</v>
      </c>
      <c r="C126" t="s">
        <v>365</v>
      </c>
      <c r="D126" t="s">
        <v>783</v>
      </c>
      <c r="E126" t="s">
        <v>831</v>
      </c>
      <c r="F126" t="s">
        <v>957</v>
      </c>
      <c r="G126" t="s">
        <v>923</v>
      </c>
      <c r="H126">
        <f t="shared" si="270"/>
        <v>6800</v>
      </c>
      <c r="I126">
        <f>_xlfn.XLOOKUP(B126,'[1]march-2025'!$A:$A,'[1]march-2025'!$J:$J,0,0)</f>
        <v>0</v>
      </c>
      <c r="J126">
        <f>_xlfn.XLOOKUP(B126,'[1]march-2025'!$A:$A,'[1]march-2025'!$C:$C,0,0)</f>
        <v>30700</v>
      </c>
      <c r="K126">
        <f t="shared" si="179"/>
        <v>4298</v>
      </c>
      <c r="L126">
        <f t="shared" si="180"/>
        <v>3684</v>
      </c>
      <c r="M126">
        <f>_xlfn.XLOOKUP(B126,'[1]march-2025'!$A:$A,'[1]march-2025'!$D:$D,0,0)</f>
        <v>0</v>
      </c>
      <c r="N126">
        <f>_xlfn.XLOOKUP(B126,'[1]march-2025'!$A:$A,'[1]march-2025'!$G:$G,0,0)</f>
        <v>500</v>
      </c>
      <c r="O126">
        <f>IF(J126&gt;0,SUM(J126:N126),0)</f>
        <v>39182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269"/>
        <v>150</v>
      </c>
      <c r="S126">
        <f t="shared" si="181"/>
        <v>37032</v>
      </c>
      <c r="T126">
        <f>_xlfn.XLOOKUP(B126,'[2]april-2025'!$A:$A,'[2]april-2025'!$C:$C,0,0)</f>
        <v>30700</v>
      </c>
      <c r="U126">
        <f t="shared" si="182"/>
        <v>5526</v>
      </c>
      <c r="V126">
        <f t="shared" si="183"/>
        <v>3684</v>
      </c>
      <c r="W126">
        <f>_xlfn.XLOOKUP(B126,'[2]april-2025'!$A:$A,'[2]april-2025'!$D:$D,0,0)</f>
        <v>0</v>
      </c>
      <c r="X126">
        <f>_xlfn.XLOOKUP(B126,'[2]april-2025'!$A:$A,'[2]april-2025'!$G:$G,0,0)</f>
        <v>500</v>
      </c>
      <c r="Y126">
        <f t="shared" si="184"/>
        <v>40410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185"/>
        <v>200</v>
      </c>
      <c r="AC126">
        <f t="shared" si="186"/>
        <v>38210</v>
      </c>
      <c r="AD126">
        <f>_xlfn.XLOOKUP(B126,'[3]may-2025'!$A:$A,'[3]may-2025'!$C:$C,0,0)</f>
        <v>30700</v>
      </c>
      <c r="AE126">
        <f t="shared" si="187"/>
        <v>5526</v>
      </c>
      <c r="AF126">
        <f t="shared" si="188"/>
        <v>3684</v>
      </c>
      <c r="AG126">
        <f>_xlfn.XLOOKUP(B126,'[3]may-2025'!$A:$A,'[3]may-2025'!$D:$D,0,0)</f>
        <v>0</v>
      </c>
      <c r="AH126">
        <f>_xlfn.XLOOKUP(B126,'[3]may-2025'!$A:$A,'[3]may-2025'!$G:$G,0,0)</f>
        <v>500</v>
      </c>
      <c r="AI126">
        <f t="shared" si="189"/>
        <v>40410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190"/>
        <v>200</v>
      </c>
      <c r="AM126">
        <f t="shared" si="191"/>
        <v>38210</v>
      </c>
      <c r="AN126">
        <f>_xlfn.XLOOKUP(B126,'[4]june-2025'!$A:$A,'[4]june-2025'!$C:$C,0,0)</f>
        <v>30700</v>
      </c>
      <c r="AO126">
        <f t="shared" si="192"/>
        <v>5526</v>
      </c>
      <c r="AP126">
        <f t="shared" si="193"/>
        <v>3684</v>
      </c>
      <c r="AQ126">
        <f>_xlfn.XLOOKUP(B126,'[4]june-2025'!$A:$A,'[4]june-2025'!$D:$D,0,0)</f>
        <v>0</v>
      </c>
      <c r="AR126">
        <f>_xlfn.XLOOKUP(B126,'[4]june-2025'!$A:$A,'[4]june-2025'!$G:$G,0,0)</f>
        <v>500</v>
      </c>
      <c r="AS126">
        <f t="shared" si="194"/>
        <v>40410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195"/>
        <v>200</v>
      </c>
      <c r="AW126">
        <f t="shared" si="196"/>
        <v>38210</v>
      </c>
      <c r="AX126">
        <f>_xlfn.XLOOKUP(B126,'[5]july-2025'!$A:$A,'[5]july-2025'!$C:$C,0,0)</f>
        <v>34500</v>
      </c>
      <c r="AY126">
        <f t="shared" si="197"/>
        <v>6210</v>
      </c>
      <c r="AZ126">
        <v>0</v>
      </c>
      <c r="BA126">
        <f t="shared" si="198"/>
        <v>4140</v>
      </c>
      <c r="BB126">
        <f>_xlfn.XLOOKUP(B126,'[5]july-2025'!$A:$A,'[5]july-2025'!$D:$D,0,0)</f>
        <v>0</v>
      </c>
      <c r="BC126">
        <f>_xlfn.XLOOKUP(B126,'[5]july-2025'!$A:$A,'[5]july-2025'!$G:$G,0,0)</f>
        <v>500</v>
      </c>
      <c r="BD126">
        <f>IF(AX126&gt;0,SUM(AX126:BC126),0)</f>
        <v>45350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199"/>
        <v>200</v>
      </c>
      <c r="BH126">
        <f t="shared" si="200"/>
        <v>43150</v>
      </c>
      <c r="BI126">
        <f>_xlfn.XLOOKUP(B126,'[6]august-2025'!$A:$A,'[6]august-2025'!$C:$C,0,0)</f>
        <v>34500</v>
      </c>
      <c r="BJ126">
        <f t="shared" si="201"/>
        <v>6210</v>
      </c>
      <c r="BK126">
        <f t="shared" si="202"/>
        <v>4140</v>
      </c>
      <c r="BL126">
        <f>_xlfn.XLOOKUP(B126,'[6]august-2025'!$A:$A,'[6]august-2025'!$D:$D,0,0)</f>
        <v>0</v>
      </c>
      <c r="BM126">
        <f>_xlfn.XLOOKUP(B126,'[6]august-2025'!$A:$A,'[6]august-2025'!$G:$G,0,0)</f>
        <v>500</v>
      </c>
      <c r="BN126">
        <f t="shared" si="203"/>
        <v>45350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>IF($F126="YES",0,IF(BN126&gt;40000,200,IF(BN126&gt;25000,150,IF(BN126&gt;15000,130,IF(BN126&gt;10000,110,0)))))</f>
        <v>200</v>
      </c>
      <c r="BR126">
        <f>BN126-BO126-BP126-BQ126</f>
        <v>42650</v>
      </c>
      <c r="BS126">
        <f>_xlfn.XLOOKUP(B126,'[7]september-2025'!$A:$A,'[7]september-2025'!$C:$C,0,0)</f>
        <v>34500</v>
      </c>
      <c r="BT126">
        <f t="shared" si="204"/>
        <v>6210</v>
      </c>
      <c r="BU126">
        <f t="shared" si="205"/>
        <v>4140</v>
      </c>
      <c r="BV126">
        <f>_xlfn.XLOOKUP(B126,'[7]september-2025'!$A:$A,'[7]september-2025'!$D:$D,0,0)</f>
        <v>0</v>
      </c>
      <c r="BW126">
        <f>_xlfn.XLOOKUP(B126,'[7]september-2025'!$A:$A,'[7]september-2025'!$G:$G,0,0)</f>
        <v>500</v>
      </c>
      <c r="BX126">
        <f>IF(BS126&gt;0,SUM(BS126:BW126),0)</f>
        <v>45350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06"/>
        <v>200</v>
      </c>
      <c r="CB126">
        <f t="shared" si="207"/>
        <v>42650</v>
      </c>
      <c r="CC126">
        <f>_xlfn.XLOOKUP(B126,'[8]october-2025'!$A:$A,'[8]october-2025'!$C:$C,0,0)</f>
        <v>34500</v>
      </c>
      <c r="CD126">
        <f t="shared" si="208"/>
        <v>6210</v>
      </c>
      <c r="CE126">
        <f t="shared" si="209"/>
        <v>4140</v>
      </c>
      <c r="CF126">
        <f>_xlfn.XLOOKUP(B126,'[8]october-2025'!$A:$A,'[8]october-2025'!$D:$D,0,0)</f>
        <v>0</v>
      </c>
      <c r="CG126">
        <f>_xlfn.XLOOKUP(B126,'[8]october-2025'!$A:$A,'[8]october-2025'!$G:$G,0,0)</f>
        <v>500</v>
      </c>
      <c r="CH126">
        <f>IF(CC126&gt;0,SUM(CC126:CG126),0)</f>
        <v>45350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10"/>
        <v>200</v>
      </c>
      <c r="CL126">
        <f t="shared" si="211"/>
        <v>42650</v>
      </c>
      <c r="CM126">
        <f>_xlfn.XLOOKUP(B126,'[9]november-2025'!$A:$A,'[9]november-2025'!$C:$C,0,0)</f>
        <v>34500</v>
      </c>
      <c r="CN126">
        <f t="shared" si="212"/>
        <v>6210</v>
      </c>
      <c r="CO126">
        <f t="shared" si="213"/>
        <v>4140</v>
      </c>
      <c r="CP126">
        <f>_xlfn.XLOOKUP(B126,'[9]november-2025'!$A:$A,'[9]november-2025'!$D:$D,0,0)</f>
        <v>0</v>
      </c>
      <c r="CQ126">
        <f>_xlfn.XLOOKUP(B126,'[9]november-2025'!$A:$A,'[9]november-2025'!$G:$G,0,0)</f>
        <v>500</v>
      </c>
      <c r="CR126">
        <f>IF(CM126&gt;0,SUM(CM126:CQ126),0)</f>
        <v>45350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14"/>
        <v>200</v>
      </c>
      <c r="CV126">
        <f t="shared" si="215"/>
        <v>42650</v>
      </c>
      <c r="CW126">
        <f>_xlfn.XLOOKUP(B126,'[10]december-2025'!$A:$A,'[10]december-2025'!$C:$C,0,0)</f>
        <v>34500</v>
      </c>
      <c r="CX126">
        <f t="shared" si="216"/>
        <v>6210</v>
      </c>
      <c r="CY126">
        <f t="shared" si="217"/>
        <v>4140</v>
      </c>
      <c r="CZ126">
        <f>_xlfn.XLOOKUP(B126,'[10]december-2025'!$A:$A,'[10]december-2025'!$D:$D,0,0)</f>
        <v>0</v>
      </c>
      <c r="DA126">
        <f>_xlfn.XLOOKUP(B126,'[10]december-2025'!$A:$A,'[10]december-2025'!$G:$G,0,0)</f>
        <v>500</v>
      </c>
      <c r="DB126">
        <f>IF(CW126&gt;0,SUM(CW126:DA126),0)</f>
        <v>45350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18"/>
        <v>200</v>
      </c>
      <c r="DF126">
        <f t="shared" si="219"/>
        <v>42650</v>
      </c>
      <c r="DG126">
        <f>_xlfn.XLOOKUP(B126,'[11]january-2026'!$A:$A,'[11]january-2026'!$C:$C,0,0)</f>
        <v>34500</v>
      </c>
      <c r="DH126">
        <f t="shared" si="220"/>
        <v>6210</v>
      </c>
      <c r="DI126">
        <f t="shared" si="221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>IF(DG126&gt;0,SUM(DG126:DK126),0)</f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22"/>
        <v>200</v>
      </c>
      <c r="DP126">
        <f t="shared" si="223"/>
        <v>42650</v>
      </c>
      <c r="DQ126">
        <f>_xlfn.XLOOKUP(B126,'[12]february-2026'!$A:$A,'[12]february-2026'!$C:$C,0,0)</f>
        <v>34500</v>
      </c>
      <c r="DR126">
        <f t="shared" si="224"/>
        <v>6210</v>
      </c>
      <c r="DS126">
        <f t="shared" si="225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>IF(DQ126&gt;0,SUM(DQ126:DU126),0)</f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26"/>
        <v>200</v>
      </c>
      <c r="DZ126">
        <f t="shared" si="227"/>
        <v>42650</v>
      </c>
      <c r="EA126">
        <f>_xlfn.XLOOKUP(B126,'[1]march-2025'!$A:$A,'[1]march-2025'!$J:$J,0,0)</f>
        <v>0</v>
      </c>
      <c r="EB126">
        <f>_xlfn.XLOOKUP(B126,'[2]april-2025'!$A:$A,'[2]april-2025'!$J:$J,0,0)</f>
        <v>0</v>
      </c>
      <c r="EC126">
        <f>_xlfn.XLOOKUP(B126,'[3]may-2025'!$A:$A,'[3]may-2025'!$J:$J,0,0)</f>
        <v>0</v>
      </c>
      <c r="ED126">
        <f>_xlfn.XLOOKUP(B126,'[4]june-2025'!$A:$A,'[4]june-2025'!$J:$J,0,0)</f>
        <v>0</v>
      </c>
      <c r="EE126">
        <f>_xlfn.XLOOKUP(B126,'[5]july-2025'!$A:$A,'[5]july-2025'!$J:$J,0,0)</f>
        <v>0</v>
      </c>
      <c r="EF126">
        <f>_xlfn.XLOOKUP(B126,'[6]august-2025'!$A:$A,'[6]august-2025'!$J:$J,0,0)</f>
        <v>0</v>
      </c>
      <c r="EG126">
        <f>_xlfn.XLOOKUP(B126,'[7]september-2025'!$A:$A,'[7]september-2025'!$J:$J,0,0)</f>
        <v>0</v>
      </c>
      <c r="EH126">
        <f>_xlfn.XLOOKUP(B126,'[8]october-2025'!$A:$A,'[8]october-2025'!$J:$J,0,0)</f>
        <v>0</v>
      </c>
      <c r="EI126">
        <f>_xlfn.XLOOKUP(C126,'[9]november-2025'!$A:$A,'[9]november-2025'!$J:$J,0,0)</f>
        <v>0</v>
      </c>
      <c r="EJ126">
        <f>_xlfn.XLOOKUP(B126,'[10]december-2025'!$A:$A,'[10]december-2025'!$J:$J,0,0)</f>
        <v>0</v>
      </c>
      <c r="EK126">
        <f>_xlfn.XLOOKUP(B126,'[11]january-2026'!$A:$A,'[11]january-2026'!$J:$J,0,0)</f>
        <v>0</v>
      </c>
      <c r="EL126">
        <f>_xlfn.XLOOKUP(B126,'[12]february-2026'!$A:$A,'[12]february-2026'!$J:$J,0,0)</f>
        <v>0</v>
      </c>
      <c r="EM126">
        <f t="shared" si="228"/>
        <v>0</v>
      </c>
      <c r="EN126">
        <f>DV126+DL126+DB126+CR126+CH126+BX126+BN126+BD126+AS126+AI126+Y126+O126+H126+I126</f>
        <v>530012</v>
      </c>
      <c r="EO126">
        <f>DY126+DO126+DE126+CU126+CK126+CA126+BQ126+BG126+AV126+AL126+AB126+R126</f>
        <v>2350</v>
      </c>
      <c r="EP126">
        <f t="shared" si="229"/>
        <v>50000</v>
      </c>
      <c r="EQ126">
        <v>0</v>
      </c>
      <c r="ER126">
        <f t="shared" si="230"/>
        <v>477662</v>
      </c>
      <c r="ES126">
        <f>DW126+DM126+DC126+CS126+CI126+BY126+BO126+BE126+AT126+AJ126+Z126+P126</f>
        <v>27500</v>
      </c>
      <c r="ET126">
        <f>DX126+DN126+DD126+CT126+CJ126+BZ126+BP126+BF126+AU126+AK126+AA126+Q126</f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si="231"/>
        <v>27500</v>
      </c>
      <c r="FF126">
        <f t="shared" si="232"/>
        <v>27500</v>
      </c>
      <c r="FG126">
        <f t="shared" si="233"/>
        <v>450162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>SUM(FH126:FN126)+(IF(F126="YES",50000,0))</f>
        <v>0</v>
      </c>
      <c r="FP126">
        <f t="shared" si="234"/>
        <v>450162</v>
      </c>
      <c r="FQ126">
        <f t="shared" si="235"/>
        <v>10008</v>
      </c>
      <c r="FR126">
        <f t="shared" si="236"/>
        <v>0</v>
      </c>
      <c r="FS126">
        <f t="shared" si="237"/>
        <v>10008</v>
      </c>
      <c r="FT126">
        <f t="shared" si="238"/>
        <v>0</v>
      </c>
      <c r="FU126">
        <f t="shared" si="239"/>
        <v>0</v>
      </c>
      <c r="FV126">
        <f t="shared" si="240"/>
        <v>0</v>
      </c>
      <c r="FW126">
        <v>0</v>
      </c>
      <c r="FX126">
        <f t="shared" si="241"/>
        <v>0</v>
      </c>
      <c r="FY126" t="b">
        <f t="shared" si="242"/>
        <v>1</v>
      </c>
      <c r="FZ126">
        <f t="shared" ca="1" si="243"/>
        <v>694</v>
      </c>
      <c r="GA126">
        <f t="shared" ca="1" si="244"/>
        <v>530706</v>
      </c>
      <c r="GB126">
        <f t="shared" si="245"/>
        <v>75000</v>
      </c>
      <c r="GC126">
        <f t="shared" ca="1" si="246"/>
        <v>455706</v>
      </c>
      <c r="GD126">
        <f t="shared" ca="1" si="247"/>
        <v>0</v>
      </c>
      <c r="GE126">
        <f t="shared" ca="1" si="248"/>
        <v>0</v>
      </c>
      <c r="GF126">
        <f t="shared" ca="1" si="249"/>
        <v>0</v>
      </c>
      <c r="GG126">
        <f t="shared" ca="1" si="250"/>
        <v>0</v>
      </c>
      <c r="GH126">
        <f t="shared" ca="1" si="251"/>
        <v>0</v>
      </c>
      <c r="GI126">
        <f t="shared" ca="1" si="252"/>
        <v>0</v>
      </c>
      <c r="GJ126">
        <f ca="1">IF(GC126&gt;1200000,GC126-1200000-IF(F126="YES",50000,0)-GH126,0)</f>
        <v>0</v>
      </c>
      <c r="GK126">
        <f t="shared" ca="1" si="253"/>
        <v>0</v>
      </c>
      <c r="GL126">
        <f t="shared" ca="1" si="254"/>
        <v>0</v>
      </c>
      <c r="GM126">
        <f t="shared" ca="1" si="255"/>
        <v>0</v>
      </c>
      <c r="GN126">
        <f t="shared" ca="1" si="256"/>
        <v>55706</v>
      </c>
      <c r="GO126">
        <f t="shared" ca="1" si="257"/>
        <v>2785.3</v>
      </c>
      <c r="GP126">
        <f t="shared" ca="1" si="258"/>
        <v>2785</v>
      </c>
      <c r="GQ126">
        <f t="shared" ca="1" si="259"/>
        <v>0</v>
      </c>
      <c r="GR126">
        <f t="shared" ca="1" si="260"/>
        <v>0</v>
      </c>
      <c r="GS126">
        <f t="shared" ca="1" si="261"/>
        <v>2785</v>
      </c>
      <c r="GT126">
        <f t="shared" ca="1" si="262"/>
        <v>0</v>
      </c>
      <c r="GU126" t="b">
        <f t="shared" ca="1" si="263"/>
        <v>0</v>
      </c>
      <c r="GV126">
        <f t="shared" ca="1" si="264"/>
        <v>0</v>
      </c>
      <c r="GW126">
        <f t="shared" ca="1" si="265"/>
        <v>2785</v>
      </c>
      <c r="GX126">
        <f t="shared" ca="1" si="266"/>
        <v>0</v>
      </c>
      <c r="GY126">
        <f t="shared" ca="1" si="267"/>
        <v>0</v>
      </c>
      <c r="GZ126">
        <f t="shared" ca="1" si="268"/>
        <v>0</v>
      </c>
    </row>
    <row r="127" spans="1:208" x14ac:dyDescent="0.25">
      <c r="A127">
        <f>_xlfn.AGGREGATE(3,5,$B$2:B127)</f>
        <v>126</v>
      </c>
      <c r="B127" t="s">
        <v>366</v>
      </c>
      <c r="C127" t="s">
        <v>367</v>
      </c>
      <c r="D127" t="s">
        <v>784</v>
      </c>
      <c r="E127" t="s">
        <v>831</v>
      </c>
      <c r="F127" t="s">
        <v>957</v>
      </c>
      <c r="G127" t="s">
        <v>924</v>
      </c>
      <c r="H127">
        <f t="shared" si="270"/>
        <v>6800</v>
      </c>
      <c r="I127">
        <f>_xlfn.XLOOKUP(B127,'[1]march-2025'!$A:$A,'[1]march-2025'!$J:$J,0,0)</f>
        <v>0</v>
      </c>
      <c r="J127">
        <f>_xlfn.XLOOKUP(B127,'[1]march-2025'!$A:$A,'[1]march-2025'!$C:$C,0,0)</f>
        <v>33500</v>
      </c>
      <c r="K127">
        <f t="shared" si="179"/>
        <v>4690</v>
      </c>
      <c r="L127">
        <f t="shared" si="180"/>
        <v>4020</v>
      </c>
      <c r="M127">
        <f>_xlfn.XLOOKUP(B127,'[1]march-2025'!$A:$A,'[1]march-2025'!$D:$D,0,0)</f>
        <v>400</v>
      </c>
      <c r="N127">
        <f>_xlfn.XLOOKUP(B127,'[1]march-2025'!$A:$A,'[1]march-2025'!$G:$G,0,0)</f>
        <v>0</v>
      </c>
      <c r="O127">
        <f>IF(J127&gt;0,SUM(J127:N127),0)</f>
        <v>42610</v>
      </c>
      <c r="P127">
        <f>_xlfn.XLOOKUP(B127,'[1]march-2025'!$A:$A,'[1]march-2025'!$H:$H,0,0)</f>
        <v>2500</v>
      </c>
      <c r="Q127">
        <f>_xlfn.XLOOKUP(B127,'[1]march-2025'!$A:$A,'[1]march-2025'!$I:$I,0,0)</f>
        <v>0</v>
      </c>
      <c r="R127">
        <f t="shared" si="269"/>
        <v>200</v>
      </c>
      <c r="S127">
        <f t="shared" si="181"/>
        <v>39910</v>
      </c>
      <c r="T127">
        <f>_xlfn.XLOOKUP(B127,'[2]april-2025'!$A:$A,'[2]april-2025'!$C:$C,0,0)</f>
        <v>33500</v>
      </c>
      <c r="U127">
        <f t="shared" si="182"/>
        <v>6030</v>
      </c>
      <c r="V127">
        <f t="shared" si="183"/>
        <v>4020</v>
      </c>
      <c r="W127">
        <f>_xlfn.XLOOKUP(B127,'[2]april-2025'!$A:$A,'[2]april-2025'!$D:$D,0,0)</f>
        <v>400</v>
      </c>
      <c r="X127">
        <f>_xlfn.XLOOKUP(B127,'[2]april-2025'!$A:$A,'[2]april-2025'!$G:$G,0,0)</f>
        <v>0</v>
      </c>
      <c r="Y127">
        <f t="shared" si="184"/>
        <v>43950</v>
      </c>
      <c r="Z127">
        <f>_xlfn.XLOOKUP(B127,'[2]april-2025'!$A:$A,'[2]april-2025'!$H:$H,0,0)</f>
        <v>2500</v>
      </c>
      <c r="AA127">
        <f>_xlfn.XLOOKUP(B127,'[2]april-2025'!$A:$A,'[2]april-2025'!$I:$I,0,0)</f>
        <v>0</v>
      </c>
      <c r="AB127">
        <f t="shared" si="185"/>
        <v>200</v>
      </c>
      <c r="AC127">
        <f t="shared" si="186"/>
        <v>41250</v>
      </c>
      <c r="AD127">
        <f>_xlfn.XLOOKUP(B127,'[3]may-2025'!$A:$A,'[3]may-2025'!$C:$C,0,0)</f>
        <v>33500</v>
      </c>
      <c r="AE127">
        <f t="shared" si="187"/>
        <v>6030</v>
      </c>
      <c r="AF127">
        <f t="shared" si="188"/>
        <v>4020</v>
      </c>
      <c r="AG127">
        <f>_xlfn.XLOOKUP(B127,'[3]may-2025'!$A:$A,'[3]may-2025'!$D:$D,0,0)</f>
        <v>400</v>
      </c>
      <c r="AH127">
        <f>_xlfn.XLOOKUP(B127,'[3]may-2025'!$A:$A,'[3]may-2025'!$G:$G,0,0)</f>
        <v>0</v>
      </c>
      <c r="AI127">
        <f t="shared" si="189"/>
        <v>43950</v>
      </c>
      <c r="AJ127">
        <f>_xlfn.XLOOKUP(B127,'[3]may-2025'!$A:$A,'[3]may-2025'!$H:$H,0,0)</f>
        <v>2500</v>
      </c>
      <c r="AK127">
        <f>_xlfn.XLOOKUP(B127,'[3]may-2025'!$A:$A,'[3]may-2025'!$I:$I,0,0)</f>
        <v>0</v>
      </c>
      <c r="AL127">
        <f t="shared" si="190"/>
        <v>200</v>
      </c>
      <c r="AM127">
        <f t="shared" si="191"/>
        <v>41250</v>
      </c>
      <c r="AN127">
        <f>_xlfn.XLOOKUP(B127,'[4]june-2025'!$A:$A,'[4]june-2025'!$C:$C,0,0)</f>
        <v>33500</v>
      </c>
      <c r="AO127">
        <f t="shared" si="192"/>
        <v>6030</v>
      </c>
      <c r="AP127">
        <f t="shared" si="193"/>
        <v>4020</v>
      </c>
      <c r="AQ127">
        <f>_xlfn.XLOOKUP(B127,'[4]june-2025'!$A:$A,'[4]june-2025'!$D:$D,0,0)</f>
        <v>400</v>
      </c>
      <c r="AR127">
        <f>_xlfn.XLOOKUP(B127,'[4]june-2025'!$A:$A,'[4]june-2025'!$G:$G,0,0)</f>
        <v>0</v>
      </c>
      <c r="AS127">
        <f t="shared" si="194"/>
        <v>43950</v>
      </c>
      <c r="AT127">
        <f>_xlfn.XLOOKUP(B127,'[4]june-2025'!$A:$A,'[4]june-2025'!$H:$H,0,0)</f>
        <v>2500</v>
      </c>
      <c r="AU127">
        <f>_xlfn.XLOOKUP(B127,'[4]june-2025'!$A:$A,'[4]june-2025'!$I:$I,0,0)</f>
        <v>0</v>
      </c>
      <c r="AV127">
        <f t="shared" si="195"/>
        <v>200</v>
      </c>
      <c r="AW127">
        <f t="shared" si="196"/>
        <v>41250</v>
      </c>
      <c r="AX127">
        <f>_xlfn.XLOOKUP(B127,'[5]july-2025'!$A:$A,'[5]july-2025'!$C:$C,0,0)</f>
        <v>34500</v>
      </c>
      <c r="AY127">
        <f t="shared" si="197"/>
        <v>6210</v>
      </c>
      <c r="AZ127">
        <v>0</v>
      </c>
      <c r="BA127">
        <f t="shared" si="198"/>
        <v>4140</v>
      </c>
      <c r="BB127">
        <f>_xlfn.XLOOKUP(B127,'[5]july-2025'!$A:$A,'[5]july-2025'!$D:$D,0,0)</f>
        <v>400</v>
      </c>
      <c r="BC127">
        <f>_xlfn.XLOOKUP(B127,'[5]july-2025'!$A:$A,'[5]july-2025'!$G:$G,0,0)</f>
        <v>0</v>
      </c>
      <c r="BD127">
        <f>IF(AX127&gt;0,SUM(AX127:BC127),0)</f>
        <v>45250</v>
      </c>
      <c r="BE127">
        <f>_xlfn.XLOOKUP(B127,'[5]july-2025'!$A:$A,'[5]july-2025'!$H:$H,0,0)</f>
        <v>2500</v>
      </c>
      <c r="BF127">
        <f>_xlfn.XLOOKUP(B127,'[5]july-2025'!$A:$A,'[5]july-2025'!$I:$I,0,0)</f>
        <v>0</v>
      </c>
      <c r="BG127">
        <f t="shared" si="199"/>
        <v>200</v>
      </c>
      <c r="BH127">
        <f t="shared" si="200"/>
        <v>42550</v>
      </c>
      <c r="BI127">
        <f>_xlfn.XLOOKUP(B127,'[6]august-2025'!$A:$A,'[6]august-2025'!$C:$C,0,0)</f>
        <v>34500</v>
      </c>
      <c r="BJ127">
        <f t="shared" si="201"/>
        <v>6210</v>
      </c>
      <c r="BK127">
        <f t="shared" si="202"/>
        <v>4140</v>
      </c>
      <c r="BL127">
        <f>_xlfn.XLOOKUP(B127,'[6]august-2025'!$A:$A,'[6]august-2025'!$D:$D,0,0)</f>
        <v>400</v>
      </c>
      <c r="BM127">
        <f>_xlfn.XLOOKUP(B127,'[6]august-2025'!$A:$A,'[6]august-2025'!$G:$G,0,0)</f>
        <v>0</v>
      </c>
      <c r="BN127">
        <f t="shared" si="203"/>
        <v>45250</v>
      </c>
      <c r="BO127">
        <f>_xlfn.XLOOKUP(B127,'[6]august-2025'!$A:$A,'[6]august-2025'!$H:$H,0,0)</f>
        <v>2500</v>
      </c>
      <c r="BP127">
        <f>_xlfn.XLOOKUP(B127,'[6]august-2025'!$A:$A,'[6]august-2025'!$I:$I,0,0)</f>
        <v>0</v>
      </c>
      <c r="BQ127">
        <f>IF($F127="YES",0,IF(BN127&gt;40000,200,IF(BN127&gt;25000,150,IF(BN127&gt;15000,130,IF(BN127&gt;10000,110,0)))))</f>
        <v>200</v>
      </c>
      <c r="BR127">
        <f>BN127-BO127-BP127-BQ127</f>
        <v>42550</v>
      </c>
      <c r="BS127">
        <f>_xlfn.XLOOKUP(B127,'[7]september-2025'!$A:$A,'[7]september-2025'!$C:$C,0,0)</f>
        <v>34500</v>
      </c>
      <c r="BT127">
        <f t="shared" si="204"/>
        <v>6210</v>
      </c>
      <c r="BU127">
        <f t="shared" si="205"/>
        <v>4140</v>
      </c>
      <c r="BV127">
        <f>_xlfn.XLOOKUP(B127,'[7]september-2025'!$A:$A,'[7]september-2025'!$D:$D,0,0)</f>
        <v>400</v>
      </c>
      <c r="BW127">
        <f>_xlfn.XLOOKUP(B127,'[7]september-2025'!$A:$A,'[7]september-2025'!$G:$G,0,0)</f>
        <v>0</v>
      </c>
      <c r="BX127">
        <f>IF(BS127&gt;0,SUM(BS127:BW127),0)</f>
        <v>45250</v>
      </c>
      <c r="BY127">
        <f>_xlfn.XLOOKUP(B127,'[7]september-2025'!$A:$A,'[7]september-2025'!$H:$H,0,0)</f>
        <v>2500</v>
      </c>
      <c r="BZ127">
        <f>_xlfn.XLOOKUP(B127,'[7]september-2025'!$A:$A,'[7]september-2025'!$I:$I,0,0)</f>
        <v>0</v>
      </c>
      <c r="CA127">
        <f t="shared" si="206"/>
        <v>200</v>
      </c>
      <c r="CB127">
        <f t="shared" si="207"/>
        <v>42550</v>
      </c>
      <c r="CC127">
        <f>_xlfn.XLOOKUP(B127,'[8]october-2025'!$A:$A,'[8]october-2025'!$C:$C,0,0)</f>
        <v>34500</v>
      </c>
      <c r="CD127">
        <f t="shared" si="208"/>
        <v>6210</v>
      </c>
      <c r="CE127">
        <f t="shared" si="209"/>
        <v>4140</v>
      </c>
      <c r="CF127">
        <f>_xlfn.XLOOKUP(B127,'[8]october-2025'!$A:$A,'[8]october-2025'!$D:$D,0,0)</f>
        <v>400</v>
      </c>
      <c r="CG127">
        <f>_xlfn.XLOOKUP(B127,'[8]october-2025'!$A:$A,'[8]october-2025'!$G:$G,0,0)</f>
        <v>0</v>
      </c>
      <c r="CH127">
        <f>IF(CC127&gt;0,SUM(CC127:CG127),0)</f>
        <v>45250</v>
      </c>
      <c r="CI127">
        <f>_xlfn.XLOOKUP(B127,'[8]october-2025'!$A:$A,'[8]october-2025'!$H:$H,0,0)</f>
        <v>2500</v>
      </c>
      <c r="CJ127">
        <f>_xlfn.XLOOKUP(B127,'[8]october-2025'!$A:$A,'[8]october-2025'!$I:$I,0,0)</f>
        <v>0</v>
      </c>
      <c r="CK127">
        <f t="shared" si="210"/>
        <v>200</v>
      </c>
      <c r="CL127">
        <f t="shared" si="211"/>
        <v>42550</v>
      </c>
      <c r="CM127">
        <f>_xlfn.XLOOKUP(B127,'[9]november-2025'!$A:$A,'[9]november-2025'!$C:$C,0,0)</f>
        <v>34500</v>
      </c>
      <c r="CN127">
        <f t="shared" si="212"/>
        <v>6210</v>
      </c>
      <c r="CO127">
        <f t="shared" si="213"/>
        <v>4140</v>
      </c>
      <c r="CP127">
        <f>_xlfn.XLOOKUP(B127,'[9]november-2025'!$A:$A,'[9]november-2025'!$D:$D,0,0)</f>
        <v>400</v>
      </c>
      <c r="CQ127">
        <f>_xlfn.XLOOKUP(B127,'[9]november-2025'!$A:$A,'[9]november-2025'!$G:$G,0,0)</f>
        <v>0</v>
      </c>
      <c r="CR127">
        <f>IF(CM127&gt;0,SUM(CM127:CQ127),0)</f>
        <v>45250</v>
      </c>
      <c r="CS127">
        <f>_xlfn.XLOOKUP(B127,'[9]november-2025'!$A:$A,'[9]november-2025'!$H:$H,0,0)</f>
        <v>2500</v>
      </c>
      <c r="CT127">
        <f>_xlfn.XLOOKUP(B127,'[9]november-2025'!$A:$A,'[9]november-2025'!$I:$I,0,0)</f>
        <v>0</v>
      </c>
      <c r="CU127">
        <f t="shared" si="214"/>
        <v>200</v>
      </c>
      <c r="CV127">
        <f t="shared" si="215"/>
        <v>42550</v>
      </c>
      <c r="CW127">
        <f>_xlfn.XLOOKUP(B127,'[10]december-2025'!$A:$A,'[10]december-2025'!$C:$C,0,0)</f>
        <v>34500</v>
      </c>
      <c r="CX127">
        <f t="shared" si="216"/>
        <v>6210</v>
      </c>
      <c r="CY127">
        <f t="shared" si="217"/>
        <v>4140</v>
      </c>
      <c r="CZ127">
        <f>_xlfn.XLOOKUP(B127,'[10]december-2025'!$A:$A,'[10]december-2025'!$D:$D,0,0)</f>
        <v>400</v>
      </c>
      <c r="DA127">
        <f>_xlfn.XLOOKUP(B127,'[10]december-2025'!$A:$A,'[10]december-2025'!$G:$G,0,0)</f>
        <v>0</v>
      </c>
      <c r="DB127">
        <f>IF(CW127&gt;0,SUM(CW127:DA127),0)</f>
        <v>45250</v>
      </c>
      <c r="DC127">
        <f>_xlfn.XLOOKUP(B127,'[10]december-2025'!$A:$A,'[10]december-2025'!$H:$H,0,0)</f>
        <v>2500</v>
      </c>
      <c r="DD127">
        <f>_xlfn.XLOOKUP(B127,'[10]december-2025'!$A:$A,'[10]december-2025'!$I:$I,0,0)</f>
        <v>0</v>
      </c>
      <c r="DE127">
        <f t="shared" si="218"/>
        <v>200</v>
      </c>
      <c r="DF127">
        <f t="shared" si="219"/>
        <v>42550</v>
      </c>
      <c r="DG127">
        <f>_xlfn.XLOOKUP(B127,'[11]january-2026'!$A:$A,'[11]january-2026'!$C:$C,0,0)</f>
        <v>34500</v>
      </c>
      <c r="DH127">
        <f t="shared" si="220"/>
        <v>6210</v>
      </c>
      <c r="DI127">
        <f t="shared" si="221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>IF(DG127&gt;0,SUM(DG127:DK127),0)</f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22"/>
        <v>200</v>
      </c>
      <c r="DP127">
        <f t="shared" si="223"/>
        <v>42550</v>
      </c>
      <c r="DQ127">
        <f>_xlfn.XLOOKUP(B127,'[12]february-2026'!$A:$A,'[12]february-2026'!$C:$C,0,0)</f>
        <v>34500</v>
      </c>
      <c r="DR127">
        <f t="shared" si="224"/>
        <v>6210</v>
      </c>
      <c r="DS127">
        <f t="shared" si="225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>IF(DQ127&gt;0,SUM(DQ127:DU127),0)</f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26"/>
        <v>200</v>
      </c>
      <c r="DZ127">
        <f t="shared" si="227"/>
        <v>42550</v>
      </c>
      <c r="EA127">
        <f>_xlfn.XLOOKUP(B127,'[1]march-2025'!$A:$A,'[1]march-2025'!$J:$J,0,0)</f>
        <v>0</v>
      </c>
      <c r="EB127">
        <f>_xlfn.XLOOKUP(B127,'[2]april-2025'!$A:$A,'[2]april-2025'!$J:$J,0,0)</f>
        <v>0</v>
      </c>
      <c r="EC127">
        <f>_xlfn.XLOOKUP(B127,'[3]may-2025'!$A:$A,'[3]may-2025'!$J:$J,0,0)</f>
        <v>0</v>
      </c>
      <c r="ED127">
        <f>_xlfn.XLOOKUP(B127,'[4]june-2025'!$A:$A,'[4]june-2025'!$J:$J,0,0)</f>
        <v>0</v>
      </c>
      <c r="EE127">
        <f>_xlfn.XLOOKUP(B127,'[5]july-2025'!$A:$A,'[5]july-2025'!$J:$J,0,0)</f>
        <v>0</v>
      </c>
      <c r="EF127">
        <f>_xlfn.XLOOKUP(B127,'[6]august-2025'!$A:$A,'[6]august-2025'!$J:$J,0,0)</f>
        <v>0</v>
      </c>
      <c r="EG127">
        <f>_xlfn.XLOOKUP(B127,'[7]september-2025'!$A:$A,'[7]september-2025'!$J:$J,0,0)</f>
        <v>0</v>
      </c>
      <c r="EH127">
        <f>_xlfn.XLOOKUP(B127,'[8]october-2025'!$A:$A,'[8]october-2025'!$J:$J,0,0)</f>
        <v>0</v>
      </c>
      <c r="EI127">
        <f>_xlfn.XLOOKUP(C127,'[9]november-2025'!$A:$A,'[9]november-2025'!$J:$J,0,0)</f>
        <v>0</v>
      </c>
      <c r="EJ127">
        <f>_xlfn.XLOOKUP(B127,'[10]december-2025'!$A:$A,'[10]december-2025'!$J:$J,0,0)</f>
        <v>0</v>
      </c>
      <c r="EK127">
        <f>_xlfn.XLOOKUP(B127,'[11]january-2026'!$A:$A,'[11]january-2026'!$J:$J,0,0)</f>
        <v>0</v>
      </c>
      <c r="EL127">
        <f>_xlfn.XLOOKUP(B127,'[12]february-2026'!$A:$A,'[12]february-2026'!$J:$J,0,0)</f>
        <v>0</v>
      </c>
      <c r="EM127">
        <f t="shared" si="228"/>
        <v>0</v>
      </c>
      <c r="EN127">
        <f>DV127+DL127+DB127+CR127+CH127+BX127+BN127+BD127+AS127+AI127+Y127+O127+H127+I127</f>
        <v>543260</v>
      </c>
      <c r="EO127">
        <f>DY127+DO127+DE127+CU127+CK127+CA127+BQ127+BG127+AV127+AL127+AB127+R127</f>
        <v>2400</v>
      </c>
      <c r="EP127">
        <f t="shared" si="229"/>
        <v>50000</v>
      </c>
      <c r="EQ127">
        <v>0</v>
      </c>
      <c r="ER127">
        <f t="shared" si="230"/>
        <v>490860</v>
      </c>
      <c r="ES127">
        <f>DW127+DM127+DC127+CS127+CI127+BY127+BO127+BE127+AT127+AJ127+Z127+P127</f>
        <v>30000</v>
      </c>
      <c r="ET127">
        <f>DX127+DN127+DD127+CT127+CJ127+BZ127+BP127+BF127+AU127+AK127+AA127+Q127</f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231"/>
        <v>30000</v>
      </c>
      <c r="FF127">
        <f t="shared" si="232"/>
        <v>30000</v>
      </c>
      <c r="FG127">
        <f t="shared" si="233"/>
        <v>460860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>SUM(FH127:FN127)+(IF(F127="YES",50000,0))</f>
        <v>0</v>
      </c>
      <c r="FP127">
        <f t="shared" si="234"/>
        <v>460860</v>
      </c>
      <c r="FQ127">
        <f t="shared" si="235"/>
        <v>10543</v>
      </c>
      <c r="FR127">
        <f t="shared" si="236"/>
        <v>0</v>
      </c>
      <c r="FS127">
        <f t="shared" si="237"/>
        <v>10543</v>
      </c>
      <c r="FT127">
        <f t="shared" si="238"/>
        <v>0</v>
      </c>
      <c r="FU127">
        <f t="shared" si="239"/>
        <v>0</v>
      </c>
      <c r="FV127">
        <f t="shared" si="240"/>
        <v>0</v>
      </c>
      <c r="FW127">
        <v>0</v>
      </c>
      <c r="FX127">
        <f t="shared" si="241"/>
        <v>0</v>
      </c>
      <c r="FY127" t="b">
        <f t="shared" si="242"/>
        <v>1</v>
      </c>
      <c r="FZ127">
        <f t="shared" ca="1" si="243"/>
        <v>566</v>
      </c>
      <c r="GA127">
        <f t="shared" ca="1" si="244"/>
        <v>543826</v>
      </c>
      <c r="GB127">
        <f t="shared" si="245"/>
        <v>75000</v>
      </c>
      <c r="GC127">
        <f t="shared" ca="1" si="246"/>
        <v>468826</v>
      </c>
      <c r="GD127">
        <f t="shared" ca="1" si="247"/>
        <v>0</v>
      </c>
      <c r="GE127">
        <f t="shared" ca="1" si="248"/>
        <v>0</v>
      </c>
      <c r="GF127">
        <f t="shared" ca="1" si="249"/>
        <v>0</v>
      </c>
      <c r="GG127">
        <f t="shared" ca="1" si="250"/>
        <v>0</v>
      </c>
      <c r="GH127">
        <f t="shared" ca="1" si="251"/>
        <v>0</v>
      </c>
      <c r="GI127">
        <f t="shared" ca="1" si="252"/>
        <v>0</v>
      </c>
      <c r="GJ127">
        <f ca="1">IF(GC127&gt;1200000,GC127-1200000-IF(F127="YES",50000,0)-GH127,0)</f>
        <v>0</v>
      </c>
      <c r="GK127">
        <f t="shared" ca="1" si="253"/>
        <v>0</v>
      </c>
      <c r="GL127">
        <f t="shared" ca="1" si="254"/>
        <v>0</v>
      </c>
      <c r="GM127">
        <f t="shared" ca="1" si="255"/>
        <v>0</v>
      </c>
      <c r="GN127">
        <f t="shared" ca="1" si="256"/>
        <v>68826</v>
      </c>
      <c r="GO127">
        <f t="shared" ca="1" si="257"/>
        <v>3441.3</v>
      </c>
      <c r="GP127">
        <f t="shared" ca="1" si="258"/>
        <v>3441</v>
      </c>
      <c r="GQ127">
        <f t="shared" ca="1" si="259"/>
        <v>0</v>
      </c>
      <c r="GR127">
        <f t="shared" ca="1" si="260"/>
        <v>0</v>
      </c>
      <c r="GS127">
        <f t="shared" ca="1" si="261"/>
        <v>3441</v>
      </c>
      <c r="GT127">
        <f t="shared" ca="1" si="262"/>
        <v>0</v>
      </c>
      <c r="GU127" t="b">
        <f t="shared" ca="1" si="263"/>
        <v>0</v>
      </c>
      <c r="GV127">
        <f t="shared" ca="1" si="264"/>
        <v>0</v>
      </c>
      <c r="GW127">
        <f t="shared" ca="1" si="265"/>
        <v>3441</v>
      </c>
      <c r="GX127">
        <f t="shared" ca="1" si="266"/>
        <v>0</v>
      </c>
      <c r="GY127">
        <f t="shared" ca="1" si="267"/>
        <v>0</v>
      </c>
      <c r="GZ127">
        <f t="shared" ca="1" si="268"/>
        <v>0</v>
      </c>
    </row>
    <row r="128" spans="1:208" x14ac:dyDescent="0.25">
      <c r="A128">
        <f>_xlfn.AGGREGATE(3,5,$B$2:B128)</f>
        <v>127</v>
      </c>
      <c r="B128" t="s">
        <v>368</v>
      </c>
      <c r="C128" t="s">
        <v>369</v>
      </c>
      <c r="D128" t="s">
        <v>784</v>
      </c>
      <c r="E128" t="s">
        <v>831</v>
      </c>
      <c r="F128" t="s">
        <v>957</v>
      </c>
      <c r="G128" t="s">
        <v>882</v>
      </c>
      <c r="H128">
        <f t="shared" si="270"/>
        <v>6800</v>
      </c>
      <c r="I128">
        <f>_xlfn.XLOOKUP(B128,'[1]march-2025'!$A:$A,'[1]march-2025'!$J:$J,0,0)</f>
        <v>0</v>
      </c>
      <c r="J128">
        <f>_xlfn.XLOOKUP(B128,'[1]march-2025'!$A:$A,'[1]march-2025'!$C:$C,0,0)</f>
        <v>27000</v>
      </c>
      <c r="K128">
        <f t="shared" si="179"/>
        <v>3780.0000000000005</v>
      </c>
      <c r="L128">
        <f t="shared" si="180"/>
        <v>3240</v>
      </c>
      <c r="M128">
        <f>_xlfn.XLOOKUP(B128,'[1]march-2025'!$A:$A,'[1]march-2025'!$D:$D,0,0)</f>
        <v>0</v>
      </c>
      <c r="N128">
        <f>_xlfn.XLOOKUP(B128,'[1]march-2025'!$A:$A,'[1]march-2025'!$G:$G,0,0)</f>
        <v>0</v>
      </c>
      <c r="O128">
        <f>IF(J128&gt;0,SUM(J128:N128),0)</f>
        <v>34020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269"/>
        <v>150</v>
      </c>
      <c r="S128">
        <f t="shared" si="181"/>
        <v>31870</v>
      </c>
      <c r="T128">
        <f>_xlfn.XLOOKUP(B128,'[2]april-2025'!$A:$A,'[2]april-2025'!$C:$C,0,0)</f>
        <v>27000</v>
      </c>
      <c r="U128">
        <f t="shared" si="182"/>
        <v>4860</v>
      </c>
      <c r="V128">
        <f t="shared" si="183"/>
        <v>3240</v>
      </c>
      <c r="W128">
        <f>_xlfn.XLOOKUP(B128,'[2]april-2025'!$A:$A,'[2]april-2025'!$D:$D,0,0)</f>
        <v>0</v>
      </c>
      <c r="X128">
        <f>_xlfn.XLOOKUP(B128,'[2]april-2025'!$A:$A,'[2]april-2025'!$G:$G,0,0)</f>
        <v>0</v>
      </c>
      <c r="Y128">
        <f t="shared" si="184"/>
        <v>35100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185"/>
        <v>150</v>
      </c>
      <c r="AC128">
        <f t="shared" si="186"/>
        <v>32950</v>
      </c>
      <c r="AD128">
        <f>_xlfn.XLOOKUP(B128,'[3]may-2025'!$A:$A,'[3]may-2025'!$C:$C,0,0)</f>
        <v>31600</v>
      </c>
      <c r="AE128">
        <f t="shared" si="187"/>
        <v>5688</v>
      </c>
      <c r="AF128">
        <f t="shared" si="188"/>
        <v>3792</v>
      </c>
      <c r="AG128">
        <f>_xlfn.XLOOKUP(B128,'[3]may-2025'!$A:$A,'[3]may-2025'!$D:$D,0,0)</f>
        <v>0</v>
      </c>
      <c r="AH128">
        <f>_xlfn.XLOOKUP(B128,'[3]may-2025'!$A:$A,'[3]may-2025'!$G:$G,0,0)</f>
        <v>0</v>
      </c>
      <c r="AI128">
        <f t="shared" si="189"/>
        <v>41080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190"/>
        <v>200</v>
      </c>
      <c r="AM128">
        <f t="shared" si="191"/>
        <v>38880</v>
      </c>
      <c r="AN128">
        <f>_xlfn.XLOOKUP(B128,'[4]june-2025'!$A:$A,'[4]june-2025'!$C:$C,0,0)</f>
        <v>31600</v>
      </c>
      <c r="AO128">
        <f t="shared" si="192"/>
        <v>5688</v>
      </c>
      <c r="AP128">
        <f t="shared" si="193"/>
        <v>3792</v>
      </c>
      <c r="AQ128">
        <f>_xlfn.XLOOKUP(B128,'[4]june-2025'!$A:$A,'[4]june-2025'!$D:$D,0,0)</f>
        <v>0</v>
      </c>
      <c r="AR128">
        <f>_xlfn.XLOOKUP(B128,'[4]june-2025'!$A:$A,'[4]june-2025'!$G:$G,0,0)</f>
        <v>0</v>
      </c>
      <c r="AS128">
        <f t="shared" si="194"/>
        <v>41080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195"/>
        <v>200</v>
      </c>
      <c r="AW128">
        <f t="shared" si="196"/>
        <v>38880</v>
      </c>
      <c r="AX128">
        <f>_xlfn.XLOOKUP(B128,'[5]july-2025'!$A:$A,'[5]july-2025'!$C:$C,0,0)</f>
        <v>32500</v>
      </c>
      <c r="AY128">
        <f t="shared" si="197"/>
        <v>5850</v>
      </c>
      <c r="AZ128">
        <v>0</v>
      </c>
      <c r="BA128">
        <f t="shared" si="198"/>
        <v>3900</v>
      </c>
      <c r="BB128">
        <f>_xlfn.XLOOKUP(B128,'[5]july-2025'!$A:$A,'[5]july-2025'!$D:$D,0,0)</f>
        <v>0</v>
      </c>
      <c r="BC128">
        <f>_xlfn.XLOOKUP(B128,'[5]july-2025'!$A:$A,'[5]july-2025'!$G:$G,0,0)</f>
        <v>0</v>
      </c>
      <c r="BD128">
        <f>IF(AX128&gt;0,SUM(AX128:BC128),0)</f>
        <v>42250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199"/>
        <v>200</v>
      </c>
      <c r="BH128">
        <f t="shared" si="200"/>
        <v>40050</v>
      </c>
      <c r="BI128">
        <f>_xlfn.XLOOKUP(B128,'[6]august-2025'!$A:$A,'[6]august-2025'!$C:$C,0,0)</f>
        <v>32500</v>
      </c>
      <c r="BJ128">
        <f t="shared" si="201"/>
        <v>5850</v>
      </c>
      <c r="BK128">
        <f t="shared" si="202"/>
        <v>3900</v>
      </c>
      <c r="BL128">
        <f>_xlfn.XLOOKUP(B128,'[6]august-2025'!$A:$A,'[6]august-2025'!$D:$D,0,0)</f>
        <v>0</v>
      </c>
      <c r="BM128">
        <f>_xlfn.XLOOKUP(B128,'[6]august-2025'!$A:$A,'[6]august-2025'!$G:$G,0,0)</f>
        <v>0</v>
      </c>
      <c r="BN128">
        <f t="shared" si="203"/>
        <v>42250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>IF($F128="YES",0,IF(BN128&gt;40000,200,IF(BN128&gt;25000,150,IF(BN128&gt;15000,130,IF(BN128&gt;10000,110,0)))))</f>
        <v>200</v>
      </c>
      <c r="BR128">
        <f>BN128-BO128-BP128-BQ128</f>
        <v>40050</v>
      </c>
      <c r="BS128">
        <f>_xlfn.XLOOKUP(B128,'[7]september-2025'!$A:$A,'[7]september-2025'!$C:$C,0,0)</f>
        <v>32500</v>
      </c>
      <c r="BT128">
        <f t="shared" si="204"/>
        <v>5850</v>
      </c>
      <c r="BU128">
        <f t="shared" si="205"/>
        <v>3900</v>
      </c>
      <c r="BV128">
        <f>_xlfn.XLOOKUP(B128,'[7]september-2025'!$A:$A,'[7]september-2025'!$D:$D,0,0)</f>
        <v>0</v>
      </c>
      <c r="BW128">
        <f>_xlfn.XLOOKUP(B128,'[7]september-2025'!$A:$A,'[7]september-2025'!$G:$G,0,0)</f>
        <v>0</v>
      </c>
      <c r="BX128">
        <f>IF(BS128&gt;0,SUM(BS128:BW128),0)</f>
        <v>42250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06"/>
        <v>200</v>
      </c>
      <c r="CB128">
        <f t="shared" si="207"/>
        <v>40050</v>
      </c>
      <c r="CC128">
        <f>_xlfn.XLOOKUP(B128,'[8]october-2025'!$A:$A,'[8]october-2025'!$C:$C,0,0)</f>
        <v>32500</v>
      </c>
      <c r="CD128">
        <f t="shared" si="208"/>
        <v>5850</v>
      </c>
      <c r="CE128">
        <f t="shared" si="209"/>
        <v>3900</v>
      </c>
      <c r="CF128">
        <f>_xlfn.XLOOKUP(B128,'[8]october-2025'!$A:$A,'[8]october-2025'!$D:$D,0,0)</f>
        <v>0</v>
      </c>
      <c r="CG128">
        <f>_xlfn.XLOOKUP(B128,'[8]october-2025'!$A:$A,'[8]october-2025'!$G:$G,0,0)</f>
        <v>0</v>
      </c>
      <c r="CH128">
        <f>IF(CC128&gt;0,SUM(CC128:CG128),0)</f>
        <v>42250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10"/>
        <v>200</v>
      </c>
      <c r="CL128">
        <f t="shared" si="211"/>
        <v>40050</v>
      </c>
      <c r="CM128">
        <f>_xlfn.XLOOKUP(B128,'[9]november-2025'!$A:$A,'[9]november-2025'!$C:$C,0,0)</f>
        <v>32500</v>
      </c>
      <c r="CN128">
        <f t="shared" si="212"/>
        <v>5850</v>
      </c>
      <c r="CO128">
        <f t="shared" si="213"/>
        <v>3900</v>
      </c>
      <c r="CP128">
        <f>_xlfn.XLOOKUP(B128,'[9]november-2025'!$A:$A,'[9]november-2025'!$D:$D,0,0)</f>
        <v>0</v>
      </c>
      <c r="CQ128">
        <f>_xlfn.XLOOKUP(B128,'[9]november-2025'!$A:$A,'[9]november-2025'!$G:$G,0,0)</f>
        <v>0</v>
      </c>
      <c r="CR128">
        <f>IF(CM128&gt;0,SUM(CM128:CQ128),0)</f>
        <v>42250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14"/>
        <v>200</v>
      </c>
      <c r="CV128">
        <f t="shared" si="215"/>
        <v>40050</v>
      </c>
      <c r="CW128">
        <f>_xlfn.XLOOKUP(B128,'[10]december-2025'!$A:$A,'[10]december-2025'!$C:$C,0,0)</f>
        <v>32500</v>
      </c>
      <c r="CX128">
        <f t="shared" si="216"/>
        <v>5850</v>
      </c>
      <c r="CY128">
        <f t="shared" si="217"/>
        <v>3900</v>
      </c>
      <c r="CZ128">
        <f>_xlfn.XLOOKUP(B128,'[10]december-2025'!$A:$A,'[10]december-2025'!$D:$D,0,0)</f>
        <v>0</v>
      </c>
      <c r="DA128">
        <f>_xlfn.XLOOKUP(B128,'[10]december-2025'!$A:$A,'[10]december-2025'!$G:$G,0,0)</f>
        <v>0</v>
      </c>
      <c r="DB128">
        <f>IF(CW128&gt;0,SUM(CW128:DA128),0)</f>
        <v>42250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18"/>
        <v>200</v>
      </c>
      <c r="DF128">
        <f t="shared" si="219"/>
        <v>40050</v>
      </c>
      <c r="DG128">
        <f>_xlfn.XLOOKUP(B128,'[11]january-2026'!$A:$A,'[11]january-2026'!$C:$C,0,0)</f>
        <v>32500</v>
      </c>
      <c r="DH128">
        <f t="shared" si="220"/>
        <v>5850</v>
      </c>
      <c r="DI128">
        <f t="shared" si="221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>IF(DG128&gt;0,SUM(DG128:DK128),0)</f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22"/>
        <v>200</v>
      </c>
      <c r="DP128">
        <f t="shared" si="223"/>
        <v>40050</v>
      </c>
      <c r="DQ128">
        <f>_xlfn.XLOOKUP(B128,'[12]february-2026'!$A:$A,'[12]february-2026'!$C:$C,0,0)</f>
        <v>32500</v>
      </c>
      <c r="DR128">
        <f t="shared" si="224"/>
        <v>5850</v>
      </c>
      <c r="DS128">
        <f t="shared" si="225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>IF(DQ128&gt;0,SUM(DQ128:DU128),0)</f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26"/>
        <v>200</v>
      </c>
      <c r="DZ128">
        <f t="shared" si="227"/>
        <v>40050</v>
      </c>
      <c r="EA128">
        <f>_xlfn.XLOOKUP(B128,'[1]march-2025'!$A:$A,'[1]march-2025'!$J:$J,0,0)</f>
        <v>0</v>
      </c>
      <c r="EB128">
        <f>_xlfn.XLOOKUP(B128,'[2]april-2025'!$A:$A,'[2]april-2025'!$J:$J,0,0)</f>
        <v>0</v>
      </c>
      <c r="EC128">
        <f>_xlfn.XLOOKUP(B128,'[3]may-2025'!$A:$A,'[3]may-2025'!$J:$J,0,0)</f>
        <v>0</v>
      </c>
      <c r="ED128">
        <f>_xlfn.XLOOKUP(B128,'[4]june-2025'!$A:$A,'[4]june-2025'!$J:$J,0,0)</f>
        <v>0</v>
      </c>
      <c r="EE128">
        <f>_xlfn.XLOOKUP(B128,'[5]july-2025'!$A:$A,'[5]july-2025'!$J:$J,0,0)</f>
        <v>0</v>
      </c>
      <c r="EF128">
        <f>_xlfn.XLOOKUP(B128,'[6]august-2025'!$A:$A,'[6]august-2025'!$J:$J,0,0)</f>
        <v>0</v>
      </c>
      <c r="EG128">
        <f>_xlfn.XLOOKUP(B128,'[7]september-2025'!$A:$A,'[7]september-2025'!$J:$J,0,0)</f>
        <v>0</v>
      </c>
      <c r="EH128">
        <f>_xlfn.XLOOKUP(B128,'[8]october-2025'!$A:$A,'[8]october-2025'!$J:$J,0,0)</f>
        <v>0</v>
      </c>
      <c r="EI128">
        <f>_xlfn.XLOOKUP(C128,'[9]november-2025'!$A:$A,'[9]november-2025'!$J:$J,0,0)</f>
        <v>0</v>
      </c>
      <c r="EJ128">
        <f>_xlfn.XLOOKUP(B128,'[10]december-2025'!$A:$A,'[10]december-2025'!$J:$J,0,0)</f>
        <v>0</v>
      </c>
      <c r="EK128">
        <f>_xlfn.XLOOKUP(B128,'[11]january-2026'!$A:$A,'[11]january-2026'!$J:$J,0,0)</f>
        <v>0</v>
      </c>
      <c r="EL128">
        <f>_xlfn.XLOOKUP(B128,'[12]february-2026'!$A:$A,'[12]february-2026'!$J:$J,0,0)</f>
        <v>0</v>
      </c>
      <c r="EM128">
        <f t="shared" si="228"/>
        <v>0</v>
      </c>
      <c r="EN128">
        <f>DV128+DL128+DB128+CR128+CH128+BX128+BN128+BD128+AS128+AI128+Y128+O128+H128+I128</f>
        <v>496080</v>
      </c>
      <c r="EO128">
        <f>DY128+DO128+DE128+CU128+CK128+CA128+BQ128+BG128+AV128+AL128+AB128+R128</f>
        <v>2300</v>
      </c>
      <c r="EP128">
        <f t="shared" si="229"/>
        <v>50000</v>
      </c>
      <c r="EQ128">
        <v>0</v>
      </c>
      <c r="ER128">
        <f t="shared" si="230"/>
        <v>443780</v>
      </c>
      <c r="ES128">
        <f>DW128+DM128+DC128+CS128+CI128+BY128+BO128+BE128+AT128+AJ128+Z128+P128</f>
        <v>24000</v>
      </c>
      <c r="ET128">
        <f>DX128+DN128+DD128+CT128+CJ128+BZ128+BP128+BF128+AU128+AK128+AA128+Q128</f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231"/>
        <v>24000</v>
      </c>
      <c r="FF128">
        <f t="shared" si="232"/>
        <v>24000</v>
      </c>
      <c r="FG128">
        <f t="shared" si="233"/>
        <v>419780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>SUM(FH128:FN128)+(IF(F128="YES",50000,0))</f>
        <v>0</v>
      </c>
      <c r="FP128">
        <f t="shared" si="234"/>
        <v>419780</v>
      </c>
      <c r="FQ128">
        <f t="shared" si="235"/>
        <v>8489</v>
      </c>
      <c r="FR128">
        <f t="shared" si="236"/>
        <v>0</v>
      </c>
      <c r="FS128">
        <f t="shared" si="237"/>
        <v>8489</v>
      </c>
      <c r="FT128">
        <f t="shared" si="238"/>
        <v>0</v>
      </c>
      <c r="FU128">
        <f t="shared" si="239"/>
        <v>0</v>
      </c>
      <c r="FV128">
        <f t="shared" si="240"/>
        <v>0</v>
      </c>
      <c r="FW128">
        <v>0</v>
      </c>
      <c r="FX128">
        <f t="shared" si="241"/>
        <v>0</v>
      </c>
      <c r="FY128" t="b">
        <f t="shared" si="242"/>
        <v>0</v>
      </c>
      <c r="FZ128">
        <f t="shared" ca="1" si="243"/>
        <v>2164</v>
      </c>
      <c r="GA128">
        <f t="shared" ca="1" si="244"/>
        <v>498244</v>
      </c>
      <c r="GB128">
        <f t="shared" si="245"/>
        <v>75000</v>
      </c>
      <c r="GC128">
        <f t="shared" ca="1" si="246"/>
        <v>423244</v>
      </c>
      <c r="GD128">
        <f t="shared" ca="1" si="247"/>
        <v>0</v>
      </c>
      <c r="GE128">
        <f t="shared" ca="1" si="248"/>
        <v>0</v>
      </c>
      <c r="GF128">
        <f t="shared" ca="1" si="249"/>
        <v>0</v>
      </c>
      <c r="GG128">
        <f t="shared" ca="1" si="250"/>
        <v>0</v>
      </c>
      <c r="GH128">
        <f t="shared" ca="1" si="251"/>
        <v>0</v>
      </c>
      <c r="GI128">
        <f t="shared" ca="1" si="252"/>
        <v>0</v>
      </c>
      <c r="GJ128">
        <f ca="1">IF(GC128&gt;1200000,GC128-1200000-IF(F128="YES",50000,0)-GH128,0)</f>
        <v>0</v>
      </c>
      <c r="GK128">
        <f t="shared" ca="1" si="253"/>
        <v>0</v>
      </c>
      <c r="GL128">
        <f t="shared" ca="1" si="254"/>
        <v>0</v>
      </c>
      <c r="GM128">
        <f t="shared" ca="1" si="255"/>
        <v>0</v>
      </c>
      <c r="GN128">
        <f t="shared" ca="1" si="256"/>
        <v>23244</v>
      </c>
      <c r="GO128">
        <f t="shared" ca="1" si="257"/>
        <v>1162.2</v>
      </c>
      <c r="GP128">
        <f t="shared" ca="1" si="258"/>
        <v>1162</v>
      </c>
      <c r="GQ128">
        <f t="shared" ca="1" si="259"/>
        <v>0</v>
      </c>
      <c r="GR128">
        <f t="shared" ca="1" si="260"/>
        <v>0</v>
      </c>
      <c r="GS128">
        <f t="shared" ca="1" si="261"/>
        <v>1162</v>
      </c>
      <c r="GT128">
        <f t="shared" ca="1" si="262"/>
        <v>0</v>
      </c>
      <c r="GU128" t="b">
        <f t="shared" ca="1" si="263"/>
        <v>0</v>
      </c>
      <c r="GV128">
        <f t="shared" ca="1" si="264"/>
        <v>0</v>
      </c>
      <c r="GW128">
        <f t="shared" ca="1" si="265"/>
        <v>1162</v>
      </c>
      <c r="GX128">
        <f t="shared" ca="1" si="266"/>
        <v>0</v>
      </c>
      <c r="GY128">
        <f t="shared" ca="1" si="267"/>
        <v>0</v>
      </c>
      <c r="GZ128">
        <f t="shared" ca="1" si="268"/>
        <v>0</v>
      </c>
    </row>
    <row r="129" spans="1:208" x14ac:dyDescent="0.25">
      <c r="A129">
        <f>_xlfn.AGGREGATE(3,5,$B$2:B129)</f>
        <v>128</v>
      </c>
      <c r="B129" t="s">
        <v>370</v>
      </c>
      <c r="C129" t="s">
        <v>371</v>
      </c>
      <c r="D129" t="s">
        <v>784</v>
      </c>
      <c r="E129" t="s">
        <v>831</v>
      </c>
      <c r="F129" t="s">
        <v>957</v>
      </c>
      <c r="G129" t="s">
        <v>904</v>
      </c>
      <c r="H129">
        <f t="shared" si="270"/>
        <v>6800</v>
      </c>
      <c r="I129">
        <f>_xlfn.XLOOKUP(B129,'[1]march-2025'!$A:$A,'[1]march-2025'!$J:$J,0,0)</f>
        <v>0</v>
      </c>
      <c r="J129">
        <f>_xlfn.XLOOKUP(B129,'[1]march-2025'!$A:$A,'[1]march-2025'!$C:$C,0,0)</f>
        <v>28900</v>
      </c>
      <c r="K129">
        <f t="shared" si="179"/>
        <v>4046.0000000000005</v>
      </c>
      <c r="L129">
        <f t="shared" si="180"/>
        <v>3468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>IF(J129&gt;0,SUM(J129:N129),0)</f>
        <v>36914</v>
      </c>
      <c r="P129">
        <f>_xlfn.XLOOKUP(B129,'[1]march-2025'!$A:$A,'[1]march-2025'!$H:$H,0,0)</f>
        <v>2000</v>
      </c>
      <c r="Q129">
        <f>_xlfn.XLOOKUP(B129,'[1]march-2025'!$A:$A,'[1]march-2025'!$I:$I,0,0)</f>
        <v>0</v>
      </c>
      <c r="R129">
        <f t="shared" si="269"/>
        <v>150</v>
      </c>
      <c r="S129">
        <f t="shared" si="181"/>
        <v>34764</v>
      </c>
      <c r="T129">
        <f>_xlfn.XLOOKUP(B129,'[2]april-2025'!$A:$A,'[2]april-2025'!$C:$C,0,0)</f>
        <v>28900</v>
      </c>
      <c r="U129">
        <f t="shared" si="182"/>
        <v>5202</v>
      </c>
      <c r="V129">
        <f t="shared" si="183"/>
        <v>3468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184"/>
        <v>38070</v>
      </c>
      <c r="Z129">
        <f>_xlfn.XLOOKUP(B129,'[2]april-2025'!$A:$A,'[2]april-2025'!$H:$H,0,0)</f>
        <v>2000</v>
      </c>
      <c r="AA129">
        <f>_xlfn.XLOOKUP(B129,'[2]april-2025'!$A:$A,'[2]april-2025'!$I:$I,0,0)</f>
        <v>0</v>
      </c>
      <c r="AB129">
        <f t="shared" si="185"/>
        <v>150</v>
      </c>
      <c r="AC129">
        <f t="shared" si="186"/>
        <v>35920</v>
      </c>
      <c r="AD129">
        <f>_xlfn.XLOOKUP(B129,'[3]may-2025'!$A:$A,'[3]may-2025'!$C:$C,0,0)</f>
        <v>28900</v>
      </c>
      <c r="AE129">
        <f t="shared" si="187"/>
        <v>5202</v>
      </c>
      <c r="AF129">
        <f t="shared" si="188"/>
        <v>3468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189"/>
        <v>38070</v>
      </c>
      <c r="AJ129">
        <f>_xlfn.XLOOKUP(B129,'[3]may-2025'!$A:$A,'[3]may-2025'!$H:$H,0,0)</f>
        <v>2000</v>
      </c>
      <c r="AK129">
        <f>_xlfn.XLOOKUP(B129,'[3]may-2025'!$A:$A,'[3]may-2025'!$I:$I,0,0)</f>
        <v>0</v>
      </c>
      <c r="AL129">
        <f t="shared" si="190"/>
        <v>150</v>
      </c>
      <c r="AM129">
        <f t="shared" si="191"/>
        <v>35920</v>
      </c>
      <c r="AN129">
        <f>_xlfn.XLOOKUP(B129,'[4]june-2025'!$A:$A,'[4]june-2025'!$C:$C,0,0)</f>
        <v>28900</v>
      </c>
      <c r="AO129">
        <f t="shared" si="192"/>
        <v>5202</v>
      </c>
      <c r="AP129">
        <f t="shared" si="193"/>
        <v>3468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194"/>
        <v>38070</v>
      </c>
      <c r="AT129">
        <f>_xlfn.XLOOKUP(B129,'[4]june-2025'!$A:$A,'[4]june-2025'!$H:$H,0,0)</f>
        <v>2000</v>
      </c>
      <c r="AU129">
        <f>_xlfn.XLOOKUP(B129,'[4]june-2025'!$A:$A,'[4]june-2025'!$I:$I,0,0)</f>
        <v>0</v>
      </c>
      <c r="AV129">
        <f t="shared" si="195"/>
        <v>150</v>
      </c>
      <c r="AW129">
        <f t="shared" si="196"/>
        <v>35920</v>
      </c>
      <c r="AX129">
        <f>_xlfn.XLOOKUP(B129,'[5]july-2025'!$A:$A,'[5]july-2025'!$C:$C,0,0)</f>
        <v>29800</v>
      </c>
      <c r="AY129">
        <f t="shared" si="197"/>
        <v>5364</v>
      </c>
      <c r="AZ129">
        <v>0</v>
      </c>
      <c r="BA129">
        <f t="shared" si="198"/>
        <v>3576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>IF(AX129&gt;0,SUM(AX129:BC129),0)</f>
        <v>39240</v>
      </c>
      <c r="BE129">
        <f>_xlfn.XLOOKUP(B129,'[5]july-2025'!$A:$A,'[5]july-2025'!$H:$H,0,0)</f>
        <v>2000</v>
      </c>
      <c r="BF129">
        <f>_xlfn.XLOOKUP(B129,'[5]july-2025'!$A:$A,'[5]july-2025'!$I:$I,0,0)</f>
        <v>0</v>
      </c>
      <c r="BG129">
        <f t="shared" si="199"/>
        <v>150</v>
      </c>
      <c r="BH129">
        <f t="shared" si="200"/>
        <v>37090</v>
      </c>
      <c r="BI129">
        <f>_xlfn.XLOOKUP(B129,'[6]august-2025'!$A:$A,'[6]august-2025'!$C:$C,0,0)</f>
        <v>29800</v>
      </c>
      <c r="BJ129">
        <f t="shared" si="201"/>
        <v>5364</v>
      </c>
      <c r="BK129">
        <f t="shared" si="202"/>
        <v>3576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203"/>
        <v>39240</v>
      </c>
      <c r="BO129">
        <f>_xlfn.XLOOKUP(B129,'[6]august-2025'!$A:$A,'[6]august-2025'!$H:$H,0,0)</f>
        <v>2000</v>
      </c>
      <c r="BP129">
        <f>_xlfn.XLOOKUP(B129,'[6]august-2025'!$A:$A,'[6]august-2025'!$I:$I,0,0)</f>
        <v>0</v>
      </c>
      <c r="BQ129">
        <f>IF($F129="YES",0,IF(BN129&gt;40000,200,IF(BN129&gt;25000,150,IF(BN129&gt;15000,130,IF(BN129&gt;10000,110,0)))))</f>
        <v>150</v>
      </c>
      <c r="BR129">
        <f>BN129-BO129-BP129-BQ129</f>
        <v>37090</v>
      </c>
      <c r="BS129">
        <f>_xlfn.XLOOKUP(B129,'[7]september-2025'!$A:$A,'[7]september-2025'!$C:$C,0,0)</f>
        <v>29800</v>
      </c>
      <c r="BT129">
        <f t="shared" si="204"/>
        <v>5364</v>
      </c>
      <c r="BU129">
        <f t="shared" si="205"/>
        <v>3576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>IF(BS129&gt;0,SUM(BS129:BW129),0)</f>
        <v>39240</v>
      </c>
      <c r="BY129">
        <f>_xlfn.XLOOKUP(B129,'[7]september-2025'!$A:$A,'[7]september-2025'!$H:$H,0,0)</f>
        <v>2000</v>
      </c>
      <c r="BZ129">
        <f>_xlfn.XLOOKUP(B129,'[7]september-2025'!$A:$A,'[7]september-2025'!$I:$I,0,0)</f>
        <v>0</v>
      </c>
      <c r="CA129">
        <f t="shared" si="206"/>
        <v>150</v>
      </c>
      <c r="CB129">
        <f t="shared" si="207"/>
        <v>37090</v>
      </c>
      <c r="CC129">
        <f>_xlfn.XLOOKUP(B129,'[8]october-2025'!$A:$A,'[8]october-2025'!$C:$C,0,0)</f>
        <v>29800</v>
      </c>
      <c r="CD129">
        <f t="shared" si="208"/>
        <v>5364</v>
      </c>
      <c r="CE129">
        <f t="shared" si="209"/>
        <v>3576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>IF(CC129&gt;0,SUM(CC129:CG129),0)</f>
        <v>39240</v>
      </c>
      <c r="CI129">
        <f>_xlfn.XLOOKUP(B129,'[8]october-2025'!$A:$A,'[8]october-2025'!$H:$H,0,0)</f>
        <v>2000</v>
      </c>
      <c r="CJ129">
        <f>_xlfn.XLOOKUP(B129,'[8]october-2025'!$A:$A,'[8]october-2025'!$I:$I,0,0)</f>
        <v>0</v>
      </c>
      <c r="CK129">
        <f t="shared" si="210"/>
        <v>150</v>
      </c>
      <c r="CL129">
        <f t="shared" si="211"/>
        <v>37090</v>
      </c>
      <c r="CM129">
        <f>_xlfn.XLOOKUP(B129,'[9]november-2025'!$A:$A,'[9]november-2025'!$C:$C,0,0)</f>
        <v>29800</v>
      </c>
      <c r="CN129">
        <f t="shared" si="212"/>
        <v>5364</v>
      </c>
      <c r="CO129">
        <f t="shared" si="213"/>
        <v>3576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>IF(CM129&gt;0,SUM(CM129:CQ129),0)</f>
        <v>39240</v>
      </c>
      <c r="CS129">
        <f>_xlfn.XLOOKUP(B129,'[9]november-2025'!$A:$A,'[9]november-2025'!$H:$H,0,0)</f>
        <v>2000</v>
      </c>
      <c r="CT129">
        <f>_xlfn.XLOOKUP(B129,'[9]november-2025'!$A:$A,'[9]november-2025'!$I:$I,0,0)</f>
        <v>0</v>
      </c>
      <c r="CU129">
        <f t="shared" si="214"/>
        <v>150</v>
      </c>
      <c r="CV129">
        <f t="shared" si="215"/>
        <v>37090</v>
      </c>
      <c r="CW129">
        <f>_xlfn.XLOOKUP(B129,'[10]december-2025'!$A:$A,'[10]december-2025'!$C:$C,0,0)</f>
        <v>29800</v>
      </c>
      <c r="CX129">
        <f t="shared" si="216"/>
        <v>5364</v>
      </c>
      <c r="CY129">
        <f t="shared" si="217"/>
        <v>3576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>IF(CW129&gt;0,SUM(CW129:DA129),0)</f>
        <v>39240</v>
      </c>
      <c r="DC129">
        <f>_xlfn.XLOOKUP(B129,'[10]december-2025'!$A:$A,'[10]december-2025'!$H:$H,0,0)</f>
        <v>2000</v>
      </c>
      <c r="DD129">
        <f>_xlfn.XLOOKUP(B129,'[10]december-2025'!$A:$A,'[10]december-2025'!$I:$I,0,0)</f>
        <v>0</v>
      </c>
      <c r="DE129">
        <f t="shared" si="218"/>
        <v>150</v>
      </c>
      <c r="DF129">
        <f t="shared" si="219"/>
        <v>37090</v>
      </c>
      <c r="DG129">
        <f>_xlfn.XLOOKUP(B129,'[11]january-2026'!$A:$A,'[11]january-2026'!$C:$C,0,0)</f>
        <v>29800</v>
      </c>
      <c r="DH129">
        <f t="shared" si="220"/>
        <v>5364</v>
      </c>
      <c r="DI129">
        <f t="shared" si="221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>IF(DG129&gt;0,SUM(DG129:DK129),0)</f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22"/>
        <v>150</v>
      </c>
      <c r="DP129">
        <f t="shared" si="223"/>
        <v>37090</v>
      </c>
      <c r="DQ129">
        <f>_xlfn.XLOOKUP(B129,'[12]february-2026'!$A:$A,'[12]february-2026'!$C:$C,0,0)</f>
        <v>29800</v>
      </c>
      <c r="DR129">
        <f t="shared" si="224"/>
        <v>5364</v>
      </c>
      <c r="DS129">
        <f t="shared" si="225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>IF(DQ129&gt;0,SUM(DQ129:DU129),0)</f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26"/>
        <v>150</v>
      </c>
      <c r="DZ129">
        <f t="shared" si="227"/>
        <v>37090</v>
      </c>
      <c r="EA129">
        <f>_xlfn.XLOOKUP(B129,'[1]march-2025'!$A:$A,'[1]march-2025'!$J:$J,0,0)</f>
        <v>0</v>
      </c>
      <c r="EB129">
        <f>_xlfn.XLOOKUP(B129,'[2]april-2025'!$A:$A,'[2]april-2025'!$J:$J,0,0)</f>
        <v>0</v>
      </c>
      <c r="EC129">
        <f>_xlfn.XLOOKUP(B129,'[3]may-2025'!$A:$A,'[3]may-2025'!$J:$J,0,0)</f>
        <v>0</v>
      </c>
      <c r="ED129">
        <f>_xlfn.XLOOKUP(B129,'[4]june-2025'!$A:$A,'[4]june-2025'!$J:$J,0,0)</f>
        <v>0</v>
      </c>
      <c r="EE129">
        <f>_xlfn.XLOOKUP(B129,'[5]july-2025'!$A:$A,'[5]july-2025'!$J:$J,0,0)</f>
        <v>0</v>
      </c>
      <c r="EF129">
        <f>_xlfn.XLOOKUP(B129,'[6]august-2025'!$A:$A,'[6]august-2025'!$J:$J,0,0)</f>
        <v>0</v>
      </c>
      <c r="EG129">
        <f>_xlfn.XLOOKUP(B129,'[7]september-2025'!$A:$A,'[7]september-2025'!$J:$J,0,0)</f>
        <v>0</v>
      </c>
      <c r="EH129">
        <f>_xlfn.XLOOKUP(B129,'[8]october-2025'!$A:$A,'[8]october-2025'!$J:$J,0,0)</f>
        <v>0</v>
      </c>
      <c r="EI129">
        <f>_xlfn.XLOOKUP(C129,'[9]november-2025'!$A:$A,'[9]november-2025'!$J:$J,0,0)</f>
        <v>0</v>
      </c>
      <c r="EJ129">
        <f>_xlfn.XLOOKUP(B129,'[10]december-2025'!$A:$A,'[10]december-2025'!$J:$J,0,0)</f>
        <v>0</v>
      </c>
      <c r="EK129">
        <f>_xlfn.XLOOKUP(B129,'[11]january-2026'!$A:$A,'[11]january-2026'!$J:$J,0,0)</f>
        <v>0</v>
      </c>
      <c r="EL129">
        <f>_xlfn.XLOOKUP(B129,'[12]february-2026'!$A:$A,'[12]february-2026'!$J:$J,0,0)</f>
        <v>0</v>
      </c>
      <c r="EM129">
        <f t="shared" si="228"/>
        <v>0</v>
      </c>
      <c r="EN129">
        <f>DV129+DL129+DB129+CR129+CH129+BX129+BN129+BD129+AS129+AI129+Y129+O129+H129+I129</f>
        <v>471844</v>
      </c>
      <c r="EO129">
        <f>DY129+DO129+DE129+CU129+CK129+CA129+BQ129+BG129+AV129+AL129+AB129+R129</f>
        <v>1800</v>
      </c>
      <c r="EP129">
        <f t="shared" si="229"/>
        <v>50000</v>
      </c>
      <c r="EQ129">
        <v>0</v>
      </c>
      <c r="ER129">
        <f t="shared" si="230"/>
        <v>420044</v>
      </c>
      <c r="ES129">
        <f>DW129+DM129+DC129+CS129+CI129+BY129+BO129+BE129+AT129+AJ129+Z129+P129</f>
        <v>24000</v>
      </c>
      <c r="ET129">
        <f>DX129+DN129+DD129+CT129+CJ129+BZ129+BP129+BF129+AU129+AK129+AA129+Q129</f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231"/>
        <v>24000</v>
      </c>
      <c r="FF129">
        <f t="shared" si="232"/>
        <v>24000</v>
      </c>
      <c r="FG129">
        <f t="shared" si="233"/>
        <v>396044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>SUM(FH129:FN129)+(IF(F129="YES",50000,0))</f>
        <v>0</v>
      </c>
      <c r="FP129">
        <f t="shared" si="234"/>
        <v>396044</v>
      </c>
      <c r="FQ129">
        <f t="shared" si="235"/>
        <v>7302</v>
      </c>
      <c r="FR129">
        <f t="shared" si="236"/>
        <v>0</v>
      </c>
      <c r="FS129">
        <f t="shared" si="237"/>
        <v>7302</v>
      </c>
      <c r="FT129">
        <f t="shared" si="238"/>
        <v>0</v>
      </c>
      <c r="FU129">
        <f t="shared" si="239"/>
        <v>0</v>
      </c>
      <c r="FV129">
        <f t="shared" si="240"/>
        <v>0</v>
      </c>
      <c r="FW129">
        <v>0</v>
      </c>
      <c r="FX129">
        <f t="shared" si="241"/>
        <v>0</v>
      </c>
      <c r="FY129" t="b">
        <f t="shared" si="242"/>
        <v>0</v>
      </c>
      <c r="FZ129">
        <f t="shared" ca="1" si="243"/>
        <v>2505</v>
      </c>
      <c r="GA129">
        <f t="shared" ca="1" si="244"/>
        <v>474349</v>
      </c>
      <c r="GB129">
        <f t="shared" si="245"/>
        <v>75000</v>
      </c>
      <c r="GC129">
        <f t="shared" ca="1" si="246"/>
        <v>399349</v>
      </c>
      <c r="GD129">
        <f t="shared" ca="1" si="247"/>
        <v>0</v>
      </c>
      <c r="GE129">
        <f t="shared" ca="1" si="248"/>
        <v>0</v>
      </c>
      <c r="GF129">
        <f t="shared" ca="1" si="249"/>
        <v>0</v>
      </c>
      <c r="GG129">
        <f t="shared" ca="1" si="250"/>
        <v>0</v>
      </c>
      <c r="GH129">
        <f t="shared" ca="1" si="251"/>
        <v>0</v>
      </c>
      <c r="GI129">
        <f t="shared" ca="1" si="252"/>
        <v>0</v>
      </c>
      <c r="GJ129">
        <f ca="1">IF(GC129&gt;1200000,GC129-1200000-IF(F129="YES",50000,0)-GH129,0)</f>
        <v>0</v>
      </c>
      <c r="GK129">
        <f t="shared" ca="1" si="253"/>
        <v>0</v>
      </c>
      <c r="GL129">
        <f t="shared" ca="1" si="254"/>
        <v>0</v>
      </c>
      <c r="GM129">
        <f t="shared" ca="1" si="255"/>
        <v>0</v>
      </c>
      <c r="GN129">
        <f t="shared" ca="1" si="256"/>
        <v>0</v>
      </c>
      <c r="GO129">
        <f t="shared" ca="1" si="257"/>
        <v>0</v>
      </c>
      <c r="GP129">
        <f t="shared" ca="1" si="258"/>
        <v>0</v>
      </c>
      <c r="GQ129">
        <f t="shared" ca="1" si="259"/>
        <v>0</v>
      </c>
      <c r="GR129">
        <f t="shared" ca="1" si="260"/>
        <v>0</v>
      </c>
      <c r="GS129">
        <f t="shared" ca="1" si="261"/>
        <v>0</v>
      </c>
      <c r="GT129">
        <f t="shared" ca="1" si="262"/>
        <v>0</v>
      </c>
      <c r="GU129" t="b">
        <f t="shared" ca="1" si="263"/>
        <v>0</v>
      </c>
      <c r="GV129">
        <f t="shared" ca="1" si="264"/>
        <v>0</v>
      </c>
      <c r="GW129">
        <f t="shared" ca="1" si="265"/>
        <v>0</v>
      </c>
      <c r="GX129">
        <f t="shared" ca="1" si="266"/>
        <v>0</v>
      </c>
      <c r="GY129">
        <f t="shared" ca="1" si="267"/>
        <v>0</v>
      </c>
      <c r="GZ129">
        <f t="shared" ca="1" si="268"/>
        <v>0</v>
      </c>
    </row>
    <row r="130" spans="1:208" x14ac:dyDescent="0.25">
      <c r="A130">
        <f>_xlfn.AGGREGATE(3,5,$B$2:B130)</f>
        <v>129</v>
      </c>
      <c r="B130" t="s">
        <v>372</v>
      </c>
      <c r="C130" t="s">
        <v>373</v>
      </c>
      <c r="D130" t="s">
        <v>785</v>
      </c>
      <c r="E130" t="s">
        <v>832</v>
      </c>
      <c r="F130" t="s">
        <v>957</v>
      </c>
      <c r="G130" t="s">
        <v>880</v>
      </c>
      <c r="H130">
        <f t="shared" si="270"/>
        <v>6800</v>
      </c>
      <c r="I130">
        <f>_xlfn.XLOOKUP(B130,'[1]march-2025'!$A:$A,'[1]march-2025'!$J:$J,0,0)</f>
        <v>0</v>
      </c>
      <c r="J130">
        <f>_xlfn.XLOOKUP(B130,'[1]march-2025'!$A:$A,'[1]march-2025'!$C:$C,0,0)</f>
        <v>51700</v>
      </c>
      <c r="K130">
        <f t="shared" si="179"/>
        <v>7238.0000000000009</v>
      </c>
      <c r="L130">
        <f t="shared" si="180"/>
        <v>6204</v>
      </c>
      <c r="M130">
        <f>_xlfn.XLOOKUP(B130,'[1]march-2025'!$A:$A,'[1]march-2025'!$D:$D,0,0)</f>
        <v>400</v>
      </c>
      <c r="N130">
        <f>_xlfn.XLOOKUP(B130,'[1]march-2025'!$A:$A,'[1]march-2025'!$G:$G,0,0)</f>
        <v>500</v>
      </c>
      <c r="O130">
        <f>IF(J130&gt;0,SUM(J130:N130),0)</f>
        <v>66042</v>
      </c>
      <c r="P130">
        <f>_xlfn.XLOOKUP(B130,'[1]march-2025'!$A:$A,'[1]march-2025'!$H:$H,0,0)</f>
        <v>5000</v>
      </c>
      <c r="Q130">
        <f>_xlfn.XLOOKUP(B130,'[1]march-2025'!$A:$A,'[1]march-2025'!$I:$I,0,0)</f>
        <v>0</v>
      </c>
      <c r="R130">
        <f t="shared" si="269"/>
        <v>200</v>
      </c>
      <c r="S130">
        <f t="shared" si="181"/>
        <v>60842</v>
      </c>
      <c r="T130">
        <f>_xlfn.XLOOKUP(B130,'[2]april-2025'!$A:$A,'[2]april-2025'!$C:$C,0,0)</f>
        <v>51700</v>
      </c>
      <c r="U130">
        <f t="shared" si="182"/>
        <v>9306</v>
      </c>
      <c r="V130">
        <f t="shared" si="183"/>
        <v>6204</v>
      </c>
      <c r="W130">
        <f>_xlfn.XLOOKUP(B130,'[2]april-2025'!$A:$A,'[2]april-2025'!$D:$D,0,0)</f>
        <v>400</v>
      </c>
      <c r="X130">
        <f>_xlfn.XLOOKUP(B130,'[2]april-2025'!$A:$A,'[2]april-2025'!$G:$G,0,0)</f>
        <v>500</v>
      </c>
      <c r="Y130">
        <f t="shared" si="184"/>
        <v>68110</v>
      </c>
      <c r="Z130">
        <f>_xlfn.XLOOKUP(B130,'[2]april-2025'!$A:$A,'[2]april-2025'!$H:$H,0,0)</f>
        <v>5000</v>
      </c>
      <c r="AA130">
        <f>_xlfn.XLOOKUP(B130,'[2]april-2025'!$A:$A,'[2]april-2025'!$I:$I,0,0)</f>
        <v>0</v>
      </c>
      <c r="AB130">
        <f t="shared" si="185"/>
        <v>200</v>
      </c>
      <c r="AC130">
        <f t="shared" si="186"/>
        <v>62910</v>
      </c>
      <c r="AD130">
        <f>_xlfn.XLOOKUP(B130,'[3]may-2025'!$A:$A,'[3]may-2025'!$C:$C,0,0)</f>
        <v>51700</v>
      </c>
      <c r="AE130">
        <f t="shared" si="187"/>
        <v>9306</v>
      </c>
      <c r="AF130">
        <f t="shared" si="188"/>
        <v>6204</v>
      </c>
      <c r="AG130">
        <f>_xlfn.XLOOKUP(B130,'[3]may-2025'!$A:$A,'[3]may-2025'!$D:$D,0,0)</f>
        <v>400</v>
      </c>
      <c r="AH130">
        <f>_xlfn.XLOOKUP(B130,'[3]may-2025'!$A:$A,'[3]may-2025'!$G:$G,0,0)</f>
        <v>500</v>
      </c>
      <c r="AI130">
        <f t="shared" si="189"/>
        <v>68110</v>
      </c>
      <c r="AJ130">
        <f>_xlfn.XLOOKUP(B130,'[3]may-2025'!$A:$A,'[3]may-2025'!$H:$H,0,0)</f>
        <v>5000</v>
      </c>
      <c r="AK130">
        <f>_xlfn.XLOOKUP(B130,'[3]may-2025'!$A:$A,'[3]may-2025'!$I:$I,0,0)</f>
        <v>0</v>
      </c>
      <c r="AL130">
        <f t="shared" si="190"/>
        <v>200</v>
      </c>
      <c r="AM130">
        <f t="shared" si="191"/>
        <v>62910</v>
      </c>
      <c r="AN130">
        <f>_xlfn.XLOOKUP(B130,'[4]june-2025'!$A:$A,'[4]june-2025'!$C:$C,0,0)</f>
        <v>51700</v>
      </c>
      <c r="AO130">
        <f t="shared" si="192"/>
        <v>9306</v>
      </c>
      <c r="AP130">
        <f t="shared" si="193"/>
        <v>6204</v>
      </c>
      <c r="AQ130">
        <f>_xlfn.XLOOKUP(B130,'[4]june-2025'!$A:$A,'[4]june-2025'!$D:$D,0,0)</f>
        <v>400</v>
      </c>
      <c r="AR130">
        <f>_xlfn.XLOOKUP(B130,'[4]june-2025'!$A:$A,'[4]june-2025'!$G:$G,0,0)</f>
        <v>500</v>
      </c>
      <c r="AS130">
        <f t="shared" si="194"/>
        <v>68110</v>
      </c>
      <c r="AT130">
        <f>_xlfn.XLOOKUP(B130,'[4]june-2025'!$A:$A,'[4]june-2025'!$H:$H,0,0)</f>
        <v>5000</v>
      </c>
      <c r="AU130">
        <f>_xlfn.XLOOKUP(B130,'[4]june-2025'!$A:$A,'[4]june-2025'!$I:$I,0,0)</f>
        <v>0</v>
      </c>
      <c r="AV130">
        <f t="shared" si="195"/>
        <v>200</v>
      </c>
      <c r="AW130">
        <f t="shared" si="196"/>
        <v>62910</v>
      </c>
      <c r="AX130">
        <f>_xlfn.XLOOKUP(B130,'[5]july-2025'!$A:$A,'[5]july-2025'!$C:$C,0,0)</f>
        <v>53300</v>
      </c>
      <c r="AY130">
        <f t="shared" si="197"/>
        <v>9594</v>
      </c>
      <c r="AZ130">
        <v>0</v>
      </c>
      <c r="BA130">
        <f t="shared" si="198"/>
        <v>6396</v>
      </c>
      <c r="BB130">
        <f>_xlfn.XLOOKUP(B130,'[5]july-2025'!$A:$A,'[5]july-2025'!$D:$D,0,0)</f>
        <v>400</v>
      </c>
      <c r="BC130">
        <f>_xlfn.XLOOKUP(B130,'[5]july-2025'!$A:$A,'[5]july-2025'!$G:$G,0,0)</f>
        <v>500</v>
      </c>
      <c r="BD130">
        <f>IF(AX130&gt;0,SUM(AX130:BC130),0)</f>
        <v>70190</v>
      </c>
      <c r="BE130">
        <f>_xlfn.XLOOKUP(B130,'[5]july-2025'!$A:$A,'[5]july-2025'!$H:$H,0,0)</f>
        <v>5000</v>
      </c>
      <c r="BF130">
        <f>_xlfn.XLOOKUP(B130,'[5]july-2025'!$A:$A,'[5]july-2025'!$I:$I,0,0)</f>
        <v>0</v>
      </c>
      <c r="BG130">
        <f t="shared" si="199"/>
        <v>200</v>
      </c>
      <c r="BH130">
        <f t="shared" si="200"/>
        <v>64990</v>
      </c>
      <c r="BI130">
        <f>_xlfn.XLOOKUP(B130,'[6]august-2025'!$A:$A,'[6]august-2025'!$C:$C,0,0)</f>
        <v>53300</v>
      </c>
      <c r="BJ130">
        <f t="shared" si="201"/>
        <v>9594</v>
      </c>
      <c r="BK130">
        <f t="shared" si="202"/>
        <v>6396</v>
      </c>
      <c r="BL130">
        <f>_xlfn.XLOOKUP(B130,'[6]august-2025'!$A:$A,'[6]august-2025'!$D:$D,0,0)</f>
        <v>400</v>
      </c>
      <c r="BM130">
        <f>_xlfn.XLOOKUP(B130,'[6]august-2025'!$A:$A,'[6]august-2025'!$G:$G,0,0)</f>
        <v>500</v>
      </c>
      <c r="BN130">
        <f t="shared" si="203"/>
        <v>70190</v>
      </c>
      <c r="BO130">
        <f>_xlfn.XLOOKUP(B130,'[6]august-2025'!$A:$A,'[6]august-2025'!$H:$H,0,0)</f>
        <v>5000</v>
      </c>
      <c r="BP130">
        <f>_xlfn.XLOOKUP(B130,'[6]august-2025'!$A:$A,'[6]august-2025'!$I:$I,0,0)</f>
        <v>0</v>
      </c>
      <c r="BQ130">
        <f>IF($F130="YES",0,IF(BN130&gt;40000,200,IF(BN130&gt;25000,150,IF(BN130&gt;15000,130,IF(BN130&gt;10000,110,0)))))</f>
        <v>200</v>
      </c>
      <c r="BR130">
        <f>BN130-BO130-BP130-BQ130</f>
        <v>64990</v>
      </c>
      <c r="BS130">
        <f>_xlfn.XLOOKUP(B130,'[7]september-2025'!$A:$A,'[7]september-2025'!$C:$C,0,0)</f>
        <v>53300</v>
      </c>
      <c r="BT130">
        <f t="shared" si="204"/>
        <v>9594</v>
      </c>
      <c r="BU130">
        <f t="shared" si="205"/>
        <v>6396</v>
      </c>
      <c r="BV130">
        <f>_xlfn.XLOOKUP(B130,'[7]september-2025'!$A:$A,'[7]september-2025'!$D:$D,0,0)</f>
        <v>400</v>
      </c>
      <c r="BW130">
        <f>_xlfn.XLOOKUP(B130,'[7]september-2025'!$A:$A,'[7]september-2025'!$G:$G,0,0)</f>
        <v>500</v>
      </c>
      <c r="BX130">
        <f>IF(BS130&gt;0,SUM(BS130:BW130),0)</f>
        <v>70190</v>
      </c>
      <c r="BY130">
        <f>_xlfn.XLOOKUP(B130,'[7]september-2025'!$A:$A,'[7]september-2025'!$H:$H,0,0)</f>
        <v>5000</v>
      </c>
      <c r="BZ130">
        <f>_xlfn.XLOOKUP(B130,'[7]september-2025'!$A:$A,'[7]september-2025'!$I:$I,0,0)</f>
        <v>0</v>
      </c>
      <c r="CA130">
        <f t="shared" si="206"/>
        <v>200</v>
      </c>
      <c r="CB130">
        <f t="shared" si="207"/>
        <v>64990</v>
      </c>
      <c r="CC130">
        <f>_xlfn.XLOOKUP(B130,'[8]october-2025'!$A:$A,'[8]october-2025'!$C:$C,0,0)</f>
        <v>53300</v>
      </c>
      <c r="CD130">
        <f t="shared" si="208"/>
        <v>9594</v>
      </c>
      <c r="CE130">
        <f t="shared" si="209"/>
        <v>6396</v>
      </c>
      <c r="CF130">
        <f>_xlfn.XLOOKUP(B130,'[8]october-2025'!$A:$A,'[8]october-2025'!$D:$D,0,0)</f>
        <v>400</v>
      </c>
      <c r="CG130">
        <f>_xlfn.XLOOKUP(B130,'[8]october-2025'!$A:$A,'[8]october-2025'!$G:$G,0,0)</f>
        <v>500</v>
      </c>
      <c r="CH130">
        <f>IF(CC130&gt;0,SUM(CC130:CG130),0)</f>
        <v>70190</v>
      </c>
      <c r="CI130">
        <f>_xlfn.XLOOKUP(B130,'[8]october-2025'!$A:$A,'[8]october-2025'!$H:$H,0,0)</f>
        <v>5000</v>
      </c>
      <c r="CJ130">
        <f>_xlfn.XLOOKUP(B130,'[8]october-2025'!$A:$A,'[8]october-2025'!$I:$I,0,0)</f>
        <v>0</v>
      </c>
      <c r="CK130">
        <f t="shared" si="210"/>
        <v>200</v>
      </c>
      <c r="CL130">
        <f t="shared" si="211"/>
        <v>64990</v>
      </c>
      <c r="CM130">
        <f>_xlfn.XLOOKUP(B130,'[9]november-2025'!$A:$A,'[9]november-2025'!$C:$C,0,0)</f>
        <v>53300</v>
      </c>
      <c r="CN130">
        <f t="shared" si="212"/>
        <v>9594</v>
      </c>
      <c r="CO130">
        <f t="shared" si="213"/>
        <v>6396</v>
      </c>
      <c r="CP130">
        <f>_xlfn.XLOOKUP(B130,'[9]november-2025'!$A:$A,'[9]november-2025'!$D:$D,0,0)</f>
        <v>400</v>
      </c>
      <c r="CQ130">
        <f>_xlfn.XLOOKUP(B130,'[9]november-2025'!$A:$A,'[9]november-2025'!$G:$G,0,0)</f>
        <v>500</v>
      </c>
      <c r="CR130">
        <f>IF(CM130&gt;0,SUM(CM130:CQ130),0)</f>
        <v>70190</v>
      </c>
      <c r="CS130">
        <f>_xlfn.XLOOKUP(B130,'[9]november-2025'!$A:$A,'[9]november-2025'!$H:$H,0,0)</f>
        <v>5000</v>
      </c>
      <c r="CT130">
        <f>_xlfn.XLOOKUP(B130,'[9]november-2025'!$A:$A,'[9]november-2025'!$I:$I,0,0)</f>
        <v>0</v>
      </c>
      <c r="CU130">
        <f t="shared" si="214"/>
        <v>200</v>
      </c>
      <c r="CV130">
        <f t="shared" si="215"/>
        <v>64990</v>
      </c>
      <c r="CW130">
        <f>_xlfn.XLOOKUP(B130,'[10]december-2025'!$A:$A,'[10]december-2025'!$C:$C,0,0)</f>
        <v>53300</v>
      </c>
      <c r="CX130">
        <f t="shared" si="216"/>
        <v>9594</v>
      </c>
      <c r="CY130">
        <f t="shared" si="217"/>
        <v>6396</v>
      </c>
      <c r="CZ130">
        <f>_xlfn.XLOOKUP(B130,'[10]december-2025'!$A:$A,'[10]december-2025'!$D:$D,0,0)</f>
        <v>400</v>
      </c>
      <c r="DA130">
        <f>_xlfn.XLOOKUP(B130,'[10]december-2025'!$A:$A,'[10]december-2025'!$G:$G,0,0)</f>
        <v>500</v>
      </c>
      <c r="DB130">
        <f>IF(CW130&gt;0,SUM(CW130:DA130),0)</f>
        <v>70190</v>
      </c>
      <c r="DC130">
        <f>_xlfn.XLOOKUP(B130,'[10]december-2025'!$A:$A,'[10]december-2025'!$H:$H,0,0)</f>
        <v>5000</v>
      </c>
      <c r="DD130">
        <f>_xlfn.XLOOKUP(B130,'[10]december-2025'!$A:$A,'[10]december-2025'!$I:$I,0,0)</f>
        <v>0</v>
      </c>
      <c r="DE130">
        <f t="shared" si="218"/>
        <v>200</v>
      </c>
      <c r="DF130">
        <f t="shared" si="219"/>
        <v>64990</v>
      </c>
      <c r="DG130">
        <f>_xlfn.XLOOKUP(B130,'[11]january-2026'!$A:$A,'[11]january-2026'!$C:$C,0,0)</f>
        <v>53300</v>
      </c>
      <c r="DH130">
        <f t="shared" si="220"/>
        <v>9594</v>
      </c>
      <c r="DI130">
        <f t="shared" si="221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>IF(DG130&gt;0,SUM(DG130:DK130),0)</f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22"/>
        <v>200</v>
      </c>
      <c r="DP130">
        <f t="shared" si="223"/>
        <v>64990</v>
      </c>
      <c r="DQ130">
        <f>_xlfn.XLOOKUP(B130,'[12]february-2026'!$A:$A,'[12]february-2026'!$C:$C,0,0)</f>
        <v>53300</v>
      </c>
      <c r="DR130">
        <f t="shared" si="224"/>
        <v>9594</v>
      </c>
      <c r="DS130">
        <f t="shared" si="225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>IF(DQ130&gt;0,SUM(DQ130:DU130),0)</f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26"/>
        <v>200</v>
      </c>
      <c r="DZ130">
        <f t="shared" si="227"/>
        <v>64990</v>
      </c>
      <c r="EA130">
        <f>_xlfn.XLOOKUP(B130,'[1]march-2025'!$A:$A,'[1]march-2025'!$J:$J,0,0)</f>
        <v>0</v>
      </c>
      <c r="EB130">
        <f>_xlfn.XLOOKUP(B130,'[2]april-2025'!$A:$A,'[2]april-2025'!$J:$J,0,0)</f>
        <v>0</v>
      </c>
      <c r="EC130">
        <f>_xlfn.XLOOKUP(B130,'[3]may-2025'!$A:$A,'[3]may-2025'!$J:$J,0,0)</f>
        <v>0</v>
      </c>
      <c r="ED130">
        <f>_xlfn.XLOOKUP(B130,'[4]june-2025'!$A:$A,'[4]june-2025'!$J:$J,0,0)</f>
        <v>0</v>
      </c>
      <c r="EE130">
        <f>_xlfn.XLOOKUP(B130,'[5]july-2025'!$A:$A,'[5]july-2025'!$J:$J,0,0)</f>
        <v>0</v>
      </c>
      <c r="EF130">
        <f>_xlfn.XLOOKUP(B130,'[6]august-2025'!$A:$A,'[6]august-2025'!$J:$J,0,0)</f>
        <v>0</v>
      </c>
      <c r="EG130">
        <f>_xlfn.XLOOKUP(B130,'[7]september-2025'!$A:$A,'[7]september-2025'!$J:$J,0,0)</f>
        <v>0</v>
      </c>
      <c r="EH130">
        <f>_xlfn.XLOOKUP(B130,'[8]october-2025'!$A:$A,'[8]october-2025'!$J:$J,0,0)</f>
        <v>0</v>
      </c>
      <c r="EI130">
        <f>_xlfn.XLOOKUP(C130,'[9]november-2025'!$A:$A,'[9]november-2025'!$J:$J,0,0)</f>
        <v>0</v>
      </c>
      <c r="EJ130">
        <f>_xlfn.XLOOKUP(B130,'[10]december-2025'!$A:$A,'[10]december-2025'!$J:$J,0,0)</f>
        <v>0</v>
      </c>
      <c r="EK130">
        <f>_xlfn.XLOOKUP(B130,'[11]january-2026'!$A:$A,'[11]january-2026'!$J:$J,0,0)</f>
        <v>0</v>
      </c>
      <c r="EL130">
        <f>_xlfn.XLOOKUP(B130,'[12]february-2026'!$A:$A,'[12]february-2026'!$J:$J,0,0)</f>
        <v>0</v>
      </c>
      <c r="EM130">
        <f t="shared" si="228"/>
        <v>0</v>
      </c>
      <c r="EN130">
        <f>DV130+DL130+DB130+CR130+CH130+BX130+BN130+BD130+AS130+AI130+Y130+O130+H130+I130</f>
        <v>838692</v>
      </c>
      <c r="EO130">
        <f>DY130+DO130+DE130+CU130+CK130+CA130+BQ130+BG130+AV130+AL130+AB130+R130</f>
        <v>2400</v>
      </c>
      <c r="EP130">
        <f t="shared" si="229"/>
        <v>50000</v>
      </c>
      <c r="EQ130">
        <v>0</v>
      </c>
      <c r="ER130">
        <f t="shared" si="230"/>
        <v>786292</v>
      </c>
      <c r="ES130">
        <f>DW130+DM130+DC130+CS130+CI130+BY130+BO130+BE130+AT130+AJ130+Z130+P130</f>
        <v>60000</v>
      </c>
      <c r="ET130">
        <f>DX130+DN130+DD130+CT130+CJ130+BZ130+BP130+BF130+AU130+AK130+AA130+Q130</f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231"/>
        <v>60000</v>
      </c>
      <c r="FF130">
        <f t="shared" si="232"/>
        <v>60000</v>
      </c>
      <c r="FG130">
        <f t="shared" si="233"/>
        <v>726292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>SUM(FH130:FN130)+(IF(F130="YES",50000,0))</f>
        <v>0</v>
      </c>
      <c r="FP130">
        <f t="shared" si="234"/>
        <v>726292</v>
      </c>
      <c r="FQ130">
        <f t="shared" si="235"/>
        <v>12500</v>
      </c>
      <c r="FR130">
        <f t="shared" si="236"/>
        <v>45258</v>
      </c>
      <c r="FS130">
        <f t="shared" si="237"/>
        <v>57758</v>
      </c>
      <c r="FT130">
        <f t="shared" si="238"/>
        <v>57758</v>
      </c>
      <c r="FU130">
        <f t="shared" si="239"/>
        <v>2310.3200000000002</v>
      </c>
      <c r="FV130">
        <f t="shared" si="240"/>
        <v>60068</v>
      </c>
      <c r="FW130">
        <v>0</v>
      </c>
      <c r="FX130">
        <f t="shared" si="241"/>
        <v>60068</v>
      </c>
      <c r="FY130" t="b">
        <f t="shared" si="242"/>
        <v>1</v>
      </c>
      <c r="FZ130">
        <f t="shared" ca="1" si="243"/>
        <v>983</v>
      </c>
      <c r="GA130">
        <f t="shared" ca="1" si="244"/>
        <v>839675</v>
      </c>
      <c r="GB130">
        <f t="shared" si="245"/>
        <v>75000</v>
      </c>
      <c r="GC130">
        <f t="shared" ca="1" si="246"/>
        <v>764675</v>
      </c>
      <c r="GD130">
        <f t="shared" ca="1" si="247"/>
        <v>0</v>
      </c>
      <c r="GE130">
        <f t="shared" ca="1" si="248"/>
        <v>0</v>
      </c>
      <c r="GF130">
        <f t="shared" ca="1" si="249"/>
        <v>0</v>
      </c>
      <c r="GG130">
        <f t="shared" ca="1" si="250"/>
        <v>0</v>
      </c>
      <c r="GH130">
        <f t="shared" ca="1" si="251"/>
        <v>0</v>
      </c>
      <c r="GI130">
        <f t="shared" ca="1" si="252"/>
        <v>0</v>
      </c>
      <c r="GJ130">
        <f ca="1">IF(GC130&gt;1200000,GC130-1200000-IF(F130="YES",50000,0)-GH130,0)</f>
        <v>0</v>
      </c>
      <c r="GK130">
        <f t="shared" ca="1" si="253"/>
        <v>0</v>
      </c>
      <c r="GL130">
        <f t="shared" ca="1" si="254"/>
        <v>0</v>
      </c>
      <c r="GM130">
        <f t="shared" ca="1" si="255"/>
        <v>0</v>
      </c>
      <c r="GN130">
        <f t="shared" ca="1" si="256"/>
        <v>364675</v>
      </c>
      <c r="GO130">
        <f t="shared" ca="1" si="257"/>
        <v>18233.75</v>
      </c>
      <c r="GP130">
        <f t="shared" ca="1" si="258"/>
        <v>18234</v>
      </c>
      <c r="GQ130">
        <f t="shared" ca="1" si="259"/>
        <v>0</v>
      </c>
      <c r="GR130">
        <f t="shared" ca="1" si="260"/>
        <v>0</v>
      </c>
      <c r="GS130">
        <f t="shared" ca="1" si="261"/>
        <v>18234</v>
      </c>
      <c r="GT130">
        <f t="shared" ca="1" si="262"/>
        <v>0</v>
      </c>
      <c r="GU130" t="b">
        <f t="shared" ca="1" si="263"/>
        <v>0</v>
      </c>
      <c r="GV130">
        <f t="shared" ca="1" si="264"/>
        <v>0</v>
      </c>
      <c r="GW130">
        <f t="shared" ca="1" si="265"/>
        <v>18234</v>
      </c>
      <c r="GX130">
        <f t="shared" ca="1" si="266"/>
        <v>0</v>
      </c>
      <c r="GY130">
        <f t="shared" ca="1" si="267"/>
        <v>0</v>
      </c>
      <c r="GZ130">
        <f t="shared" ca="1" si="268"/>
        <v>0</v>
      </c>
    </row>
    <row r="131" spans="1:208" x14ac:dyDescent="0.25">
      <c r="A131">
        <f>_xlfn.AGGREGATE(3,5,$B$2:B131)</f>
        <v>130</v>
      </c>
      <c r="B131" t="s">
        <v>374</v>
      </c>
      <c r="C131" t="s">
        <v>375</v>
      </c>
      <c r="D131" t="s">
        <v>785</v>
      </c>
      <c r="E131" t="s">
        <v>831</v>
      </c>
      <c r="F131" t="s">
        <v>957</v>
      </c>
      <c r="G131" t="s">
        <v>925</v>
      </c>
      <c r="H131">
        <f t="shared" si="270"/>
        <v>6800</v>
      </c>
      <c r="I131">
        <f>_xlfn.XLOOKUP(B131,'[1]march-2025'!$A:$A,'[1]march-2025'!$J:$J,0,0)</f>
        <v>0</v>
      </c>
      <c r="J131">
        <f>_xlfn.XLOOKUP(B131,'[1]march-2025'!$A:$A,'[1]march-2025'!$C:$C,0,0)</f>
        <v>31600</v>
      </c>
      <c r="K131">
        <f t="shared" si="179"/>
        <v>4424</v>
      </c>
      <c r="L131">
        <f t="shared" si="180"/>
        <v>3792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>IF(J131&gt;0,SUM(J131:N131),0)</f>
        <v>40316</v>
      </c>
      <c r="P131">
        <f>_xlfn.XLOOKUP(B131,'[1]march-2025'!$A:$A,'[1]march-2025'!$H:$H,0,0)</f>
        <v>3000</v>
      </c>
      <c r="Q131">
        <f>_xlfn.XLOOKUP(B131,'[1]march-2025'!$A:$A,'[1]march-2025'!$I:$I,0,0)</f>
        <v>0</v>
      </c>
      <c r="R131">
        <f t="shared" si="269"/>
        <v>200</v>
      </c>
      <c r="S131">
        <f t="shared" ref="S131:S194" si="357">O131-P131-Q131-R131</f>
        <v>37116</v>
      </c>
      <c r="T131">
        <f>_xlfn.XLOOKUP(B131,'[2]april-2025'!$A:$A,'[2]april-2025'!$C:$C,0,0)</f>
        <v>31600</v>
      </c>
      <c r="U131">
        <f t="shared" si="182"/>
        <v>5688</v>
      </c>
      <c r="V131">
        <f t="shared" si="183"/>
        <v>3792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ref="Y131:Y194" si="358">IF(T131&gt;0,SUM(T131:X131),0)</f>
        <v>41580</v>
      </c>
      <c r="Z131">
        <f>_xlfn.XLOOKUP(B131,'[2]april-2025'!$A:$A,'[2]april-2025'!$H:$H,0,0)</f>
        <v>3000</v>
      </c>
      <c r="AA131">
        <f>_xlfn.XLOOKUP(B131,'[2]april-2025'!$A:$A,'[2]april-2025'!$I:$I,0,0)</f>
        <v>0</v>
      </c>
      <c r="AB131">
        <f t="shared" si="185"/>
        <v>200</v>
      </c>
      <c r="AC131">
        <f t="shared" si="186"/>
        <v>38380</v>
      </c>
      <c r="AD131">
        <f>_xlfn.XLOOKUP(B131,'[3]may-2025'!$A:$A,'[3]may-2025'!$C:$C,0,0)</f>
        <v>31600</v>
      </c>
      <c r="AE131">
        <f t="shared" si="187"/>
        <v>5688</v>
      </c>
      <c r="AF131">
        <f t="shared" si="188"/>
        <v>3792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ref="AI131:AI194" si="359">IF(AD131&gt;0,SUM(AD131:AH131),0)</f>
        <v>41580</v>
      </c>
      <c r="AJ131">
        <f>_xlfn.XLOOKUP(B131,'[3]may-2025'!$A:$A,'[3]may-2025'!$H:$H,0,0)</f>
        <v>3000</v>
      </c>
      <c r="AK131">
        <f>_xlfn.XLOOKUP(B131,'[3]may-2025'!$A:$A,'[3]may-2025'!$I:$I,0,0)</f>
        <v>0</v>
      </c>
      <c r="AL131">
        <f t="shared" si="190"/>
        <v>200</v>
      </c>
      <c r="AM131">
        <f t="shared" si="191"/>
        <v>38380</v>
      </c>
      <c r="AN131">
        <f>_xlfn.XLOOKUP(B131,'[4]june-2025'!$A:$A,'[4]june-2025'!$C:$C,0,0)</f>
        <v>31600</v>
      </c>
      <c r="AO131">
        <f t="shared" si="192"/>
        <v>5688</v>
      </c>
      <c r="AP131">
        <f t="shared" si="193"/>
        <v>3792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ref="AS131:AS194" si="360">IF(AN131&gt;0,SUM(AN131:AR131),0)</f>
        <v>41580</v>
      </c>
      <c r="AT131">
        <f>_xlfn.XLOOKUP(B131,'[4]june-2025'!$A:$A,'[4]june-2025'!$H:$H,0,0)</f>
        <v>3000</v>
      </c>
      <c r="AU131">
        <f>_xlfn.XLOOKUP(B131,'[4]june-2025'!$A:$A,'[4]june-2025'!$I:$I,0,0)</f>
        <v>0</v>
      </c>
      <c r="AV131">
        <f t="shared" si="195"/>
        <v>200</v>
      </c>
      <c r="AW131">
        <f t="shared" si="196"/>
        <v>38380</v>
      </c>
      <c r="AX131">
        <f>_xlfn.XLOOKUP(B131,'[5]july-2025'!$A:$A,'[5]july-2025'!$C:$C,0,0)</f>
        <v>32500</v>
      </c>
      <c r="AY131">
        <f t="shared" si="197"/>
        <v>5850</v>
      </c>
      <c r="AZ131">
        <v>0</v>
      </c>
      <c r="BA131">
        <f t="shared" si="198"/>
        <v>3900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>IF(AX131&gt;0,SUM(AX131:BC131),0)</f>
        <v>42750</v>
      </c>
      <c r="BE131">
        <f>_xlfn.XLOOKUP(B131,'[5]july-2025'!$A:$A,'[5]july-2025'!$H:$H,0,0)</f>
        <v>3000</v>
      </c>
      <c r="BF131">
        <f>_xlfn.XLOOKUP(B131,'[5]july-2025'!$A:$A,'[5]july-2025'!$I:$I,0,0)</f>
        <v>0</v>
      </c>
      <c r="BG131">
        <f t="shared" si="199"/>
        <v>200</v>
      </c>
      <c r="BH131">
        <f t="shared" si="200"/>
        <v>39550</v>
      </c>
      <c r="BI131">
        <f>_xlfn.XLOOKUP(B131,'[6]august-2025'!$A:$A,'[6]august-2025'!$C:$C,0,0)</f>
        <v>32500</v>
      </c>
      <c r="BJ131">
        <f t="shared" si="201"/>
        <v>5850</v>
      </c>
      <c r="BK131">
        <f t="shared" si="202"/>
        <v>3900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03"/>
        <v>42750</v>
      </c>
      <c r="BO131">
        <f>_xlfn.XLOOKUP(B131,'[6]august-2025'!$A:$A,'[6]august-2025'!$H:$H,0,0)</f>
        <v>3000</v>
      </c>
      <c r="BP131">
        <f>_xlfn.XLOOKUP(B131,'[6]august-2025'!$A:$A,'[6]august-2025'!$I:$I,0,0)</f>
        <v>0</v>
      </c>
      <c r="BQ131">
        <f>IF($F131="YES",0,IF(BN131&gt;40000,200,IF(BN131&gt;25000,150,IF(BN131&gt;15000,130,IF(BN131&gt;10000,110,0)))))</f>
        <v>200</v>
      </c>
      <c r="BR131">
        <f>BN131-BO131-BP131-BQ131</f>
        <v>39550</v>
      </c>
      <c r="BS131">
        <f>_xlfn.XLOOKUP(B131,'[7]september-2025'!$A:$A,'[7]september-2025'!$C:$C,0,0)</f>
        <v>32500</v>
      </c>
      <c r="BT131">
        <f t="shared" si="204"/>
        <v>5850</v>
      </c>
      <c r="BU131">
        <f t="shared" si="205"/>
        <v>3900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>IF(BS131&gt;0,SUM(BS131:BW131),0)</f>
        <v>42750</v>
      </c>
      <c r="BY131">
        <f>_xlfn.XLOOKUP(B131,'[7]september-2025'!$A:$A,'[7]september-2025'!$H:$H,0,0)</f>
        <v>3000</v>
      </c>
      <c r="BZ131">
        <f>_xlfn.XLOOKUP(B131,'[7]september-2025'!$A:$A,'[7]september-2025'!$I:$I,0,0)</f>
        <v>0</v>
      </c>
      <c r="CA131">
        <f t="shared" si="206"/>
        <v>200</v>
      </c>
      <c r="CB131">
        <f t="shared" si="207"/>
        <v>39550</v>
      </c>
      <c r="CC131">
        <f>_xlfn.XLOOKUP(B131,'[8]october-2025'!$A:$A,'[8]october-2025'!$C:$C,0,0)</f>
        <v>32500</v>
      </c>
      <c r="CD131">
        <f t="shared" si="208"/>
        <v>5850</v>
      </c>
      <c r="CE131">
        <f t="shared" si="209"/>
        <v>3900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>IF(CC131&gt;0,SUM(CC131:CG131),0)</f>
        <v>42750</v>
      </c>
      <c r="CI131">
        <f>_xlfn.XLOOKUP(B131,'[8]october-2025'!$A:$A,'[8]october-2025'!$H:$H,0,0)</f>
        <v>3000</v>
      </c>
      <c r="CJ131">
        <f>_xlfn.XLOOKUP(B131,'[8]october-2025'!$A:$A,'[8]october-2025'!$I:$I,0,0)</f>
        <v>0</v>
      </c>
      <c r="CK131">
        <f t="shared" si="210"/>
        <v>200</v>
      </c>
      <c r="CL131">
        <f t="shared" si="211"/>
        <v>39550</v>
      </c>
      <c r="CM131">
        <f>_xlfn.XLOOKUP(B131,'[9]november-2025'!$A:$A,'[9]november-2025'!$C:$C,0,0)</f>
        <v>32500</v>
      </c>
      <c r="CN131">
        <f t="shared" si="212"/>
        <v>5850</v>
      </c>
      <c r="CO131">
        <f t="shared" si="213"/>
        <v>3900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>IF(CM131&gt;0,SUM(CM131:CQ131),0)</f>
        <v>42750</v>
      </c>
      <c r="CS131">
        <f>_xlfn.XLOOKUP(B131,'[9]november-2025'!$A:$A,'[9]november-2025'!$H:$H,0,0)</f>
        <v>3000</v>
      </c>
      <c r="CT131">
        <f>_xlfn.XLOOKUP(B131,'[9]november-2025'!$A:$A,'[9]november-2025'!$I:$I,0,0)</f>
        <v>0</v>
      </c>
      <c r="CU131">
        <f t="shared" si="214"/>
        <v>200</v>
      </c>
      <c r="CV131">
        <f t="shared" si="215"/>
        <v>39550</v>
      </c>
      <c r="CW131">
        <f>_xlfn.XLOOKUP(B131,'[10]december-2025'!$A:$A,'[10]december-2025'!$C:$C,0,0)</f>
        <v>32500</v>
      </c>
      <c r="CX131">
        <f t="shared" si="216"/>
        <v>5850</v>
      </c>
      <c r="CY131">
        <f t="shared" si="217"/>
        <v>3900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>IF(CW131&gt;0,SUM(CW131:DA131),0)</f>
        <v>42750</v>
      </c>
      <c r="DC131">
        <f>_xlfn.XLOOKUP(B131,'[10]december-2025'!$A:$A,'[10]december-2025'!$H:$H,0,0)</f>
        <v>3000</v>
      </c>
      <c r="DD131">
        <f>_xlfn.XLOOKUP(B131,'[10]december-2025'!$A:$A,'[10]december-2025'!$I:$I,0,0)</f>
        <v>0</v>
      </c>
      <c r="DE131">
        <f t="shared" si="218"/>
        <v>200</v>
      </c>
      <c r="DF131">
        <f t="shared" si="219"/>
        <v>39550</v>
      </c>
      <c r="DG131">
        <f>_xlfn.XLOOKUP(B131,'[11]january-2026'!$A:$A,'[11]january-2026'!$C:$C,0,0)</f>
        <v>32500</v>
      </c>
      <c r="DH131">
        <f t="shared" si="220"/>
        <v>5850</v>
      </c>
      <c r="DI131">
        <f t="shared" si="221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>IF(DG131&gt;0,SUM(DG131:DK131),0)</f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22"/>
        <v>200</v>
      </c>
      <c r="DP131">
        <f t="shared" si="223"/>
        <v>39550</v>
      </c>
      <c r="DQ131">
        <f>_xlfn.XLOOKUP(B131,'[12]february-2026'!$A:$A,'[12]february-2026'!$C:$C,0,0)</f>
        <v>32500</v>
      </c>
      <c r="DR131">
        <f t="shared" si="224"/>
        <v>5850</v>
      </c>
      <c r="DS131">
        <f t="shared" si="225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>IF(DQ131&gt;0,SUM(DQ131:DU131),0)</f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26"/>
        <v>200</v>
      </c>
      <c r="DZ131">
        <f t="shared" si="227"/>
        <v>39550</v>
      </c>
      <c r="EA131">
        <f>_xlfn.XLOOKUP(B131,'[1]march-2025'!$A:$A,'[1]march-2025'!$J:$J,0,0)</f>
        <v>0</v>
      </c>
      <c r="EB131">
        <f>_xlfn.XLOOKUP(B131,'[2]april-2025'!$A:$A,'[2]april-2025'!$J:$J,0,0)</f>
        <v>0</v>
      </c>
      <c r="EC131">
        <f>_xlfn.XLOOKUP(B131,'[3]may-2025'!$A:$A,'[3]may-2025'!$J:$J,0,0)</f>
        <v>0</v>
      </c>
      <c r="ED131">
        <f>_xlfn.XLOOKUP(B131,'[4]june-2025'!$A:$A,'[4]june-2025'!$J:$J,0,0)</f>
        <v>0</v>
      </c>
      <c r="EE131">
        <f>_xlfn.XLOOKUP(B131,'[5]july-2025'!$A:$A,'[5]july-2025'!$J:$J,0,0)</f>
        <v>0</v>
      </c>
      <c r="EF131">
        <f>_xlfn.XLOOKUP(B131,'[6]august-2025'!$A:$A,'[6]august-2025'!$J:$J,0,0)</f>
        <v>0</v>
      </c>
      <c r="EG131">
        <f>_xlfn.XLOOKUP(B131,'[7]september-2025'!$A:$A,'[7]september-2025'!$J:$J,0,0)</f>
        <v>0</v>
      </c>
      <c r="EH131">
        <f>_xlfn.XLOOKUP(B131,'[8]october-2025'!$A:$A,'[8]october-2025'!$J:$J,0,0)</f>
        <v>0</v>
      </c>
      <c r="EI131">
        <f>_xlfn.XLOOKUP(C131,'[9]november-2025'!$A:$A,'[9]november-2025'!$J:$J,0,0)</f>
        <v>0</v>
      </c>
      <c r="EJ131">
        <f>_xlfn.XLOOKUP(B131,'[10]december-2025'!$A:$A,'[10]december-2025'!$J:$J,0,0)</f>
        <v>0</v>
      </c>
      <c r="EK131">
        <f>_xlfn.XLOOKUP(B131,'[11]january-2026'!$A:$A,'[11]january-2026'!$J:$J,0,0)</f>
        <v>0</v>
      </c>
      <c r="EL131">
        <f>_xlfn.XLOOKUP(B131,'[12]february-2026'!$A:$A,'[12]february-2026'!$J:$J,0,0)</f>
        <v>0</v>
      </c>
      <c r="EM131">
        <f t="shared" ref="EM131:EM194" si="361">SUM(EA131:EL131)</f>
        <v>0</v>
      </c>
      <c r="EN131">
        <f>DV131+DL131+DB131+CR131+CH131+BX131+BN131+BD131+AS131+AI131+Y131+O131+H131+I131</f>
        <v>513856</v>
      </c>
      <c r="EO131">
        <f>DY131+DO131+DE131+CU131+CK131+CA131+BQ131+BG131+AV131+AL131+AB131+R131</f>
        <v>2400</v>
      </c>
      <c r="EP131">
        <f t="shared" si="229"/>
        <v>50000</v>
      </c>
      <c r="EQ131">
        <v>0</v>
      </c>
      <c r="ER131">
        <f t="shared" ref="ER131:ER194" si="362">EN131-EO131-EP131+EM131</f>
        <v>461456</v>
      </c>
      <c r="ES131">
        <f>DW131+DM131+DC131+CS131+CI131+BY131+BO131+BE131+AT131+AJ131+Z131+P131</f>
        <v>36000</v>
      </c>
      <c r="ET131">
        <f>DX131+DN131+DD131+CT131+CJ131+BZ131+BP131+BF131+AU131+AK131+AA131+Q131</f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231"/>
        <v>36000</v>
      </c>
      <c r="FF131">
        <f t="shared" si="232"/>
        <v>36000</v>
      </c>
      <c r="FG131">
        <f t="shared" si="233"/>
        <v>425456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>SUM(FH131:FN131)+(IF(F131="YES",50000,0))</f>
        <v>0</v>
      </c>
      <c r="FP131">
        <f t="shared" si="234"/>
        <v>425456</v>
      </c>
      <c r="FQ131">
        <f t="shared" si="235"/>
        <v>8773</v>
      </c>
      <c r="FR131">
        <f t="shared" si="236"/>
        <v>0</v>
      </c>
      <c r="FS131">
        <f t="shared" si="237"/>
        <v>8773</v>
      </c>
      <c r="FT131">
        <f t="shared" si="238"/>
        <v>0</v>
      </c>
      <c r="FU131">
        <f t="shared" si="239"/>
        <v>0</v>
      </c>
      <c r="FV131">
        <f t="shared" si="240"/>
        <v>0</v>
      </c>
      <c r="FW131">
        <v>0</v>
      </c>
      <c r="FX131">
        <f t="shared" si="241"/>
        <v>0</v>
      </c>
      <c r="FY131" t="b">
        <f t="shared" si="242"/>
        <v>1</v>
      </c>
      <c r="FZ131">
        <f t="shared" ca="1" si="243"/>
        <v>965</v>
      </c>
      <c r="GA131">
        <f t="shared" ca="1" si="244"/>
        <v>514821</v>
      </c>
      <c r="GB131">
        <f t="shared" si="245"/>
        <v>75000</v>
      </c>
      <c r="GC131">
        <f t="shared" ca="1" si="246"/>
        <v>439821</v>
      </c>
      <c r="GD131">
        <f t="shared" ca="1" si="247"/>
        <v>0</v>
      </c>
      <c r="GE131">
        <f t="shared" ca="1" si="248"/>
        <v>0</v>
      </c>
      <c r="GF131">
        <f t="shared" ca="1" si="249"/>
        <v>0</v>
      </c>
      <c r="GG131">
        <f t="shared" ca="1" si="250"/>
        <v>0</v>
      </c>
      <c r="GH131">
        <f t="shared" ca="1" si="251"/>
        <v>0</v>
      </c>
      <c r="GI131">
        <f t="shared" ca="1" si="252"/>
        <v>0</v>
      </c>
      <c r="GJ131">
        <f ca="1">IF(GC131&gt;1200000,GC131-1200000-IF(F131="YES",50000,0)-GH131,0)</f>
        <v>0</v>
      </c>
      <c r="GK131">
        <f t="shared" ca="1" si="253"/>
        <v>0</v>
      </c>
      <c r="GL131">
        <f t="shared" ca="1" si="254"/>
        <v>0</v>
      </c>
      <c r="GM131">
        <f t="shared" ca="1" si="255"/>
        <v>0</v>
      </c>
      <c r="GN131">
        <f t="shared" ca="1" si="256"/>
        <v>39821</v>
      </c>
      <c r="GO131">
        <f t="shared" ca="1" si="257"/>
        <v>1991.0500000000002</v>
      </c>
      <c r="GP131">
        <f t="shared" ca="1" si="258"/>
        <v>1991</v>
      </c>
      <c r="GQ131">
        <f t="shared" ca="1" si="259"/>
        <v>0</v>
      </c>
      <c r="GR131">
        <f t="shared" ca="1" si="260"/>
        <v>0</v>
      </c>
      <c r="GS131">
        <f t="shared" ca="1" si="261"/>
        <v>1991</v>
      </c>
      <c r="GT131">
        <f t="shared" ca="1" si="262"/>
        <v>0</v>
      </c>
      <c r="GU131" t="b">
        <f t="shared" ca="1" si="263"/>
        <v>0</v>
      </c>
      <c r="GV131">
        <f t="shared" ca="1" si="264"/>
        <v>0</v>
      </c>
      <c r="GW131">
        <f t="shared" ca="1" si="265"/>
        <v>1991</v>
      </c>
      <c r="GX131">
        <f t="shared" ca="1" si="266"/>
        <v>0</v>
      </c>
      <c r="GY131">
        <f t="shared" ca="1" si="267"/>
        <v>0</v>
      </c>
      <c r="GZ131">
        <f t="shared" ca="1" si="268"/>
        <v>0</v>
      </c>
    </row>
    <row r="132" spans="1:208" x14ac:dyDescent="0.25">
      <c r="A132">
        <f>_xlfn.AGGREGATE(3,5,$B$2:B132)</f>
        <v>131</v>
      </c>
      <c r="B132" t="s">
        <v>863</v>
      </c>
      <c r="C132" t="s">
        <v>864</v>
      </c>
      <c r="D132" t="s">
        <v>785</v>
      </c>
      <c r="E132" t="s">
        <v>831</v>
      </c>
      <c r="F132" t="s">
        <v>959</v>
      </c>
      <c r="G132" t="s">
        <v>926</v>
      </c>
      <c r="H132">
        <f t="shared" ref="H132:H133" si="363">IF(_xlfn.DAYS("31-03-2025",G132)&gt;=180,6800,0)</f>
        <v>0</v>
      </c>
      <c r="I132">
        <f>_xlfn.XLOOKUP(B132,'[1]march-2025'!$A:$A,'[1]march-2025'!$J:$J,0,0)</f>
        <v>0</v>
      </c>
      <c r="J132">
        <f>_xlfn.XLOOKUP(B132,'[1]march-2025'!$A:$A,'[1]march-2025'!$C:$C,0,0)</f>
        <v>0</v>
      </c>
      <c r="K132">
        <f t="shared" ref="K132:K195" si="364">J132*0.14</f>
        <v>0</v>
      </c>
      <c r="L132">
        <f t="shared" ref="L132:L195" si="365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0</v>
      </c>
      <c r="O132">
        <f>IF(J132&gt;0,SUM(J132:N132),0)</f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269"/>
        <v>0</v>
      </c>
      <c r="S132">
        <f t="shared" si="357"/>
        <v>0</v>
      </c>
      <c r="T132">
        <f>_xlfn.XLOOKUP(B132,'[2]april-2025'!$A:$A,'[2]april-2025'!$C:$C,0,0)</f>
        <v>0</v>
      </c>
      <c r="U132">
        <f t="shared" ref="U132:U195" si="366">T132*0.18</f>
        <v>0</v>
      </c>
      <c r="V132">
        <f t="shared" ref="V132:V195" si="367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0</v>
      </c>
      <c r="Y132">
        <f t="shared" si="358"/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:AB195" si="368">IF($F132="YES",0,IF(Y132&gt;40000,200,IF(Y132&gt;25000,150,IF(Y132&gt;15000,130,IF(Y132&gt;10000,110,0)))))</f>
        <v>0</v>
      </c>
      <c r="AC132">
        <f t="shared" ref="AC132:AC195" si="369">Y132-Z132-AA132-AB132</f>
        <v>0</v>
      </c>
      <c r="AD132">
        <f>_xlfn.XLOOKUP(B132,'[3]may-2025'!$A:$A,'[3]may-2025'!$C:$C,0,0)</f>
        <v>24700</v>
      </c>
      <c r="AE132">
        <f t="shared" ref="AE132:AE195" si="370">AD132*0.18</f>
        <v>4446</v>
      </c>
      <c r="AF132">
        <f t="shared" ref="AF132:AF195" si="371">AD132*0.12</f>
        <v>2964</v>
      </c>
      <c r="AG132">
        <f>_xlfn.XLOOKUP(B132,'[3]may-2025'!$A:$A,'[3]may-2025'!$D:$D,0,0)</f>
        <v>0</v>
      </c>
      <c r="AH132">
        <f>_xlfn.XLOOKUP(B132,'[3]may-2025'!$A:$A,'[3]may-2025'!$G:$G,0,0)</f>
        <v>0</v>
      </c>
      <c r="AI132">
        <f t="shared" si="359"/>
        <v>32110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:AL195" si="372">IF($F132="YES",0,IF(AI132&gt;40000,200,IF(AI132&gt;25000,150,IF(AI132&gt;15000,130,IF(AI132&gt;10000,110,0)))))</f>
        <v>150</v>
      </c>
      <c r="AM132">
        <f t="shared" ref="AM132:AM195" si="373">AI132-AJ132-AK132-AL132</f>
        <v>31960</v>
      </c>
      <c r="AN132">
        <f>_xlfn.XLOOKUP(B132,'[4]june-2025'!$A:$A,'[4]june-2025'!$C:$C,0,0)</f>
        <v>24700</v>
      </c>
      <c r="AO132">
        <f t="shared" ref="AO132:AO195" si="374">AN132*0.18</f>
        <v>4446</v>
      </c>
      <c r="AP132">
        <f t="shared" ref="AP132:AP195" si="375">AN132*0.12</f>
        <v>2964</v>
      </c>
      <c r="AQ132">
        <f>_xlfn.XLOOKUP(B132,'[4]june-2025'!$A:$A,'[4]june-2025'!$D:$D,0,0)</f>
        <v>0</v>
      </c>
      <c r="AR132">
        <f>_xlfn.XLOOKUP(B132,'[4]june-2025'!$A:$A,'[4]june-2025'!$G:$G,0,0)</f>
        <v>0</v>
      </c>
      <c r="AS132">
        <f t="shared" si="360"/>
        <v>32110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:AV195" si="376">IF($F132="YES",0,IF(AS132&gt;40000,200,IF(AS132&gt;25000,150,IF(AS132&gt;15000,130,IF(AS132&gt;10000,110,0)))))</f>
        <v>150</v>
      </c>
      <c r="AW132">
        <f t="shared" ref="AW132:AW195" si="377">AS132-AT132-AU132-AV132</f>
        <v>31960</v>
      </c>
      <c r="AX132">
        <f>_xlfn.XLOOKUP(B132,'[5]july-2025'!$A:$A,'[5]july-2025'!$C:$C,0,0)</f>
        <v>24700</v>
      </c>
      <c r="AY132">
        <f t="shared" ref="AY132:AY195" si="378">AX132*0.18</f>
        <v>4446</v>
      </c>
      <c r="AZ132">
        <v>0</v>
      </c>
      <c r="BA132">
        <f t="shared" ref="BA132:BA195" si="379">AX132*0.12</f>
        <v>2964</v>
      </c>
      <c r="BB132">
        <f>_xlfn.XLOOKUP(B132,'[5]july-2025'!$A:$A,'[5]july-2025'!$D:$D,0,0)</f>
        <v>0</v>
      </c>
      <c r="BC132">
        <f>_xlfn.XLOOKUP(B132,'[5]july-2025'!$A:$A,'[5]july-2025'!$G:$G,0,0)</f>
        <v>0</v>
      </c>
      <c r="BD132">
        <f>IF(AX132&gt;0,SUM(AX132:BC132),0)</f>
        <v>32110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:BG195" si="380">IF($F132="YES",0,IF(BD132&gt;40000,200,IF(BD132&gt;25000,150,IF(BD132&gt;15000,130,IF(BD132&gt;10000,110,0)))))</f>
        <v>150</v>
      </c>
      <c r="BH132">
        <f t="shared" ref="BH132:BH195" si="381">BD132-BE132-BF132-BG132</f>
        <v>31960</v>
      </c>
      <c r="BI132">
        <f>_xlfn.XLOOKUP(B132,'[6]august-2025'!$A:$A,'[6]august-2025'!$C:$C,0,0)</f>
        <v>24700</v>
      </c>
      <c r="BJ132">
        <f t="shared" ref="BJ132:BJ195" si="382">BI132*0.18</f>
        <v>4446</v>
      </c>
      <c r="BK132">
        <f t="shared" ref="BK132:BK195" si="383">BI132*0.12</f>
        <v>2964</v>
      </c>
      <c r="BL132">
        <f>_xlfn.XLOOKUP(B132,'[6]august-2025'!$A:$A,'[6]august-2025'!$D:$D,0,0)</f>
        <v>0</v>
      </c>
      <c r="BM132">
        <f>_xlfn.XLOOKUP(B132,'[6]august-2025'!$A:$A,'[6]august-2025'!$G:$G,0,0)</f>
        <v>0</v>
      </c>
      <c r="BN132">
        <f t="shared" ref="BN132:BN195" si="384">IF(BI132&gt;0,SUM(BI132:BM132),0)</f>
        <v>32110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>IF($F132="YES",0,IF(BN132&gt;40000,200,IF(BN132&gt;25000,150,IF(BN132&gt;15000,130,IF(BN132&gt;10000,110,0)))))</f>
        <v>150</v>
      </c>
      <c r="BR132">
        <f>BN132-BO132-BP132-BQ132</f>
        <v>31960</v>
      </c>
      <c r="BS132">
        <f>_xlfn.XLOOKUP(B132,'[7]september-2025'!$A:$A,'[7]september-2025'!$C:$C,0,0)</f>
        <v>24700</v>
      </c>
      <c r="BT132">
        <f t="shared" ref="BT132:BT195" si="385">BS132*0.18</f>
        <v>4446</v>
      </c>
      <c r="BU132">
        <f t="shared" ref="BU132:BU195" si="386">BS132*0.12</f>
        <v>2964</v>
      </c>
      <c r="BV132">
        <f>_xlfn.XLOOKUP(B132,'[7]september-2025'!$A:$A,'[7]september-2025'!$D:$D,0,0)</f>
        <v>0</v>
      </c>
      <c r="BW132">
        <f>_xlfn.XLOOKUP(B132,'[7]september-2025'!$A:$A,'[7]september-2025'!$G:$G,0,0)</f>
        <v>0</v>
      </c>
      <c r="BX132">
        <f>IF(BS132&gt;0,SUM(BS132:BW132),0)</f>
        <v>32110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:CA195" si="387">IF($F132="YES",0,IF(BX132&gt;40000,200,IF(BX132&gt;25000,150,IF(BX132&gt;15000,130,IF(BX132&gt;10000,110,0)))))</f>
        <v>150</v>
      </c>
      <c r="CB132">
        <f t="shared" ref="CB132:CB195" si="388">BX132-BY132-BZ132-CA132</f>
        <v>31960</v>
      </c>
      <c r="CC132">
        <f>_xlfn.XLOOKUP(B132,'[8]october-2025'!$A:$A,'[8]october-2025'!$C:$C,0,0)</f>
        <v>24700</v>
      </c>
      <c r="CD132">
        <f t="shared" ref="CD132:CD195" si="389">CC132*0.18</f>
        <v>4446</v>
      </c>
      <c r="CE132">
        <f t="shared" ref="CE132:CE195" si="390">CC132*0.12</f>
        <v>2964</v>
      </c>
      <c r="CF132">
        <f>_xlfn.XLOOKUP(B132,'[8]october-2025'!$A:$A,'[8]october-2025'!$D:$D,0,0)</f>
        <v>0</v>
      </c>
      <c r="CG132">
        <f>_xlfn.XLOOKUP(B132,'[8]october-2025'!$A:$A,'[8]october-2025'!$G:$G,0,0)</f>
        <v>0</v>
      </c>
      <c r="CH132">
        <f>IF(CC132&gt;0,SUM(CC132:CG132),0)</f>
        <v>32110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:CK195" si="391">IF($F132="YES",0,IF(CH132&gt;40000,200,IF(CH132&gt;25000,150,IF(CH132&gt;15000,130,IF(CH132&gt;10000,110,0)))))</f>
        <v>150</v>
      </c>
      <c r="CL132">
        <f t="shared" ref="CL132:CL195" si="392">CH132-CI132-CJ132-CK132</f>
        <v>31960</v>
      </c>
      <c r="CM132">
        <f>_xlfn.XLOOKUP(B132,'[9]november-2025'!$A:$A,'[9]november-2025'!$C:$C,0,0)</f>
        <v>24700</v>
      </c>
      <c r="CN132">
        <f t="shared" ref="CN132:CN195" si="393">CM132*0.18</f>
        <v>4446</v>
      </c>
      <c r="CO132">
        <f t="shared" ref="CO132:CO195" si="394">CM132*0.12</f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0</v>
      </c>
      <c r="CR132">
        <f>IF(CM132&gt;0,SUM(CM132:CQ132),0)</f>
        <v>32110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:CU195" si="395">IF($F132="YES",0,IF(CR132&gt;40000,200,IF(CR132&gt;25000,150,IF(CR132&gt;15000,130,IF(CR132&gt;10000,110,0)))))</f>
        <v>150</v>
      </c>
      <c r="CV132">
        <f t="shared" ref="CV132:CV195" si="396">CR132-CS132-CT132-CU132</f>
        <v>31960</v>
      </c>
      <c r="CW132">
        <f>_xlfn.XLOOKUP(B132,'[10]december-2025'!$A:$A,'[10]december-2025'!$C:$C,0,0)</f>
        <v>24700</v>
      </c>
      <c r="CX132">
        <f t="shared" ref="CX132:CX195" si="397">ROUND(CW132*0.18,0)</f>
        <v>4446</v>
      </c>
      <c r="CY132">
        <f t="shared" ref="CY132:CY195" si="398">ROUND(CW132*0.12,0)</f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0</v>
      </c>
      <c r="DB132">
        <f>IF(CW132&gt;0,SUM(CW132:DA132),0)</f>
        <v>32110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:DE195" si="399">IF($F132="YES",0,IF(DB132&gt;40000,200,IF(DB132&gt;25000,150,IF(DB132&gt;15000,130,IF(DB132&gt;10000,110,0)))))</f>
        <v>150</v>
      </c>
      <c r="DF132">
        <f t="shared" ref="DF132:DF195" si="400">DB132-DC132-DD132-DE132</f>
        <v>31960</v>
      </c>
      <c r="DG132">
        <f>_xlfn.XLOOKUP(B132,'[11]january-2026'!$A:$A,'[11]january-2026'!$C:$C,0,0)</f>
        <v>24700</v>
      </c>
      <c r="DH132">
        <f t="shared" ref="DH132:DH195" si="401">DG132*0.18</f>
        <v>4446</v>
      </c>
      <c r="DI132">
        <f t="shared" ref="DI132:DI195" si="402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>IF(DG132&gt;0,SUM(DG132:DK132),0)</f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03">IF($F132="YES",0,IF(DL132&gt;40000,200,IF(DL132&gt;25000,150,IF(DL132&gt;15000,130,IF(DL132&gt;10000,110,0)))))</f>
        <v>150</v>
      </c>
      <c r="DP132">
        <f t="shared" ref="DP132:DP195" si="404">DL132-DM132-DN132-DO132</f>
        <v>29960</v>
      </c>
      <c r="DQ132">
        <f>_xlfn.XLOOKUP(B132,'[12]february-2026'!$A:$A,'[12]february-2026'!$C:$C,0,0)</f>
        <v>24700</v>
      </c>
      <c r="DR132">
        <f t="shared" ref="DR132:DR195" si="405">DQ132*0.18</f>
        <v>4446</v>
      </c>
      <c r="DS132">
        <f t="shared" ref="DS132:DS195" si="406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>IF(DQ132&gt;0,SUM(DQ132:DU132),0)</f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07">IF($F132="YES",0,IF(DV132&gt;40000,200,IF(DV132&gt;25000,150,IF(DV132&gt;15000,130,IF(DV132&gt;10000,110,0)))))</f>
        <v>150</v>
      </c>
      <c r="DZ132">
        <f t="shared" ref="DZ132:DZ195" si="408">DV132-DW132-DX132-DY132</f>
        <v>29960</v>
      </c>
      <c r="EA132">
        <f>_xlfn.XLOOKUP(B132,'[1]march-2025'!$A:$A,'[1]march-2025'!$J:$J,0,0)</f>
        <v>0</v>
      </c>
      <c r="EB132">
        <f>_xlfn.XLOOKUP(B132,'[2]april-2025'!$A:$A,'[2]april-2025'!$J:$J,0,0)</f>
        <v>0</v>
      </c>
      <c r="EC132">
        <f>_xlfn.XLOOKUP(B132,'[3]may-2025'!$A:$A,'[3]may-2025'!$J:$J,0,0)</f>
        <v>0</v>
      </c>
      <c r="ED132">
        <f>_xlfn.XLOOKUP(B132,'[4]june-2025'!$A:$A,'[4]june-2025'!$J:$J,0,0)</f>
        <v>0</v>
      </c>
      <c r="EE132">
        <f>_xlfn.XLOOKUP(B132,'[5]july-2025'!$A:$A,'[5]july-2025'!$J:$J,0,0)</f>
        <v>0</v>
      </c>
      <c r="EF132">
        <f>_xlfn.XLOOKUP(B132,'[6]august-2025'!$A:$A,'[6]august-2025'!$J:$J,0,0)</f>
        <v>0</v>
      </c>
      <c r="EG132">
        <f>_xlfn.XLOOKUP(B132,'[7]september-2025'!$A:$A,'[7]september-2025'!$J:$J,0,0)</f>
        <v>0</v>
      </c>
      <c r="EH132">
        <f>_xlfn.XLOOKUP(B132,'[8]october-2025'!$A:$A,'[8]october-2025'!$J:$J,0,0)</f>
        <v>0</v>
      </c>
      <c r="EI132">
        <f>_xlfn.XLOOKUP(C132,'[9]november-2025'!$A:$A,'[9]november-2025'!$J:$J,0,0)</f>
        <v>0</v>
      </c>
      <c r="EJ132">
        <f>_xlfn.XLOOKUP(B132,'[10]december-2025'!$A:$A,'[10]december-2025'!$J:$J,0,0)</f>
        <v>0</v>
      </c>
      <c r="EK132">
        <f>_xlfn.XLOOKUP(B132,'[11]january-2026'!$A:$A,'[11]january-2026'!$J:$J,0,0)</f>
        <v>0</v>
      </c>
      <c r="EL132">
        <f>_xlfn.XLOOKUP(B132,'[12]february-2026'!$A:$A,'[12]february-2026'!$J:$J,0,0)</f>
        <v>0</v>
      </c>
      <c r="EM132">
        <f t="shared" si="361"/>
        <v>0</v>
      </c>
      <c r="EN132">
        <f>DV132+DL132+DB132+CR132+CH132+BX132+BN132+BD132+AS132+AI132+Y132+O132+H132+I132</f>
        <v>321100</v>
      </c>
      <c r="EO132">
        <f>DY132+DO132+DE132+CU132+CK132+CA132+BQ132+BG132+AV132+AL132+AB132+R132</f>
        <v>1500</v>
      </c>
      <c r="EP132">
        <f t="shared" ref="EP132:EP195" si="409">IF(EN132&gt;0,50000,0)</f>
        <v>50000</v>
      </c>
      <c r="EQ132">
        <v>0</v>
      </c>
      <c r="ER132">
        <f t="shared" si="362"/>
        <v>269600</v>
      </c>
      <c r="ES132">
        <f>DW132+DM132+DC132+CS132+CI132+BY132+BO132+BE132+AT132+AJ132+Z132+P132</f>
        <v>4000</v>
      </c>
      <c r="ET132">
        <f>DX132+DN132+DD132+CT132+CJ132+BZ132+BP132+BF132+AU132+AK132+AA132+Q132</f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ref="FE132:FE195" si="410">SUM(ES132:FD132)</f>
        <v>4000</v>
      </c>
      <c r="FF132">
        <f t="shared" ref="FF132:FF195" si="411">IF(FE132&gt;=150000,150000,FE132)</f>
        <v>4000</v>
      </c>
      <c r="FG132">
        <f t="shared" ref="FG132:FG195" si="412">ER132-FF132</f>
        <v>265600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>SUM(FH132:FN132)+(IF(F132="YES",50000,0))</f>
        <v>0</v>
      </c>
      <c r="FP132">
        <f t="shared" ref="FP132:FP195" si="413">FG132-FO132</f>
        <v>265600</v>
      </c>
      <c r="FQ132">
        <f t="shared" ref="FQ132:FQ195" si="414">ROUND(IF(FP132&gt;0,IF(FP132&gt;500000,12500,(FP132-250000)*0.05),0),0)</f>
        <v>780</v>
      </c>
      <c r="FR132">
        <f t="shared" ref="FR132:FR195" si="415">IF(ROUND(IF(FP132&gt;0,IF(FP132&gt;1000000,25000,(FP132-500000)*0.2),0),0)&lt;0,0,ROUND(IF(FP132&gt;0,IF(FP132&gt;1000000,25000,(FP132-500000)*0.2),0),0))</f>
        <v>0</v>
      </c>
      <c r="FS132">
        <f t="shared" ref="FS132:FS195" si="416">FQ132+FR132</f>
        <v>780</v>
      </c>
      <c r="FT132">
        <f t="shared" ref="FT132:FT195" si="417">IF(FS132&lt;12500,0,FS132)</f>
        <v>0</v>
      </c>
      <c r="FU132">
        <f t="shared" ref="FU132:FU195" si="418">FT132*0.04</f>
        <v>0</v>
      </c>
      <c r="FV132">
        <f t="shared" ref="FV132:FV195" si="419">ROUND(FU132+FT132,0)</f>
        <v>0</v>
      </c>
      <c r="FW132">
        <v>0</v>
      </c>
      <c r="FX132">
        <f t="shared" ref="FX132:FX195" si="420">FV132-FW132</f>
        <v>0</v>
      </c>
      <c r="FY132" t="b">
        <f t="shared" ref="FY132:FY195" si="421">IF(EN132&gt;500000,TRUE,FALSE)</f>
        <v>0</v>
      </c>
      <c r="FZ132">
        <f t="shared" ref="FZ132:FZ195" ca="1" si="422">IF(FY132,RANDBETWEEN(500,1000),RANDBETWEEN(1000,3000))</f>
        <v>2819</v>
      </c>
      <c r="GA132">
        <f t="shared" ref="GA132:GA195" ca="1" si="423">EN132+FZ132</f>
        <v>323919</v>
      </c>
      <c r="GB132">
        <f t="shared" ref="GB132:GB195" si="424">IF(EN132&gt;0,75000,0)</f>
        <v>75000</v>
      </c>
      <c r="GC132">
        <f t="shared" ref="GC132:GC195" ca="1" si="425">GA132-GB132</f>
        <v>248919</v>
      </c>
      <c r="GD132">
        <f t="shared" ref="GD132:GD195" ca="1" si="426">IF(GC132&gt;2400000,GC132-2400000,0)</f>
        <v>0</v>
      </c>
      <c r="GE132">
        <f t="shared" ref="GE132:GE195" ca="1" si="427">GD132*0.3</f>
        <v>0</v>
      </c>
      <c r="GF132">
        <f t="shared" ref="GF132:GF195" ca="1" si="428">IF(GC132&gt;2000000,GC132-2000000,0)</f>
        <v>0</v>
      </c>
      <c r="GG132">
        <f t="shared" ref="GG132:GG195" ca="1" si="429">GF132*0.25</f>
        <v>0</v>
      </c>
      <c r="GH132">
        <f t="shared" ref="GH132:GH195" ca="1" si="430">IF(GC132&gt;1600000,GC132-1600000-GD132,0)</f>
        <v>0</v>
      </c>
      <c r="GI132">
        <f t="shared" ref="GI132:GI195" ca="1" si="431">GH132*0.2</f>
        <v>0</v>
      </c>
      <c r="GJ132">
        <f ca="1">IF(GC132&gt;1200000,GC132-1200000-IF(F132="YES",50000,0)-GH132,0)</f>
        <v>0</v>
      </c>
      <c r="GK132">
        <f t="shared" ref="GK132:GK195" ca="1" si="432">GJ132*0.15</f>
        <v>0</v>
      </c>
      <c r="GL132">
        <f t="shared" ref="GL132:GL195" ca="1" si="433">IF(GC132&gt;800000,GC132-800000-GD132-GH132-GJ132,0)</f>
        <v>0</v>
      </c>
      <c r="GM132">
        <f t="shared" ref="GM132:GM195" ca="1" si="434">GL132*0.1</f>
        <v>0</v>
      </c>
      <c r="GN132">
        <f t="shared" ref="GN132:GN195" ca="1" si="435">IF(GC132&gt;400000,GC132-400000-GD132-GH132-GJ132-GL132,0)</f>
        <v>0</v>
      </c>
      <c r="GO132">
        <f t="shared" ref="GO132:GO195" ca="1" si="436">GN132*0.05</f>
        <v>0</v>
      </c>
      <c r="GP132">
        <f t="shared" ref="GP132:GP195" ca="1" si="437">ROUND(GE132+GG132+GI132+GK132+GM132+GO132,0)</f>
        <v>0</v>
      </c>
      <c r="GQ132">
        <f t="shared" ref="GQ132:GQ195" ca="1" si="438">IF(GC132&gt;1200000,GC132,0)</f>
        <v>0</v>
      </c>
      <c r="GR132">
        <f t="shared" ref="GR132:GR195" ca="1" si="439">IF(GC132&gt;1200000,GQ132-1200000,0)</f>
        <v>0</v>
      </c>
      <c r="GS132">
        <f t="shared" ref="GS132:GS195" ca="1" si="440">IF(GC132&lt;1200001,MIN(GP132,60000),0)</f>
        <v>0</v>
      </c>
      <c r="GT132">
        <f t="shared" ref="GT132:GT195" ca="1" si="441">IF(GC132&gt;1200000,GP132-GR132,0)</f>
        <v>0</v>
      </c>
      <c r="GU132" t="b">
        <f t="shared" ref="GU132:GU195" ca="1" si="442">IF(GT132&gt;0,TRUE,FALSE)</f>
        <v>0</v>
      </c>
      <c r="GV132">
        <f t="shared" ref="GV132:GV195" ca="1" si="443">IF(GU132,GT132,0)</f>
        <v>0</v>
      </c>
      <c r="GW132">
        <f t="shared" ref="GW132:GW195" ca="1" si="444">GS132+GV132</f>
        <v>0</v>
      </c>
      <c r="GX132">
        <f t="shared" ref="GX132:GX195" ca="1" si="445">ROUND(GP132-GW132,0)</f>
        <v>0</v>
      </c>
      <c r="GY132">
        <f t="shared" ref="GY132:GY195" ca="1" si="446">GX132*0.04</f>
        <v>0</v>
      </c>
      <c r="GZ132">
        <f t="shared" ref="GZ132:GZ195" ca="1" si="447">ROUNDUP(GX132+GY132,0)</f>
        <v>0</v>
      </c>
    </row>
    <row r="133" spans="1:208" x14ac:dyDescent="0.25">
      <c r="A133">
        <f>_xlfn.AGGREGATE(3,5,$B$2:B133)</f>
        <v>132</v>
      </c>
      <c r="B133" t="s">
        <v>376</v>
      </c>
      <c r="C133" t="s">
        <v>377</v>
      </c>
      <c r="D133" t="s">
        <v>786</v>
      </c>
      <c r="E133" t="s">
        <v>831</v>
      </c>
      <c r="F133" t="s">
        <v>957</v>
      </c>
      <c r="G133" t="s">
        <v>897</v>
      </c>
      <c r="H133">
        <f t="shared" si="363"/>
        <v>6800</v>
      </c>
      <c r="I133">
        <f>_xlfn.XLOOKUP(B133,'[1]march-2025'!$A:$A,'[1]march-2025'!$J:$J,0,0)</f>
        <v>0</v>
      </c>
      <c r="J133">
        <f>_xlfn.XLOOKUP(B133,'[1]march-2025'!$A:$A,'[1]march-2025'!$C:$C,0,0)</f>
        <v>33500</v>
      </c>
      <c r="K133">
        <f t="shared" si="364"/>
        <v>4690</v>
      </c>
      <c r="L133">
        <f t="shared" si="365"/>
        <v>4020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>IF(J133&gt;0,SUM(J133:N133),0)</f>
        <v>42710</v>
      </c>
      <c r="P133">
        <f>_xlfn.XLOOKUP(B133,'[1]march-2025'!$A:$A,'[1]march-2025'!$H:$H,0,0)</f>
        <v>2500</v>
      </c>
      <c r="Q133">
        <f>_xlfn.XLOOKUP(B133,'[1]march-2025'!$A:$A,'[1]march-2025'!$I:$I,0,0)</f>
        <v>0</v>
      </c>
      <c r="R133">
        <f t="shared" ref="R133:R196" si="448">IF($F133="YES",0,IF(O133&gt;40000,200,IF(O133&gt;25000,150,IF(O133&gt;15000,130,IF(O133&gt;10000,110,0)))))</f>
        <v>200</v>
      </c>
      <c r="S133">
        <f t="shared" si="357"/>
        <v>40010</v>
      </c>
      <c r="T133">
        <f>_xlfn.XLOOKUP(B133,'[2]april-2025'!$A:$A,'[2]april-2025'!$C:$C,0,0)</f>
        <v>33500</v>
      </c>
      <c r="U133">
        <f t="shared" si="366"/>
        <v>6030</v>
      </c>
      <c r="V133">
        <f t="shared" si="367"/>
        <v>4020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358"/>
        <v>44050</v>
      </c>
      <c r="Z133">
        <f>_xlfn.XLOOKUP(B133,'[2]april-2025'!$A:$A,'[2]april-2025'!$H:$H,0,0)</f>
        <v>2500</v>
      </c>
      <c r="AA133">
        <f>_xlfn.XLOOKUP(B133,'[2]april-2025'!$A:$A,'[2]april-2025'!$I:$I,0,0)</f>
        <v>0</v>
      </c>
      <c r="AB133">
        <f t="shared" si="368"/>
        <v>200</v>
      </c>
      <c r="AC133">
        <f t="shared" si="369"/>
        <v>41350</v>
      </c>
      <c r="AD133">
        <f>_xlfn.XLOOKUP(B133,'[3]may-2025'!$A:$A,'[3]may-2025'!$C:$C,0,0)</f>
        <v>33500</v>
      </c>
      <c r="AE133">
        <f t="shared" si="370"/>
        <v>6030</v>
      </c>
      <c r="AF133">
        <f t="shared" si="371"/>
        <v>4020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359"/>
        <v>44050</v>
      </c>
      <c r="AJ133">
        <f>_xlfn.XLOOKUP(B133,'[3]may-2025'!$A:$A,'[3]may-2025'!$H:$H,0,0)</f>
        <v>2500</v>
      </c>
      <c r="AK133">
        <f>_xlfn.XLOOKUP(B133,'[3]may-2025'!$A:$A,'[3]may-2025'!$I:$I,0,0)</f>
        <v>0</v>
      </c>
      <c r="AL133">
        <f t="shared" si="372"/>
        <v>200</v>
      </c>
      <c r="AM133">
        <f t="shared" si="373"/>
        <v>41350</v>
      </c>
      <c r="AN133">
        <f>_xlfn.XLOOKUP(B133,'[4]june-2025'!$A:$A,'[4]june-2025'!$C:$C,0,0)</f>
        <v>33500</v>
      </c>
      <c r="AO133">
        <f t="shared" si="374"/>
        <v>6030</v>
      </c>
      <c r="AP133">
        <f t="shared" si="375"/>
        <v>4020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360"/>
        <v>44050</v>
      </c>
      <c r="AT133">
        <f>_xlfn.XLOOKUP(B133,'[4]june-2025'!$A:$A,'[4]june-2025'!$H:$H,0,0)</f>
        <v>2500</v>
      </c>
      <c r="AU133">
        <f>_xlfn.XLOOKUP(B133,'[4]june-2025'!$A:$A,'[4]june-2025'!$I:$I,0,0)</f>
        <v>0</v>
      </c>
      <c r="AV133">
        <f t="shared" si="376"/>
        <v>200</v>
      </c>
      <c r="AW133">
        <f t="shared" si="377"/>
        <v>41350</v>
      </c>
      <c r="AX133">
        <f>_xlfn.XLOOKUP(B133,'[5]july-2025'!$A:$A,'[5]july-2025'!$C:$C,0,0)</f>
        <v>34500</v>
      </c>
      <c r="AY133">
        <f t="shared" si="378"/>
        <v>6210</v>
      </c>
      <c r="AZ133">
        <v>0</v>
      </c>
      <c r="BA133">
        <f t="shared" si="379"/>
        <v>4140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>IF(AX133&gt;0,SUM(AX133:BC133),0)</f>
        <v>45350</v>
      </c>
      <c r="BE133">
        <f>_xlfn.XLOOKUP(B133,'[5]july-2025'!$A:$A,'[5]july-2025'!$H:$H,0,0)</f>
        <v>2500</v>
      </c>
      <c r="BF133">
        <f>_xlfn.XLOOKUP(B133,'[5]july-2025'!$A:$A,'[5]july-2025'!$I:$I,0,0)</f>
        <v>0</v>
      </c>
      <c r="BG133">
        <f t="shared" si="380"/>
        <v>200</v>
      </c>
      <c r="BH133">
        <f t="shared" si="381"/>
        <v>42650</v>
      </c>
      <c r="BI133">
        <f>_xlfn.XLOOKUP(B133,'[6]august-2025'!$A:$A,'[6]august-2025'!$C:$C,0,0)</f>
        <v>34500</v>
      </c>
      <c r="BJ133">
        <f t="shared" si="382"/>
        <v>6210</v>
      </c>
      <c r="BK133">
        <f t="shared" si="383"/>
        <v>4140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384"/>
        <v>45350</v>
      </c>
      <c r="BO133">
        <f>_xlfn.XLOOKUP(B133,'[6]august-2025'!$A:$A,'[6]august-2025'!$H:$H,0,0)</f>
        <v>2500</v>
      </c>
      <c r="BP133">
        <f>_xlfn.XLOOKUP(B133,'[6]august-2025'!$A:$A,'[6]august-2025'!$I:$I,0,0)</f>
        <v>0</v>
      </c>
      <c r="BQ133">
        <f>IF($F133="YES",0,IF(BN133&gt;40000,200,IF(BN133&gt;25000,150,IF(BN133&gt;15000,130,IF(BN133&gt;10000,110,0)))))</f>
        <v>200</v>
      </c>
      <c r="BR133">
        <f>BN133-BO133-BP133-BQ133</f>
        <v>42650</v>
      </c>
      <c r="BS133">
        <f>_xlfn.XLOOKUP(B133,'[7]september-2025'!$A:$A,'[7]september-2025'!$C:$C,0,0)</f>
        <v>34500</v>
      </c>
      <c r="BT133">
        <f t="shared" si="385"/>
        <v>6210</v>
      </c>
      <c r="BU133">
        <f t="shared" si="386"/>
        <v>4140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>IF(BS133&gt;0,SUM(BS133:BW133),0)</f>
        <v>45350</v>
      </c>
      <c r="BY133">
        <f>_xlfn.XLOOKUP(B133,'[7]september-2025'!$A:$A,'[7]september-2025'!$H:$H,0,0)</f>
        <v>2500</v>
      </c>
      <c r="BZ133">
        <f>_xlfn.XLOOKUP(B133,'[7]september-2025'!$A:$A,'[7]september-2025'!$I:$I,0,0)</f>
        <v>0</v>
      </c>
      <c r="CA133">
        <f t="shared" si="387"/>
        <v>200</v>
      </c>
      <c r="CB133">
        <f t="shared" si="388"/>
        <v>42650</v>
      </c>
      <c r="CC133">
        <f>_xlfn.XLOOKUP(B133,'[8]october-2025'!$A:$A,'[8]october-2025'!$C:$C,0,0)</f>
        <v>34500</v>
      </c>
      <c r="CD133">
        <f t="shared" si="389"/>
        <v>6210</v>
      </c>
      <c r="CE133">
        <f t="shared" si="390"/>
        <v>4140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>IF(CC133&gt;0,SUM(CC133:CG133),0)</f>
        <v>45350</v>
      </c>
      <c r="CI133">
        <f>_xlfn.XLOOKUP(B133,'[8]october-2025'!$A:$A,'[8]october-2025'!$H:$H,0,0)</f>
        <v>2500</v>
      </c>
      <c r="CJ133">
        <f>_xlfn.XLOOKUP(B133,'[8]october-2025'!$A:$A,'[8]october-2025'!$I:$I,0,0)</f>
        <v>0</v>
      </c>
      <c r="CK133">
        <f t="shared" si="391"/>
        <v>200</v>
      </c>
      <c r="CL133">
        <f t="shared" si="392"/>
        <v>42650</v>
      </c>
      <c r="CM133">
        <f>_xlfn.XLOOKUP(B133,'[9]november-2025'!$A:$A,'[9]november-2025'!$C:$C,0,0)</f>
        <v>34500</v>
      </c>
      <c r="CN133">
        <f t="shared" si="393"/>
        <v>6210</v>
      </c>
      <c r="CO133">
        <f t="shared" si="394"/>
        <v>4140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>IF(CM133&gt;0,SUM(CM133:CQ133),0)</f>
        <v>45350</v>
      </c>
      <c r="CS133">
        <f>_xlfn.XLOOKUP(B133,'[9]november-2025'!$A:$A,'[9]november-2025'!$H:$H,0,0)</f>
        <v>2500</v>
      </c>
      <c r="CT133">
        <f>_xlfn.XLOOKUP(B133,'[9]november-2025'!$A:$A,'[9]november-2025'!$I:$I,0,0)</f>
        <v>0</v>
      </c>
      <c r="CU133">
        <f t="shared" si="395"/>
        <v>200</v>
      </c>
      <c r="CV133">
        <f t="shared" si="396"/>
        <v>42650</v>
      </c>
      <c r="CW133">
        <f>_xlfn.XLOOKUP(B133,'[10]december-2025'!$A:$A,'[10]december-2025'!$C:$C,0,0)</f>
        <v>34500</v>
      </c>
      <c r="CX133">
        <f t="shared" si="397"/>
        <v>6210</v>
      </c>
      <c r="CY133">
        <f t="shared" si="398"/>
        <v>4140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>IF(CW133&gt;0,SUM(CW133:DA133),0)</f>
        <v>45350</v>
      </c>
      <c r="DC133">
        <f>_xlfn.XLOOKUP(B133,'[10]december-2025'!$A:$A,'[10]december-2025'!$H:$H,0,0)</f>
        <v>2500</v>
      </c>
      <c r="DD133">
        <f>_xlfn.XLOOKUP(B133,'[10]december-2025'!$A:$A,'[10]december-2025'!$I:$I,0,0)</f>
        <v>0</v>
      </c>
      <c r="DE133">
        <f t="shared" si="399"/>
        <v>200</v>
      </c>
      <c r="DF133">
        <f t="shared" si="400"/>
        <v>42650</v>
      </c>
      <c r="DG133">
        <f>_xlfn.XLOOKUP(B133,'[11]january-2026'!$A:$A,'[11]january-2026'!$C:$C,0,0)</f>
        <v>34500</v>
      </c>
      <c r="DH133">
        <f t="shared" si="401"/>
        <v>6210</v>
      </c>
      <c r="DI133">
        <f t="shared" si="402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>IF(DG133&gt;0,SUM(DG133:DK133),0)</f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03"/>
        <v>200</v>
      </c>
      <c r="DP133">
        <f t="shared" si="404"/>
        <v>42650</v>
      </c>
      <c r="DQ133">
        <f>_xlfn.XLOOKUP(B133,'[12]february-2026'!$A:$A,'[12]february-2026'!$C:$C,0,0)</f>
        <v>34500</v>
      </c>
      <c r="DR133">
        <f t="shared" si="405"/>
        <v>6210</v>
      </c>
      <c r="DS133">
        <f t="shared" si="406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>IF(DQ133&gt;0,SUM(DQ133:DU133),0)</f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07"/>
        <v>200</v>
      </c>
      <c r="DZ133">
        <f t="shared" si="408"/>
        <v>42650</v>
      </c>
      <c r="EA133">
        <f>_xlfn.XLOOKUP(B133,'[1]march-2025'!$A:$A,'[1]march-2025'!$J:$J,0,0)</f>
        <v>0</v>
      </c>
      <c r="EB133">
        <f>_xlfn.XLOOKUP(B133,'[2]april-2025'!$A:$A,'[2]april-2025'!$J:$J,0,0)</f>
        <v>0</v>
      </c>
      <c r="EC133">
        <f>_xlfn.XLOOKUP(B133,'[3]may-2025'!$A:$A,'[3]may-2025'!$J:$J,0,0)</f>
        <v>0</v>
      </c>
      <c r="ED133">
        <f>_xlfn.XLOOKUP(B133,'[4]june-2025'!$A:$A,'[4]june-2025'!$J:$J,0,0)</f>
        <v>0</v>
      </c>
      <c r="EE133">
        <f>_xlfn.XLOOKUP(B133,'[5]july-2025'!$A:$A,'[5]july-2025'!$J:$J,0,0)</f>
        <v>0</v>
      </c>
      <c r="EF133">
        <f>_xlfn.XLOOKUP(B133,'[6]august-2025'!$A:$A,'[6]august-2025'!$J:$J,0,0)</f>
        <v>0</v>
      </c>
      <c r="EG133">
        <f>_xlfn.XLOOKUP(B133,'[7]september-2025'!$A:$A,'[7]september-2025'!$J:$J,0,0)</f>
        <v>0</v>
      </c>
      <c r="EH133">
        <f>_xlfn.XLOOKUP(B133,'[8]october-2025'!$A:$A,'[8]october-2025'!$J:$J,0,0)</f>
        <v>0</v>
      </c>
      <c r="EI133">
        <f>_xlfn.XLOOKUP(C133,'[9]november-2025'!$A:$A,'[9]november-2025'!$J:$J,0,0)</f>
        <v>0</v>
      </c>
      <c r="EJ133">
        <f>_xlfn.XLOOKUP(B133,'[10]december-2025'!$A:$A,'[10]december-2025'!$J:$J,0,0)</f>
        <v>0</v>
      </c>
      <c r="EK133">
        <f>_xlfn.XLOOKUP(B133,'[11]january-2026'!$A:$A,'[11]january-2026'!$J:$J,0,0)</f>
        <v>0</v>
      </c>
      <c r="EL133">
        <f>_xlfn.XLOOKUP(B133,'[12]february-2026'!$A:$A,'[12]february-2026'!$J:$J,0,0)</f>
        <v>0</v>
      </c>
      <c r="EM133">
        <f t="shared" si="361"/>
        <v>0</v>
      </c>
      <c r="EN133">
        <f>DV133+DL133+DB133+CR133+CH133+BX133+BN133+BD133+AS133+AI133+Y133+O133+H133+I133</f>
        <v>544460</v>
      </c>
      <c r="EO133">
        <f>DY133+DO133+DE133+CU133+CK133+CA133+BQ133+BG133+AV133+AL133+AB133+R133</f>
        <v>2400</v>
      </c>
      <c r="EP133">
        <f t="shared" si="409"/>
        <v>50000</v>
      </c>
      <c r="EQ133">
        <v>0</v>
      </c>
      <c r="ER133">
        <f t="shared" si="362"/>
        <v>492060</v>
      </c>
      <c r="ES133">
        <f>DW133+DM133+DC133+CS133+CI133+BY133+BO133+BE133+AT133+AJ133+Z133+P133</f>
        <v>30000</v>
      </c>
      <c r="ET133">
        <f>DX133+DN133+DD133+CT133+CJ133+BZ133+BP133+BF133+AU133+AK133+AA133+Q133</f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410"/>
        <v>30000</v>
      </c>
      <c r="FF133">
        <f t="shared" si="411"/>
        <v>30000</v>
      </c>
      <c r="FG133">
        <f t="shared" si="412"/>
        <v>462060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>SUM(FH133:FN133)+(IF(F133="YES",50000,0))</f>
        <v>0</v>
      </c>
      <c r="FP133">
        <f t="shared" si="413"/>
        <v>462060</v>
      </c>
      <c r="FQ133">
        <f t="shared" si="414"/>
        <v>10603</v>
      </c>
      <c r="FR133">
        <f t="shared" si="415"/>
        <v>0</v>
      </c>
      <c r="FS133">
        <f t="shared" si="416"/>
        <v>10603</v>
      </c>
      <c r="FT133">
        <f t="shared" si="417"/>
        <v>0</v>
      </c>
      <c r="FU133">
        <f t="shared" si="418"/>
        <v>0</v>
      </c>
      <c r="FV133">
        <f t="shared" si="419"/>
        <v>0</v>
      </c>
      <c r="FW133">
        <v>0</v>
      </c>
      <c r="FX133">
        <f t="shared" si="420"/>
        <v>0</v>
      </c>
      <c r="FY133" t="b">
        <f t="shared" si="421"/>
        <v>1</v>
      </c>
      <c r="FZ133">
        <f t="shared" ca="1" si="422"/>
        <v>600</v>
      </c>
      <c r="GA133">
        <f t="shared" ca="1" si="423"/>
        <v>545060</v>
      </c>
      <c r="GB133">
        <f t="shared" si="424"/>
        <v>75000</v>
      </c>
      <c r="GC133">
        <f t="shared" ca="1" si="425"/>
        <v>470060</v>
      </c>
      <c r="GD133">
        <f t="shared" ca="1" si="426"/>
        <v>0</v>
      </c>
      <c r="GE133">
        <f t="shared" ca="1" si="427"/>
        <v>0</v>
      </c>
      <c r="GF133">
        <f t="shared" ca="1" si="428"/>
        <v>0</v>
      </c>
      <c r="GG133">
        <f t="shared" ca="1" si="429"/>
        <v>0</v>
      </c>
      <c r="GH133">
        <f t="shared" ca="1" si="430"/>
        <v>0</v>
      </c>
      <c r="GI133">
        <f t="shared" ca="1" si="431"/>
        <v>0</v>
      </c>
      <c r="GJ133">
        <f ca="1">IF(GC133&gt;1200000,GC133-1200000-IF(F133="YES",50000,0)-GH133,0)</f>
        <v>0</v>
      </c>
      <c r="GK133">
        <f t="shared" ca="1" si="432"/>
        <v>0</v>
      </c>
      <c r="GL133">
        <f t="shared" ca="1" si="433"/>
        <v>0</v>
      </c>
      <c r="GM133">
        <f t="shared" ca="1" si="434"/>
        <v>0</v>
      </c>
      <c r="GN133">
        <f t="shared" ca="1" si="435"/>
        <v>70060</v>
      </c>
      <c r="GO133">
        <f t="shared" ca="1" si="436"/>
        <v>3503</v>
      </c>
      <c r="GP133">
        <f t="shared" ca="1" si="437"/>
        <v>3503</v>
      </c>
      <c r="GQ133">
        <f t="shared" ca="1" si="438"/>
        <v>0</v>
      </c>
      <c r="GR133">
        <f t="shared" ca="1" si="439"/>
        <v>0</v>
      </c>
      <c r="GS133">
        <f t="shared" ca="1" si="440"/>
        <v>3503</v>
      </c>
      <c r="GT133">
        <f t="shared" ca="1" si="441"/>
        <v>0</v>
      </c>
      <c r="GU133" t="b">
        <f t="shared" ca="1" si="442"/>
        <v>0</v>
      </c>
      <c r="GV133">
        <f t="shared" ca="1" si="443"/>
        <v>0</v>
      </c>
      <c r="GW133">
        <f t="shared" ca="1" si="444"/>
        <v>3503</v>
      </c>
      <c r="GX133">
        <f t="shared" ca="1" si="445"/>
        <v>0</v>
      </c>
      <c r="GY133">
        <f t="shared" ca="1" si="446"/>
        <v>0</v>
      </c>
      <c r="GZ133">
        <f t="shared" ca="1" si="447"/>
        <v>0</v>
      </c>
    </row>
    <row r="134" spans="1:208" x14ac:dyDescent="0.25">
      <c r="A134">
        <f>_xlfn.AGGREGATE(3,5,$B$2:B134)</f>
        <v>133</v>
      </c>
      <c r="B134" t="s">
        <v>964</v>
      </c>
      <c r="C134" t="s">
        <v>965</v>
      </c>
      <c r="D134" t="s">
        <v>786</v>
      </c>
      <c r="E134" t="s">
        <v>831</v>
      </c>
      <c r="F134" t="s">
        <v>957</v>
      </c>
      <c r="G134" s="1">
        <v>45864</v>
      </c>
      <c r="H134">
        <v>0</v>
      </c>
      <c r="I134">
        <v>0</v>
      </c>
      <c r="J134">
        <f>_xlfn.XLOOKUP(B134,'[1]march-2025'!$A:$A,'[1]march-2025'!$C:$C,0,0)</f>
        <v>0</v>
      </c>
      <c r="K134">
        <f t="shared" si="364"/>
        <v>0</v>
      </c>
      <c r="L134">
        <f t="shared" si="365"/>
        <v>0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>IF(J134&gt;0,SUM(J134:N134),0)</f>
        <v>0</v>
      </c>
      <c r="P134">
        <f>_xlfn.XLOOKUP(B134,'[1]march-2025'!$A:$A,'[1]march-2025'!$H:$H,0,0)</f>
        <v>0</v>
      </c>
      <c r="Q134">
        <f>_xlfn.XLOOKUP(B134,'[1]march-2025'!$A:$A,'[1]march-2025'!$I:$I,0,0)</f>
        <v>0</v>
      </c>
      <c r="R134">
        <f t="shared" si="448"/>
        <v>0</v>
      </c>
      <c r="S134">
        <f t="shared" si="357"/>
        <v>0</v>
      </c>
      <c r="T134">
        <f>_xlfn.XLOOKUP(B134,'[2]april-2025'!$A:$A,'[2]april-2025'!$C:$C,0,0)</f>
        <v>0</v>
      </c>
      <c r="U134">
        <f t="shared" si="366"/>
        <v>0</v>
      </c>
      <c r="V134">
        <f t="shared" si="367"/>
        <v>0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358"/>
        <v>0</v>
      </c>
      <c r="Z134">
        <f>_xlfn.XLOOKUP(B134,'[2]april-2025'!$A:$A,'[2]april-2025'!$H:$H,0,0)</f>
        <v>0</v>
      </c>
      <c r="AA134">
        <f>_xlfn.XLOOKUP(B134,'[2]april-2025'!$A:$A,'[2]april-2025'!$I:$I,0,0)</f>
        <v>0</v>
      </c>
      <c r="AB134">
        <f t="shared" si="368"/>
        <v>0</v>
      </c>
      <c r="AC134">
        <f t="shared" si="369"/>
        <v>0</v>
      </c>
      <c r="AD134">
        <f>_xlfn.XLOOKUP(B134,'[3]may-2025'!$A:$A,'[3]may-2025'!$C:$C,0,0)</f>
        <v>0</v>
      </c>
      <c r="AE134">
        <f t="shared" si="370"/>
        <v>0</v>
      </c>
      <c r="AF134">
        <f t="shared" si="371"/>
        <v>0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359"/>
        <v>0</v>
      </c>
      <c r="AJ134">
        <f>_xlfn.XLOOKUP(B134,'[3]may-2025'!$A:$A,'[3]may-2025'!$H:$H,0,0)</f>
        <v>0</v>
      </c>
      <c r="AK134">
        <f>_xlfn.XLOOKUP(B134,'[3]may-2025'!$A:$A,'[3]may-2025'!$I:$I,0,0)</f>
        <v>0</v>
      </c>
      <c r="AL134">
        <f t="shared" si="372"/>
        <v>0</v>
      </c>
      <c r="AM134">
        <f t="shared" si="373"/>
        <v>0</v>
      </c>
      <c r="AN134">
        <f>_xlfn.XLOOKUP(B134,'[4]june-2025'!$A:$A,'[4]june-2025'!$C:$C,0,0)</f>
        <v>0</v>
      </c>
      <c r="AO134">
        <f t="shared" si="374"/>
        <v>0</v>
      </c>
      <c r="AP134">
        <f t="shared" si="375"/>
        <v>0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360"/>
        <v>0</v>
      </c>
      <c r="AT134">
        <f>_xlfn.XLOOKUP(B134,'[4]june-2025'!$A:$A,'[4]june-2025'!$H:$H,0,0)</f>
        <v>0</v>
      </c>
      <c r="AU134">
        <f>_xlfn.XLOOKUP(B134,'[4]june-2025'!$A:$A,'[4]june-2025'!$I:$I,0,0)</f>
        <v>0</v>
      </c>
      <c r="AV134">
        <f t="shared" si="376"/>
        <v>0</v>
      </c>
      <c r="AW134">
        <f t="shared" si="377"/>
        <v>0</v>
      </c>
      <c r="AX134">
        <f>_xlfn.XLOOKUP(B134,'[5]july-2025'!$A:$A,'[5]july-2025'!$C:$C,0,0)</f>
        <v>0</v>
      </c>
      <c r="AY134">
        <f t="shared" si="378"/>
        <v>0</v>
      </c>
      <c r="AZ134">
        <v>1</v>
      </c>
      <c r="BA134">
        <f t="shared" si="379"/>
        <v>0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>IF(AX134&gt;0,SUM(AX134:BC134),0)</f>
        <v>0</v>
      </c>
      <c r="BE134">
        <f>_xlfn.XLOOKUP(B134,'[5]july-2025'!$A:$A,'[5]july-2025'!$H:$H,0,0)</f>
        <v>0</v>
      </c>
      <c r="BF134">
        <f>_xlfn.XLOOKUP(B134,'[5]july-2025'!$A:$A,'[5]july-2025'!$I:$I,0,0)</f>
        <v>0</v>
      </c>
      <c r="BG134">
        <f t="shared" si="380"/>
        <v>0</v>
      </c>
      <c r="BH134">
        <f t="shared" si="381"/>
        <v>0</v>
      </c>
      <c r="BI134">
        <f>_xlfn.XLOOKUP(B134,'[6]august-2025'!$A:$A,'[6]august-2025'!$C:$C,0,0)</f>
        <v>0</v>
      </c>
      <c r="BJ134">
        <f t="shared" si="382"/>
        <v>0</v>
      </c>
      <c r="BK134">
        <f t="shared" si="383"/>
        <v>0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384"/>
        <v>0</v>
      </c>
      <c r="BO134">
        <f>_xlfn.XLOOKUP(B134,'[6]august-2025'!$A:$A,'[6]august-2025'!$H:$H,0,0)</f>
        <v>0</v>
      </c>
      <c r="BP134">
        <f>_xlfn.XLOOKUP(B134,'[6]august-2025'!$A:$A,'[6]august-2025'!$I:$I,0,0)</f>
        <v>0</v>
      </c>
      <c r="BQ134">
        <f>IF($F134="YES",0,IF(BN134&gt;40000,200,IF(BN134&gt;25000,150,IF(BN134&gt;15000,130,IF(BN134&gt;10000,110,0)))))</f>
        <v>0</v>
      </c>
      <c r="BR134">
        <f>BN134-BO134-BP134-BQ134</f>
        <v>0</v>
      </c>
      <c r="BS134">
        <f>_xlfn.XLOOKUP(B134,'[7]september-2025'!$A:$A,'[7]september-2025'!$C:$C,0,0)</f>
        <v>0</v>
      </c>
      <c r="BT134">
        <f t="shared" si="385"/>
        <v>0</v>
      </c>
      <c r="BU134">
        <f t="shared" si="386"/>
        <v>0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>IF(BS134&gt;0,SUM(BS134:BW134),0)</f>
        <v>0</v>
      </c>
      <c r="BY134">
        <f>_xlfn.XLOOKUP(B134,'[7]september-2025'!$A:$A,'[7]september-2025'!$H:$H,0,0)</f>
        <v>0</v>
      </c>
      <c r="BZ134">
        <f>_xlfn.XLOOKUP(B134,'[7]september-2025'!$A:$A,'[7]september-2025'!$I:$I,0,0)</f>
        <v>0</v>
      </c>
      <c r="CA134">
        <f t="shared" si="387"/>
        <v>0</v>
      </c>
      <c r="CB134">
        <f t="shared" si="388"/>
        <v>0</v>
      </c>
      <c r="CC134">
        <f>_xlfn.XLOOKUP(B134,'[8]october-2025'!$A:$A,'[8]october-2025'!$C:$C,0,0)</f>
        <v>0</v>
      </c>
      <c r="CD134">
        <f t="shared" si="389"/>
        <v>0</v>
      </c>
      <c r="CE134">
        <f t="shared" si="390"/>
        <v>0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>IF(CC134&gt;0,SUM(CC134:CG134),0)</f>
        <v>0</v>
      </c>
      <c r="CI134">
        <f>_xlfn.XLOOKUP(B134,'[8]october-2025'!$A:$A,'[8]october-2025'!$H:$H,0,0)</f>
        <v>0</v>
      </c>
      <c r="CJ134">
        <f>_xlfn.XLOOKUP(B134,'[8]october-2025'!$A:$A,'[8]october-2025'!$I:$I,0,0)</f>
        <v>0</v>
      </c>
      <c r="CK134">
        <f t="shared" si="391"/>
        <v>0</v>
      </c>
      <c r="CL134">
        <f t="shared" si="392"/>
        <v>0</v>
      </c>
      <c r="CM134">
        <f>_xlfn.XLOOKUP(B134,'[9]november-2025'!$A:$A,'[9]november-2025'!$C:$C,0,0)</f>
        <v>24700</v>
      </c>
      <c r="CN134">
        <f t="shared" si="393"/>
        <v>4446</v>
      </c>
      <c r="CO134">
        <f t="shared" si="394"/>
        <v>2964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>IF(CM134&gt;0,SUM(CM134:CQ134),0)</f>
        <v>32610</v>
      </c>
      <c r="CS134">
        <f>_xlfn.XLOOKUP(B134,'[9]november-2025'!$A:$A,'[9]november-2025'!$H:$H,0,0)</f>
        <v>0</v>
      </c>
      <c r="CT134">
        <f>_xlfn.XLOOKUP(B134,'[9]november-2025'!$A:$A,'[9]november-2025'!$I:$I,0,0)</f>
        <v>0</v>
      </c>
      <c r="CU134">
        <f t="shared" si="395"/>
        <v>150</v>
      </c>
      <c r="CV134">
        <f t="shared" si="396"/>
        <v>32460</v>
      </c>
      <c r="CW134">
        <f>_xlfn.XLOOKUP(B134,'[10]december-2025'!$A:$A,'[10]december-2025'!$C:$C,0,0)</f>
        <v>24700</v>
      </c>
      <c r="CX134">
        <f t="shared" si="397"/>
        <v>4446</v>
      </c>
      <c r="CY134">
        <f t="shared" si="398"/>
        <v>2964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>IF(CW134&gt;0,SUM(CW134:DA134),0)</f>
        <v>32610</v>
      </c>
      <c r="DC134">
        <f>_xlfn.XLOOKUP(B134,'[10]december-2025'!$A:$A,'[10]december-2025'!$H:$H,0,0)</f>
        <v>0</v>
      </c>
      <c r="DD134">
        <f>_xlfn.XLOOKUP(B134,'[10]december-2025'!$A:$A,'[10]december-2025'!$I:$I,0,0)</f>
        <v>0</v>
      </c>
      <c r="DE134">
        <f t="shared" si="399"/>
        <v>150</v>
      </c>
      <c r="DF134">
        <f t="shared" si="400"/>
        <v>32460</v>
      </c>
      <c r="DG134">
        <f>_xlfn.XLOOKUP(B134,'[11]january-2026'!$A:$A,'[11]january-2026'!$C:$C,0,0)</f>
        <v>24700</v>
      </c>
      <c r="DH134">
        <f t="shared" si="401"/>
        <v>4446</v>
      </c>
      <c r="DI134">
        <f t="shared" si="402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>IF(DG134&gt;0,SUM(DG134:DK134),0)</f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03"/>
        <v>150</v>
      </c>
      <c r="DP134">
        <f t="shared" si="404"/>
        <v>32460</v>
      </c>
      <c r="DQ134">
        <f>_xlfn.XLOOKUP(B134,'[12]february-2026'!$A:$A,'[12]february-2026'!$C:$C,0,0)</f>
        <v>24700</v>
      </c>
      <c r="DR134">
        <f t="shared" si="405"/>
        <v>4446</v>
      </c>
      <c r="DS134">
        <f t="shared" si="406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>IF(DQ134&gt;0,SUM(DQ134:DU134),0)</f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07"/>
        <v>150</v>
      </c>
      <c r="DZ134">
        <f t="shared" si="408"/>
        <v>32460</v>
      </c>
      <c r="EA134">
        <f>_xlfn.XLOOKUP(B134,'[1]march-2025'!$A:$A,'[1]march-2025'!$J:$J,0,0)</f>
        <v>0</v>
      </c>
      <c r="EB134">
        <f>_xlfn.XLOOKUP(B134,'[2]april-2025'!$A:$A,'[2]april-2025'!$J:$J,0,0)</f>
        <v>0</v>
      </c>
      <c r="EC134">
        <f>_xlfn.XLOOKUP(B134,'[3]may-2025'!$A:$A,'[3]may-2025'!$J:$J,0,0)</f>
        <v>0</v>
      </c>
      <c r="ED134">
        <f>_xlfn.XLOOKUP(B134,'[4]june-2025'!$A:$A,'[4]june-2025'!$J:$J,0,0)</f>
        <v>0</v>
      </c>
      <c r="EE134">
        <f>_xlfn.XLOOKUP(B134,'[5]july-2025'!$A:$A,'[5]july-2025'!$J:$J,0,0)</f>
        <v>0</v>
      </c>
      <c r="EF134">
        <f>_xlfn.XLOOKUP(B134,'[6]august-2025'!$A:$A,'[6]august-2025'!$J:$J,0,0)</f>
        <v>0</v>
      </c>
      <c r="EG134">
        <f>_xlfn.XLOOKUP(B134,'[7]september-2025'!$A:$A,'[7]september-2025'!$J:$J,0,0)</f>
        <v>0</v>
      </c>
      <c r="EH134">
        <f>_xlfn.XLOOKUP(B134,'[8]october-2025'!$A:$A,'[8]october-2025'!$J:$J,0,0)</f>
        <v>0</v>
      </c>
      <c r="EI134">
        <f>_xlfn.XLOOKUP(C134,'[9]november-2025'!$A:$A,'[9]november-2025'!$J:$J,0,0)</f>
        <v>0</v>
      </c>
      <c r="EJ134">
        <f>_xlfn.XLOOKUP(B134,'[10]december-2025'!$A:$A,'[10]december-2025'!$J:$J,0,0)</f>
        <v>0</v>
      </c>
      <c r="EK134">
        <f>_xlfn.XLOOKUP(B134,'[11]january-2026'!$A:$A,'[11]january-2026'!$J:$J,0,0)</f>
        <v>0</v>
      </c>
      <c r="EL134">
        <f>_xlfn.XLOOKUP(B134,'[12]february-2026'!$A:$A,'[12]february-2026'!$J:$J,0,0)</f>
        <v>0</v>
      </c>
      <c r="EM134">
        <f t="shared" si="361"/>
        <v>0</v>
      </c>
      <c r="EN134">
        <f>DV134+DL134+DB134+CR134+CH134+BX134+BN134+BD134+AS134+AI134+Y134+O134+H134+I134</f>
        <v>130440</v>
      </c>
      <c r="EO134">
        <f>DY134+DO134+DE134+CU134+CK134+CA134+BQ134+BG134+AV134+AL134+AB134+R134</f>
        <v>600</v>
      </c>
      <c r="EP134">
        <f t="shared" si="409"/>
        <v>50000</v>
      </c>
      <c r="EQ134">
        <v>1</v>
      </c>
      <c r="ER134">
        <f t="shared" si="362"/>
        <v>79840</v>
      </c>
      <c r="ES134">
        <f>DW134+DM134+DC134+CS134+CI134+BY134+BO134+BE134+AT134+AJ134+Z134+P134</f>
        <v>0</v>
      </c>
      <c r="ET134">
        <f>DX134+DN134+DD134+CT134+CJ134+BZ134+BP134+BF134+AU134+AK134+AA134+Q134</f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410"/>
        <v>0</v>
      </c>
      <c r="FF134">
        <f t="shared" si="411"/>
        <v>0</v>
      </c>
      <c r="FG134">
        <f t="shared" si="412"/>
        <v>79840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>SUM(FH134:FN134)+(IF(F134="YES",50000,0))</f>
        <v>0</v>
      </c>
      <c r="FP134">
        <f t="shared" si="413"/>
        <v>79840</v>
      </c>
      <c r="FQ134">
        <f t="shared" si="414"/>
        <v>-8508</v>
      </c>
      <c r="FR134">
        <f t="shared" si="415"/>
        <v>0</v>
      </c>
      <c r="FS134">
        <f t="shared" si="416"/>
        <v>-8508</v>
      </c>
      <c r="FT134">
        <f t="shared" si="417"/>
        <v>0</v>
      </c>
      <c r="FU134">
        <f t="shared" si="418"/>
        <v>0</v>
      </c>
      <c r="FV134">
        <f t="shared" si="419"/>
        <v>0</v>
      </c>
      <c r="FW134">
        <v>1</v>
      </c>
      <c r="FX134">
        <f t="shared" si="420"/>
        <v>-1</v>
      </c>
      <c r="FY134" t="b">
        <f t="shared" si="421"/>
        <v>0</v>
      </c>
      <c r="FZ134">
        <f t="shared" ca="1" si="422"/>
        <v>1192</v>
      </c>
      <c r="GA134">
        <f t="shared" ca="1" si="423"/>
        <v>131632</v>
      </c>
      <c r="GB134">
        <f t="shared" si="424"/>
        <v>75000</v>
      </c>
      <c r="GC134">
        <f t="shared" ca="1" si="425"/>
        <v>56632</v>
      </c>
      <c r="GD134">
        <f t="shared" ca="1" si="426"/>
        <v>0</v>
      </c>
      <c r="GE134">
        <f t="shared" ca="1" si="427"/>
        <v>0</v>
      </c>
      <c r="GF134">
        <f t="shared" ca="1" si="428"/>
        <v>0</v>
      </c>
      <c r="GG134">
        <f t="shared" ca="1" si="429"/>
        <v>0</v>
      </c>
      <c r="GH134">
        <f t="shared" ca="1" si="430"/>
        <v>0</v>
      </c>
      <c r="GI134">
        <f t="shared" ca="1" si="431"/>
        <v>0</v>
      </c>
      <c r="GJ134">
        <f ca="1">IF(GC134&gt;1200000,GC134-1200000-IF(F134="YES",50000,0)-GH134,0)</f>
        <v>0</v>
      </c>
      <c r="GK134">
        <f t="shared" ca="1" si="432"/>
        <v>0</v>
      </c>
      <c r="GL134">
        <f t="shared" ca="1" si="433"/>
        <v>0</v>
      </c>
      <c r="GM134">
        <f t="shared" ca="1" si="434"/>
        <v>0</v>
      </c>
      <c r="GN134">
        <f t="shared" ca="1" si="435"/>
        <v>0</v>
      </c>
      <c r="GO134">
        <f t="shared" ca="1" si="436"/>
        <v>0</v>
      </c>
      <c r="GP134">
        <f t="shared" ca="1" si="437"/>
        <v>0</v>
      </c>
      <c r="GQ134">
        <f t="shared" ca="1" si="438"/>
        <v>0</v>
      </c>
      <c r="GR134">
        <f t="shared" ca="1" si="439"/>
        <v>0</v>
      </c>
      <c r="GS134">
        <f t="shared" ca="1" si="440"/>
        <v>0</v>
      </c>
      <c r="GT134">
        <f t="shared" ca="1" si="441"/>
        <v>0</v>
      </c>
      <c r="GU134" t="b">
        <f t="shared" ca="1" si="442"/>
        <v>0</v>
      </c>
      <c r="GV134">
        <f t="shared" ca="1" si="443"/>
        <v>0</v>
      </c>
      <c r="GW134">
        <f t="shared" ca="1" si="444"/>
        <v>0</v>
      </c>
      <c r="GX134">
        <f t="shared" ca="1" si="445"/>
        <v>0</v>
      </c>
      <c r="GY134">
        <f t="shared" ca="1" si="446"/>
        <v>0</v>
      </c>
      <c r="GZ134">
        <f t="shared" ca="1" si="447"/>
        <v>0</v>
      </c>
    </row>
    <row r="135" spans="1:208" x14ac:dyDescent="0.25">
      <c r="A135">
        <f>_xlfn.AGGREGATE(3,5,$B$2:B135)</f>
        <v>134</v>
      </c>
      <c r="B135" t="s">
        <v>378</v>
      </c>
      <c r="C135" t="s">
        <v>379</v>
      </c>
      <c r="D135" t="s">
        <v>787</v>
      </c>
      <c r="E135" t="s">
        <v>832</v>
      </c>
      <c r="F135" t="s">
        <v>957</v>
      </c>
      <c r="G135" t="s">
        <v>878</v>
      </c>
      <c r="H135">
        <f t="shared" ref="H135:H166" si="449">IF(_xlfn.DAYS("31-03-2025",G135)&gt;=180,6800,0)</f>
        <v>6800</v>
      </c>
      <c r="I135">
        <f>_xlfn.XLOOKUP(B135,'[1]march-2025'!$A:$A,'[1]march-2025'!$J:$J,0,0)</f>
        <v>0</v>
      </c>
      <c r="J135">
        <f>_xlfn.XLOOKUP(B135,'[1]march-2025'!$A:$A,'[1]march-2025'!$C:$C,0,0)</f>
        <v>35500</v>
      </c>
      <c r="K135">
        <f t="shared" si="364"/>
        <v>4970.0000000000009</v>
      </c>
      <c r="L135">
        <f t="shared" si="365"/>
        <v>4260</v>
      </c>
      <c r="M135">
        <f>_xlfn.XLOOKUP(B135,'[1]march-2025'!$A:$A,'[1]march-2025'!$D:$D,0,0)</f>
        <v>400</v>
      </c>
      <c r="N135">
        <f>_xlfn.XLOOKUP(B135,'[1]march-2025'!$A:$A,'[1]march-2025'!$G:$G,0,0)</f>
        <v>500</v>
      </c>
      <c r="O135">
        <f>IF(J135&gt;0,SUM(J135:N135),0)</f>
        <v>45630</v>
      </c>
      <c r="P135">
        <f>_xlfn.XLOOKUP(B135,'[1]march-2025'!$A:$A,'[1]march-2025'!$H:$H,0,0)</f>
        <v>5000</v>
      </c>
      <c r="Q135">
        <f>_xlfn.XLOOKUP(B135,'[1]march-2025'!$A:$A,'[1]march-2025'!$I:$I,0,0)</f>
        <v>0</v>
      </c>
      <c r="R135">
        <f t="shared" si="448"/>
        <v>200</v>
      </c>
      <c r="S135">
        <f t="shared" si="357"/>
        <v>40430</v>
      </c>
      <c r="T135">
        <f>_xlfn.XLOOKUP(B135,'[2]april-2025'!$A:$A,'[2]april-2025'!$C:$C,0,0)</f>
        <v>35500</v>
      </c>
      <c r="U135">
        <f t="shared" si="366"/>
        <v>6390</v>
      </c>
      <c r="V135">
        <f t="shared" si="367"/>
        <v>4260</v>
      </c>
      <c r="W135">
        <f>_xlfn.XLOOKUP(B135,'[2]april-2025'!$A:$A,'[2]april-2025'!$D:$D,0,0)</f>
        <v>400</v>
      </c>
      <c r="X135">
        <f>_xlfn.XLOOKUP(B135,'[2]april-2025'!$A:$A,'[2]april-2025'!$G:$G,0,0)</f>
        <v>500</v>
      </c>
      <c r="Y135">
        <f t="shared" si="358"/>
        <v>47050</v>
      </c>
      <c r="Z135">
        <f>_xlfn.XLOOKUP(B135,'[2]april-2025'!$A:$A,'[2]april-2025'!$H:$H,0,0)</f>
        <v>5000</v>
      </c>
      <c r="AA135">
        <f>_xlfn.XLOOKUP(B135,'[2]april-2025'!$A:$A,'[2]april-2025'!$I:$I,0,0)</f>
        <v>0</v>
      </c>
      <c r="AB135">
        <f t="shared" si="368"/>
        <v>200</v>
      </c>
      <c r="AC135">
        <f t="shared" si="369"/>
        <v>41850</v>
      </c>
      <c r="AD135">
        <f>_xlfn.XLOOKUP(B135,'[3]may-2025'!$A:$A,'[3]may-2025'!$C:$C,0,0)</f>
        <v>35500</v>
      </c>
      <c r="AE135">
        <f t="shared" si="370"/>
        <v>6390</v>
      </c>
      <c r="AF135">
        <f t="shared" si="371"/>
        <v>4260</v>
      </c>
      <c r="AG135">
        <f>_xlfn.XLOOKUP(B135,'[3]may-2025'!$A:$A,'[3]may-2025'!$D:$D,0,0)</f>
        <v>400</v>
      </c>
      <c r="AH135">
        <f>_xlfn.XLOOKUP(B135,'[3]may-2025'!$A:$A,'[3]may-2025'!$G:$G,0,0)</f>
        <v>500</v>
      </c>
      <c r="AI135">
        <f t="shared" si="359"/>
        <v>47050</v>
      </c>
      <c r="AJ135">
        <f>_xlfn.XLOOKUP(B135,'[3]may-2025'!$A:$A,'[3]may-2025'!$H:$H,0,0)</f>
        <v>5000</v>
      </c>
      <c r="AK135">
        <f>_xlfn.XLOOKUP(B135,'[3]may-2025'!$A:$A,'[3]may-2025'!$I:$I,0,0)</f>
        <v>0</v>
      </c>
      <c r="AL135">
        <f t="shared" si="372"/>
        <v>200</v>
      </c>
      <c r="AM135">
        <f t="shared" si="373"/>
        <v>41850</v>
      </c>
      <c r="AN135">
        <f>_xlfn.XLOOKUP(B135,'[4]june-2025'!$A:$A,'[4]june-2025'!$C:$C,0,0)</f>
        <v>35500</v>
      </c>
      <c r="AO135">
        <f t="shared" si="374"/>
        <v>6390</v>
      </c>
      <c r="AP135">
        <f t="shared" si="375"/>
        <v>4260</v>
      </c>
      <c r="AQ135">
        <f>_xlfn.XLOOKUP(B135,'[4]june-2025'!$A:$A,'[4]june-2025'!$D:$D,0,0)</f>
        <v>400</v>
      </c>
      <c r="AR135">
        <f>_xlfn.XLOOKUP(B135,'[4]june-2025'!$A:$A,'[4]june-2025'!$G:$G,0,0)</f>
        <v>500</v>
      </c>
      <c r="AS135">
        <f t="shared" si="360"/>
        <v>47050</v>
      </c>
      <c r="AT135">
        <f>_xlfn.XLOOKUP(B135,'[4]june-2025'!$A:$A,'[4]june-2025'!$H:$H,0,0)</f>
        <v>5000</v>
      </c>
      <c r="AU135">
        <f>_xlfn.XLOOKUP(B135,'[4]june-2025'!$A:$A,'[4]june-2025'!$I:$I,0,0)</f>
        <v>0</v>
      </c>
      <c r="AV135">
        <f t="shared" si="376"/>
        <v>200</v>
      </c>
      <c r="AW135">
        <f t="shared" si="377"/>
        <v>41850</v>
      </c>
      <c r="AX135">
        <f>_xlfn.XLOOKUP(B135,'[5]july-2025'!$A:$A,'[5]july-2025'!$C:$C,0,0)</f>
        <v>36600</v>
      </c>
      <c r="AY135">
        <f t="shared" si="378"/>
        <v>6588</v>
      </c>
      <c r="AZ135">
        <v>0</v>
      </c>
      <c r="BA135">
        <f t="shared" si="379"/>
        <v>4392</v>
      </c>
      <c r="BB135">
        <f>_xlfn.XLOOKUP(B135,'[5]july-2025'!$A:$A,'[5]july-2025'!$D:$D,0,0)</f>
        <v>400</v>
      </c>
      <c r="BC135">
        <f>_xlfn.XLOOKUP(B135,'[5]july-2025'!$A:$A,'[5]july-2025'!$G:$G,0,0)</f>
        <v>500</v>
      </c>
      <c r="BD135">
        <f>IF(AX135&gt;0,SUM(AX135:BC135),0)</f>
        <v>48480</v>
      </c>
      <c r="BE135">
        <f>_xlfn.XLOOKUP(B135,'[5]july-2025'!$A:$A,'[5]july-2025'!$H:$H,0,0)</f>
        <v>5000</v>
      </c>
      <c r="BF135">
        <f>_xlfn.XLOOKUP(B135,'[5]july-2025'!$A:$A,'[5]july-2025'!$I:$I,0,0)</f>
        <v>0</v>
      </c>
      <c r="BG135">
        <f t="shared" si="380"/>
        <v>200</v>
      </c>
      <c r="BH135">
        <f t="shared" si="381"/>
        <v>43280</v>
      </c>
      <c r="BI135">
        <f>_xlfn.XLOOKUP(B135,'[6]august-2025'!$A:$A,'[6]august-2025'!$C:$C,0,0)</f>
        <v>36600</v>
      </c>
      <c r="BJ135">
        <f t="shared" si="382"/>
        <v>6588</v>
      </c>
      <c r="BK135">
        <f t="shared" si="383"/>
        <v>4392</v>
      </c>
      <c r="BL135">
        <f>_xlfn.XLOOKUP(B135,'[6]august-2025'!$A:$A,'[6]august-2025'!$D:$D,0,0)</f>
        <v>400</v>
      </c>
      <c r="BM135">
        <f>_xlfn.XLOOKUP(B135,'[6]august-2025'!$A:$A,'[6]august-2025'!$G:$G,0,0)</f>
        <v>500</v>
      </c>
      <c r="BN135">
        <f t="shared" si="384"/>
        <v>48480</v>
      </c>
      <c r="BO135">
        <f>_xlfn.XLOOKUP(B135,'[6]august-2025'!$A:$A,'[6]august-2025'!$H:$H,0,0)</f>
        <v>5000</v>
      </c>
      <c r="BP135">
        <f>_xlfn.XLOOKUP(B135,'[6]august-2025'!$A:$A,'[6]august-2025'!$I:$I,0,0)</f>
        <v>0</v>
      </c>
      <c r="BQ135">
        <f>IF($F135="YES",0,IF(BN135&gt;40000,200,IF(BN135&gt;25000,150,IF(BN135&gt;15000,130,IF(BN135&gt;10000,110,0)))))</f>
        <v>200</v>
      </c>
      <c r="BR135">
        <f>BN135-BO135-BP135-BQ135</f>
        <v>43280</v>
      </c>
      <c r="BS135">
        <f>_xlfn.XLOOKUP(B135,'[7]september-2025'!$A:$A,'[7]september-2025'!$C:$C,0,0)</f>
        <v>36600</v>
      </c>
      <c r="BT135">
        <f t="shared" si="385"/>
        <v>6588</v>
      </c>
      <c r="BU135">
        <f t="shared" si="386"/>
        <v>4392</v>
      </c>
      <c r="BV135">
        <f>_xlfn.XLOOKUP(B135,'[7]september-2025'!$A:$A,'[7]september-2025'!$D:$D,0,0)</f>
        <v>400</v>
      </c>
      <c r="BW135">
        <f>_xlfn.XLOOKUP(B135,'[7]september-2025'!$A:$A,'[7]september-2025'!$G:$G,0,0)</f>
        <v>500</v>
      </c>
      <c r="BX135">
        <f>IF(BS135&gt;0,SUM(BS135:BW135),0)</f>
        <v>48480</v>
      </c>
      <c r="BY135">
        <f>_xlfn.XLOOKUP(B135,'[7]september-2025'!$A:$A,'[7]september-2025'!$H:$H,0,0)</f>
        <v>5000</v>
      </c>
      <c r="BZ135">
        <f>_xlfn.XLOOKUP(B135,'[7]september-2025'!$A:$A,'[7]september-2025'!$I:$I,0,0)</f>
        <v>0</v>
      </c>
      <c r="CA135">
        <f t="shared" si="387"/>
        <v>200</v>
      </c>
      <c r="CB135">
        <f t="shared" si="388"/>
        <v>43280</v>
      </c>
      <c r="CC135">
        <f>_xlfn.XLOOKUP(B135,'[8]october-2025'!$A:$A,'[8]october-2025'!$C:$C,0,0)</f>
        <v>36600</v>
      </c>
      <c r="CD135">
        <f t="shared" si="389"/>
        <v>6588</v>
      </c>
      <c r="CE135">
        <f t="shared" si="390"/>
        <v>4392</v>
      </c>
      <c r="CF135">
        <f>_xlfn.XLOOKUP(B135,'[8]october-2025'!$A:$A,'[8]october-2025'!$D:$D,0,0)</f>
        <v>400</v>
      </c>
      <c r="CG135">
        <f>_xlfn.XLOOKUP(B135,'[8]october-2025'!$A:$A,'[8]october-2025'!$G:$G,0,0)</f>
        <v>500</v>
      </c>
      <c r="CH135">
        <f>IF(CC135&gt;0,SUM(CC135:CG135),0)</f>
        <v>48480</v>
      </c>
      <c r="CI135">
        <f>_xlfn.XLOOKUP(B135,'[8]october-2025'!$A:$A,'[8]october-2025'!$H:$H,0,0)</f>
        <v>5000</v>
      </c>
      <c r="CJ135">
        <f>_xlfn.XLOOKUP(B135,'[8]october-2025'!$A:$A,'[8]october-2025'!$I:$I,0,0)</f>
        <v>0</v>
      </c>
      <c r="CK135">
        <f t="shared" si="391"/>
        <v>200</v>
      </c>
      <c r="CL135">
        <f t="shared" si="392"/>
        <v>43280</v>
      </c>
      <c r="CM135">
        <f>_xlfn.XLOOKUP(B135,'[9]november-2025'!$A:$A,'[9]november-2025'!$C:$C,0,0)</f>
        <v>36600</v>
      </c>
      <c r="CN135">
        <f t="shared" si="393"/>
        <v>6588</v>
      </c>
      <c r="CO135">
        <f t="shared" si="394"/>
        <v>4392</v>
      </c>
      <c r="CP135">
        <f>_xlfn.XLOOKUP(B135,'[9]november-2025'!$A:$A,'[9]november-2025'!$D:$D,0,0)</f>
        <v>400</v>
      </c>
      <c r="CQ135">
        <f>_xlfn.XLOOKUP(B135,'[9]november-2025'!$A:$A,'[9]november-2025'!$G:$G,0,0)</f>
        <v>500</v>
      </c>
      <c r="CR135">
        <f>IF(CM135&gt;0,SUM(CM135:CQ135),0)</f>
        <v>48480</v>
      </c>
      <c r="CS135">
        <f>_xlfn.XLOOKUP(B135,'[9]november-2025'!$A:$A,'[9]november-2025'!$H:$H,0,0)</f>
        <v>5000</v>
      </c>
      <c r="CT135">
        <f>_xlfn.XLOOKUP(B135,'[9]november-2025'!$A:$A,'[9]november-2025'!$I:$I,0,0)</f>
        <v>0</v>
      </c>
      <c r="CU135">
        <f t="shared" si="395"/>
        <v>200</v>
      </c>
      <c r="CV135">
        <f t="shared" si="396"/>
        <v>43280</v>
      </c>
      <c r="CW135">
        <f>_xlfn.XLOOKUP(B135,'[10]december-2025'!$A:$A,'[10]december-2025'!$C:$C,0,0)</f>
        <v>36600</v>
      </c>
      <c r="CX135">
        <f t="shared" si="397"/>
        <v>6588</v>
      </c>
      <c r="CY135">
        <f t="shared" si="398"/>
        <v>4392</v>
      </c>
      <c r="CZ135">
        <f>_xlfn.XLOOKUP(B135,'[10]december-2025'!$A:$A,'[10]december-2025'!$D:$D,0,0)</f>
        <v>400</v>
      </c>
      <c r="DA135">
        <f>_xlfn.XLOOKUP(B135,'[10]december-2025'!$A:$A,'[10]december-2025'!$G:$G,0,0)</f>
        <v>500</v>
      </c>
      <c r="DB135">
        <f>IF(CW135&gt;0,SUM(CW135:DA135),0)</f>
        <v>48480</v>
      </c>
      <c r="DC135">
        <f>_xlfn.XLOOKUP(B135,'[10]december-2025'!$A:$A,'[10]december-2025'!$H:$H,0,0)</f>
        <v>5000</v>
      </c>
      <c r="DD135">
        <f>_xlfn.XLOOKUP(B135,'[10]december-2025'!$A:$A,'[10]december-2025'!$I:$I,0,0)</f>
        <v>0</v>
      </c>
      <c r="DE135">
        <f t="shared" si="399"/>
        <v>200</v>
      </c>
      <c r="DF135">
        <f t="shared" si="400"/>
        <v>43280</v>
      </c>
      <c r="DG135">
        <f>_xlfn.XLOOKUP(B135,'[11]january-2026'!$A:$A,'[11]january-2026'!$C:$C,0,0)</f>
        <v>36600</v>
      </c>
      <c r="DH135">
        <f t="shared" si="401"/>
        <v>6588</v>
      </c>
      <c r="DI135">
        <f t="shared" si="402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>IF(DG135&gt;0,SUM(DG135:DK135),0)</f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03"/>
        <v>200</v>
      </c>
      <c r="DP135">
        <f t="shared" si="404"/>
        <v>43280</v>
      </c>
      <c r="DQ135">
        <f>_xlfn.XLOOKUP(B135,'[12]february-2026'!$A:$A,'[12]february-2026'!$C:$C,0,0)</f>
        <v>36600</v>
      </c>
      <c r="DR135">
        <f t="shared" si="405"/>
        <v>6588</v>
      </c>
      <c r="DS135">
        <f t="shared" si="406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>IF(DQ135&gt;0,SUM(DQ135:DU135),0)</f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07"/>
        <v>200</v>
      </c>
      <c r="DZ135">
        <f t="shared" si="408"/>
        <v>43280</v>
      </c>
      <c r="EA135">
        <f>_xlfn.XLOOKUP(B135,'[1]march-2025'!$A:$A,'[1]march-2025'!$J:$J,0,0)</f>
        <v>0</v>
      </c>
      <c r="EB135">
        <f>_xlfn.XLOOKUP(B135,'[2]april-2025'!$A:$A,'[2]april-2025'!$J:$J,0,0)</f>
        <v>0</v>
      </c>
      <c r="EC135">
        <f>_xlfn.XLOOKUP(B135,'[3]may-2025'!$A:$A,'[3]may-2025'!$J:$J,0,0)</f>
        <v>0</v>
      </c>
      <c r="ED135">
        <f>_xlfn.XLOOKUP(B135,'[4]june-2025'!$A:$A,'[4]june-2025'!$J:$J,0,0)</f>
        <v>0</v>
      </c>
      <c r="EE135">
        <f>_xlfn.XLOOKUP(B135,'[5]july-2025'!$A:$A,'[5]july-2025'!$J:$J,0,0)</f>
        <v>0</v>
      </c>
      <c r="EF135">
        <f>_xlfn.XLOOKUP(B135,'[6]august-2025'!$A:$A,'[6]august-2025'!$J:$J,0,0)</f>
        <v>0</v>
      </c>
      <c r="EG135">
        <f>_xlfn.XLOOKUP(B135,'[7]september-2025'!$A:$A,'[7]september-2025'!$J:$J,0,0)</f>
        <v>0</v>
      </c>
      <c r="EH135">
        <f>_xlfn.XLOOKUP(B135,'[8]october-2025'!$A:$A,'[8]october-2025'!$J:$J,0,0)</f>
        <v>0</v>
      </c>
      <c r="EI135">
        <f>_xlfn.XLOOKUP(C135,'[9]november-2025'!$A:$A,'[9]november-2025'!$J:$J,0,0)</f>
        <v>0</v>
      </c>
      <c r="EJ135">
        <f>_xlfn.XLOOKUP(B135,'[10]december-2025'!$A:$A,'[10]december-2025'!$J:$J,0,0)</f>
        <v>0</v>
      </c>
      <c r="EK135">
        <f>_xlfn.XLOOKUP(B135,'[11]january-2026'!$A:$A,'[11]january-2026'!$J:$J,0,0)</f>
        <v>0</v>
      </c>
      <c r="EL135">
        <f>_xlfn.XLOOKUP(B135,'[12]february-2026'!$A:$A,'[12]february-2026'!$J:$J,0,0)</f>
        <v>0</v>
      </c>
      <c r="EM135">
        <f t="shared" si="361"/>
        <v>0</v>
      </c>
      <c r="EN135">
        <f>DV135+DL135+DB135+CR135+CH135+BX135+BN135+BD135+AS135+AI135+Y135+O135+H135+I135</f>
        <v>581420</v>
      </c>
      <c r="EO135">
        <f>DY135+DO135+DE135+CU135+CK135+CA135+BQ135+BG135+AV135+AL135+AB135+R135</f>
        <v>2400</v>
      </c>
      <c r="EP135">
        <f t="shared" si="409"/>
        <v>50000</v>
      </c>
      <c r="EQ135">
        <v>0</v>
      </c>
      <c r="ER135">
        <f t="shared" si="362"/>
        <v>529020</v>
      </c>
      <c r="ES135">
        <f>DW135+DM135+DC135+CS135+CI135+BY135+BO135+BE135+AT135+AJ135+Z135+P135</f>
        <v>60000</v>
      </c>
      <c r="ET135">
        <f>DX135+DN135+DD135+CT135+CJ135+BZ135+BP135+BF135+AU135+AK135+AA135+Q135</f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si="410"/>
        <v>60000</v>
      </c>
      <c r="FF135">
        <f t="shared" si="411"/>
        <v>60000</v>
      </c>
      <c r="FG135">
        <f t="shared" si="412"/>
        <v>469020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>SUM(FH135:FN135)+(IF(F135="YES",50000,0))</f>
        <v>0</v>
      </c>
      <c r="FP135">
        <f t="shared" si="413"/>
        <v>469020</v>
      </c>
      <c r="FQ135">
        <f t="shared" si="414"/>
        <v>10951</v>
      </c>
      <c r="FR135">
        <f t="shared" si="415"/>
        <v>0</v>
      </c>
      <c r="FS135">
        <f t="shared" si="416"/>
        <v>10951</v>
      </c>
      <c r="FT135">
        <f t="shared" si="417"/>
        <v>0</v>
      </c>
      <c r="FU135">
        <f t="shared" si="418"/>
        <v>0</v>
      </c>
      <c r="FV135">
        <f t="shared" si="419"/>
        <v>0</v>
      </c>
      <c r="FW135">
        <v>0</v>
      </c>
      <c r="FX135">
        <f t="shared" si="420"/>
        <v>0</v>
      </c>
      <c r="FY135" t="b">
        <f t="shared" si="421"/>
        <v>1</v>
      </c>
      <c r="FZ135">
        <f t="shared" ca="1" si="422"/>
        <v>836</v>
      </c>
      <c r="GA135">
        <f t="shared" ca="1" si="423"/>
        <v>582256</v>
      </c>
      <c r="GB135">
        <f t="shared" si="424"/>
        <v>75000</v>
      </c>
      <c r="GC135">
        <f t="shared" ca="1" si="425"/>
        <v>507256</v>
      </c>
      <c r="GD135">
        <f t="shared" ca="1" si="426"/>
        <v>0</v>
      </c>
      <c r="GE135">
        <f t="shared" ca="1" si="427"/>
        <v>0</v>
      </c>
      <c r="GF135">
        <f t="shared" ca="1" si="428"/>
        <v>0</v>
      </c>
      <c r="GG135">
        <f t="shared" ca="1" si="429"/>
        <v>0</v>
      </c>
      <c r="GH135">
        <f t="shared" ca="1" si="430"/>
        <v>0</v>
      </c>
      <c r="GI135">
        <f t="shared" ca="1" si="431"/>
        <v>0</v>
      </c>
      <c r="GJ135">
        <f ca="1">IF(GC135&gt;1200000,GC135-1200000-IF(F135="YES",50000,0)-GH135,0)</f>
        <v>0</v>
      </c>
      <c r="GK135">
        <f t="shared" ca="1" si="432"/>
        <v>0</v>
      </c>
      <c r="GL135">
        <f t="shared" ca="1" si="433"/>
        <v>0</v>
      </c>
      <c r="GM135">
        <f t="shared" ca="1" si="434"/>
        <v>0</v>
      </c>
      <c r="GN135">
        <f t="shared" ca="1" si="435"/>
        <v>107256</v>
      </c>
      <c r="GO135">
        <f t="shared" ca="1" si="436"/>
        <v>5362.8</v>
      </c>
      <c r="GP135">
        <f t="shared" ca="1" si="437"/>
        <v>5363</v>
      </c>
      <c r="GQ135">
        <f t="shared" ca="1" si="438"/>
        <v>0</v>
      </c>
      <c r="GR135">
        <f t="shared" ca="1" si="439"/>
        <v>0</v>
      </c>
      <c r="GS135">
        <f t="shared" ca="1" si="440"/>
        <v>5363</v>
      </c>
      <c r="GT135">
        <f t="shared" ca="1" si="441"/>
        <v>0</v>
      </c>
      <c r="GU135" t="b">
        <f t="shared" ca="1" si="442"/>
        <v>0</v>
      </c>
      <c r="GV135">
        <f t="shared" ca="1" si="443"/>
        <v>0</v>
      </c>
      <c r="GW135">
        <f t="shared" ca="1" si="444"/>
        <v>5363</v>
      </c>
      <c r="GX135">
        <f t="shared" ca="1" si="445"/>
        <v>0</v>
      </c>
      <c r="GY135">
        <f t="shared" ca="1" si="446"/>
        <v>0</v>
      </c>
      <c r="GZ135">
        <f t="shared" ca="1" si="447"/>
        <v>0</v>
      </c>
    </row>
    <row r="136" spans="1:208" x14ac:dyDescent="0.25">
      <c r="A136">
        <f>_xlfn.AGGREGATE(3,5,$B$2:B136)</f>
        <v>135</v>
      </c>
      <c r="B136" t="s">
        <v>380</v>
      </c>
      <c r="C136" t="s">
        <v>381</v>
      </c>
      <c r="D136" t="s">
        <v>787</v>
      </c>
      <c r="E136" t="s">
        <v>831</v>
      </c>
      <c r="F136" t="s">
        <v>957</v>
      </c>
      <c r="G136" t="s">
        <v>881</v>
      </c>
      <c r="H136">
        <f t="shared" si="449"/>
        <v>6800</v>
      </c>
      <c r="I136">
        <f>_xlfn.XLOOKUP(B136,'[1]march-2025'!$A:$A,'[1]march-2025'!$J:$J,0,0)</f>
        <v>0</v>
      </c>
      <c r="J136">
        <f>_xlfn.XLOOKUP(B136,'[1]march-2025'!$A:$A,'[1]march-2025'!$C:$C,0,0)</f>
        <v>28900</v>
      </c>
      <c r="K136">
        <f t="shared" si="364"/>
        <v>4046.0000000000005</v>
      </c>
      <c r="L136">
        <f t="shared" si="365"/>
        <v>3468</v>
      </c>
      <c r="M136">
        <f>_xlfn.XLOOKUP(B136,'[1]march-2025'!$A:$A,'[1]march-2025'!$D:$D,0,0)</f>
        <v>0</v>
      </c>
      <c r="N136">
        <f>_xlfn.XLOOKUP(B136,'[1]march-2025'!$A:$A,'[1]march-2025'!$G:$G,0,0)</f>
        <v>500</v>
      </c>
      <c r="O136">
        <f>IF(J136&gt;0,SUM(J136:N136),0)</f>
        <v>36914</v>
      </c>
      <c r="P136">
        <f>_xlfn.XLOOKUP(B136,'[1]march-2025'!$A:$A,'[1]march-2025'!$H:$H,0,0)</f>
        <v>2000</v>
      </c>
      <c r="Q136">
        <f>_xlfn.XLOOKUP(B136,'[1]march-2025'!$A:$A,'[1]march-2025'!$I:$I,0,0)</f>
        <v>0</v>
      </c>
      <c r="R136">
        <f t="shared" si="448"/>
        <v>150</v>
      </c>
      <c r="S136">
        <f t="shared" si="357"/>
        <v>34764</v>
      </c>
      <c r="T136">
        <f>_xlfn.XLOOKUP(B136,'[2]april-2025'!$A:$A,'[2]april-2025'!$C:$C,0,0)</f>
        <v>28900</v>
      </c>
      <c r="U136">
        <f t="shared" si="366"/>
        <v>5202</v>
      </c>
      <c r="V136">
        <f t="shared" si="367"/>
        <v>3468</v>
      </c>
      <c r="W136">
        <f>_xlfn.XLOOKUP(B136,'[2]april-2025'!$A:$A,'[2]april-2025'!$D:$D,0,0)</f>
        <v>0</v>
      </c>
      <c r="X136">
        <f>_xlfn.XLOOKUP(B136,'[2]april-2025'!$A:$A,'[2]april-2025'!$G:$G,0,0)</f>
        <v>500</v>
      </c>
      <c r="Y136">
        <f t="shared" si="358"/>
        <v>38070</v>
      </c>
      <c r="Z136">
        <f>_xlfn.XLOOKUP(B136,'[2]april-2025'!$A:$A,'[2]april-2025'!$H:$H,0,0)</f>
        <v>2000</v>
      </c>
      <c r="AA136">
        <f>_xlfn.XLOOKUP(B136,'[2]april-2025'!$A:$A,'[2]april-2025'!$I:$I,0,0)</f>
        <v>0</v>
      </c>
      <c r="AB136">
        <f t="shared" si="368"/>
        <v>150</v>
      </c>
      <c r="AC136">
        <f t="shared" si="369"/>
        <v>35920</v>
      </c>
      <c r="AD136">
        <f>_xlfn.XLOOKUP(B136,'[3]may-2025'!$A:$A,'[3]may-2025'!$C:$C,0,0)</f>
        <v>28900</v>
      </c>
      <c r="AE136">
        <f t="shared" si="370"/>
        <v>5202</v>
      </c>
      <c r="AF136">
        <f t="shared" si="371"/>
        <v>3468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359"/>
        <v>38070</v>
      </c>
      <c r="AJ136">
        <f>_xlfn.XLOOKUP(B136,'[3]may-2025'!$A:$A,'[3]may-2025'!$H:$H,0,0)</f>
        <v>2000</v>
      </c>
      <c r="AK136">
        <f>_xlfn.XLOOKUP(B136,'[3]may-2025'!$A:$A,'[3]may-2025'!$I:$I,0,0)</f>
        <v>0</v>
      </c>
      <c r="AL136">
        <f t="shared" si="372"/>
        <v>150</v>
      </c>
      <c r="AM136">
        <f t="shared" si="373"/>
        <v>35920</v>
      </c>
      <c r="AN136">
        <f>_xlfn.XLOOKUP(B136,'[4]june-2025'!$A:$A,'[4]june-2025'!$C:$C,0,0)</f>
        <v>28900</v>
      </c>
      <c r="AO136">
        <f t="shared" si="374"/>
        <v>5202</v>
      </c>
      <c r="AP136">
        <f t="shared" si="375"/>
        <v>3468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360"/>
        <v>38070</v>
      </c>
      <c r="AT136">
        <f>_xlfn.XLOOKUP(B136,'[4]june-2025'!$A:$A,'[4]june-2025'!$H:$H,0,0)</f>
        <v>2000</v>
      </c>
      <c r="AU136">
        <f>_xlfn.XLOOKUP(B136,'[4]june-2025'!$A:$A,'[4]june-2025'!$I:$I,0,0)</f>
        <v>0</v>
      </c>
      <c r="AV136">
        <f t="shared" si="376"/>
        <v>150</v>
      </c>
      <c r="AW136">
        <f t="shared" si="377"/>
        <v>35920</v>
      </c>
      <c r="AX136">
        <f>_xlfn.XLOOKUP(B136,'[5]july-2025'!$A:$A,'[5]july-2025'!$C:$C,0,0)</f>
        <v>29800</v>
      </c>
      <c r="AY136">
        <f t="shared" si="378"/>
        <v>5364</v>
      </c>
      <c r="AZ136">
        <v>0</v>
      </c>
      <c r="BA136">
        <f t="shared" si="379"/>
        <v>3576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>IF(AX136&gt;0,SUM(AX136:BC136),0)</f>
        <v>39240</v>
      </c>
      <c r="BE136">
        <f>_xlfn.XLOOKUP(B136,'[5]july-2025'!$A:$A,'[5]july-2025'!$H:$H,0,0)</f>
        <v>2000</v>
      </c>
      <c r="BF136">
        <f>_xlfn.XLOOKUP(B136,'[5]july-2025'!$A:$A,'[5]july-2025'!$I:$I,0,0)</f>
        <v>0</v>
      </c>
      <c r="BG136">
        <f t="shared" si="380"/>
        <v>150</v>
      </c>
      <c r="BH136">
        <f t="shared" si="381"/>
        <v>37090</v>
      </c>
      <c r="BI136">
        <f>_xlfn.XLOOKUP(B136,'[6]august-2025'!$A:$A,'[6]august-2025'!$C:$C,0,0)</f>
        <v>29800</v>
      </c>
      <c r="BJ136">
        <f t="shared" si="382"/>
        <v>5364</v>
      </c>
      <c r="BK136">
        <f t="shared" si="383"/>
        <v>3576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384"/>
        <v>39240</v>
      </c>
      <c r="BO136">
        <f>_xlfn.XLOOKUP(B136,'[6]august-2025'!$A:$A,'[6]august-2025'!$H:$H,0,0)</f>
        <v>2000</v>
      </c>
      <c r="BP136">
        <f>_xlfn.XLOOKUP(B136,'[6]august-2025'!$A:$A,'[6]august-2025'!$I:$I,0,0)</f>
        <v>0</v>
      </c>
      <c r="BQ136">
        <f>IF($F136="YES",0,IF(BN136&gt;40000,200,IF(BN136&gt;25000,150,IF(BN136&gt;15000,130,IF(BN136&gt;10000,110,0)))))</f>
        <v>150</v>
      </c>
      <c r="BR136">
        <f>BN136-BO136-BP136-BQ136</f>
        <v>37090</v>
      </c>
      <c r="BS136">
        <f>_xlfn.XLOOKUP(B136,'[7]september-2025'!$A:$A,'[7]september-2025'!$C:$C,0,0)</f>
        <v>29800</v>
      </c>
      <c r="BT136">
        <f t="shared" si="385"/>
        <v>5364</v>
      </c>
      <c r="BU136">
        <f t="shared" si="386"/>
        <v>3576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>IF(BS136&gt;0,SUM(BS136:BW136),0)</f>
        <v>39240</v>
      </c>
      <c r="BY136">
        <f>_xlfn.XLOOKUP(B136,'[7]september-2025'!$A:$A,'[7]september-2025'!$H:$H,0,0)</f>
        <v>2000</v>
      </c>
      <c r="BZ136">
        <f>_xlfn.XLOOKUP(B136,'[7]september-2025'!$A:$A,'[7]september-2025'!$I:$I,0,0)</f>
        <v>0</v>
      </c>
      <c r="CA136">
        <f t="shared" si="387"/>
        <v>150</v>
      </c>
      <c r="CB136">
        <f t="shared" si="388"/>
        <v>37090</v>
      </c>
      <c r="CC136">
        <f>_xlfn.XLOOKUP(B136,'[8]october-2025'!$A:$A,'[8]october-2025'!$C:$C,0,0)</f>
        <v>29800</v>
      </c>
      <c r="CD136">
        <f t="shared" si="389"/>
        <v>5364</v>
      </c>
      <c r="CE136">
        <f t="shared" si="390"/>
        <v>3576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>IF(CC136&gt;0,SUM(CC136:CG136),0)</f>
        <v>39240</v>
      </c>
      <c r="CI136">
        <f>_xlfn.XLOOKUP(B136,'[8]october-2025'!$A:$A,'[8]october-2025'!$H:$H,0,0)</f>
        <v>2000</v>
      </c>
      <c r="CJ136">
        <f>_xlfn.XLOOKUP(B136,'[8]october-2025'!$A:$A,'[8]october-2025'!$I:$I,0,0)</f>
        <v>0</v>
      </c>
      <c r="CK136">
        <f t="shared" si="391"/>
        <v>150</v>
      </c>
      <c r="CL136">
        <f t="shared" si="392"/>
        <v>37090</v>
      </c>
      <c r="CM136">
        <f>_xlfn.XLOOKUP(B136,'[9]november-2025'!$A:$A,'[9]november-2025'!$C:$C,0,0)</f>
        <v>29800</v>
      </c>
      <c r="CN136">
        <f t="shared" si="393"/>
        <v>5364</v>
      </c>
      <c r="CO136">
        <f t="shared" si="394"/>
        <v>3576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>IF(CM136&gt;0,SUM(CM136:CQ136),0)</f>
        <v>39240</v>
      </c>
      <c r="CS136">
        <f>_xlfn.XLOOKUP(B136,'[9]november-2025'!$A:$A,'[9]november-2025'!$H:$H,0,0)</f>
        <v>2000</v>
      </c>
      <c r="CT136">
        <f>_xlfn.XLOOKUP(B136,'[9]november-2025'!$A:$A,'[9]november-2025'!$I:$I,0,0)</f>
        <v>0</v>
      </c>
      <c r="CU136">
        <f t="shared" si="395"/>
        <v>150</v>
      </c>
      <c r="CV136">
        <f t="shared" si="396"/>
        <v>37090</v>
      </c>
      <c r="CW136">
        <f>_xlfn.XLOOKUP(B136,'[10]december-2025'!$A:$A,'[10]december-2025'!$C:$C,0,0)</f>
        <v>29800</v>
      </c>
      <c r="CX136">
        <f t="shared" si="397"/>
        <v>5364</v>
      </c>
      <c r="CY136">
        <f t="shared" si="398"/>
        <v>3576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>IF(CW136&gt;0,SUM(CW136:DA136),0)</f>
        <v>39240</v>
      </c>
      <c r="DC136">
        <f>_xlfn.XLOOKUP(B136,'[10]december-2025'!$A:$A,'[10]december-2025'!$H:$H,0,0)</f>
        <v>2000</v>
      </c>
      <c r="DD136">
        <f>_xlfn.XLOOKUP(B136,'[10]december-2025'!$A:$A,'[10]december-2025'!$I:$I,0,0)</f>
        <v>0</v>
      </c>
      <c r="DE136">
        <f t="shared" si="399"/>
        <v>150</v>
      </c>
      <c r="DF136">
        <f t="shared" si="400"/>
        <v>37090</v>
      </c>
      <c r="DG136">
        <f>_xlfn.XLOOKUP(B136,'[11]january-2026'!$A:$A,'[11]january-2026'!$C:$C,0,0)</f>
        <v>29800</v>
      </c>
      <c r="DH136">
        <f t="shared" si="401"/>
        <v>5364</v>
      </c>
      <c r="DI136">
        <f t="shared" si="402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>IF(DG136&gt;0,SUM(DG136:DK136),0)</f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03"/>
        <v>150</v>
      </c>
      <c r="DP136">
        <f t="shared" si="404"/>
        <v>37090</v>
      </c>
      <c r="DQ136">
        <f>_xlfn.XLOOKUP(B136,'[12]february-2026'!$A:$A,'[12]february-2026'!$C:$C,0,0)</f>
        <v>29800</v>
      </c>
      <c r="DR136">
        <f t="shared" si="405"/>
        <v>5364</v>
      </c>
      <c r="DS136">
        <f t="shared" si="406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>IF(DQ136&gt;0,SUM(DQ136:DU136),0)</f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07"/>
        <v>150</v>
      </c>
      <c r="DZ136">
        <f t="shared" si="408"/>
        <v>37090</v>
      </c>
      <c r="EA136">
        <f>_xlfn.XLOOKUP(B136,'[1]march-2025'!$A:$A,'[1]march-2025'!$J:$J,0,0)</f>
        <v>0</v>
      </c>
      <c r="EB136">
        <f>_xlfn.XLOOKUP(B136,'[2]april-2025'!$A:$A,'[2]april-2025'!$J:$J,0,0)</f>
        <v>0</v>
      </c>
      <c r="EC136">
        <f>_xlfn.XLOOKUP(B136,'[3]may-2025'!$A:$A,'[3]may-2025'!$J:$J,0,0)</f>
        <v>0</v>
      </c>
      <c r="ED136">
        <f>_xlfn.XLOOKUP(B136,'[4]june-2025'!$A:$A,'[4]june-2025'!$J:$J,0,0)</f>
        <v>0</v>
      </c>
      <c r="EE136">
        <f>_xlfn.XLOOKUP(B136,'[5]july-2025'!$A:$A,'[5]july-2025'!$J:$J,0,0)</f>
        <v>0</v>
      </c>
      <c r="EF136">
        <f>_xlfn.XLOOKUP(B136,'[6]august-2025'!$A:$A,'[6]august-2025'!$J:$J,0,0)</f>
        <v>0</v>
      </c>
      <c r="EG136">
        <f>_xlfn.XLOOKUP(B136,'[7]september-2025'!$A:$A,'[7]september-2025'!$J:$J,0,0)</f>
        <v>0</v>
      </c>
      <c r="EH136">
        <f>_xlfn.XLOOKUP(B136,'[8]october-2025'!$A:$A,'[8]october-2025'!$J:$J,0,0)</f>
        <v>0</v>
      </c>
      <c r="EI136">
        <f>_xlfn.XLOOKUP(C136,'[9]november-2025'!$A:$A,'[9]november-2025'!$J:$J,0,0)</f>
        <v>0</v>
      </c>
      <c r="EJ136">
        <f>_xlfn.XLOOKUP(B136,'[10]december-2025'!$A:$A,'[10]december-2025'!$J:$J,0,0)</f>
        <v>0</v>
      </c>
      <c r="EK136">
        <f>_xlfn.XLOOKUP(B136,'[11]january-2026'!$A:$A,'[11]january-2026'!$J:$J,0,0)</f>
        <v>0</v>
      </c>
      <c r="EL136">
        <f>_xlfn.XLOOKUP(B136,'[12]february-2026'!$A:$A,'[12]february-2026'!$J:$J,0,0)</f>
        <v>0</v>
      </c>
      <c r="EM136">
        <f t="shared" si="361"/>
        <v>0</v>
      </c>
      <c r="EN136">
        <f>DV136+DL136+DB136+CR136+CH136+BX136+BN136+BD136+AS136+AI136+Y136+O136+H136+I136</f>
        <v>471844</v>
      </c>
      <c r="EO136">
        <f>DY136+DO136+DE136+CU136+CK136+CA136+BQ136+BG136+AV136+AL136+AB136+R136</f>
        <v>1800</v>
      </c>
      <c r="EP136">
        <f t="shared" si="409"/>
        <v>50000</v>
      </c>
      <c r="EQ136">
        <v>0</v>
      </c>
      <c r="ER136">
        <f t="shared" si="362"/>
        <v>420044</v>
      </c>
      <c r="ES136">
        <f>DW136+DM136+DC136+CS136+CI136+BY136+BO136+BE136+AT136+AJ136+Z136+P136</f>
        <v>24000</v>
      </c>
      <c r="ET136">
        <f>DX136+DN136+DD136+CT136+CJ136+BZ136+BP136+BF136+AU136+AK136+AA136+Q136</f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410"/>
        <v>24000</v>
      </c>
      <c r="FF136">
        <f t="shared" si="411"/>
        <v>24000</v>
      </c>
      <c r="FG136">
        <f t="shared" si="412"/>
        <v>396044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>SUM(FH136:FN136)+(IF(F136="YES",50000,0))</f>
        <v>0</v>
      </c>
      <c r="FP136">
        <f t="shared" si="413"/>
        <v>396044</v>
      </c>
      <c r="FQ136">
        <f t="shared" si="414"/>
        <v>7302</v>
      </c>
      <c r="FR136">
        <f t="shared" si="415"/>
        <v>0</v>
      </c>
      <c r="FS136">
        <f t="shared" si="416"/>
        <v>7302</v>
      </c>
      <c r="FT136">
        <f t="shared" si="417"/>
        <v>0</v>
      </c>
      <c r="FU136">
        <f t="shared" si="418"/>
        <v>0</v>
      </c>
      <c r="FV136">
        <f t="shared" si="419"/>
        <v>0</v>
      </c>
      <c r="FW136">
        <v>0</v>
      </c>
      <c r="FX136">
        <f t="shared" si="420"/>
        <v>0</v>
      </c>
      <c r="FY136" t="b">
        <f t="shared" si="421"/>
        <v>0</v>
      </c>
      <c r="FZ136">
        <f t="shared" ca="1" si="422"/>
        <v>2539</v>
      </c>
      <c r="GA136">
        <f t="shared" ca="1" si="423"/>
        <v>474383</v>
      </c>
      <c r="GB136">
        <f t="shared" si="424"/>
        <v>75000</v>
      </c>
      <c r="GC136">
        <f t="shared" ca="1" si="425"/>
        <v>399383</v>
      </c>
      <c r="GD136">
        <f t="shared" ca="1" si="426"/>
        <v>0</v>
      </c>
      <c r="GE136">
        <f t="shared" ca="1" si="427"/>
        <v>0</v>
      </c>
      <c r="GF136">
        <f t="shared" ca="1" si="428"/>
        <v>0</v>
      </c>
      <c r="GG136">
        <f t="shared" ca="1" si="429"/>
        <v>0</v>
      </c>
      <c r="GH136">
        <f t="shared" ca="1" si="430"/>
        <v>0</v>
      </c>
      <c r="GI136">
        <f t="shared" ca="1" si="431"/>
        <v>0</v>
      </c>
      <c r="GJ136">
        <f ca="1">IF(GC136&gt;1200000,GC136-1200000-IF(F136="YES",50000,0)-GH136,0)</f>
        <v>0</v>
      </c>
      <c r="GK136">
        <f t="shared" ca="1" si="432"/>
        <v>0</v>
      </c>
      <c r="GL136">
        <f t="shared" ca="1" si="433"/>
        <v>0</v>
      </c>
      <c r="GM136">
        <f t="shared" ca="1" si="434"/>
        <v>0</v>
      </c>
      <c r="GN136">
        <f t="shared" ca="1" si="435"/>
        <v>0</v>
      </c>
      <c r="GO136">
        <f t="shared" ca="1" si="436"/>
        <v>0</v>
      </c>
      <c r="GP136">
        <f t="shared" ca="1" si="437"/>
        <v>0</v>
      </c>
      <c r="GQ136">
        <f t="shared" ca="1" si="438"/>
        <v>0</v>
      </c>
      <c r="GR136">
        <f t="shared" ca="1" si="439"/>
        <v>0</v>
      </c>
      <c r="GS136">
        <f t="shared" ca="1" si="440"/>
        <v>0</v>
      </c>
      <c r="GT136">
        <f t="shared" ca="1" si="441"/>
        <v>0</v>
      </c>
      <c r="GU136" t="b">
        <f t="shared" ca="1" si="442"/>
        <v>0</v>
      </c>
      <c r="GV136">
        <f t="shared" ca="1" si="443"/>
        <v>0</v>
      </c>
      <c r="GW136">
        <f t="shared" ca="1" si="444"/>
        <v>0</v>
      </c>
      <c r="GX136">
        <f t="shared" ca="1" si="445"/>
        <v>0</v>
      </c>
      <c r="GY136">
        <f t="shared" ca="1" si="446"/>
        <v>0</v>
      </c>
      <c r="GZ136">
        <f t="shared" ca="1" si="447"/>
        <v>0</v>
      </c>
    </row>
    <row r="137" spans="1:208" x14ac:dyDescent="0.25">
      <c r="A137">
        <f>_xlfn.AGGREGATE(3,5,$B$2:B137)</f>
        <v>136</v>
      </c>
      <c r="B137" t="s">
        <v>865</v>
      </c>
      <c r="C137" t="s">
        <v>866</v>
      </c>
      <c r="D137" t="s">
        <v>787</v>
      </c>
      <c r="E137" t="s">
        <v>831</v>
      </c>
      <c r="F137" t="s">
        <v>959</v>
      </c>
      <c r="G137" t="s">
        <v>927</v>
      </c>
      <c r="H137">
        <f t="shared" si="449"/>
        <v>0</v>
      </c>
      <c r="I137">
        <f>_xlfn.XLOOKUP(B137,'[1]march-2025'!$A:$A,'[1]march-2025'!$J:$J,0,0)</f>
        <v>0</v>
      </c>
      <c r="J137">
        <f>_xlfn.XLOOKUP(B137,'[1]march-2025'!$A:$A,'[1]march-2025'!$C:$C,0,0)</f>
        <v>0</v>
      </c>
      <c r="K137">
        <f t="shared" si="364"/>
        <v>0</v>
      </c>
      <c r="L137">
        <f t="shared" si="365"/>
        <v>0</v>
      </c>
      <c r="M137">
        <f>_xlfn.XLOOKUP(B137,'[1]march-2025'!$A:$A,'[1]march-2025'!$D:$D,0,0)</f>
        <v>0</v>
      </c>
      <c r="N137">
        <f>_xlfn.XLOOKUP(B137,'[1]march-2025'!$A:$A,'[1]march-2025'!$G:$G,0,0)</f>
        <v>0</v>
      </c>
      <c r="O137">
        <f>IF(J137&gt;0,SUM(J137:N137),0)</f>
        <v>0</v>
      </c>
      <c r="P137">
        <f>_xlfn.XLOOKUP(B137,'[1]march-2025'!$A:$A,'[1]march-2025'!$H:$H,0,0)</f>
        <v>0</v>
      </c>
      <c r="Q137">
        <f>_xlfn.XLOOKUP(B137,'[1]march-2025'!$A:$A,'[1]march-2025'!$I:$I,0,0)</f>
        <v>0</v>
      </c>
      <c r="R137">
        <f t="shared" si="448"/>
        <v>0</v>
      </c>
      <c r="S137">
        <f t="shared" si="357"/>
        <v>0</v>
      </c>
      <c r="T137">
        <f>_xlfn.XLOOKUP(B137,'[2]april-2025'!$A:$A,'[2]april-2025'!$C:$C,0,0)</f>
        <v>0</v>
      </c>
      <c r="U137">
        <f t="shared" si="366"/>
        <v>0</v>
      </c>
      <c r="V137">
        <f t="shared" si="367"/>
        <v>0</v>
      </c>
      <c r="W137">
        <f>_xlfn.XLOOKUP(B137,'[2]april-2025'!$A:$A,'[2]april-2025'!$D:$D,0,0)</f>
        <v>0</v>
      </c>
      <c r="X137">
        <f>_xlfn.XLOOKUP(B137,'[2]april-2025'!$A:$A,'[2]april-2025'!$G:$G,0,0)</f>
        <v>0</v>
      </c>
      <c r="Y137">
        <f t="shared" si="358"/>
        <v>0</v>
      </c>
      <c r="Z137">
        <f>_xlfn.XLOOKUP(B137,'[2]april-2025'!$A:$A,'[2]april-2025'!$H:$H,0,0)</f>
        <v>0</v>
      </c>
      <c r="AA137">
        <f>_xlfn.XLOOKUP(B137,'[2]april-2025'!$A:$A,'[2]april-2025'!$I:$I,0,0)</f>
        <v>0</v>
      </c>
      <c r="AB137">
        <f t="shared" si="368"/>
        <v>0</v>
      </c>
      <c r="AC137">
        <f t="shared" si="369"/>
        <v>0</v>
      </c>
      <c r="AD137">
        <f>_xlfn.XLOOKUP(B137,'[3]may-2025'!$A:$A,'[3]may-2025'!$C:$C,0,0)</f>
        <v>24700</v>
      </c>
      <c r="AE137">
        <f t="shared" si="370"/>
        <v>4446</v>
      </c>
      <c r="AF137">
        <f t="shared" si="371"/>
        <v>2964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359"/>
        <v>32610</v>
      </c>
      <c r="AJ137">
        <f>_xlfn.XLOOKUP(B137,'[3]may-2025'!$A:$A,'[3]may-2025'!$H:$H,0,0)</f>
        <v>0</v>
      </c>
      <c r="AK137">
        <f>_xlfn.XLOOKUP(B137,'[3]may-2025'!$A:$A,'[3]may-2025'!$I:$I,0,0)</f>
        <v>0</v>
      </c>
      <c r="AL137">
        <f t="shared" si="372"/>
        <v>150</v>
      </c>
      <c r="AM137">
        <f t="shared" si="373"/>
        <v>32460</v>
      </c>
      <c r="AN137">
        <f>_xlfn.XLOOKUP(B137,'[4]june-2025'!$A:$A,'[4]june-2025'!$C:$C,0,0)</f>
        <v>24700</v>
      </c>
      <c r="AO137">
        <f t="shared" si="374"/>
        <v>4446</v>
      </c>
      <c r="AP137">
        <f t="shared" si="375"/>
        <v>2964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360"/>
        <v>32610</v>
      </c>
      <c r="AT137">
        <f>_xlfn.XLOOKUP(B137,'[4]june-2025'!$A:$A,'[4]june-2025'!$H:$H,0,0)</f>
        <v>0</v>
      </c>
      <c r="AU137">
        <f>_xlfn.XLOOKUP(B137,'[4]june-2025'!$A:$A,'[4]june-2025'!$I:$I,0,0)</f>
        <v>0</v>
      </c>
      <c r="AV137">
        <f t="shared" si="376"/>
        <v>150</v>
      </c>
      <c r="AW137">
        <f t="shared" si="377"/>
        <v>32460</v>
      </c>
      <c r="AX137">
        <f>_xlfn.XLOOKUP(B137,'[5]july-2025'!$A:$A,'[5]july-2025'!$C:$C,0,0)</f>
        <v>24700</v>
      </c>
      <c r="AY137">
        <f t="shared" si="378"/>
        <v>4446</v>
      </c>
      <c r="AZ137">
        <v>0</v>
      </c>
      <c r="BA137">
        <f t="shared" si="379"/>
        <v>2964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>IF(AX137&gt;0,SUM(AX137:BC137),0)</f>
        <v>32610</v>
      </c>
      <c r="BE137">
        <f>_xlfn.XLOOKUP(B137,'[5]july-2025'!$A:$A,'[5]july-2025'!$H:$H,0,0)</f>
        <v>0</v>
      </c>
      <c r="BF137">
        <f>_xlfn.XLOOKUP(B137,'[5]july-2025'!$A:$A,'[5]july-2025'!$I:$I,0,0)</f>
        <v>0</v>
      </c>
      <c r="BG137">
        <f t="shared" si="380"/>
        <v>150</v>
      </c>
      <c r="BH137">
        <f t="shared" si="381"/>
        <v>32460</v>
      </c>
      <c r="BI137">
        <f>_xlfn.XLOOKUP(B137,'[6]august-2025'!$A:$A,'[6]august-2025'!$C:$C,0,0)</f>
        <v>24700</v>
      </c>
      <c r="BJ137">
        <f t="shared" si="382"/>
        <v>4446</v>
      </c>
      <c r="BK137">
        <f t="shared" si="383"/>
        <v>2964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384"/>
        <v>32610</v>
      </c>
      <c r="BO137">
        <f>_xlfn.XLOOKUP(B137,'[6]august-2025'!$A:$A,'[6]august-2025'!$H:$H,0,0)</f>
        <v>0</v>
      </c>
      <c r="BP137">
        <f>_xlfn.XLOOKUP(B137,'[6]august-2025'!$A:$A,'[6]august-2025'!$I:$I,0,0)</f>
        <v>0</v>
      </c>
      <c r="BQ137">
        <f>IF($F137="YES",0,IF(BN137&gt;40000,200,IF(BN137&gt;25000,150,IF(BN137&gt;15000,130,IF(BN137&gt;10000,110,0)))))</f>
        <v>150</v>
      </c>
      <c r="BR137">
        <f>BN137-BO137-BP137-BQ137</f>
        <v>32460</v>
      </c>
      <c r="BS137">
        <f>_xlfn.XLOOKUP(B137,'[7]september-2025'!$A:$A,'[7]september-2025'!$C:$C,0,0)</f>
        <v>24700</v>
      </c>
      <c r="BT137">
        <f t="shared" si="385"/>
        <v>4446</v>
      </c>
      <c r="BU137">
        <f t="shared" si="386"/>
        <v>2964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>IF(BS137&gt;0,SUM(BS137:BW137),0)</f>
        <v>32610</v>
      </c>
      <c r="BY137">
        <f>_xlfn.XLOOKUP(B137,'[7]september-2025'!$A:$A,'[7]september-2025'!$H:$H,0,0)</f>
        <v>0</v>
      </c>
      <c r="BZ137">
        <f>_xlfn.XLOOKUP(B137,'[7]september-2025'!$A:$A,'[7]september-2025'!$I:$I,0,0)</f>
        <v>0</v>
      </c>
      <c r="CA137">
        <f t="shared" si="387"/>
        <v>150</v>
      </c>
      <c r="CB137">
        <f t="shared" si="388"/>
        <v>32460</v>
      </c>
      <c r="CC137">
        <f>_xlfn.XLOOKUP(B137,'[8]october-2025'!$A:$A,'[8]october-2025'!$C:$C,0,0)</f>
        <v>24700</v>
      </c>
      <c r="CD137">
        <f t="shared" si="389"/>
        <v>4446</v>
      </c>
      <c r="CE137">
        <f t="shared" si="390"/>
        <v>2964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>IF(CC137&gt;0,SUM(CC137:CG137),0)</f>
        <v>32610</v>
      </c>
      <c r="CI137">
        <f>_xlfn.XLOOKUP(B137,'[8]october-2025'!$A:$A,'[8]october-2025'!$H:$H,0,0)</f>
        <v>0</v>
      </c>
      <c r="CJ137">
        <f>_xlfn.XLOOKUP(B137,'[8]october-2025'!$A:$A,'[8]october-2025'!$I:$I,0,0)</f>
        <v>0</v>
      </c>
      <c r="CK137">
        <f t="shared" si="391"/>
        <v>150</v>
      </c>
      <c r="CL137">
        <f t="shared" si="392"/>
        <v>32460</v>
      </c>
      <c r="CM137">
        <f>_xlfn.XLOOKUP(B137,'[9]november-2025'!$A:$A,'[9]november-2025'!$C:$C,0,0)</f>
        <v>24700</v>
      </c>
      <c r="CN137">
        <f t="shared" si="393"/>
        <v>4446</v>
      </c>
      <c r="CO137">
        <f t="shared" si="394"/>
        <v>2964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>IF(CM137&gt;0,SUM(CM137:CQ137),0)</f>
        <v>32610</v>
      </c>
      <c r="CS137">
        <f>_xlfn.XLOOKUP(B137,'[9]november-2025'!$A:$A,'[9]november-2025'!$H:$H,0,0)</f>
        <v>0</v>
      </c>
      <c r="CT137">
        <f>_xlfn.XLOOKUP(B137,'[9]november-2025'!$A:$A,'[9]november-2025'!$I:$I,0,0)</f>
        <v>0</v>
      </c>
      <c r="CU137">
        <f t="shared" si="395"/>
        <v>150</v>
      </c>
      <c r="CV137">
        <f t="shared" si="396"/>
        <v>32460</v>
      </c>
      <c r="CW137">
        <f>_xlfn.XLOOKUP(B137,'[10]december-2025'!$A:$A,'[10]december-2025'!$C:$C,0,0)</f>
        <v>24700</v>
      </c>
      <c r="CX137">
        <f t="shared" si="397"/>
        <v>4446</v>
      </c>
      <c r="CY137">
        <f t="shared" si="398"/>
        <v>2964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>IF(CW137&gt;0,SUM(CW137:DA137),0)</f>
        <v>32610</v>
      </c>
      <c r="DC137">
        <f>_xlfn.XLOOKUP(B137,'[10]december-2025'!$A:$A,'[10]december-2025'!$H:$H,0,0)</f>
        <v>0</v>
      </c>
      <c r="DD137">
        <f>_xlfn.XLOOKUP(B137,'[10]december-2025'!$A:$A,'[10]december-2025'!$I:$I,0,0)</f>
        <v>0</v>
      </c>
      <c r="DE137">
        <f t="shared" si="399"/>
        <v>150</v>
      </c>
      <c r="DF137">
        <f t="shared" si="400"/>
        <v>32460</v>
      </c>
      <c r="DG137">
        <f>_xlfn.XLOOKUP(B137,'[11]january-2026'!$A:$A,'[11]january-2026'!$C:$C,0,0)</f>
        <v>24700</v>
      </c>
      <c r="DH137">
        <f t="shared" si="401"/>
        <v>4446</v>
      </c>
      <c r="DI137">
        <f t="shared" si="402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>IF(DG137&gt;0,SUM(DG137:DK137),0)</f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03"/>
        <v>150</v>
      </c>
      <c r="DP137">
        <f t="shared" si="404"/>
        <v>30460</v>
      </c>
      <c r="DQ137">
        <f>_xlfn.XLOOKUP(B137,'[12]february-2026'!$A:$A,'[12]february-2026'!$C:$C,0,0)</f>
        <v>24700</v>
      </c>
      <c r="DR137">
        <f t="shared" si="405"/>
        <v>4446</v>
      </c>
      <c r="DS137">
        <f t="shared" si="406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>IF(DQ137&gt;0,SUM(DQ137:DU137),0)</f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07"/>
        <v>150</v>
      </c>
      <c r="DZ137">
        <f t="shared" si="408"/>
        <v>30460</v>
      </c>
      <c r="EA137">
        <f>_xlfn.XLOOKUP(B137,'[1]march-2025'!$A:$A,'[1]march-2025'!$J:$J,0,0)</f>
        <v>0</v>
      </c>
      <c r="EB137">
        <f>_xlfn.XLOOKUP(B137,'[2]april-2025'!$A:$A,'[2]april-2025'!$J:$J,0,0)</f>
        <v>0</v>
      </c>
      <c r="EC137">
        <f>_xlfn.XLOOKUP(B137,'[3]may-2025'!$A:$A,'[3]may-2025'!$J:$J,0,0)</f>
        <v>0</v>
      </c>
      <c r="ED137">
        <f>_xlfn.XLOOKUP(B137,'[4]june-2025'!$A:$A,'[4]june-2025'!$J:$J,0,0)</f>
        <v>0</v>
      </c>
      <c r="EE137">
        <f>_xlfn.XLOOKUP(B137,'[5]july-2025'!$A:$A,'[5]july-2025'!$J:$J,0,0)</f>
        <v>0</v>
      </c>
      <c r="EF137">
        <f>_xlfn.XLOOKUP(B137,'[6]august-2025'!$A:$A,'[6]august-2025'!$J:$J,0,0)</f>
        <v>0</v>
      </c>
      <c r="EG137">
        <f>_xlfn.XLOOKUP(B137,'[7]september-2025'!$A:$A,'[7]september-2025'!$J:$J,0,0)</f>
        <v>0</v>
      </c>
      <c r="EH137">
        <f>_xlfn.XLOOKUP(B137,'[8]october-2025'!$A:$A,'[8]october-2025'!$J:$J,0,0)</f>
        <v>0</v>
      </c>
      <c r="EI137">
        <f>_xlfn.XLOOKUP(C137,'[9]november-2025'!$A:$A,'[9]november-2025'!$J:$J,0,0)</f>
        <v>0</v>
      </c>
      <c r="EJ137">
        <f>_xlfn.XLOOKUP(B137,'[10]december-2025'!$A:$A,'[10]december-2025'!$J:$J,0,0)</f>
        <v>0</v>
      </c>
      <c r="EK137">
        <f>_xlfn.XLOOKUP(B137,'[11]january-2026'!$A:$A,'[11]january-2026'!$J:$J,0,0)</f>
        <v>0</v>
      </c>
      <c r="EL137">
        <f>_xlfn.XLOOKUP(B137,'[12]february-2026'!$A:$A,'[12]february-2026'!$J:$J,0,0)</f>
        <v>0</v>
      </c>
      <c r="EM137">
        <f t="shared" si="361"/>
        <v>0</v>
      </c>
      <c r="EN137">
        <f>DV137+DL137+DB137+CR137+CH137+BX137+BN137+BD137+AS137+AI137+Y137+O137+H137+I137</f>
        <v>326100</v>
      </c>
      <c r="EO137">
        <f>DY137+DO137+DE137+CU137+CK137+CA137+BQ137+BG137+AV137+AL137+AB137+R137</f>
        <v>1500</v>
      </c>
      <c r="EP137">
        <f t="shared" si="409"/>
        <v>50000</v>
      </c>
      <c r="EQ137">
        <v>0</v>
      </c>
      <c r="ER137">
        <f t="shared" si="362"/>
        <v>274600</v>
      </c>
      <c r="ES137">
        <f>DW137+DM137+DC137+CS137+CI137+BY137+BO137+BE137+AT137+AJ137+Z137+P137</f>
        <v>4000</v>
      </c>
      <c r="ET137">
        <f>DX137+DN137+DD137+CT137+CJ137+BZ137+BP137+BF137+AU137+AK137+AA137+Q137</f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410"/>
        <v>4000</v>
      </c>
      <c r="FF137">
        <f t="shared" si="411"/>
        <v>4000</v>
      </c>
      <c r="FG137">
        <f t="shared" si="412"/>
        <v>270600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>SUM(FH137:FN137)+(IF(F137="YES",50000,0))</f>
        <v>0</v>
      </c>
      <c r="FP137">
        <f t="shared" si="413"/>
        <v>270600</v>
      </c>
      <c r="FQ137">
        <f t="shared" si="414"/>
        <v>1030</v>
      </c>
      <c r="FR137">
        <f t="shared" si="415"/>
        <v>0</v>
      </c>
      <c r="FS137">
        <f t="shared" si="416"/>
        <v>1030</v>
      </c>
      <c r="FT137">
        <f t="shared" si="417"/>
        <v>0</v>
      </c>
      <c r="FU137">
        <f t="shared" si="418"/>
        <v>0</v>
      </c>
      <c r="FV137">
        <f t="shared" si="419"/>
        <v>0</v>
      </c>
      <c r="FW137">
        <v>0</v>
      </c>
      <c r="FX137">
        <f t="shared" si="420"/>
        <v>0</v>
      </c>
      <c r="FY137" t="b">
        <f t="shared" si="421"/>
        <v>0</v>
      </c>
      <c r="FZ137">
        <f t="shared" ca="1" si="422"/>
        <v>2268</v>
      </c>
      <c r="GA137">
        <f t="shared" ca="1" si="423"/>
        <v>328368</v>
      </c>
      <c r="GB137">
        <f t="shared" si="424"/>
        <v>75000</v>
      </c>
      <c r="GC137">
        <f t="shared" ca="1" si="425"/>
        <v>253368</v>
      </c>
      <c r="GD137">
        <f t="shared" ca="1" si="426"/>
        <v>0</v>
      </c>
      <c r="GE137">
        <f t="shared" ca="1" si="427"/>
        <v>0</v>
      </c>
      <c r="GF137">
        <f t="shared" ca="1" si="428"/>
        <v>0</v>
      </c>
      <c r="GG137">
        <f t="shared" ca="1" si="429"/>
        <v>0</v>
      </c>
      <c r="GH137">
        <f t="shared" ca="1" si="430"/>
        <v>0</v>
      </c>
      <c r="GI137">
        <f t="shared" ca="1" si="431"/>
        <v>0</v>
      </c>
      <c r="GJ137">
        <f ca="1">IF(GC137&gt;1200000,GC137-1200000-IF(F137="YES",50000,0)-GH137,0)</f>
        <v>0</v>
      </c>
      <c r="GK137">
        <f t="shared" ca="1" si="432"/>
        <v>0</v>
      </c>
      <c r="GL137">
        <f t="shared" ca="1" si="433"/>
        <v>0</v>
      </c>
      <c r="GM137">
        <f t="shared" ca="1" si="434"/>
        <v>0</v>
      </c>
      <c r="GN137">
        <f t="shared" ca="1" si="435"/>
        <v>0</v>
      </c>
      <c r="GO137">
        <f t="shared" ca="1" si="436"/>
        <v>0</v>
      </c>
      <c r="GP137">
        <f t="shared" ca="1" si="437"/>
        <v>0</v>
      </c>
      <c r="GQ137">
        <f t="shared" ca="1" si="438"/>
        <v>0</v>
      </c>
      <c r="GR137">
        <f t="shared" ca="1" si="439"/>
        <v>0</v>
      </c>
      <c r="GS137">
        <f t="shared" ca="1" si="440"/>
        <v>0</v>
      </c>
      <c r="GT137">
        <f t="shared" ca="1" si="441"/>
        <v>0</v>
      </c>
      <c r="GU137" t="b">
        <f t="shared" ca="1" si="442"/>
        <v>0</v>
      </c>
      <c r="GV137">
        <f t="shared" ca="1" si="443"/>
        <v>0</v>
      </c>
      <c r="GW137">
        <f t="shared" ca="1" si="444"/>
        <v>0</v>
      </c>
      <c r="GX137">
        <f t="shared" ca="1" si="445"/>
        <v>0</v>
      </c>
      <c r="GY137">
        <f t="shared" ca="1" si="446"/>
        <v>0</v>
      </c>
      <c r="GZ137">
        <f t="shared" ca="1" si="447"/>
        <v>0</v>
      </c>
    </row>
    <row r="138" spans="1:208" x14ac:dyDescent="0.25">
      <c r="A138">
        <f>_xlfn.AGGREGATE(3,5,$B$2:B138)</f>
        <v>137</v>
      </c>
      <c r="B138" t="s">
        <v>382</v>
      </c>
      <c r="C138" t="s">
        <v>383</v>
      </c>
      <c r="D138" t="s">
        <v>788</v>
      </c>
      <c r="E138" t="s">
        <v>831</v>
      </c>
      <c r="F138" t="s">
        <v>958</v>
      </c>
      <c r="G138" t="s">
        <v>880</v>
      </c>
      <c r="H138">
        <f t="shared" si="449"/>
        <v>6800</v>
      </c>
      <c r="I138">
        <f>_xlfn.XLOOKUP(B138,'[1]march-2025'!$A:$A,'[1]march-2025'!$J:$J,0,0)</f>
        <v>0</v>
      </c>
      <c r="J138">
        <f>_xlfn.XLOOKUP(B138,'[1]march-2025'!$A:$A,'[1]march-2025'!$C:$C,0,0)</f>
        <v>47300</v>
      </c>
      <c r="K138">
        <f t="shared" si="364"/>
        <v>6622.0000000000009</v>
      </c>
      <c r="L138">
        <f t="shared" si="365"/>
        <v>5676</v>
      </c>
      <c r="M138">
        <f>_xlfn.XLOOKUP(B138,'[1]march-2025'!$A:$A,'[1]march-2025'!$D:$D,0,0)</f>
        <v>400</v>
      </c>
      <c r="N138">
        <f>_xlfn.XLOOKUP(B138,'[1]march-2025'!$A:$A,'[1]march-2025'!$G:$G,0,0)</f>
        <v>500</v>
      </c>
      <c r="O138">
        <f>IF(J138&gt;0,SUM(J138:N138),0)</f>
        <v>60498</v>
      </c>
      <c r="P138">
        <f>_xlfn.XLOOKUP(B138,'[1]march-2025'!$A:$A,'[1]march-2025'!$H:$H,0,0)</f>
        <v>5000</v>
      </c>
      <c r="Q138">
        <f>_xlfn.XLOOKUP(B138,'[1]march-2025'!$A:$A,'[1]march-2025'!$I:$I,0,0)</f>
        <v>60</v>
      </c>
      <c r="R138">
        <f t="shared" si="448"/>
        <v>0</v>
      </c>
      <c r="S138">
        <f t="shared" si="357"/>
        <v>55438</v>
      </c>
      <c r="T138">
        <f>_xlfn.XLOOKUP(B138,'[2]april-2025'!$A:$A,'[2]april-2025'!$C:$C,0,0)</f>
        <v>47300</v>
      </c>
      <c r="U138">
        <f t="shared" si="366"/>
        <v>8514</v>
      </c>
      <c r="V138">
        <f t="shared" si="367"/>
        <v>5676</v>
      </c>
      <c r="W138">
        <f>_xlfn.XLOOKUP(B138,'[2]april-2025'!$A:$A,'[2]april-2025'!$D:$D,0,0)</f>
        <v>400</v>
      </c>
      <c r="X138">
        <f>_xlfn.XLOOKUP(B138,'[2]april-2025'!$A:$A,'[2]april-2025'!$G:$G,0,0)</f>
        <v>500</v>
      </c>
      <c r="Y138">
        <f t="shared" si="358"/>
        <v>62390</v>
      </c>
      <c r="Z138">
        <f>_xlfn.XLOOKUP(B138,'[2]april-2025'!$A:$A,'[2]april-2025'!$H:$H,0,0)</f>
        <v>5000</v>
      </c>
      <c r="AA138">
        <f>_xlfn.XLOOKUP(B138,'[2]april-2025'!$A:$A,'[2]april-2025'!$I:$I,0,0)</f>
        <v>60</v>
      </c>
      <c r="AB138">
        <f t="shared" si="368"/>
        <v>0</v>
      </c>
      <c r="AC138">
        <f t="shared" si="369"/>
        <v>57330</v>
      </c>
      <c r="AD138">
        <f>_xlfn.XLOOKUP(B138,'[3]may-2025'!$A:$A,'[3]may-2025'!$C:$C,0,0)</f>
        <v>47300</v>
      </c>
      <c r="AE138">
        <f t="shared" si="370"/>
        <v>8514</v>
      </c>
      <c r="AF138">
        <f t="shared" si="371"/>
        <v>5676</v>
      </c>
      <c r="AG138">
        <f>_xlfn.XLOOKUP(B138,'[3]may-2025'!$A:$A,'[3]may-2025'!$D:$D,0,0)</f>
        <v>400</v>
      </c>
      <c r="AH138">
        <f>_xlfn.XLOOKUP(B138,'[3]may-2025'!$A:$A,'[3]may-2025'!$G:$G,0,0)</f>
        <v>500</v>
      </c>
      <c r="AI138">
        <f t="shared" si="359"/>
        <v>62390</v>
      </c>
      <c r="AJ138">
        <f>_xlfn.XLOOKUP(B138,'[3]may-2025'!$A:$A,'[3]may-2025'!$H:$H,0,0)</f>
        <v>5000</v>
      </c>
      <c r="AK138">
        <f>_xlfn.XLOOKUP(B138,'[3]may-2025'!$A:$A,'[3]may-2025'!$I:$I,0,0)</f>
        <v>60</v>
      </c>
      <c r="AL138">
        <f t="shared" si="372"/>
        <v>0</v>
      </c>
      <c r="AM138">
        <f t="shared" si="373"/>
        <v>57330</v>
      </c>
      <c r="AN138">
        <f>_xlfn.XLOOKUP(B138,'[4]june-2025'!$A:$A,'[4]june-2025'!$C:$C,0,0)</f>
        <v>47300</v>
      </c>
      <c r="AO138">
        <f t="shared" si="374"/>
        <v>8514</v>
      </c>
      <c r="AP138">
        <f t="shared" si="375"/>
        <v>5676</v>
      </c>
      <c r="AQ138">
        <f>_xlfn.XLOOKUP(B138,'[4]june-2025'!$A:$A,'[4]june-2025'!$D:$D,0,0)</f>
        <v>400</v>
      </c>
      <c r="AR138">
        <f>_xlfn.XLOOKUP(B138,'[4]june-2025'!$A:$A,'[4]june-2025'!$G:$G,0,0)</f>
        <v>500</v>
      </c>
      <c r="AS138">
        <f t="shared" si="360"/>
        <v>62390</v>
      </c>
      <c r="AT138">
        <f>_xlfn.XLOOKUP(B138,'[4]june-2025'!$A:$A,'[4]june-2025'!$H:$H,0,0)</f>
        <v>5000</v>
      </c>
      <c r="AU138">
        <f>_xlfn.XLOOKUP(B138,'[4]june-2025'!$A:$A,'[4]june-2025'!$I:$I,0,0)</f>
        <v>60</v>
      </c>
      <c r="AV138">
        <f t="shared" si="376"/>
        <v>0</v>
      </c>
      <c r="AW138">
        <f t="shared" si="377"/>
        <v>57330</v>
      </c>
      <c r="AX138">
        <f>_xlfn.XLOOKUP(B138,'[5]july-2025'!$A:$A,'[5]july-2025'!$C:$C,0,0)</f>
        <v>48700</v>
      </c>
      <c r="AY138">
        <f t="shared" si="378"/>
        <v>8766</v>
      </c>
      <c r="AZ138">
        <v>0</v>
      </c>
      <c r="BA138">
        <f t="shared" si="379"/>
        <v>5844</v>
      </c>
      <c r="BB138">
        <f>_xlfn.XLOOKUP(B138,'[5]july-2025'!$A:$A,'[5]july-2025'!$D:$D,0,0)</f>
        <v>400</v>
      </c>
      <c r="BC138">
        <f>_xlfn.XLOOKUP(B138,'[5]july-2025'!$A:$A,'[5]july-2025'!$G:$G,0,0)</f>
        <v>500</v>
      </c>
      <c r="BD138">
        <f>IF(AX138&gt;0,SUM(AX138:BC138),0)</f>
        <v>64210</v>
      </c>
      <c r="BE138">
        <f>_xlfn.XLOOKUP(B138,'[5]july-2025'!$A:$A,'[5]july-2025'!$H:$H,0,0)</f>
        <v>5000</v>
      </c>
      <c r="BF138">
        <f>_xlfn.XLOOKUP(B138,'[5]july-2025'!$A:$A,'[5]july-2025'!$I:$I,0,0)</f>
        <v>60</v>
      </c>
      <c r="BG138">
        <f t="shared" si="380"/>
        <v>0</v>
      </c>
      <c r="BH138">
        <f t="shared" si="381"/>
        <v>59150</v>
      </c>
      <c r="BI138">
        <f>_xlfn.XLOOKUP(B138,'[6]august-2025'!$A:$A,'[6]august-2025'!$C:$C,0,0)</f>
        <v>48700</v>
      </c>
      <c r="BJ138">
        <f t="shared" si="382"/>
        <v>8766</v>
      </c>
      <c r="BK138">
        <f t="shared" si="383"/>
        <v>5844</v>
      </c>
      <c r="BL138">
        <f>_xlfn.XLOOKUP(B138,'[6]august-2025'!$A:$A,'[6]august-2025'!$D:$D,0,0)</f>
        <v>400</v>
      </c>
      <c r="BM138">
        <f>_xlfn.XLOOKUP(B138,'[6]august-2025'!$A:$A,'[6]august-2025'!$G:$G,0,0)</f>
        <v>500</v>
      </c>
      <c r="BN138">
        <f t="shared" si="384"/>
        <v>64210</v>
      </c>
      <c r="BO138">
        <f>_xlfn.XLOOKUP(B138,'[6]august-2025'!$A:$A,'[6]august-2025'!$H:$H,0,0)</f>
        <v>5000</v>
      </c>
      <c r="BP138">
        <f>_xlfn.XLOOKUP(B138,'[6]august-2025'!$A:$A,'[6]august-2025'!$I:$I,0,0)</f>
        <v>60</v>
      </c>
      <c r="BQ138">
        <f>IF($F138="YES",0,IF(BN138&gt;40000,200,IF(BN138&gt;25000,150,IF(BN138&gt;15000,130,IF(BN138&gt;10000,110,0)))))</f>
        <v>0</v>
      </c>
      <c r="BR138">
        <f>BN138-BO138-BP138-BQ138</f>
        <v>59150</v>
      </c>
      <c r="BS138">
        <f>_xlfn.XLOOKUP(B138,'[7]september-2025'!$A:$A,'[7]september-2025'!$C:$C,0,0)</f>
        <v>48700</v>
      </c>
      <c r="BT138">
        <f t="shared" si="385"/>
        <v>8766</v>
      </c>
      <c r="BU138">
        <f t="shared" si="386"/>
        <v>5844</v>
      </c>
      <c r="BV138">
        <f>_xlfn.XLOOKUP(B138,'[7]september-2025'!$A:$A,'[7]september-2025'!$D:$D,0,0)</f>
        <v>400</v>
      </c>
      <c r="BW138">
        <f>_xlfn.XLOOKUP(B138,'[7]september-2025'!$A:$A,'[7]september-2025'!$G:$G,0,0)</f>
        <v>500</v>
      </c>
      <c r="BX138">
        <f>IF(BS138&gt;0,SUM(BS138:BW138),0)</f>
        <v>64210</v>
      </c>
      <c r="BY138">
        <f>_xlfn.XLOOKUP(B138,'[7]september-2025'!$A:$A,'[7]september-2025'!$H:$H,0,0)</f>
        <v>5000</v>
      </c>
      <c r="BZ138">
        <f>_xlfn.XLOOKUP(B138,'[7]september-2025'!$A:$A,'[7]september-2025'!$I:$I,0,0)</f>
        <v>60</v>
      </c>
      <c r="CA138">
        <f t="shared" si="387"/>
        <v>0</v>
      </c>
      <c r="CB138">
        <f t="shared" si="388"/>
        <v>59150</v>
      </c>
      <c r="CC138">
        <f>_xlfn.XLOOKUP(B138,'[8]october-2025'!$A:$A,'[8]october-2025'!$C:$C,0,0)</f>
        <v>48700</v>
      </c>
      <c r="CD138">
        <f t="shared" si="389"/>
        <v>8766</v>
      </c>
      <c r="CE138">
        <f t="shared" si="390"/>
        <v>5844</v>
      </c>
      <c r="CF138">
        <f>_xlfn.XLOOKUP(B138,'[8]october-2025'!$A:$A,'[8]october-2025'!$D:$D,0,0)</f>
        <v>400</v>
      </c>
      <c r="CG138">
        <f>_xlfn.XLOOKUP(B138,'[8]october-2025'!$A:$A,'[8]october-2025'!$G:$G,0,0)</f>
        <v>500</v>
      </c>
      <c r="CH138">
        <f>IF(CC138&gt;0,SUM(CC138:CG138),0)</f>
        <v>64210</v>
      </c>
      <c r="CI138">
        <f>_xlfn.XLOOKUP(B138,'[8]october-2025'!$A:$A,'[8]october-2025'!$H:$H,0,0)</f>
        <v>5000</v>
      </c>
      <c r="CJ138">
        <f>_xlfn.XLOOKUP(B138,'[8]october-2025'!$A:$A,'[8]october-2025'!$I:$I,0,0)</f>
        <v>60</v>
      </c>
      <c r="CK138">
        <f t="shared" si="391"/>
        <v>0</v>
      </c>
      <c r="CL138">
        <f t="shared" si="392"/>
        <v>59150</v>
      </c>
      <c r="CM138">
        <f>_xlfn.XLOOKUP(B138,'[9]november-2025'!$A:$A,'[9]november-2025'!$C:$C,0,0)</f>
        <v>48700</v>
      </c>
      <c r="CN138">
        <f t="shared" si="393"/>
        <v>8766</v>
      </c>
      <c r="CO138">
        <f t="shared" si="394"/>
        <v>5844</v>
      </c>
      <c r="CP138">
        <f>_xlfn.XLOOKUP(B138,'[9]november-2025'!$A:$A,'[9]november-2025'!$D:$D,0,0)</f>
        <v>400</v>
      </c>
      <c r="CQ138">
        <f>_xlfn.XLOOKUP(B138,'[9]november-2025'!$A:$A,'[9]november-2025'!$G:$G,0,0)</f>
        <v>500</v>
      </c>
      <c r="CR138">
        <f>IF(CM138&gt;0,SUM(CM138:CQ138),0)</f>
        <v>64210</v>
      </c>
      <c r="CS138">
        <f>_xlfn.XLOOKUP(B138,'[9]november-2025'!$A:$A,'[9]november-2025'!$H:$H,0,0)</f>
        <v>5000</v>
      </c>
      <c r="CT138">
        <f>_xlfn.XLOOKUP(B138,'[9]november-2025'!$A:$A,'[9]november-2025'!$I:$I,0,0)</f>
        <v>60</v>
      </c>
      <c r="CU138">
        <f t="shared" si="395"/>
        <v>0</v>
      </c>
      <c r="CV138">
        <f t="shared" si="396"/>
        <v>59150</v>
      </c>
      <c r="CW138">
        <f>_xlfn.XLOOKUP(B138,'[10]december-2025'!$A:$A,'[10]december-2025'!$C:$C,0,0)</f>
        <v>48700</v>
      </c>
      <c r="CX138">
        <f t="shared" si="397"/>
        <v>8766</v>
      </c>
      <c r="CY138">
        <f t="shared" si="398"/>
        <v>5844</v>
      </c>
      <c r="CZ138">
        <f>_xlfn.XLOOKUP(B138,'[10]december-2025'!$A:$A,'[10]december-2025'!$D:$D,0,0)</f>
        <v>400</v>
      </c>
      <c r="DA138">
        <f>_xlfn.XLOOKUP(B138,'[10]december-2025'!$A:$A,'[10]december-2025'!$G:$G,0,0)</f>
        <v>500</v>
      </c>
      <c r="DB138">
        <f>IF(CW138&gt;0,SUM(CW138:DA138),0)</f>
        <v>64210</v>
      </c>
      <c r="DC138">
        <f>_xlfn.XLOOKUP(B138,'[10]december-2025'!$A:$A,'[10]december-2025'!$H:$H,0,0)</f>
        <v>5000</v>
      </c>
      <c r="DD138">
        <f>_xlfn.XLOOKUP(B138,'[10]december-2025'!$A:$A,'[10]december-2025'!$I:$I,0,0)</f>
        <v>60</v>
      </c>
      <c r="DE138">
        <f t="shared" si="399"/>
        <v>0</v>
      </c>
      <c r="DF138">
        <f t="shared" si="400"/>
        <v>59150</v>
      </c>
      <c r="DG138">
        <f>_xlfn.XLOOKUP(B138,'[11]january-2026'!$A:$A,'[11]january-2026'!$C:$C,0,0)</f>
        <v>48700</v>
      </c>
      <c r="DH138">
        <f t="shared" si="401"/>
        <v>8766</v>
      </c>
      <c r="DI138">
        <f t="shared" si="402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>IF(DG138&gt;0,SUM(DG138:DK138),0)</f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03"/>
        <v>0</v>
      </c>
      <c r="DP138">
        <f t="shared" si="404"/>
        <v>59150</v>
      </c>
      <c r="DQ138">
        <f>_xlfn.XLOOKUP(B138,'[12]february-2026'!$A:$A,'[12]february-2026'!$C:$C,0,0)</f>
        <v>48700</v>
      </c>
      <c r="DR138">
        <f t="shared" si="405"/>
        <v>8766</v>
      </c>
      <c r="DS138">
        <f t="shared" si="406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>IF(DQ138&gt;0,SUM(DQ138:DU138),0)</f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07"/>
        <v>0</v>
      </c>
      <c r="DZ138">
        <f t="shared" si="408"/>
        <v>59150</v>
      </c>
      <c r="EA138">
        <f>_xlfn.XLOOKUP(B138,'[1]march-2025'!$A:$A,'[1]march-2025'!$J:$J,0,0)</f>
        <v>0</v>
      </c>
      <c r="EB138">
        <f>_xlfn.XLOOKUP(B138,'[2]april-2025'!$A:$A,'[2]april-2025'!$J:$J,0,0)</f>
        <v>0</v>
      </c>
      <c r="EC138">
        <f>_xlfn.XLOOKUP(B138,'[3]may-2025'!$A:$A,'[3]may-2025'!$J:$J,0,0)</f>
        <v>0</v>
      </c>
      <c r="ED138">
        <f>_xlfn.XLOOKUP(B138,'[4]june-2025'!$A:$A,'[4]june-2025'!$J:$J,0,0)</f>
        <v>0</v>
      </c>
      <c r="EE138">
        <f>_xlfn.XLOOKUP(B138,'[5]july-2025'!$A:$A,'[5]july-2025'!$J:$J,0,0)</f>
        <v>0</v>
      </c>
      <c r="EF138">
        <f>_xlfn.XLOOKUP(B138,'[6]august-2025'!$A:$A,'[6]august-2025'!$J:$J,0,0)</f>
        <v>0</v>
      </c>
      <c r="EG138">
        <f>_xlfn.XLOOKUP(B138,'[7]september-2025'!$A:$A,'[7]september-2025'!$J:$J,0,0)</f>
        <v>0</v>
      </c>
      <c r="EH138">
        <f>_xlfn.XLOOKUP(B138,'[8]october-2025'!$A:$A,'[8]october-2025'!$J:$J,0,0)</f>
        <v>0</v>
      </c>
      <c r="EI138">
        <f>_xlfn.XLOOKUP(C138,'[9]november-2025'!$A:$A,'[9]november-2025'!$J:$J,0,0)</f>
        <v>0</v>
      </c>
      <c r="EJ138">
        <f>_xlfn.XLOOKUP(B138,'[10]december-2025'!$A:$A,'[10]december-2025'!$J:$J,0,0)</f>
        <v>0</v>
      </c>
      <c r="EK138">
        <f>_xlfn.XLOOKUP(B138,'[11]january-2026'!$A:$A,'[11]january-2026'!$J:$J,0,0)</f>
        <v>0</v>
      </c>
      <c r="EL138">
        <f>_xlfn.XLOOKUP(B138,'[12]february-2026'!$A:$A,'[12]february-2026'!$J:$J,0,0)</f>
        <v>0</v>
      </c>
      <c r="EM138">
        <f t="shared" si="361"/>
        <v>0</v>
      </c>
      <c r="EN138">
        <f>DV138+DL138+DB138+CR138+CH138+BX138+BN138+BD138+AS138+AI138+Y138+O138+H138+I138</f>
        <v>768148</v>
      </c>
      <c r="EO138">
        <f>DY138+DO138+DE138+CU138+CK138+CA138+BQ138+BG138+AV138+AL138+AB138+R138</f>
        <v>0</v>
      </c>
      <c r="EP138">
        <f t="shared" si="409"/>
        <v>50000</v>
      </c>
      <c r="EQ138">
        <v>0</v>
      </c>
      <c r="ER138">
        <f t="shared" si="362"/>
        <v>718148</v>
      </c>
      <c r="ES138">
        <f>DW138+DM138+DC138+CS138+CI138+BY138+BO138+BE138+AT138+AJ138+Z138+P138</f>
        <v>60000</v>
      </c>
      <c r="ET138">
        <f>DX138+DN138+DD138+CT138+CJ138+BZ138+BP138+BF138+AU138+AK138+AA138+Q138</f>
        <v>720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410"/>
        <v>60720</v>
      </c>
      <c r="FF138">
        <f t="shared" si="411"/>
        <v>60720</v>
      </c>
      <c r="FG138">
        <f t="shared" si="412"/>
        <v>657428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>SUM(FH138:FN138)+(IF(F138="YES",50000,0))</f>
        <v>50000</v>
      </c>
      <c r="FP138">
        <f t="shared" si="413"/>
        <v>607428</v>
      </c>
      <c r="FQ138">
        <f t="shared" si="414"/>
        <v>12500</v>
      </c>
      <c r="FR138">
        <f t="shared" si="415"/>
        <v>21486</v>
      </c>
      <c r="FS138">
        <f t="shared" si="416"/>
        <v>33986</v>
      </c>
      <c r="FT138">
        <f t="shared" si="417"/>
        <v>33986</v>
      </c>
      <c r="FU138">
        <f t="shared" si="418"/>
        <v>1359.44</v>
      </c>
      <c r="FV138">
        <f t="shared" si="419"/>
        <v>35345</v>
      </c>
      <c r="FW138">
        <v>0</v>
      </c>
      <c r="FX138">
        <f t="shared" si="420"/>
        <v>35345</v>
      </c>
      <c r="FY138" t="b">
        <f t="shared" si="421"/>
        <v>1</v>
      </c>
      <c r="FZ138">
        <f t="shared" ca="1" si="422"/>
        <v>809</v>
      </c>
      <c r="GA138">
        <f t="shared" ca="1" si="423"/>
        <v>768957</v>
      </c>
      <c r="GB138">
        <f t="shared" si="424"/>
        <v>75000</v>
      </c>
      <c r="GC138">
        <f t="shared" ca="1" si="425"/>
        <v>693957</v>
      </c>
      <c r="GD138">
        <f t="shared" ca="1" si="426"/>
        <v>0</v>
      </c>
      <c r="GE138">
        <f t="shared" ca="1" si="427"/>
        <v>0</v>
      </c>
      <c r="GF138">
        <f t="shared" ca="1" si="428"/>
        <v>0</v>
      </c>
      <c r="GG138">
        <f t="shared" ca="1" si="429"/>
        <v>0</v>
      </c>
      <c r="GH138">
        <f t="shared" ca="1" si="430"/>
        <v>0</v>
      </c>
      <c r="GI138">
        <f t="shared" ca="1" si="431"/>
        <v>0</v>
      </c>
      <c r="GJ138">
        <f ca="1">IF(GC138&gt;1200000,GC138-1200000-IF(F138="YES",50000,0)-GH138,0)</f>
        <v>0</v>
      </c>
      <c r="GK138">
        <f t="shared" ca="1" si="432"/>
        <v>0</v>
      </c>
      <c r="GL138">
        <f t="shared" ca="1" si="433"/>
        <v>0</v>
      </c>
      <c r="GM138">
        <f t="shared" ca="1" si="434"/>
        <v>0</v>
      </c>
      <c r="GN138">
        <f t="shared" ca="1" si="435"/>
        <v>293957</v>
      </c>
      <c r="GO138">
        <f t="shared" ca="1" si="436"/>
        <v>14697.85</v>
      </c>
      <c r="GP138">
        <f t="shared" ca="1" si="437"/>
        <v>14698</v>
      </c>
      <c r="GQ138">
        <f t="shared" ca="1" si="438"/>
        <v>0</v>
      </c>
      <c r="GR138">
        <f t="shared" ca="1" si="439"/>
        <v>0</v>
      </c>
      <c r="GS138">
        <f t="shared" ca="1" si="440"/>
        <v>14698</v>
      </c>
      <c r="GT138">
        <f t="shared" ca="1" si="441"/>
        <v>0</v>
      </c>
      <c r="GU138" t="b">
        <f t="shared" ca="1" si="442"/>
        <v>0</v>
      </c>
      <c r="GV138">
        <f t="shared" ca="1" si="443"/>
        <v>0</v>
      </c>
      <c r="GW138">
        <f t="shared" ca="1" si="444"/>
        <v>14698</v>
      </c>
      <c r="GX138">
        <f t="shared" ca="1" si="445"/>
        <v>0</v>
      </c>
      <c r="GY138">
        <f t="shared" ca="1" si="446"/>
        <v>0</v>
      </c>
      <c r="GZ138">
        <f t="shared" ca="1" si="447"/>
        <v>0</v>
      </c>
    </row>
    <row r="139" spans="1:208" x14ac:dyDescent="0.25">
      <c r="A139">
        <f>_xlfn.AGGREGATE(3,5,$B$2:B139)</f>
        <v>138</v>
      </c>
      <c r="B139" t="s">
        <v>384</v>
      </c>
      <c r="C139" t="s">
        <v>385</v>
      </c>
      <c r="D139" t="s">
        <v>788</v>
      </c>
      <c r="E139" t="s">
        <v>831</v>
      </c>
      <c r="F139" t="s">
        <v>957</v>
      </c>
      <c r="G139" t="s">
        <v>878</v>
      </c>
      <c r="H139">
        <f t="shared" si="449"/>
        <v>6800</v>
      </c>
      <c r="I139">
        <f>_xlfn.XLOOKUP(B139,'[1]march-2025'!$A:$A,'[1]march-2025'!$J:$J,0,0)</f>
        <v>0</v>
      </c>
      <c r="J139">
        <f>_xlfn.XLOOKUP(B139,'[1]march-2025'!$A:$A,'[1]march-2025'!$C:$C,0,0)</f>
        <v>34500</v>
      </c>
      <c r="K139">
        <f t="shared" si="364"/>
        <v>4830.0000000000009</v>
      </c>
      <c r="L139">
        <f t="shared" si="365"/>
        <v>4140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>IF(J139&gt;0,SUM(J139:N139),0)</f>
        <v>43970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448"/>
        <v>200</v>
      </c>
      <c r="S139">
        <f t="shared" si="357"/>
        <v>40770</v>
      </c>
      <c r="T139">
        <f>_xlfn.XLOOKUP(B139,'[2]april-2025'!$A:$A,'[2]april-2025'!$C:$C,0,0)</f>
        <v>34500</v>
      </c>
      <c r="U139">
        <f t="shared" si="366"/>
        <v>6210</v>
      </c>
      <c r="V139">
        <f t="shared" si="367"/>
        <v>4140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358"/>
        <v>45350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368"/>
        <v>200</v>
      </c>
      <c r="AC139">
        <f t="shared" si="369"/>
        <v>42150</v>
      </c>
      <c r="AD139">
        <f>_xlfn.XLOOKUP(B139,'[3]may-2025'!$A:$A,'[3]may-2025'!$C:$C,0,0)</f>
        <v>34500</v>
      </c>
      <c r="AE139">
        <f t="shared" si="370"/>
        <v>6210</v>
      </c>
      <c r="AF139">
        <f t="shared" si="371"/>
        <v>4140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359"/>
        <v>45350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372"/>
        <v>200</v>
      </c>
      <c r="AM139">
        <f t="shared" si="373"/>
        <v>42150</v>
      </c>
      <c r="AN139">
        <f>_xlfn.XLOOKUP(B139,'[4]june-2025'!$A:$A,'[4]june-2025'!$C:$C,0,0)</f>
        <v>34500</v>
      </c>
      <c r="AO139">
        <f t="shared" si="374"/>
        <v>6210</v>
      </c>
      <c r="AP139">
        <f t="shared" si="375"/>
        <v>4140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360"/>
        <v>45350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376"/>
        <v>200</v>
      </c>
      <c r="AW139">
        <f t="shared" si="377"/>
        <v>42150</v>
      </c>
      <c r="AX139">
        <f>_xlfn.XLOOKUP(B139,'[5]july-2025'!$A:$A,'[5]july-2025'!$C:$C,0,0)</f>
        <v>35500</v>
      </c>
      <c r="AY139">
        <f t="shared" si="378"/>
        <v>6390</v>
      </c>
      <c r="AZ139">
        <v>0</v>
      </c>
      <c r="BA139">
        <f t="shared" si="379"/>
        <v>4260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>IF(AX139&gt;0,SUM(AX139:BC139),0)</f>
        <v>46650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380"/>
        <v>200</v>
      </c>
      <c r="BH139">
        <f t="shared" si="381"/>
        <v>43450</v>
      </c>
      <c r="BI139">
        <f>_xlfn.XLOOKUP(B139,'[6]august-2025'!$A:$A,'[6]august-2025'!$C:$C,0,0)</f>
        <v>35500</v>
      </c>
      <c r="BJ139">
        <f t="shared" si="382"/>
        <v>6390</v>
      </c>
      <c r="BK139">
        <f t="shared" si="383"/>
        <v>4260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384"/>
        <v>46650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>IF($F139="YES",0,IF(BN139&gt;40000,200,IF(BN139&gt;25000,150,IF(BN139&gt;15000,130,IF(BN139&gt;10000,110,0)))))</f>
        <v>200</v>
      </c>
      <c r="BR139">
        <f>BN139-BO139-BP139-BQ139</f>
        <v>43450</v>
      </c>
      <c r="BS139">
        <f>_xlfn.XLOOKUP(B139,'[7]september-2025'!$A:$A,'[7]september-2025'!$C:$C,0,0)</f>
        <v>35500</v>
      </c>
      <c r="BT139">
        <f t="shared" si="385"/>
        <v>6390</v>
      </c>
      <c r="BU139">
        <f t="shared" si="386"/>
        <v>4260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>IF(BS139&gt;0,SUM(BS139:BW139),0)</f>
        <v>46650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387"/>
        <v>200</v>
      </c>
      <c r="CB139">
        <f t="shared" si="388"/>
        <v>43450</v>
      </c>
      <c r="CC139">
        <f>_xlfn.XLOOKUP(B139,'[8]october-2025'!$A:$A,'[8]october-2025'!$C:$C,0,0)</f>
        <v>35500</v>
      </c>
      <c r="CD139">
        <f t="shared" si="389"/>
        <v>6390</v>
      </c>
      <c r="CE139">
        <f t="shared" si="390"/>
        <v>4260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>IF(CC139&gt;0,SUM(CC139:CG139),0)</f>
        <v>46650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391"/>
        <v>200</v>
      </c>
      <c r="CL139">
        <f t="shared" si="392"/>
        <v>43450</v>
      </c>
      <c r="CM139">
        <f>_xlfn.XLOOKUP(B139,'[9]november-2025'!$A:$A,'[9]november-2025'!$C:$C,0,0)</f>
        <v>35500</v>
      </c>
      <c r="CN139">
        <f t="shared" si="393"/>
        <v>6390</v>
      </c>
      <c r="CO139">
        <f t="shared" si="394"/>
        <v>4260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>IF(CM139&gt;0,SUM(CM139:CQ139),0)</f>
        <v>46650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395"/>
        <v>200</v>
      </c>
      <c r="CV139">
        <f t="shared" si="396"/>
        <v>43450</v>
      </c>
      <c r="CW139">
        <f>_xlfn.XLOOKUP(B139,'[10]december-2025'!$A:$A,'[10]december-2025'!$C:$C,0,0)</f>
        <v>35500</v>
      </c>
      <c r="CX139">
        <f t="shared" si="397"/>
        <v>6390</v>
      </c>
      <c r="CY139">
        <f t="shared" si="398"/>
        <v>4260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>IF(CW139&gt;0,SUM(CW139:DA139),0)</f>
        <v>46650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399"/>
        <v>200</v>
      </c>
      <c r="DF139">
        <f t="shared" si="400"/>
        <v>43450</v>
      </c>
      <c r="DG139">
        <f>_xlfn.XLOOKUP(B139,'[11]january-2026'!$A:$A,'[11]january-2026'!$C:$C,0,0)</f>
        <v>35500</v>
      </c>
      <c r="DH139">
        <f t="shared" si="401"/>
        <v>6390</v>
      </c>
      <c r="DI139">
        <f t="shared" si="402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>IF(DG139&gt;0,SUM(DG139:DK139),0)</f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03"/>
        <v>200</v>
      </c>
      <c r="DP139">
        <f t="shared" si="404"/>
        <v>43450</v>
      </c>
      <c r="DQ139">
        <f>_xlfn.XLOOKUP(B139,'[12]february-2026'!$A:$A,'[12]february-2026'!$C:$C,0,0)</f>
        <v>35500</v>
      </c>
      <c r="DR139">
        <f t="shared" si="405"/>
        <v>6390</v>
      </c>
      <c r="DS139">
        <f t="shared" si="406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>IF(DQ139&gt;0,SUM(DQ139:DU139),0)</f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07"/>
        <v>200</v>
      </c>
      <c r="DZ139">
        <f t="shared" si="408"/>
        <v>43450</v>
      </c>
      <c r="EA139">
        <f>_xlfn.XLOOKUP(B139,'[1]march-2025'!$A:$A,'[1]march-2025'!$J:$J,0,0)</f>
        <v>0</v>
      </c>
      <c r="EB139">
        <f>_xlfn.XLOOKUP(B139,'[2]april-2025'!$A:$A,'[2]april-2025'!$J:$J,0,0)</f>
        <v>0</v>
      </c>
      <c r="EC139">
        <f>_xlfn.XLOOKUP(B139,'[3]may-2025'!$A:$A,'[3]may-2025'!$J:$J,0,0)</f>
        <v>0</v>
      </c>
      <c r="ED139">
        <f>_xlfn.XLOOKUP(B139,'[4]june-2025'!$A:$A,'[4]june-2025'!$J:$J,0,0)</f>
        <v>0</v>
      </c>
      <c r="EE139">
        <f>_xlfn.XLOOKUP(B139,'[5]july-2025'!$A:$A,'[5]july-2025'!$J:$J,0,0)</f>
        <v>0</v>
      </c>
      <c r="EF139">
        <f>_xlfn.XLOOKUP(B139,'[6]august-2025'!$A:$A,'[6]august-2025'!$J:$J,0,0)</f>
        <v>0</v>
      </c>
      <c r="EG139">
        <f>_xlfn.XLOOKUP(B139,'[7]september-2025'!$A:$A,'[7]september-2025'!$J:$J,0,0)</f>
        <v>0</v>
      </c>
      <c r="EH139">
        <f>_xlfn.XLOOKUP(B139,'[8]october-2025'!$A:$A,'[8]october-2025'!$J:$J,0,0)</f>
        <v>0</v>
      </c>
      <c r="EI139">
        <f>_xlfn.XLOOKUP(C139,'[9]november-2025'!$A:$A,'[9]november-2025'!$J:$J,0,0)</f>
        <v>0</v>
      </c>
      <c r="EJ139">
        <f>_xlfn.XLOOKUP(B139,'[10]december-2025'!$A:$A,'[10]december-2025'!$J:$J,0,0)</f>
        <v>0</v>
      </c>
      <c r="EK139">
        <f>_xlfn.XLOOKUP(B139,'[11]january-2026'!$A:$A,'[11]january-2026'!$J:$J,0,0)</f>
        <v>0</v>
      </c>
      <c r="EL139">
        <f>_xlfn.XLOOKUP(B139,'[12]february-2026'!$A:$A,'[12]february-2026'!$J:$J,0,0)</f>
        <v>0</v>
      </c>
      <c r="EM139">
        <f t="shared" si="361"/>
        <v>0</v>
      </c>
      <c r="EN139">
        <f>DV139+DL139+DB139+CR139+CH139+BX139+BN139+BD139+AS139+AI139+Y139+O139+H139+I139</f>
        <v>560020</v>
      </c>
      <c r="EO139">
        <f>DY139+DO139+DE139+CU139+CK139+CA139+BQ139+BG139+AV139+AL139+AB139+R139</f>
        <v>2400</v>
      </c>
      <c r="EP139">
        <f t="shared" si="409"/>
        <v>50000</v>
      </c>
      <c r="EQ139">
        <v>0</v>
      </c>
      <c r="ER139">
        <f t="shared" si="362"/>
        <v>507620</v>
      </c>
      <c r="ES139">
        <f>DW139+DM139+DC139+CS139+CI139+BY139+BO139+BE139+AT139+AJ139+Z139+P139</f>
        <v>36000</v>
      </c>
      <c r="ET139">
        <f>DX139+DN139+DD139+CT139+CJ139+BZ139+BP139+BF139+AU139+AK139+AA139+Q139</f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410"/>
        <v>36000</v>
      </c>
      <c r="FF139">
        <f t="shared" si="411"/>
        <v>36000</v>
      </c>
      <c r="FG139">
        <f t="shared" si="412"/>
        <v>471620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>SUM(FH139:FN139)+(IF(F139="YES",50000,0))</f>
        <v>0</v>
      </c>
      <c r="FP139">
        <f t="shared" si="413"/>
        <v>471620</v>
      </c>
      <c r="FQ139">
        <f t="shared" si="414"/>
        <v>11081</v>
      </c>
      <c r="FR139">
        <f t="shared" si="415"/>
        <v>0</v>
      </c>
      <c r="FS139">
        <f t="shared" si="416"/>
        <v>11081</v>
      </c>
      <c r="FT139">
        <f t="shared" si="417"/>
        <v>0</v>
      </c>
      <c r="FU139">
        <f t="shared" si="418"/>
        <v>0</v>
      </c>
      <c r="FV139">
        <f t="shared" si="419"/>
        <v>0</v>
      </c>
      <c r="FW139">
        <v>0</v>
      </c>
      <c r="FX139">
        <f t="shared" si="420"/>
        <v>0</v>
      </c>
      <c r="FY139" t="b">
        <f t="shared" si="421"/>
        <v>1</v>
      </c>
      <c r="FZ139">
        <f t="shared" ca="1" si="422"/>
        <v>910</v>
      </c>
      <c r="GA139">
        <f t="shared" ca="1" si="423"/>
        <v>560930</v>
      </c>
      <c r="GB139">
        <f t="shared" si="424"/>
        <v>75000</v>
      </c>
      <c r="GC139">
        <f t="shared" ca="1" si="425"/>
        <v>485930</v>
      </c>
      <c r="GD139">
        <f t="shared" ca="1" si="426"/>
        <v>0</v>
      </c>
      <c r="GE139">
        <f t="shared" ca="1" si="427"/>
        <v>0</v>
      </c>
      <c r="GF139">
        <f t="shared" ca="1" si="428"/>
        <v>0</v>
      </c>
      <c r="GG139">
        <f t="shared" ca="1" si="429"/>
        <v>0</v>
      </c>
      <c r="GH139">
        <f t="shared" ca="1" si="430"/>
        <v>0</v>
      </c>
      <c r="GI139">
        <f t="shared" ca="1" si="431"/>
        <v>0</v>
      </c>
      <c r="GJ139">
        <f ca="1">IF(GC139&gt;1200000,GC139-1200000-IF(F139="YES",50000,0)-GH139,0)</f>
        <v>0</v>
      </c>
      <c r="GK139">
        <f t="shared" ca="1" si="432"/>
        <v>0</v>
      </c>
      <c r="GL139">
        <f t="shared" ca="1" si="433"/>
        <v>0</v>
      </c>
      <c r="GM139">
        <f t="shared" ca="1" si="434"/>
        <v>0</v>
      </c>
      <c r="GN139">
        <f t="shared" ca="1" si="435"/>
        <v>85930</v>
      </c>
      <c r="GO139">
        <f t="shared" ca="1" si="436"/>
        <v>4296.5</v>
      </c>
      <c r="GP139">
        <f t="shared" ca="1" si="437"/>
        <v>4297</v>
      </c>
      <c r="GQ139">
        <f t="shared" ca="1" si="438"/>
        <v>0</v>
      </c>
      <c r="GR139">
        <f t="shared" ca="1" si="439"/>
        <v>0</v>
      </c>
      <c r="GS139">
        <f t="shared" ca="1" si="440"/>
        <v>4297</v>
      </c>
      <c r="GT139">
        <f t="shared" ca="1" si="441"/>
        <v>0</v>
      </c>
      <c r="GU139" t="b">
        <f t="shared" ca="1" si="442"/>
        <v>0</v>
      </c>
      <c r="GV139">
        <f t="shared" ca="1" si="443"/>
        <v>0</v>
      </c>
      <c r="GW139">
        <f t="shared" ca="1" si="444"/>
        <v>4297</v>
      </c>
      <c r="GX139">
        <f t="shared" ca="1" si="445"/>
        <v>0</v>
      </c>
      <c r="GY139">
        <f t="shared" ca="1" si="446"/>
        <v>0</v>
      </c>
      <c r="GZ139">
        <f t="shared" ca="1" si="447"/>
        <v>0</v>
      </c>
    </row>
    <row r="140" spans="1:208" x14ac:dyDescent="0.25">
      <c r="A140">
        <f>_xlfn.AGGREGATE(3,5,$B$2:B140)</f>
        <v>139</v>
      </c>
      <c r="B140" t="s">
        <v>386</v>
      </c>
      <c r="C140" t="s">
        <v>387</v>
      </c>
      <c r="D140" t="s">
        <v>788</v>
      </c>
      <c r="E140" t="s">
        <v>831</v>
      </c>
      <c r="F140" t="s">
        <v>957</v>
      </c>
      <c r="G140" t="s">
        <v>928</v>
      </c>
      <c r="H140">
        <f t="shared" si="449"/>
        <v>6800</v>
      </c>
      <c r="I140">
        <f>_xlfn.XLOOKUP(B140,'[1]march-2025'!$A:$A,'[1]march-2025'!$J:$J,0,0)</f>
        <v>0</v>
      </c>
      <c r="J140">
        <f>_xlfn.XLOOKUP(B140,'[1]march-2025'!$A:$A,'[1]march-2025'!$C:$C,0,0)</f>
        <v>33500</v>
      </c>
      <c r="K140">
        <f t="shared" si="364"/>
        <v>4690</v>
      </c>
      <c r="L140">
        <f t="shared" si="365"/>
        <v>4020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>IF(J140&gt;0,SUM(J140:N140),0)</f>
        <v>42210</v>
      </c>
      <c r="P140">
        <f>_xlfn.XLOOKUP(B140,'[1]march-2025'!$A:$A,'[1]march-2025'!$H:$H,0,0)</f>
        <v>3000</v>
      </c>
      <c r="Q140">
        <f>_xlfn.XLOOKUP(B140,'[1]march-2025'!$A:$A,'[1]march-2025'!$I:$I,0,0)</f>
        <v>0</v>
      </c>
      <c r="R140">
        <f t="shared" si="448"/>
        <v>200</v>
      </c>
      <c r="S140">
        <f t="shared" si="357"/>
        <v>39010</v>
      </c>
      <c r="T140">
        <f>_xlfn.XLOOKUP(B140,'[2]april-2025'!$A:$A,'[2]april-2025'!$C:$C,0,0)</f>
        <v>33500</v>
      </c>
      <c r="U140">
        <f t="shared" si="366"/>
        <v>6030</v>
      </c>
      <c r="V140">
        <f t="shared" si="367"/>
        <v>4020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358"/>
        <v>43550</v>
      </c>
      <c r="Z140">
        <f>_xlfn.XLOOKUP(B140,'[2]april-2025'!$A:$A,'[2]april-2025'!$H:$H,0,0)</f>
        <v>3000</v>
      </c>
      <c r="AA140">
        <f>_xlfn.XLOOKUP(B140,'[2]april-2025'!$A:$A,'[2]april-2025'!$I:$I,0,0)</f>
        <v>0</v>
      </c>
      <c r="AB140">
        <f t="shared" si="368"/>
        <v>200</v>
      </c>
      <c r="AC140">
        <f t="shared" si="369"/>
        <v>40350</v>
      </c>
      <c r="AD140">
        <f>_xlfn.XLOOKUP(B140,'[3]may-2025'!$A:$A,'[3]may-2025'!$C:$C,0,0)</f>
        <v>33500</v>
      </c>
      <c r="AE140">
        <f t="shared" si="370"/>
        <v>6030</v>
      </c>
      <c r="AF140">
        <f t="shared" si="371"/>
        <v>4020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359"/>
        <v>43550</v>
      </c>
      <c r="AJ140">
        <f>_xlfn.XLOOKUP(B140,'[3]may-2025'!$A:$A,'[3]may-2025'!$H:$H,0,0)</f>
        <v>3000</v>
      </c>
      <c r="AK140">
        <f>_xlfn.XLOOKUP(B140,'[3]may-2025'!$A:$A,'[3]may-2025'!$I:$I,0,0)</f>
        <v>0</v>
      </c>
      <c r="AL140">
        <f t="shared" si="372"/>
        <v>200</v>
      </c>
      <c r="AM140">
        <f t="shared" si="373"/>
        <v>40350</v>
      </c>
      <c r="AN140">
        <f>_xlfn.XLOOKUP(B140,'[4]june-2025'!$A:$A,'[4]june-2025'!$C:$C,0,0)</f>
        <v>33500</v>
      </c>
      <c r="AO140">
        <f t="shared" si="374"/>
        <v>6030</v>
      </c>
      <c r="AP140">
        <f t="shared" si="375"/>
        <v>4020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360"/>
        <v>43550</v>
      </c>
      <c r="AT140">
        <f>_xlfn.XLOOKUP(B140,'[4]june-2025'!$A:$A,'[4]june-2025'!$H:$H,0,0)</f>
        <v>3000</v>
      </c>
      <c r="AU140">
        <f>_xlfn.XLOOKUP(B140,'[4]june-2025'!$A:$A,'[4]june-2025'!$I:$I,0,0)</f>
        <v>0</v>
      </c>
      <c r="AV140">
        <f t="shared" si="376"/>
        <v>200</v>
      </c>
      <c r="AW140">
        <f t="shared" si="377"/>
        <v>40350</v>
      </c>
      <c r="AX140">
        <f>_xlfn.XLOOKUP(B140,'[5]july-2025'!$A:$A,'[5]july-2025'!$C:$C,0,0)</f>
        <v>34500</v>
      </c>
      <c r="AY140">
        <f t="shared" si="378"/>
        <v>6210</v>
      </c>
      <c r="AZ140">
        <v>0</v>
      </c>
      <c r="BA140">
        <f t="shared" si="379"/>
        <v>4140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>IF(AX140&gt;0,SUM(AX140:BC140),0)</f>
        <v>44850</v>
      </c>
      <c r="BE140">
        <f>_xlfn.XLOOKUP(B140,'[5]july-2025'!$A:$A,'[5]july-2025'!$H:$H,0,0)</f>
        <v>3000</v>
      </c>
      <c r="BF140">
        <f>_xlfn.XLOOKUP(B140,'[5]july-2025'!$A:$A,'[5]july-2025'!$I:$I,0,0)</f>
        <v>0</v>
      </c>
      <c r="BG140">
        <f t="shared" si="380"/>
        <v>200</v>
      </c>
      <c r="BH140">
        <f t="shared" si="381"/>
        <v>41650</v>
      </c>
      <c r="BI140">
        <f>_xlfn.XLOOKUP(B140,'[6]august-2025'!$A:$A,'[6]august-2025'!$C:$C,0,0)</f>
        <v>34500</v>
      </c>
      <c r="BJ140">
        <f t="shared" si="382"/>
        <v>6210</v>
      </c>
      <c r="BK140">
        <f t="shared" si="383"/>
        <v>4140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384"/>
        <v>44850</v>
      </c>
      <c r="BO140">
        <f>_xlfn.XLOOKUP(B140,'[6]august-2025'!$A:$A,'[6]august-2025'!$H:$H,0,0)</f>
        <v>3000</v>
      </c>
      <c r="BP140">
        <f>_xlfn.XLOOKUP(B140,'[6]august-2025'!$A:$A,'[6]august-2025'!$I:$I,0,0)</f>
        <v>0</v>
      </c>
      <c r="BQ140">
        <f>IF($F140="YES",0,IF(BN140&gt;40000,200,IF(BN140&gt;25000,150,IF(BN140&gt;15000,130,IF(BN140&gt;10000,110,0)))))</f>
        <v>200</v>
      </c>
      <c r="BR140">
        <f>BN140-BO140-BP140-BQ140</f>
        <v>41650</v>
      </c>
      <c r="BS140">
        <f>_xlfn.XLOOKUP(B140,'[7]september-2025'!$A:$A,'[7]september-2025'!$C:$C,0,0)</f>
        <v>34500</v>
      </c>
      <c r="BT140">
        <f t="shared" si="385"/>
        <v>6210</v>
      </c>
      <c r="BU140">
        <f t="shared" si="386"/>
        <v>4140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>IF(BS140&gt;0,SUM(BS140:BW140),0)</f>
        <v>44850</v>
      </c>
      <c r="BY140">
        <f>_xlfn.XLOOKUP(B140,'[7]september-2025'!$A:$A,'[7]september-2025'!$H:$H,0,0)</f>
        <v>3000</v>
      </c>
      <c r="BZ140">
        <f>_xlfn.XLOOKUP(B140,'[7]september-2025'!$A:$A,'[7]september-2025'!$I:$I,0,0)</f>
        <v>0</v>
      </c>
      <c r="CA140">
        <f t="shared" si="387"/>
        <v>200</v>
      </c>
      <c r="CB140">
        <f t="shared" si="388"/>
        <v>41650</v>
      </c>
      <c r="CC140">
        <f>_xlfn.XLOOKUP(B140,'[8]october-2025'!$A:$A,'[8]october-2025'!$C:$C,0,0)</f>
        <v>34500</v>
      </c>
      <c r="CD140">
        <f t="shared" si="389"/>
        <v>6210</v>
      </c>
      <c r="CE140">
        <f t="shared" si="390"/>
        <v>4140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>IF(CC140&gt;0,SUM(CC140:CG140),0)</f>
        <v>44850</v>
      </c>
      <c r="CI140">
        <f>_xlfn.XLOOKUP(B140,'[8]october-2025'!$A:$A,'[8]october-2025'!$H:$H,0,0)</f>
        <v>3000</v>
      </c>
      <c r="CJ140">
        <f>_xlfn.XLOOKUP(B140,'[8]october-2025'!$A:$A,'[8]october-2025'!$I:$I,0,0)</f>
        <v>0</v>
      </c>
      <c r="CK140">
        <f t="shared" si="391"/>
        <v>200</v>
      </c>
      <c r="CL140">
        <f t="shared" si="392"/>
        <v>41650</v>
      </c>
      <c r="CM140">
        <f>_xlfn.XLOOKUP(B140,'[9]november-2025'!$A:$A,'[9]november-2025'!$C:$C,0,0)</f>
        <v>34500</v>
      </c>
      <c r="CN140">
        <f t="shared" si="393"/>
        <v>6210</v>
      </c>
      <c r="CO140">
        <f t="shared" si="394"/>
        <v>4140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>IF(CM140&gt;0,SUM(CM140:CQ140),0)</f>
        <v>44850</v>
      </c>
      <c r="CS140">
        <f>_xlfn.XLOOKUP(B140,'[9]november-2025'!$A:$A,'[9]november-2025'!$H:$H,0,0)</f>
        <v>3000</v>
      </c>
      <c r="CT140">
        <f>_xlfn.XLOOKUP(B140,'[9]november-2025'!$A:$A,'[9]november-2025'!$I:$I,0,0)</f>
        <v>0</v>
      </c>
      <c r="CU140">
        <f t="shared" si="395"/>
        <v>200</v>
      </c>
      <c r="CV140">
        <f t="shared" si="396"/>
        <v>41650</v>
      </c>
      <c r="CW140">
        <f>_xlfn.XLOOKUP(B140,'[10]december-2025'!$A:$A,'[10]december-2025'!$C:$C,0,0)</f>
        <v>34500</v>
      </c>
      <c r="CX140">
        <f t="shared" si="397"/>
        <v>6210</v>
      </c>
      <c r="CY140">
        <f t="shared" si="398"/>
        <v>4140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>IF(CW140&gt;0,SUM(CW140:DA140),0)</f>
        <v>44850</v>
      </c>
      <c r="DC140">
        <f>_xlfn.XLOOKUP(B140,'[10]december-2025'!$A:$A,'[10]december-2025'!$H:$H,0,0)</f>
        <v>3000</v>
      </c>
      <c r="DD140">
        <f>_xlfn.XLOOKUP(B140,'[10]december-2025'!$A:$A,'[10]december-2025'!$I:$I,0,0)</f>
        <v>0</v>
      </c>
      <c r="DE140">
        <f t="shared" si="399"/>
        <v>200</v>
      </c>
      <c r="DF140">
        <f t="shared" si="400"/>
        <v>41650</v>
      </c>
      <c r="DG140">
        <f>_xlfn.XLOOKUP(B140,'[11]january-2026'!$A:$A,'[11]january-2026'!$C:$C,0,0)</f>
        <v>34500</v>
      </c>
      <c r="DH140">
        <f t="shared" si="401"/>
        <v>6210</v>
      </c>
      <c r="DI140">
        <f t="shared" si="402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>IF(DG140&gt;0,SUM(DG140:DK140),0)</f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03"/>
        <v>200</v>
      </c>
      <c r="DP140">
        <f t="shared" si="404"/>
        <v>41650</v>
      </c>
      <c r="DQ140">
        <f>_xlfn.XLOOKUP(B140,'[12]february-2026'!$A:$A,'[12]february-2026'!$C:$C,0,0)</f>
        <v>34500</v>
      </c>
      <c r="DR140">
        <f t="shared" si="405"/>
        <v>6210</v>
      </c>
      <c r="DS140">
        <f t="shared" si="406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>IF(DQ140&gt;0,SUM(DQ140:DU140),0)</f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07"/>
        <v>200</v>
      </c>
      <c r="DZ140">
        <f t="shared" si="408"/>
        <v>41650</v>
      </c>
      <c r="EA140">
        <f>_xlfn.XLOOKUP(B140,'[1]march-2025'!$A:$A,'[1]march-2025'!$J:$J,0,0)</f>
        <v>0</v>
      </c>
      <c r="EB140">
        <f>_xlfn.XLOOKUP(B140,'[2]april-2025'!$A:$A,'[2]april-2025'!$J:$J,0,0)</f>
        <v>0</v>
      </c>
      <c r="EC140">
        <f>_xlfn.XLOOKUP(B140,'[3]may-2025'!$A:$A,'[3]may-2025'!$J:$J,0,0)</f>
        <v>0</v>
      </c>
      <c r="ED140">
        <f>_xlfn.XLOOKUP(B140,'[4]june-2025'!$A:$A,'[4]june-2025'!$J:$J,0,0)</f>
        <v>0</v>
      </c>
      <c r="EE140">
        <f>_xlfn.XLOOKUP(B140,'[5]july-2025'!$A:$A,'[5]july-2025'!$J:$J,0,0)</f>
        <v>0</v>
      </c>
      <c r="EF140">
        <f>_xlfn.XLOOKUP(B140,'[6]august-2025'!$A:$A,'[6]august-2025'!$J:$J,0,0)</f>
        <v>0</v>
      </c>
      <c r="EG140">
        <f>_xlfn.XLOOKUP(B140,'[7]september-2025'!$A:$A,'[7]september-2025'!$J:$J,0,0)</f>
        <v>0</v>
      </c>
      <c r="EH140">
        <f>_xlfn.XLOOKUP(B140,'[8]october-2025'!$A:$A,'[8]october-2025'!$J:$J,0,0)</f>
        <v>0</v>
      </c>
      <c r="EI140">
        <f>_xlfn.XLOOKUP(C140,'[9]november-2025'!$A:$A,'[9]november-2025'!$J:$J,0,0)</f>
        <v>0</v>
      </c>
      <c r="EJ140">
        <f>_xlfn.XLOOKUP(B140,'[10]december-2025'!$A:$A,'[10]december-2025'!$J:$J,0,0)</f>
        <v>0</v>
      </c>
      <c r="EK140">
        <f>_xlfn.XLOOKUP(B140,'[11]january-2026'!$A:$A,'[11]january-2026'!$J:$J,0,0)</f>
        <v>0</v>
      </c>
      <c r="EL140">
        <f>_xlfn.XLOOKUP(B140,'[12]february-2026'!$A:$A,'[12]february-2026'!$J:$J,0,0)</f>
        <v>0</v>
      </c>
      <c r="EM140">
        <f t="shared" si="361"/>
        <v>0</v>
      </c>
      <c r="EN140">
        <f>DV140+DL140+DB140+CR140+CH140+BX140+BN140+BD140+AS140+AI140+Y140+O140+H140+I140</f>
        <v>538460</v>
      </c>
      <c r="EO140">
        <f>DY140+DO140+DE140+CU140+CK140+CA140+BQ140+BG140+AV140+AL140+AB140+R140</f>
        <v>2400</v>
      </c>
      <c r="EP140">
        <f t="shared" si="409"/>
        <v>50000</v>
      </c>
      <c r="EQ140">
        <v>0</v>
      </c>
      <c r="ER140">
        <f t="shared" si="362"/>
        <v>486060</v>
      </c>
      <c r="ES140">
        <f>DW140+DM140+DC140+CS140+CI140+BY140+BO140+BE140+AT140+AJ140+Z140+P140</f>
        <v>36000</v>
      </c>
      <c r="ET140">
        <f>DX140+DN140+DD140+CT140+CJ140+BZ140+BP140+BF140+AU140+AK140+AA140+Q140</f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410"/>
        <v>36000</v>
      </c>
      <c r="FF140">
        <f t="shared" si="411"/>
        <v>36000</v>
      </c>
      <c r="FG140">
        <f t="shared" si="412"/>
        <v>450060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>SUM(FH140:FN140)+(IF(F140="YES",50000,0))</f>
        <v>0</v>
      </c>
      <c r="FP140">
        <f t="shared" si="413"/>
        <v>450060</v>
      </c>
      <c r="FQ140">
        <f t="shared" si="414"/>
        <v>10003</v>
      </c>
      <c r="FR140">
        <f t="shared" si="415"/>
        <v>0</v>
      </c>
      <c r="FS140">
        <f t="shared" si="416"/>
        <v>10003</v>
      </c>
      <c r="FT140">
        <f t="shared" si="417"/>
        <v>0</v>
      </c>
      <c r="FU140">
        <f t="shared" si="418"/>
        <v>0</v>
      </c>
      <c r="FV140">
        <f t="shared" si="419"/>
        <v>0</v>
      </c>
      <c r="FW140">
        <v>0</v>
      </c>
      <c r="FX140">
        <f t="shared" si="420"/>
        <v>0</v>
      </c>
      <c r="FY140" t="b">
        <f t="shared" si="421"/>
        <v>1</v>
      </c>
      <c r="FZ140">
        <f t="shared" ca="1" si="422"/>
        <v>570</v>
      </c>
      <c r="GA140">
        <f t="shared" ca="1" si="423"/>
        <v>539030</v>
      </c>
      <c r="GB140">
        <f t="shared" si="424"/>
        <v>75000</v>
      </c>
      <c r="GC140">
        <f t="shared" ca="1" si="425"/>
        <v>464030</v>
      </c>
      <c r="GD140">
        <f t="shared" ca="1" si="426"/>
        <v>0</v>
      </c>
      <c r="GE140">
        <f t="shared" ca="1" si="427"/>
        <v>0</v>
      </c>
      <c r="GF140">
        <f t="shared" ca="1" si="428"/>
        <v>0</v>
      </c>
      <c r="GG140">
        <f t="shared" ca="1" si="429"/>
        <v>0</v>
      </c>
      <c r="GH140">
        <f t="shared" ca="1" si="430"/>
        <v>0</v>
      </c>
      <c r="GI140">
        <f t="shared" ca="1" si="431"/>
        <v>0</v>
      </c>
      <c r="GJ140">
        <f ca="1">IF(GC140&gt;1200000,GC140-1200000-IF(F140="YES",50000,0)-GH140,0)</f>
        <v>0</v>
      </c>
      <c r="GK140">
        <f t="shared" ca="1" si="432"/>
        <v>0</v>
      </c>
      <c r="GL140">
        <f t="shared" ca="1" si="433"/>
        <v>0</v>
      </c>
      <c r="GM140">
        <f t="shared" ca="1" si="434"/>
        <v>0</v>
      </c>
      <c r="GN140">
        <f t="shared" ca="1" si="435"/>
        <v>64030</v>
      </c>
      <c r="GO140">
        <f t="shared" ca="1" si="436"/>
        <v>3201.5</v>
      </c>
      <c r="GP140">
        <f t="shared" ca="1" si="437"/>
        <v>3202</v>
      </c>
      <c r="GQ140">
        <f t="shared" ca="1" si="438"/>
        <v>0</v>
      </c>
      <c r="GR140">
        <f t="shared" ca="1" si="439"/>
        <v>0</v>
      </c>
      <c r="GS140">
        <f t="shared" ca="1" si="440"/>
        <v>3202</v>
      </c>
      <c r="GT140">
        <f t="shared" ca="1" si="441"/>
        <v>0</v>
      </c>
      <c r="GU140" t="b">
        <f t="shared" ca="1" si="442"/>
        <v>0</v>
      </c>
      <c r="GV140">
        <f t="shared" ca="1" si="443"/>
        <v>0</v>
      </c>
      <c r="GW140">
        <f t="shared" ca="1" si="444"/>
        <v>3202</v>
      </c>
      <c r="GX140">
        <f t="shared" ca="1" si="445"/>
        <v>0</v>
      </c>
      <c r="GY140">
        <f t="shared" ca="1" si="446"/>
        <v>0</v>
      </c>
      <c r="GZ140">
        <f t="shared" ca="1" si="447"/>
        <v>0</v>
      </c>
    </row>
    <row r="141" spans="1:208" x14ac:dyDescent="0.25">
      <c r="A141">
        <f>_xlfn.AGGREGATE(3,5,$B$2:B141)</f>
        <v>140</v>
      </c>
      <c r="B141" t="s">
        <v>388</v>
      </c>
      <c r="C141" t="s">
        <v>389</v>
      </c>
      <c r="D141" t="s">
        <v>788</v>
      </c>
      <c r="E141" t="s">
        <v>831</v>
      </c>
      <c r="F141" t="s">
        <v>957</v>
      </c>
      <c r="G141" t="s">
        <v>881</v>
      </c>
      <c r="H141">
        <f t="shared" si="449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364"/>
        <v>4046.0000000000005</v>
      </c>
      <c r="L141">
        <f t="shared" si="365"/>
        <v>3468</v>
      </c>
      <c r="M141">
        <f>_xlfn.XLOOKUP(B141,'[1]march-2025'!$A:$A,'[1]march-2025'!$D:$D,0,0)</f>
        <v>0</v>
      </c>
      <c r="N141">
        <f>_xlfn.XLOOKUP(B141,'[1]march-2025'!$A:$A,'[1]march-2025'!$G:$G,0,0)</f>
        <v>500</v>
      </c>
      <c r="O141">
        <f>IF(J141&gt;0,SUM(J141:N141),0)</f>
        <v>36914</v>
      </c>
      <c r="P141">
        <f>_xlfn.XLOOKUP(B141,'[1]march-2025'!$A:$A,'[1]march-2025'!$H:$H,0,0)</f>
        <v>4000</v>
      </c>
      <c r="Q141">
        <f>_xlfn.XLOOKUP(B141,'[1]march-2025'!$A:$A,'[1]march-2025'!$I:$I,0,0)</f>
        <v>0</v>
      </c>
      <c r="R141">
        <f t="shared" si="448"/>
        <v>150</v>
      </c>
      <c r="S141">
        <f t="shared" si="357"/>
        <v>32764</v>
      </c>
      <c r="T141">
        <f>_xlfn.XLOOKUP(B141,'[2]april-2025'!$A:$A,'[2]april-2025'!$C:$C,0,0)</f>
        <v>28900</v>
      </c>
      <c r="U141">
        <f t="shared" si="366"/>
        <v>5202</v>
      </c>
      <c r="V141">
        <f t="shared" si="367"/>
        <v>3468</v>
      </c>
      <c r="W141">
        <f>_xlfn.XLOOKUP(B141,'[2]april-2025'!$A:$A,'[2]april-2025'!$D:$D,0,0)</f>
        <v>0</v>
      </c>
      <c r="X141">
        <f>_xlfn.XLOOKUP(B141,'[2]april-2025'!$A:$A,'[2]april-2025'!$G:$G,0,0)</f>
        <v>500</v>
      </c>
      <c r="Y141">
        <f t="shared" si="358"/>
        <v>38070</v>
      </c>
      <c r="Z141">
        <f>_xlfn.XLOOKUP(B141,'[2]april-2025'!$A:$A,'[2]april-2025'!$H:$H,0,0)</f>
        <v>4000</v>
      </c>
      <c r="AA141">
        <f>_xlfn.XLOOKUP(B141,'[2]april-2025'!$A:$A,'[2]april-2025'!$I:$I,0,0)</f>
        <v>0</v>
      </c>
      <c r="AB141">
        <f t="shared" si="368"/>
        <v>150</v>
      </c>
      <c r="AC141">
        <f t="shared" si="369"/>
        <v>33920</v>
      </c>
      <c r="AD141">
        <f>_xlfn.XLOOKUP(B141,'[3]may-2025'!$A:$A,'[3]may-2025'!$C:$C,0,0)</f>
        <v>28900</v>
      </c>
      <c r="AE141">
        <f t="shared" si="370"/>
        <v>5202</v>
      </c>
      <c r="AF141">
        <f t="shared" si="371"/>
        <v>3468</v>
      </c>
      <c r="AG141">
        <f>_xlfn.XLOOKUP(B141,'[3]may-2025'!$A:$A,'[3]may-2025'!$D:$D,0,0)</f>
        <v>0</v>
      </c>
      <c r="AH141">
        <f>_xlfn.XLOOKUP(B141,'[3]may-2025'!$A:$A,'[3]may-2025'!$G:$G,0,0)</f>
        <v>500</v>
      </c>
      <c r="AI141">
        <f t="shared" si="359"/>
        <v>38070</v>
      </c>
      <c r="AJ141">
        <f>_xlfn.XLOOKUP(B141,'[3]may-2025'!$A:$A,'[3]may-2025'!$H:$H,0,0)</f>
        <v>4000</v>
      </c>
      <c r="AK141">
        <f>_xlfn.XLOOKUP(B141,'[3]may-2025'!$A:$A,'[3]may-2025'!$I:$I,0,0)</f>
        <v>0</v>
      </c>
      <c r="AL141">
        <f t="shared" si="372"/>
        <v>150</v>
      </c>
      <c r="AM141">
        <f t="shared" si="373"/>
        <v>33920</v>
      </c>
      <c r="AN141">
        <f>_xlfn.XLOOKUP(B141,'[4]june-2025'!$A:$A,'[4]june-2025'!$C:$C,0,0)</f>
        <v>28900</v>
      </c>
      <c r="AO141">
        <f t="shared" si="374"/>
        <v>5202</v>
      </c>
      <c r="AP141">
        <f t="shared" si="375"/>
        <v>3468</v>
      </c>
      <c r="AQ141">
        <f>_xlfn.XLOOKUP(B141,'[4]june-2025'!$A:$A,'[4]june-2025'!$D:$D,0,0)</f>
        <v>0</v>
      </c>
      <c r="AR141">
        <f>_xlfn.XLOOKUP(B141,'[4]june-2025'!$A:$A,'[4]june-2025'!$G:$G,0,0)</f>
        <v>500</v>
      </c>
      <c r="AS141">
        <f t="shared" si="360"/>
        <v>38070</v>
      </c>
      <c r="AT141">
        <f>_xlfn.XLOOKUP(B141,'[4]june-2025'!$A:$A,'[4]june-2025'!$H:$H,0,0)</f>
        <v>4000</v>
      </c>
      <c r="AU141">
        <f>_xlfn.XLOOKUP(B141,'[4]june-2025'!$A:$A,'[4]june-2025'!$I:$I,0,0)</f>
        <v>0</v>
      </c>
      <c r="AV141">
        <f t="shared" si="376"/>
        <v>150</v>
      </c>
      <c r="AW141">
        <f t="shared" si="377"/>
        <v>33920</v>
      </c>
      <c r="AX141">
        <f>_xlfn.XLOOKUP(B141,'[5]july-2025'!$A:$A,'[5]july-2025'!$C:$C,0,0)</f>
        <v>29800</v>
      </c>
      <c r="AY141">
        <f t="shared" si="378"/>
        <v>5364</v>
      </c>
      <c r="AZ141">
        <v>0</v>
      </c>
      <c r="BA141">
        <f t="shared" si="379"/>
        <v>3576</v>
      </c>
      <c r="BB141">
        <f>_xlfn.XLOOKUP(B141,'[5]july-2025'!$A:$A,'[5]july-2025'!$D:$D,0,0)</f>
        <v>0</v>
      </c>
      <c r="BC141">
        <f>_xlfn.XLOOKUP(B141,'[5]july-2025'!$A:$A,'[5]july-2025'!$G:$G,0,0)</f>
        <v>500</v>
      </c>
      <c r="BD141">
        <f>IF(AX141&gt;0,SUM(AX141:BC141),0)</f>
        <v>39240</v>
      </c>
      <c r="BE141">
        <f>_xlfn.XLOOKUP(B141,'[5]july-2025'!$A:$A,'[5]july-2025'!$H:$H,0,0)</f>
        <v>4000</v>
      </c>
      <c r="BF141">
        <f>_xlfn.XLOOKUP(B141,'[5]july-2025'!$A:$A,'[5]july-2025'!$I:$I,0,0)</f>
        <v>0</v>
      </c>
      <c r="BG141">
        <f t="shared" si="380"/>
        <v>150</v>
      </c>
      <c r="BH141">
        <f t="shared" si="381"/>
        <v>35090</v>
      </c>
      <c r="BI141">
        <f>_xlfn.XLOOKUP(B141,'[6]august-2025'!$A:$A,'[6]august-2025'!$C:$C,0,0)</f>
        <v>29800</v>
      </c>
      <c r="BJ141">
        <f t="shared" si="382"/>
        <v>5364</v>
      </c>
      <c r="BK141">
        <f t="shared" si="383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500</v>
      </c>
      <c r="BN141">
        <f t="shared" si="384"/>
        <v>39240</v>
      </c>
      <c r="BO141">
        <f>_xlfn.XLOOKUP(B141,'[6]august-2025'!$A:$A,'[6]august-2025'!$H:$H,0,0)</f>
        <v>4000</v>
      </c>
      <c r="BP141">
        <f>_xlfn.XLOOKUP(B141,'[6]august-2025'!$A:$A,'[6]august-2025'!$I:$I,0,0)</f>
        <v>0</v>
      </c>
      <c r="BQ141">
        <f>IF($F141="YES",0,IF(BN141&gt;40000,200,IF(BN141&gt;25000,150,IF(BN141&gt;15000,130,IF(BN141&gt;10000,110,0)))))</f>
        <v>150</v>
      </c>
      <c r="BR141">
        <f>BN141-BO141-BP141-BQ141</f>
        <v>35090</v>
      </c>
      <c r="BS141">
        <f>_xlfn.XLOOKUP(B141,'[7]september-2025'!$A:$A,'[7]september-2025'!$C:$C,0,0)</f>
        <v>29800</v>
      </c>
      <c r="BT141">
        <f t="shared" si="385"/>
        <v>5364</v>
      </c>
      <c r="BU141">
        <f t="shared" si="386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500</v>
      </c>
      <c r="BX141">
        <f>IF(BS141&gt;0,SUM(BS141:BW141),0)</f>
        <v>39240</v>
      </c>
      <c r="BY141">
        <f>_xlfn.XLOOKUP(B141,'[7]september-2025'!$A:$A,'[7]september-2025'!$H:$H,0,0)</f>
        <v>4000</v>
      </c>
      <c r="BZ141">
        <f>_xlfn.XLOOKUP(B141,'[7]september-2025'!$A:$A,'[7]september-2025'!$I:$I,0,0)</f>
        <v>0</v>
      </c>
      <c r="CA141">
        <f t="shared" si="387"/>
        <v>150</v>
      </c>
      <c r="CB141">
        <f t="shared" si="388"/>
        <v>35090</v>
      </c>
      <c r="CC141">
        <f>_xlfn.XLOOKUP(B141,'[8]october-2025'!$A:$A,'[8]october-2025'!$C:$C,0,0)</f>
        <v>29800</v>
      </c>
      <c r="CD141">
        <f t="shared" si="389"/>
        <v>5364</v>
      </c>
      <c r="CE141">
        <f t="shared" si="390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500</v>
      </c>
      <c r="CH141">
        <f>IF(CC141&gt;0,SUM(CC141:CG141),0)</f>
        <v>39240</v>
      </c>
      <c r="CI141">
        <f>_xlfn.XLOOKUP(B141,'[8]october-2025'!$A:$A,'[8]october-2025'!$H:$H,0,0)</f>
        <v>4000</v>
      </c>
      <c r="CJ141">
        <f>_xlfn.XLOOKUP(B141,'[8]october-2025'!$A:$A,'[8]october-2025'!$I:$I,0,0)</f>
        <v>0</v>
      </c>
      <c r="CK141">
        <f t="shared" si="391"/>
        <v>150</v>
      </c>
      <c r="CL141">
        <f t="shared" si="392"/>
        <v>35090</v>
      </c>
      <c r="CM141">
        <f>_xlfn.XLOOKUP(B141,'[9]november-2025'!$A:$A,'[9]november-2025'!$C:$C,0,0)</f>
        <v>29800</v>
      </c>
      <c r="CN141">
        <f t="shared" si="393"/>
        <v>5364</v>
      </c>
      <c r="CO141">
        <f t="shared" si="394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500</v>
      </c>
      <c r="CR141">
        <f>IF(CM141&gt;0,SUM(CM141:CQ141),0)</f>
        <v>39240</v>
      </c>
      <c r="CS141">
        <f>_xlfn.XLOOKUP(B141,'[9]november-2025'!$A:$A,'[9]november-2025'!$H:$H,0,0)</f>
        <v>4000</v>
      </c>
      <c r="CT141">
        <f>_xlfn.XLOOKUP(B141,'[9]november-2025'!$A:$A,'[9]november-2025'!$I:$I,0,0)</f>
        <v>0</v>
      </c>
      <c r="CU141">
        <f t="shared" si="395"/>
        <v>150</v>
      </c>
      <c r="CV141">
        <f t="shared" si="396"/>
        <v>35090</v>
      </c>
      <c r="CW141">
        <f>_xlfn.XLOOKUP(B141,'[10]december-2025'!$A:$A,'[10]december-2025'!$C:$C,0,0)</f>
        <v>29800</v>
      </c>
      <c r="CX141">
        <f t="shared" si="397"/>
        <v>5364</v>
      </c>
      <c r="CY141">
        <f t="shared" si="398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500</v>
      </c>
      <c r="DB141">
        <f>IF(CW141&gt;0,SUM(CW141:DA141),0)</f>
        <v>39240</v>
      </c>
      <c r="DC141">
        <f>_xlfn.XLOOKUP(B141,'[10]december-2025'!$A:$A,'[10]december-2025'!$H:$H,0,0)</f>
        <v>4000</v>
      </c>
      <c r="DD141">
        <f>_xlfn.XLOOKUP(B141,'[10]december-2025'!$A:$A,'[10]december-2025'!$I:$I,0,0)</f>
        <v>0</v>
      </c>
      <c r="DE141">
        <f t="shared" si="399"/>
        <v>150</v>
      </c>
      <c r="DF141">
        <f t="shared" si="400"/>
        <v>35090</v>
      </c>
      <c r="DG141">
        <f>_xlfn.XLOOKUP(B141,'[11]january-2026'!$A:$A,'[11]january-2026'!$C:$C,0,0)</f>
        <v>29800</v>
      </c>
      <c r="DH141">
        <f t="shared" si="401"/>
        <v>5364</v>
      </c>
      <c r="DI141">
        <f t="shared" si="402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>IF(DG141&gt;0,SUM(DG141:DK141),0)</f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03"/>
        <v>150</v>
      </c>
      <c r="DP141">
        <f t="shared" si="404"/>
        <v>35090</v>
      </c>
      <c r="DQ141">
        <f>_xlfn.XLOOKUP(B141,'[12]february-2026'!$A:$A,'[12]february-2026'!$C:$C,0,0)</f>
        <v>29800</v>
      </c>
      <c r="DR141">
        <f t="shared" si="405"/>
        <v>5364</v>
      </c>
      <c r="DS141">
        <f t="shared" si="406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>IF(DQ141&gt;0,SUM(DQ141:DU141),0)</f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07"/>
        <v>150</v>
      </c>
      <c r="DZ141">
        <f t="shared" si="408"/>
        <v>35090</v>
      </c>
      <c r="EA141">
        <f>_xlfn.XLOOKUP(B141,'[1]march-2025'!$A:$A,'[1]march-2025'!$J:$J,0,0)</f>
        <v>0</v>
      </c>
      <c r="EB141">
        <f>_xlfn.XLOOKUP(B141,'[2]april-2025'!$A:$A,'[2]april-2025'!$J:$J,0,0)</f>
        <v>0</v>
      </c>
      <c r="EC141">
        <f>_xlfn.XLOOKUP(B141,'[3]may-2025'!$A:$A,'[3]may-2025'!$J:$J,0,0)</f>
        <v>61490</v>
      </c>
      <c r="ED141">
        <f>_xlfn.XLOOKUP(B141,'[4]june-2025'!$A:$A,'[4]june-2025'!$J:$J,0,0)</f>
        <v>0</v>
      </c>
      <c r="EE141">
        <f>_xlfn.XLOOKUP(B141,'[5]july-2025'!$A:$A,'[5]july-2025'!$J:$J,0,0)</f>
        <v>0</v>
      </c>
      <c r="EF141">
        <f>_xlfn.XLOOKUP(B141,'[6]august-2025'!$A:$A,'[6]august-2025'!$J:$J,0,0)</f>
        <v>0</v>
      </c>
      <c r="EG141">
        <f>_xlfn.XLOOKUP(B141,'[7]september-2025'!$A:$A,'[7]september-2025'!$J:$J,0,0)</f>
        <v>0</v>
      </c>
      <c r="EH141">
        <f>_xlfn.XLOOKUP(B141,'[8]october-2025'!$A:$A,'[8]october-2025'!$J:$J,0,0)</f>
        <v>0</v>
      </c>
      <c r="EI141">
        <f>_xlfn.XLOOKUP(C141,'[9]november-2025'!$A:$A,'[9]november-2025'!$J:$J,0,0)</f>
        <v>0</v>
      </c>
      <c r="EJ141">
        <f>_xlfn.XLOOKUP(B141,'[10]december-2025'!$A:$A,'[10]december-2025'!$J:$J,0,0)</f>
        <v>0</v>
      </c>
      <c r="EK141">
        <f>_xlfn.XLOOKUP(B141,'[11]january-2026'!$A:$A,'[11]january-2026'!$J:$J,0,0)</f>
        <v>0</v>
      </c>
      <c r="EL141">
        <f>_xlfn.XLOOKUP(B141,'[12]february-2026'!$A:$A,'[12]february-2026'!$J:$J,0,0)</f>
        <v>0</v>
      </c>
      <c r="EM141">
        <f t="shared" si="361"/>
        <v>61490</v>
      </c>
      <c r="EN141">
        <f>DV141+DL141+DB141+CR141+CH141+BX141+BN141+BD141+AS141+AI141+Y141+O141+H141+I141</f>
        <v>471844</v>
      </c>
      <c r="EO141">
        <f>DY141+DO141+DE141+CU141+CK141+CA141+BQ141+BG141+AV141+AL141+AB141+R141</f>
        <v>1800</v>
      </c>
      <c r="EP141">
        <f t="shared" si="409"/>
        <v>50000</v>
      </c>
      <c r="EQ141">
        <v>0</v>
      </c>
      <c r="ER141">
        <f t="shared" si="362"/>
        <v>481534</v>
      </c>
      <c r="ES141">
        <f>DW141+DM141+DC141+CS141+CI141+BY141+BO141+BE141+AT141+AJ141+Z141+P141</f>
        <v>48000</v>
      </c>
      <c r="ET141">
        <f>DX141+DN141+DD141+CT141+CJ141+BZ141+BP141+BF141+AU141+AK141+AA141+Q141</f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410"/>
        <v>48000</v>
      </c>
      <c r="FF141">
        <f t="shared" si="411"/>
        <v>48000</v>
      </c>
      <c r="FG141">
        <f t="shared" si="412"/>
        <v>433534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>SUM(FH141:FN141)+(IF(F141="YES",50000,0))</f>
        <v>0</v>
      </c>
      <c r="FP141">
        <f t="shared" si="413"/>
        <v>433534</v>
      </c>
      <c r="FQ141">
        <f t="shared" si="414"/>
        <v>9177</v>
      </c>
      <c r="FR141">
        <f t="shared" si="415"/>
        <v>0</v>
      </c>
      <c r="FS141">
        <f t="shared" si="416"/>
        <v>9177</v>
      </c>
      <c r="FT141">
        <f t="shared" si="417"/>
        <v>0</v>
      </c>
      <c r="FU141">
        <f t="shared" si="418"/>
        <v>0</v>
      </c>
      <c r="FV141">
        <f t="shared" si="419"/>
        <v>0</v>
      </c>
      <c r="FW141">
        <v>0</v>
      </c>
      <c r="FX141">
        <f t="shared" si="420"/>
        <v>0</v>
      </c>
      <c r="FY141" t="b">
        <f t="shared" si="421"/>
        <v>0</v>
      </c>
      <c r="FZ141">
        <f t="shared" ca="1" si="422"/>
        <v>2141</v>
      </c>
      <c r="GA141">
        <f t="shared" ca="1" si="423"/>
        <v>473985</v>
      </c>
      <c r="GB141">
        <f t="shared" si="424"/>
        <v>75000</v>
      </c>
      <c r="GC141">
        <f t="shared" ca="1" si="425"/>
        <v>398985</v>
      </c>
      <c r="GD141">
        <f t="shared" ca="1" si="426"/>
        <v>0</v>
      </c>
      <c r="GE141">
        <f t="shared" ca="1" si="427"/>
        <v>0</v>
      </c>
      <c r="GF141">
        <f t="shared" ca="1" si="428"/>
        <v>0</v>
      </c>
      <c r="GG141">
        <f t="shared" ca="1" si="429"/>
        <v>0</v>
      </c>
      <c r="GH141">
        <f t="shared" ca="1" si="430"/>
        <v>0</v>
      </c>
      <c r="GI141">
        <f t="shared" ca="1" si="431"/>
        <v>0</v>
      </c>
      <c r="GJ141">
        <f ca="1">IF(GC141&gt;1200000,GC141-1200000-IF(F141="YES",50000,0)-GH141,0)</f>
        <v>0</v>
      </c>
      <c r="GK141">
        <f t="shared" ca="1" si="432"/>
        <v>0</v>
      </c>
      <c r="GL141">
        <f t="shared" ca="1" si="433"/>
        <v>0</v>
      </c>
      <c r="GM141">
        <f t="shared" ca="1" si="434"/>
        <v>0</v>
      </c>
      <c r="GN141">
        <f t="shared" ca="1" si="435"/>
        <v>0</v>
      </c>
      <c r="GO141">
        <f t="shared" ca="1" si="436"/>
        <v>0</v>
      </c>
      <c r="GP141">
        <f t="shared" ca="1" si="437"/>
        <v>0</v>
      </c>
      <c r="GQ141">
        <f t="shared" ca="1" si="438"/>
        <v>0</v>
      </c>
      <c r="GR141">
        <f t="shared" ca="1" si="439"/>
        <v>0</v>
      </c>
      <c r="GS141">
        <f t="shared" ca="1" si="440"/>
        <v>0</v>
      </c>
      <c r="GT141">
        <f t="shared" ca="1" si="441"/>
        <v>0</v>
      </c>
      <c r="GU141" t="b">
        <f t="shared" ca="1" si="442"/>
        <v>0</v>
      </c>
      <c r="GV141">
        <f t="shared" ca="1" si="443"/>
        <v>0</v>
      </c>
      <c r="GW141">
        <f t="shared" ca="1" si="444"/>
        <v>0</v>
      </c>
      <c r="GX141">
        <f t="shared" ca="1" si="445"/>
        <v>0</v>
      </c>
      <c r="GY141">
        <f t="shared" ca="1" si="446"/>
        <v>0</v>
      </c>
      <c r="GZ141">
        <f t="shared" ca="1" si="447"/>
        <v>0</v>
      </c>
    </row>
    <row r="142" spans="1:208" x14ac:dyDescent="0.25">
      <c r="A142">
        <f>_xlfn.AGGREGATE(3,5,$B$2:B142)</f>
        <v>141</v>
      </c>
      <c r="B142" t="s">
        <v>390</v>
      </c>
      <c r="C142" t="s">
        <v>391</v>
      </c>
      <c r="D142" t="s">
        <v>788</v>
      </c>
      <c r="E142" t="s">
        <v>831</v>
      </c>
      <c r="F142" t="s">
        <v>957</v>
      </c>
      <c r="G142" t="s">
        <v>883</v>
      </c>
      <c r="H142">
        <f t="shared" si="449"/>
        <v>6800</v>
      </c>
      <c r="I142">
        <f>_xlfn.XLOOKUP(B142,'[1]march-2025'!$A:$A,'[1]march-2025'!$J:$J,0,0)</f>
        <v>0</v>
      </c>
      <c r="J142">
        <f>_xlfn.XLOOKUP(B142,'[1]march-2025'!$A:$A,'[1]march-2025'!$C:$C,0,0)</f>
        <v>28900</v>
      </c>
      <c r="K142">
        <f t="shared" si="364"/>
        <v>4046.0000000000005</v>
      </c>
      <c r="L142">
        <f t="shared" si="365"/>
        <v>3468</v>
      </c>
      <c r="M142">
        <f>_xlfn.XLOOKUP(B142,'[1]march-2025'!$A:$A,'[1]march-2025'!$D:$D,0,0)</f>
        <v>0</v>
      </c>
      <c r="N142">
        <f>_xlfn.XLOOKUP(B142,'[1]march-2025'!$A:$A,'[1]march-2025'!$G:$G,0,0)</f>
        <v>0</v>
      </c>
      <c r="O142">
        <f>IF(J142&gt;0,SUM(J142:N142),0)</f>
        <v>36414</v>
      </c>
      <c r="P142">
        <f>_xlfn.XLOOKUP(B142,'[1]march-2025'!$A:$A,'[1]march-2025'!$H:$H,0,0)</f>
        <v>0</v>
      </c>
      <c r="Q142">
        <f>_xlfn.XLOOKUP(B142,'[1]march-2025'!$A:$A,'[1]march-2025'!$I:$I,0,0)</f>
        <v>0</v>
      </c>
      <c r="R142">
        <f t="shared" si="448"/>
        <v>150</v>
      </c>
      <c r="S142">
        <f t="shared" si="357"/>
        <v>36264</v>
      </c>
      <c r="T142">
        <f>_xlfn.XLOOKUP(B142,'[2]april-2025'!$A:$A,'[2]april-2025'!$C:$C,0,0)</f>
        <v>28900</v>
      </c>
      <c r="U142">
        <f t="shared" si="366"/>
        <v>5202</v>
      </c>
      <c r="V142">
        <f t="shared" si="367"/>
        <v>3468</v>
      </c>
      <c r="W142">
        <f>_xlfn.XLOOKUP(B142,'[2]april-2025'!$A:$A,'[2]april-2025'!$D:$D,0,0)</f>
        <v>0</v>
      </c>
      <c r="X142">
        <f>_xlfn.XLOOKUP(B142,'[2]april-2025'!$A:$A,'[2]april-2025'!$G:$G,0,0)</f>
        <v>0</v>
      </c>
      <c r="Y142">
        <f t="shared" si="358"/>
        <v>37570</v>
      </c>
      <c r="Z142">
        <f>_xlfn.XLOOKUP(B142,'[2]april-2025'!$A:$A,'[2]april-2025'!$H:$H,0,0)</f>
        <v>0</v>
      </c>
      <c r="AA142">
        <f>_xlfn.XLOOKUP(B142,'[2]april-2025'!$A:$A,'[2]april-2025'!$I:$I,0,0)</f>
        <v>0</v>
      </c>
      <c r="AB142">
        <f t="shared" si="368"/>
        <v>150</v>
      </c>
      <c r="AC142">
        <f t="shared" si="369"/>
        <v>37420</v>
      </c>
      <c r="AD142">
        <f>_xlfn.XLOOKUP(B142,'[3]may-2025'!$A:$A,'[3]may-2025'!$C:$C,0,0)</f>
        <v>28900</v>
      </c>
      <c r="AE142">
        <f t="shared" si="370"/>
        <v>5202</v>
      </c>
      <c r="AF142">
        <f t="shared" si="371"/>
        <v>3468</v>
      </c>
      <c r="AG142">
        <f>_xlfn.XLOOKUP(B142,'[3]may-2025'!$A:$A,'[3]may-2025'!$D:$D,0,0)</f>
        <v>0</v>
      </c>
      <c r="AH142">
        <f>_xlfn.XLOOKUP(B142,'[3]may-2025'!$A:$A,'[3]may-2025'!$G:$G,0,0)</f>
        <v>0</v>
      </c>
      <c r="AI142">
        <f t="shared" si="359"/>
        <v>37570</v>
      </c>
      <c r="AJ142">
        <f>_xlfn.XLOOKUP(B142,'[3]may-2025'!$A:$A,'[3]may-2025'!$H:$H,0,0)</f>
        <v>0</v>
      </c>
      <c r="AK142">
        <f>_xlfn.XLOOKUP(B142,'[3]may-2025'!$A:$A,'[3]may-2025'!$I:$I,0,0)</f>
        <v>0</v>
      </c>
      <c r="AL142">
        <f t="shared" si="372"/>
        <v>150</v>
      </c>
      <c r="AM142">
        <f t="shared" si="373"/>
        <v>37420</v>
      </c>
      <c r="AN142">
        <f>_xlfn.XLOOKUP(B142,'[4]june-2025'!$A:$A,'[4]june-2025'!$C:$C,0,0)</f>
        <v>28900</v>
      </c>
      <c r="AO142">
        <f t="shared" si="374"/>
        <v>5202</v>
      </c>
      <c r="AP142">
        <f t="shared" si="375"/>
        <v>3468</v>
      </c>
      <c r="AQ142">
        <f>_xlfn.XLOOKUP(B142,'[4]june-2025'!$A:$A,'[4]june-2025'!$D:$D,0,0)</f>
        <v>0</v>
      </c>
      <c r="AR142">
        <f>_xlfn.XLOOKUP(B142,'[4]june-2025'!$A:$A,'[4]june-2025'!$G:$G,0,0)</f>
        <v>0</v>
      </c>
      <c r="AS142">
        <f t="shared" si="360"/>
        <v>37570</v>
      </c>
      <c r="AT142">
        <f>_xlfn.XLOOKUP(B142,'[4]june-2025'!$A:$A,'[4]june-2025'!$H:$H,0,0)</f>
        <v>0</v>
      </c>
      <c r="AU142">
        <f>_xlfn.XLOOKUP(B142,'[4]june-2025'!$A:$A,'[4]june-2025'!$I:$I,0,0)</f>
        <v>0</v>
      </c>
      <c r="AV142">
        <f t="shared" si="376"/>
        <v>150</v>
      </c>
      <c r="AW142">
        <f t="shared" si="377"/>
        <v>37420</v>
      </c>
      <c r="AX142">
        <f>_xlfn.XLOOKUP(B142,'[5]july-2025'!$A:$A,'[5]july-2025'!$C:$C,0,0)</f>
        <v>29800</v>
      </c>
      <c r="AY142">
        <f t="shared" si="378"/>
        <v>5364</v>
      </c>
      <c r="AZ142">
        <v>0</v>
      </c>
      <c r="BA142">
        <f t="shared" si="379"/>
        <v>3576</v>
      </c>
      <c r="BB142">
        <f>_xlfn.XLOOKUP(B142,'[5]july-2025'!$A:$A,'[5]july-2025'!$D:$D,0,0)</f>
        <v>0</v>
      </c>
      <c r="BC142">
        <f>_xlfn.XLOOKUP(B142,'[5]july-2025'!$A:$A,'[5]july-2025'!$G:$G,0,0)</f>
        <v>0</v>
      </c>
      <c r="BD142">
        <f>IF(AX142&gt;0,SUM(AX142:BC142),0)</f>
        <v>38740</v>
      </c>
      <c r="BE142">
        <f>_xlfn.XLOOKUP(B142,'[5]july-2025'!$A:$A,'[5]july-2025'!$H:$H,0,0)</f>
        <v>0</v>
      </c>
      <c r="BF142">
        <f>_xlfn.XLOOKUP(B142,'[5]july-2025'!$A:$A,'[5]july-2025'!$I:$I,0,0)</f>
        <v>0</v>
      </c>
      <c r="BG142">
        <f t="shared" si="380"/>
        <v>150</v>
      </c>
      <c r="BH142">
        <f t="shared" si="381"/>
        <v>38590</v>
      </c>
      <c r="BI142">
        <f>_xlfn.XLOOKUP(B142,'[6]august-2025'!$A:$A,'[6]august-2025'!$C:$C,0,0)</f>
        <v>29800</v>
      </c>
      <c r="BJ142">
        <f t="shared" si="382"/>
        <v>5364</v>
      </c>
      <c r="BK142">
        <f t="shared" si="383"/>
        <v>3576</v>
      </c>
      <c r="BL142">
        <f>_xlfn.XLOOKUP(B142,'[6]august-2025'!$A:$A,'[6]august-2025'!$D:$D,0,0)</f>
        <v>0</v>
      </c>
      <c r="BM142">
        <f>_xlfn.XLOOKUP(B142,'[6]august-2025'!$A:$A,'[6]august-2025'!$G:$G,0,0)</f>
        <v>0</v>
      </c>
      <c r="BN142">
        <f t="shared" si="384"/>
        <v>38740</v>
      </c>
      <c r="BO142">
        <f>_xlfn.XLOOKUP(B142,'[6]august-2025'!$A:$A,'[6]august-2025'!$H:$H,0,0)</f>
        <v>0</v>
      </c>
      <c r="BP142">
        <f>_xlfn.XLOOKUP(B142,'[6]august-2025'!$A:$A,'[6]august-2025'!$I:$I,0,0)</f>
        <v>0</v>
      </c>
      <c r="BQ142">
        <f>IF($F142="YES",0,IF(BN142&gt;40000,200,IF(BN142&gt;25000,150,IF(BN142&gt;15000,130,IF(BN142&gt;10000,110,0)))))</f>
        <v>150</v>
      </c>
      <c r="BR142">
        <f>BN142-BO142-BP142-BQ142</f>
        <v>38590</v>
      </c>
      <c r="BS142">
        <f>_xlfn.XLOOKUP(B142,'[7]september-2025'!$A:$A,'[7]september-2025'!$C:$C,0,0)</f>
        <v>29800</v>
      </c>
      <c r="BT142">
        <f t="shared" si="385"/>
        <v>5364</v>
      </c>
      <c r="BU142">
        <f t="shared" si="386"/>
        <v>3576</v>
      </c>
      <c r="BV142">
        <f>_xlfn.XLOOKUP(B142,'[7]september-2025'!$A:$A,'[7]september-2025'!$D:$D,0,0)</f>
        <v>0</v>
      </c>
      <c r="BW142">
        <f>_xlfn.XLOOKUP(B142,'[7]september-2025'!$A:$A,'[7]september-2025'!$G:$G,0,0)</f>
        <v>0</v>
      </c>
      <c r="BX142">
        <f>IF(BS142&gt;0,SUM(BS142:BW142),0)</f>
        <v>38740</v>
      </c>
      <c r="BY142">
        <f>_xlfn.XLOOKUP(B142,'[7]september-2025'!$A:$A,'[7]september-2025'!$H:$H,0,0)</f>
        <v>2000</v>
      </c>
      <c r="BZ142">
        <f>_xlfn.XLOOKUP(B142,'[7]september-2025'!$A:$A,'[7]september-2025'!$I:$I,0,0)</f>
        <v>0</v>
      </c>
      <c r="CA142">
        <f t="shared" si="387"/>
        <v>150</v>
      </c>
      <c r="CB142">
        <f t="shared" si="388"/>
        <v>36590</v>
      </c>
      <c r="CC142">
        <f>_xlfn.XLOOKUP(B142,'[8]october-2025'!$A:$A,'[8]october-2025'!$C:$C,0,0)</f>
        <v>29800</v>
      </c>
      <c r="CD142">
        <f t="shared" si="389"/>
        <v>5364</v>
      </c>
      <c r="CE142">
        <f t="shared" si="390"/>
        <v>3576</v>
      </c>
      <c r="CF142">
        <f>_xlfn.XLOOKUP(B142,'[8]october-2025'!$A:$A,'[8]october-2025'!$D:$D,0,0)</f>
        <v>0</v>
      </c>
      <c r="CG142">
        <f>_xlfn.XLOOKUP(B142,'[8]october-2025'!$A:$A,'[8]october-2025'!$G:$G,0,0)</f>
        <v>0</v>
      </c>
      <c r="CH142">
        <f>IF(CC142&gt;0,SUM(CC142:CG142),0)</f>
        <v>38740</v>
      </c>
      <c r="CI142">
        <f>_xlfn.XLOOKUP(B142,'[8]october-2025'!$A:$A,'[8]october-2025'!$H:$H,0,0)</f>
        <v>2000</v>
      </c>
      <c r="CJ142">
        <f>_xlfn.XLOOKUP(B142,'[8]october-2025'!$A:$A,'[8]october-2025'!$I:$I,0,0)</f>
        <v>0</v>
      </c>
      <c r="CK142">
        <f t="shared" si="391"/>
        <v>150</v>
      </c>
      <c r="CL142">
        <f t="shared" si="392"/>
        <v>36590</v>
      </c>
      <c r="CM142">
        <f>_xlfn.XLOOKUP(B142,'[9]november-2025'!$A:$A,'[9]november-2025'!$C:$C,0,0)</f>
        <v>29800</v>
      </c>
      <c r="CN142">
        <f t="shared" si="393"/>
        <v>5364</v>
      </c>
      <c r="CO142">
        <f t="shared" si="394"/>
        <v>3576</v>
      </c>
      <c r="CP142">
        <f>_xlfn.XLOOKUP(B142,'[9]november-2025'!$A:$A,'[9]november-2025'!$D:$D,0,0)</f>
        <v>0</v>
      </c>
      <c r="CQ142">
        <f>_xlfn.XLOOKUP(B142,'[9]november-2025'!$A:$A,'[9]november-2025'!$G:$G,0,0)</f>
        <v>0</v>
      </c>
      <c r="CR142">
        <f>IF(CM142&gt;0,SUM(CM142:CQ142),0)</f>
        <v>38740</v>
      </c>
      <c r="CS142">
        <f>_xlfn.XLOOKUP(B142,'[9]november-2025'!$A:$A,'[9]november-2025'!$H:$H,0,0)</f>
        <v>2000</v>
      </c>
      <c r="CT142">
        <f>_xlfn.XLOOKUP(B142,'[9]november-2025'!$A:$A,'[9]november-2025'!$I:$I,0,0)</f>
        <v>0</v>
      </c>
      <c r="CU142">
        <f t="shared" si="395"/>
        <v>150</v>
      </c>
      <c r="CV142">
        <f t="shared" si="396"/>
        <v>36590</v>
      </c>
      <c r="CW142">
        <f>_xlfn.XLOOKUP(B142,'[10]december-2025'!$A:$A,'[10]december-2025'!$C:$C,0,0)</f>
        <v>29800</v>
      </c>
      <c r="CX142">
        <f t="shared" si="397"/>
        <v>5364</v>
      </c>
      <c r="CY142">
        <f t="shared" si="398"/>
        <v>3576</v>
      </c>
      <c r="CZ142">
        <f>_xlfn.XLOOKUP(B142,'[10]december-2025'!$A:$A,'[10]december-2025'!$D:$D,0,0)</f>
        <v>0</v>
      </c>
      <c r="DA142">
        <f>_xlfn.XLOOKUP(B142,'[10]december-2025'!$A:$A,'[10]december-2025'!$G:$G,0,0)</f>
        <v>0</v>
      </c>
      <c r="DB142">
        <f>IF(CW142&gt;0,SUM(CW142:DA142),0)</f>
        <v>38740</v>
      </c>
      <c r="DC142">
        <f>_xlfn.XLOOKUP(B142,'[10]december-2025'!$A:$A,'[10]december-2025'!$H:$H,0,0)</f>
        <v>2000</v>
      </c>
      <c r="DD142">
        <f>_xlfn.XLOOKUP(B142,'[10]december-2025'!$A:$A,'[10]december-2025'!$I:$I,0,0)</f>
        <v>0</v>
      </c>
      <c r="DE142">
        <f t="shared" si="399"/>
        <v>150</v>
      </c>
      <c r="DF142">
        <f t="shared" si="400"/>
        <v>36590</v>
      </c>
      <c r="DG142">
        <f>_xlfn.XLOOKUP(B142,'[11]january-2026'!$A:$A,'[11]january-2026'!$C:$C,0,0)</f>
        <v>29800</v>
      </c>
      <c r="DH142">
        <f t="shared" si="401"/>
        <v>5364</v>
      </c>
      <c r="DI142">
        <f t="shared" si="402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>IF(DG142&gt;0,SUM(DG142:DK142),0)</f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03"/>
        <v>150</v>
      </c>
      <c r="DP142">
        <f t="shared" si="404"/>
        <v>36590</v>
      </c>
      <c r="DQ142">
        <f>_xlfn.XLOOKUP(B142,'[12]february-2026'!$A:$A,'[12]february-2026'!$C:$C,0,0)</f>
        <v>29800</v>
      </c>
      <c r="DR142">
        <f t="shared" si="405"/>
        <v>5364</v>
      </c>
      <c r="DS142">
        <f t="shared" si="406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>IF(DQ142&gt;0,SUM(DQ142:DU142),0)</f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07"/>
        <v>150</v>
      </c>
      <c r="DZ142">
        <f t="shared" si="408"/>
        <v>36590</v>
      </c>
      <c r="EA142">
        <f>_xlfn.XLOOKUP(B142,'[1]march-2025'!$A:$A,'[1]march-2025'!$J:$J,0,0)</f>
        <v>0</v>
      </c>
      <c r="EB142">
        <f>_xlfn.XLOOKUP(B142,'[2]april-2025'!$A:$A,'[2]april-2025'!$J:$J,0,0)</f>
        <v>0</v>
      </c>
      <c r="EC142">
        <f>_xlfn.XLOOKUP(B142,'[3]may-2025'!$A:$A,'[3]may-2025'!$J:$J,0,0)</f>
        <v>0</v>
      </c>
      <c r="ED142">
        <f>_xlfn.XLOOKUP(B142,'[4]june-2025'!$A:$A,'[4]june-2025'!$J:$J,0,0)</f>
        <v>0</v>
      </c>
      <c r="EE142">
        <f>_xlfn.XLOOKUP(B142,'[5]july-2025'!$A:$A,'[5]july-2025'!$J:$J,0,0)</f>
        <v>0</v>
      </c>
      <c r="EF142">
        <f>_xlfn.XLOOKUP(B142,'[6]august-2025'!$A:$A,'[6]august-2025'!$J:$J,0,0)</f>
        <v>0</v>
      </c>
      <c r="EG142">
        <f>_xlfn.XLOOKUP(B142,'[7]september-2025'!$A:$A,'[7]september-2025'!$J:$J,0,0)</f>
        <v>0</v>
      </c>
      <c r="EH142">
        <f>_xlfn.XLOOKUP(B142,'[8]october-2025'!$A:$A,'[8]october-2025'!$J:$J,0,0)</f>
        <v>0</v>
      </c>
      <c r="EI142">
        <f>_xlfn.XLOOKUP(C142,'[9]november-2025'!$A:$A,'[9]november-2025'!$J:$J,0,0)</f>
        <v>0</v>
      </c>
      <c r="EJ142">
        <f>_xlfn.XLOOKUP(B142,'[10]december-2025'!$A:$A,'[10]december-2025'!$J:$J,0,0)</f>
        <v>0</v>
      </c>
      <c r="EK142">
        <f>_xlfn.XLOOKUP(B142,'[11]january-2026'!$A:$A,'[11]january-2026'!$J:$J,0,0)</f>
        <v>0</v>
      </c>
      <c r="EL142">
        <f>_xlfn.XLOOKUP(B142,'[12]february-2026'!$A:$A,'[12]february-2026'!$J:$J,0,0)</f>
        <v>0</v>
      </c>
      <c r="EM142">
        <f t="shared" si="361"/>
        <v>0</v>
      </c>
      <c r="EN142">
        <f>DV142+DL142+DB142+CR142+CH142+BX142+BN142+BD142+AS142+AI142+Y142+O142+H142+I142</f>
        <v>465844</v>
      </c>
      <c r="EO142">
        <f>DY142+DO142+DE142+CU142+CK142+CA142+BQ142+BG142+AV142+AL142+AB142+R142</f>
        <v>1800</v>
      </c>
      <c r="EP142">
        <f t="shared" si="409"/>
        <v>50000</v>
      </c>
      <c r="EQ142">
        <v>0</v>
      </c>
      <c r="ER142">
        <f t="shared" si="362"/>
        <v>414044</v>
      </c>
      <c r="ES142">
        <f>DW142+DM142+DC142+CS142+CI142+BY142+BO142+BE142+AT142+AJ142+Z142+P142</f>
        <v>12000</v>
      </c>
      <c r="ET142">
        <f>DX142+DN142+DD142+CT142+CJ142+BZ142+BP142+BF142+AU142+AK142+AA142+Q142</f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410"/>
        <v>12000</v>
      </c>
      <c r="FF142">
        <f t="shared" si="411"/>
        <v>12000</v>
      </c>
      <c r="FG142">
        <f t="shared" si="412"/>
        <v>402044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>SUM(FH142:FN142)+(IF(F142="YES",50000,0))</f>
        <v>0</v>
      </c>
      <c r="FP142">
        <f t="shared" si="413"/>
        <v>402044</v>
      </c>
      <c r="FQ142">
        <f t="shared" si="414"/>
        <v>7602</v>
      </c>
      <c r="FR142">
        <f t="shared" si="415"/>
        <v>0</v>
      </c>
      <c r="FS142">
        <f t="shared" si="416"/>
        <v>7602</v>
      </c>
      <c r="FT142">
        <f t="shared" si="417"/>
        <v>0</v>
      </c>
      <c r="FU142">
        <f t="shared" si="418"/>
        <v>0</v>
      </c>
      <c r="FV142">
        <f t="shared" si="419"/>
        <v>0</v>
      </c>
      <c r="FW142">
        <v>0</v>
      </c>
      <c r="FX142">
        <f t="shared" si="420"/>
        <v>0</v>
      </c>
      <c r="FY142" t="b">
        <f t="shared" si="421"/>
        <v>0</v>
      </c>
      <c r="FZ142">
        <f t="shared" ca="1" si="422"/>
        <v>2145</v>
      </c>
      <c r="GA142">
        <f t="shared" ca="1" si="423"/>
        <v>467989</v>
      </c>
      <c r="GB142">
        <f t="shared" si="424"/>
        <v>75000</v>
      </c>
      <c r="GC142">
        <f t="shared" ca="1" si="425"/>
        <v>392989</v>
      </c>
      <c r="GD142">
        <f t="shared" ca="1" si="426"/>
        <v>0</v>
      </c>
      <c r="GE142">
        <f t="shared" ca="1" si="427"/>
        <v>0</v>
      </c>
      <c r="GF142">
        <f t="shared" ca="1" si="428"/>
        <v>0</v>
      </c>
      <c r="GG142">
        <f t="shared" ca="1" si="429"/>
        <v>0</v>
      </c>
      <c r="GH142">
        <f t="shared" ca="1" si="430"/>
        <v>0</v>
      </c>
      <c r="GI142">
        <f t="shared" ca="1" si="431"/>
        <v>0</v>
      </c>
      <c r="GJ142">
        <f ca="1">IF(GC142&gt;1200000,GC142-1200000-IF(F142="YES",50000,0)-GH142,0)</f>
        <v>0</v>
      </c>
      <c r="GK142">
        <f t="shared" ca="1" si="432"/>
        <v>0</v>
      </c>
      <c r="GL142">
        <f t="shared" ca="1" si="433"/>
        <v>0</v>
      </c>
      <c r="GM142">
        <f t="shared" ca="1" si="434"/>
        <v>0</v>
      </c>
      <c r="GN142">
        <f t="shared" ca="1" si="435"/>
        <v>0</v>
      </c>
      <c r="GO142">
        <f t="shared" ca="1" si="436"/>
        <v>0</v>
      </c>
      <c r="GP142">
        <f t="shared" ca="1" si="437"/>
        <v>0</v>
      </c>
      <c r="GQ142">
        <f t="shared" ca="1" si="438"/>
        <v>0</v>
      </c>
      <c r="GR142">
        <f t="shared" ca="1" si="439"/>
        <v>0</v>
      </c>
      <c r="GS142">
        <f t="shared" ca="1" si="440"/>
        <v>0</v>
      </c>
      <c r="GT142">
        <f t="shared" ca="1" si="441"/>
        <v>0</v>
      </c>
      <c r="GU142" t="b">
        <f t="shared" ca="1" si="442"/>
        <v>0</v>
      </c>
      <c r="GV142">
        <f t="shared" ca="1" si="443"/>
        <v>0</v>
      </c>
      <c r="GW142">
        <f t="shared" ca="1" si="444"/>
        <v>0</v>
      </c>
      <c r="GX142">
        <f t="shared" ca="1" si="445"/>
        <v>0</v>
      </c>
      <c r="GY142">
        <f t="shared" ca="1" si="446"/>
        <v>0</v>
      </c>
      <c r="GZ142">
        <f t="shared" ca="1" si="447"/>
        <v>0</v>
      </c>
    </row>
    <row r="143" spans="1:208" x14ac:dyDescent="0.25">
      <c r="A143">
        <f>_xlfn.AGGREGATE(3,5,$B$2:B143)</f>
        <v>142</v>
      </c>
      <c r="B143" t="s">
        <v>392</v>
      </c>
      <c r="C143" t="s">
        <v>393</v>
      </c>
      <c r="D143" t="s">
        <v>789</v>
      </c>
      <c r="E143" t="s">
        <v>831</v>
      </c>
      <c r="F143" t="s">
        <v>957</v>
      </c>
      <c r="G143" t="s">
        <v>929</v>
      </c>
      <c r="H143">
        <f t="shared" si="449"/>
        <v>6800</v>
      </c>
      <c r="I143">
        <f>_xlfn.XLOOKUP(B143,'[1]march-2025'!$A:$A,'[1]march-2025'!$J:$J,0,0)</f>
        <v>0</v>
      </c>
      <c r="J143">
        <f>_xlfn.XLOOKUP(B143,'[1]march-2025'!$A:$A,'[1]march-2025'!$C:$C,0,0)</f>
        <v>34500</v>
      </c>
      <c r="K143">
        <f t="shared" si="364"/>
        <v>4830.0000000000009</v>
      </c>
      <c r="L143">
        <f t="shared" si="365"/>
        <v>4140</v>
      </c>
      <c r="M143">
        <f>_xlfn.XLOOKUP(B143,'[1]march-2025'!$A:$A,'[1]march-2025'!$D:$D,0,0)</f>
        <v>400</v>
      </c>
      <c r="N143">
        <f>_xlfn.XLOOKUP(B143,'[1]march-2025'!$A:$A,'[1]march-2025'!$G:$G,0,0)</f>
        <v>500</v>
      </c>
      <c r="O143">
        <f>IF(J143&gt;0,SUM(J143:N143),0)</f>
        <v>44370</v>
      </c>
      <c r="P143">
        <f>_xlfn.XLOOKUP(B143,'[1]march-2025'!$A:$A,'[1]march-2025'!$H:$H,0,0)</f>
        <v>7000</v>
      </c>
      <c r="Q143">
        <f>_xlfn.XLOOKUP(B143,'[1]march-2025'!$A:$A,'[1]march-2025'!$I:$I,0,0)</f>
        <v>0</v>
      </c>
      <c r="R143">
        <f t="shared" si="448"/>
        <v>200</v>
      </c>
      <c r="S143">
        <f t="shared" si="357"/>
        <v>37170</v>
      </c>
      <c r="T143">
        <f>_xlfn.XLOOKUP(B143,'[2]april-2025'!$A:$A,'[2]april-2025'!$C:$C,0,0)</f>
        <v>34500</v>
      </c>
      <c r="U143">
        <f t="shared" si="366"/>
        <v>6210</v>
      </c>
      <c r="V143">
        <f t="shared" si="367"/>
        <v>4140</v>
      </c>
      <c r="W143">
        <f>_xlfn.XLOOKUP(B143,'[2]april-2025'!$A:$A,'[2]april-2025'!$D:$D,0,0)</f>
        <v>400</v>
      </c>
      <c r="X143">
        <f>_xlfn.XLOOKUP(B143,'[2]april-2025'!$A:$A,'[2]april-2025'!$G:$G,0,0)</f>
        <v>500</v>
      </c>
      <c r="Y143">
        <f t="shared" si="358"/>
        <v>45750</v>
      </c>
      <c r="Z143">
        <f>_xlfn.XLOOKUP(B143,'[2]april-2025'!$A:$A,'[2]april-2025'!$H:$H,0,0)</f>
        <v>7000</v>
      </c>
      <c r="AA143">
        <f>_xlfn.XLOOKUP(B143,'[2]april-2025'!$A:$A,'[2]april-2025'!$I:$I,0,0)</f>
        <v>0</v>
      </c>
      <c r="AB143">
        <f t="shared" si="368"/>
        <v>200</v>
      </c>
      <c r="AC143">
        <f t="shared" si="369"/>
        <v>38550</v>
      </c>
      <c r="AD143">
        <f>_xlfn.XLOOKUP(B143,'[3]may-2025'!$A:$A,'[3]may-2025'!$C:$C,0,0)</f>
        <v>34500</v>
      </c>
      <c r="AE143">
        <f t="shared" si="370"/>
        <v>6210</v>
      </c>
      <c r="AF143">
        <f t="shared" si="371"/>
        <v>4140</v>
      </c>
      <c r="AG143">
        <f>_xlfn.XLOOKUP(B143,'[3]may-2025'!$A:$A,'[3]may-2025'!$D:$D,0,0)</f>
        <v>400</v>
      </c>
      <c r="AH143">
        <f>_xlfn.XLOOKUP(B143,'[3]may-2025'!$A:$A,'[3]may-2025'!$G:$G,0,0)</f>
        <v>500</v>
      </c>
      <c r="AI143">
        <f t="shared" si="359"/>
        <v>45750</v>
      </c>
      <c r="AJ143">
        <f>_xlfn.XLOOKUP(B143,'[3]may-2025'!$A:$A,'[3]may-2025'!$H:$H,0,0)</f>
        <v>7000</v>
      </c>
      <c r="AK143">
        <f>_xlfn.XLOOKUP(B143,'[3]may-2025'!$A:$A,'[3]may-2025'!$I:$I,0,0)</f>
        <v>0</v>
      </c>
      <c r="AL143">
        <f t="shared" si="372"/>
        <v>200</v>
      </c>
      <c r="AM143">
        <f t="shared" si="373"/>
        <v>38550</v>
      </c>
      <c r="AN143">
        <f>_xlfn.XLOOKUP(B143,'[4]june-2025'!$A:$A,'[4]june-2025'!$C:$C,0,0)</f>
        <v>34500</v>
      </c>
      <c r="AO143">
        <f t="shared" si="374"/>
        <v>6210</v>
      </c>
      <c r="AP143">
        <f t="shared" si="375"/>
        <v>4140</v>
      </c>
      <c r="AQ143">
        <f>_xlfn.XLOOKUP(B143,'[4]june-2025'!$A:$A,'[4]june-2025'!$D:$D,0,0)</f>
        <v>400</v>
      </c>
      <c r="AR143">
        <f>_xlfn.XLOOKUP(B143,'[4]june-2025'!$A:$A,'[4]june-2025'!$G:$G,0,0)</f>
        <v>500</v>
      </c>
      <c r="AS143">
        <f t="shared" si="360"/>
        <v>45750</v>
      </c>
      <c r="AT143">
        <f>_xlfn.XLOOKUP(B143,'[4]june-2025'!$A:$A,'[4]june-2025'!$H:$H,0,0)</f>
        <v>7000</v>
      </c>
      <c r="AU143">
        <f>_xlfn.XLOOKUP(B143,'[4]june-2025'!$A:$A,'[4]june-2025'!$I:$I,0,0)</f>
        <v>0</v>
      </c>
      <c r="AV143">
        <f t="shared" si="376"/>
        <v>200</v>
      </c>
      <c r="AW143">
        <f t="shared" si="377"/>
        <v>38550</v>
      </c>
      <c r="AX143">
        <f>_xlfn.XLOOKUP(B143,'[5]july-2025'!$A:$A,'[5]july-2025'!$C:$C,0,0)</f>
        <v>35500</v>
      </c>
      <c r="AY143">
        <f t="shared" si="378"/>
        <v>6390</v>
      </c>
      <c r="AZ143">
        <v>0</v>
      </c>
      <c r="BA143">
        <f t="shared" si="379"/>
        <v>4260</v>
      </c>
      <c r="BB143">
        <f>_xlfn.XLOOKUP(B143,'[5]july-2025'!$A:$A,'[5]july-2025'!$D:$D,0,0)</f>
        <v>400</v>
      </c>
      <c r="BC143">
        <f>_xlfn.XLOOKUP(B143,'[5]july-2025'!$A:$A,'[5]july-2025'!$G:$G,0,0)</f>
        <v>500</v>
      </c>
      <c r="BD143">
        <f>IF(AX143&gt;0,SUM(AX143:BC143),0)</f>
        <v>47050</v>
      </c>
      <c r="BE143">
        <f>_xlfn.XLOOKUP(B143,'[5]july-2025'!$A:$A,'[5]july-2025'!$H:$H,0,0)</f>
        <v>7000</v>
      </c>
      <c r="BF143">
        <f>_xlfn.XLOOKUP(B143,'[5]july-2025'!$A:$A,'[5]july-2025'!$I:$I,0,0)</f>
        <v>0</v>
      </c>
      <c r="BG143">
        <f t="shared" si="380"/>
        <v>200</v>
      </c>
      <c r="BH143">
        <f t="shared" si="381"/>
        <v>39850</v>
      </c>
      <c r="BI143">
        <f>_xlfn.XLOOKUP(B143,'[6]august-2025'!$A:$A,'[6]august-2025'!$C:$C,0,0)</f>
        <v>35500</v>
      </c>
      <c r="BJ143">
        <f t="shared" si="382"/>
        <v>6390</v>
      </c>
      <c r="BK143">
        <f t="shared" si="383"/>
        <v>4260</v>
      </c>
      <c r="BL143">
        <f>_xlfn.XLOOKUP(B143,'[6]august-2025'!$A:$A,'[6]august-2025'!$D:$D,0,0)</f>
        <v>400</v>
      </c>
      <c r="BM143">
        <f>_xlfn.XLOOKUP(B143,'[6]august-2025'!$A:$A,'[6]august-2025'!$G:$G,0,0)</f>
        <v>500</v>
      </c>
      <c r="BN143">
        <f t="shared" si="384"/>
        <v>47050</v>
      </c>
      <c r="BO143">
        <f>_xlfn.XLOOKUP(B143,'[6]august-2025'!$A:$A,'[6]august-2025'!$H:$H,0,0)</f>
        <v>7000</v>
      </c>
      <c r="BP143">
        <f>_xlfn.XLOOKUP(B143,'[6]august-2025'!$A:$A,'[6]august-2025'!$I:$I,0,0)</f>
        <v>0</v>
      </c>
      <c r="BQ143">
        <f>IF($F143="YES",0,IF(BN143&gt;40000,200,IF(BN143&gt;25000,150,IF(BN143&gt;15000,130,IF(BN143&gt;10000,110,0)))))</f>
        <v>200</v>
      </c>
      <c r="BR143">
        <f>BN143-BO143-BP143-BQ143</f>
        <v>39850</v>
      </c>
      <c r="BS143">
        <f>_xlfn.XLOOKUP(B143,'[7]september-2025'!$A:$A,'[7]september-2025'!$C:$C,0,0)</f>
        <v>35500</v>
      </c>
      <c r="BT143">
        <f t="shared" si="385"/>
        <v>6390</v>
      </c>
      <c r="BU143">
        <f t="shared" si="386"/>
        <v>4260</v>
      </c>
      <c r="BV143">
        <f>_xlfn.XLOOKUP(B143,'[7]september-2025'!$A:$A,'[7]september-2025'!$D:$D,0,0)</f>
        <v>400</v>
      </c>
      <c r="BW143">
        <f>_xlfn.XLOOKUP(B143,'[7]september-2025'!$A:$A,'[7]september-2025'!$G:$G,0,0)</f>
        <v>500</v>
      </c>
      <c r="BX143">
        <f>IF(BS143&gt;0,SUM(BS143:BW143),0)</f>
        <v>47050</v>
      </c>
      <c r="BY143">
        <f>_xlfn.XLOOKUP(B143,'[7]september-2025'!$A:$A,'[7]september-2025'!$H:$H,0,0)</f>
        <v>7000</v>
      </c>
      <c r="BZ143">
        <f>_xlfn.XLOOKUP(B143,'[7]september-2025'!$A:$A,'[7]september-2025'!$I:$I,0,0)</f>
        <v>0</v>
      </c>
      <c r="CA143">
        <f t="shared" si="387"/>
        <v>200</v>
      </c>
      <c r="CB143">
        <f t="shared" si="388"/>
        <v>39850</v>
      </c>
      <c r="CC143">
        <f>_xlfn.XLOOKUP(B143,'[8]october-2025'!$A:$A,'[8]october-2025'!$C:$C,0,0)</f>
        <v>35500</v>
      </c>
      <c r="CD143">
        <f t="shared" si="389"/>
        <v>6390</v>
      </c>
      <c r="CE143">
        <f t="shared" si="390"/>
        <v>4260</v>
      </c>
      <c r="CF143">
        <f>_xlfn.XLOOKUP(B143,'[8]october-2025'!$A:$A,'[8]october-2025'!$D:$D,0,0)</f>
        <v>400</v>
      </c>
      <c r="CG143">
        <f>_xlfn.XLOOKUP(B143,'[8]october-2025'!$A:$A,'[8]october-2025'!$G:$G,0,0)</f>
        <v>500</v>
      </c>
      <c r="CH143">
        <f>IF(CC143&gt;0,SUM(CC143:CG143),0)</f>
        <v>47050</v>
      </c>
      <c r="CI143">
        <f>_xlfn.XLOOKUP(B143,'[8]october-2025'!$A:$A,'[8]october-2025'!$H:$H,0,0)</f>
        <v>7000</v>
      </c>
      <c r="CJ143">
        <f>_xlfn.XLOOKUP(B143,'[8]october-2025'!$A:$A,'[8]october-2025'!$I:$I,0,0)</f>
        <v>0</v>
      </c>
      <c r="CK143">
        <f t="shared" si="391"/>
        <v>200</v>
      </c>
      <c r="CL143">
        <f t="shared" si="392"/>
        <v>39850</v>
      </c>
      <c r="CM143">
        <f>_xlfn.XLOOKUP(B143,'[9]november-2025'!$A:$A,'[9]november-2025'!$C:$C,0,0)</f>
        <v>35500</v>
      </c>
      <c r="CN143">
        <f t="shared" si="393"/>
        <v>6390</v>
      </c>
      <c r="CO143">
        <f t="shared" si="394"/>
        <v>4260</v>
      </c>
      <c r="CP143">
        <f>_xlfn.XLOOKUP(B143,'[9]november-2025'!$A:$A,'[9]november-2025'!$D:$D,0,0)</f>
        <v>400</v>
      </c>
      <c r="CQ143">
        <f>_xlfn.XLOOKUP(B143,'[9]november-2025'!$A:$A,'[9]november-2025'!$G:$G,0,0)</f>
        <v>500</v>
      </c>
      <c r="CR143">
        <f>IF(CM143&gt;0,SUM(CM143:CQ143),0)</f>
        <v>47050</v>
      </c>
      <c r="CS143">
        <f>_xlfn.XLOOKUP(B143,'[9]november-2025'!$A:$A,'[9]november-2025'!$H:$H,0,0)</f>
        <v>7000</v>
      </c>
      <c r="CT143">
        <f>_xlfn.XLOOKUP(B143,'[9]november-2025'!$A:$A,'[9]november-2025'!$I:$I,0,0)</f>
        <v>0</v>
      </c>
      <c r="CU143">
        <f t="shared" si="395"/>
        <v>200</v>
      </c>
      <c r="CV143">
        <f t="shared" si="396"/>
        <v>39850</v>
      </c>
      <c r="CW143">
        <f>_xlfn.XLOOKUP(B143,'[10]december-2025'!$A:$A,'[10]december-2025'!$C:$C,0,0)</f>
        <v>35500</v>
      </c>
      <c r="CX143">
        <f t="shared" si="397"/>
        <v>6390</v>
      </c>
      <c r="CY143">
        <f t="shared" si="398"/>
        <v>4260</v>
      </c>
      <c r="CZ143">
        <f>_xlfn.XLOOKUP(B143,'[10]december-2025'!$A:$A,'[10]december-2025'!$D:$D,0,0)</f>
        <v>400</v>
      </c>
      <c r="DA143">
        <f>_xlfn.XLOOKUP(B143,'[10]december-2025'!$A:$A,'[10]december-2025'!$G:$G,0,0)</f>
        <v>500</v>
      </c>
      <c r="DB143">
        <f>IF(CW143&gt;0,SUM(CW143:DA143),0)</f>
        <v>47050</v>
      </c>
      <c r="DC143">
        <f>_xlfn.XLOOKUP(B143,'[10]december-2025'!$A:$A,'[10]december-2025'!$H:$H,0,0)</f>
        <v>7000</v>
      </c>
      <c r="DD143">
        <f>_xlfn.XLOOKUP(B143,'[10]december-2025'!$A:$A,'[10]december-2025'!$I:$I,0,0)</f>
        <v>0</v>
      </c>
      <c r="DE143">
        <f t="shared" si="399"/>
        <v>200</v>
      </c>
      <c r="DF143">
        <f t="shared" si="400"/>
        <v>39850</v>
      </c>
      <c r="DG143">
        <f>_xlfn.XLOOKUP(B143,'[11]january-2026'!$A:$A,'[11]january-2026'!$C:$C,0,0)</f>
        <v>35500</v>
      </c>
      <c r="DH143">
        <f t="shared" si="401"/>
        <v>6390</v>
      </c>
      <c r="DI143">
        <f t="shared" si="402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>IF(DG143&gt;0,SUM(DG143:DK143),0)</f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03"/>
        <v>200</v>
      </c>
      <c r="DP143">
        <f t="shared" si="404"/>
        <v>39850</v>
      </c>
      <c r="DQ143">
        <f>_xlfn.XLOOKUP(B143,'[12]february-2026'!$A:$A,'[12]february-2026'!$C:$C,0,0)</f>
        <v>35500</v>
      </c>
      <c r="DR143">
        <f t="shared" si="405"/>
        <v>6390</v>
      </c>
      <c r="DS143">
        <f t="shared" si="406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>IF(DQ143&gt;0,SUM(DQ143:DU143),0)</f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07"/>
        <v>200</v>
      </c>
      <c r="DZ143">
        <f t="shared" si="408"/>
        <v>39850</v>
      </c>
      <c r="EA143">
        <f>_xlfn.XLOOKUP(B143,'[1]march-2025'!$A:$A,'[1]march-2025'!$J:$J,0,0)</f>
        <v>0</v>
      </c>
      <c r="EB143">
        <f>_xlfn.XLOOKUP(B143,'[2]april-2025'!$A:$A,'[2]april-2025'!$J:$J,0,0)</f>
        <v>0</v>
      </c>
      <c r="EC143">
        <f>_xlfn.XLOOKUP(B143,'[3]may-2025'!$A:$A,'[3]may-2025'!$J:$J,0,0)</f>
        <v>0</v>
      </c>
      <c r="ED143">
        <f>_xlfn.XLOOKUP(B143,'[4]june-2025'!$A:$A,'[4]june-2025'!$J:$J,0,0)</f>
        <v>0</v>
      </c>
      <c r="EE143">
        <f>_xlfn.XLOOKUP(B143,'[5]july-2025'!$A:$A,'[5]july-2025'!$J:$J,0,0)</f>
        <v>0</v>
      </c>
      <c r="EF143">
        <f>_xlfn.XLOOKUP(B143,'[6]august-2025'!$A:$A,'[6]august-2025'!$J:$J,0,0)</f>
        <v>0</v>
      </c>
      <c r="EG143">
        <f>_xlfn.XLOOKUP(B143,'[7]september-2025'!$A:$A,'[7]september-2025'!$J:$J,0,0)</f>
        <v>0</v>
      </c>
      <c r="EH143">
        <f>_xlfn.XLOOKUP(B143,'[8]october-2025'!$A:$A,'[8]october-2025'!$J:$J,0,0)</f>
        <v>0</v>
      </c>
      <c r="EI143">
        <f>_xlfn.XLOOKUP(C143,'[9]november-2025'!$A:$A,'[9]november-2025'!$J:$J,0,0)</f>
        <v>0</v>
      </c>
      <c r="EJ143">
        <f>_xlfn.XLOOKUP(B143,'[10]december-2025'!$A:$A,'[10]december-2025'!$J:$J,0,0)</f>
        <v>0</v>
      </c>
      <c r="EK143">
        <f>_xlfn.XLOOKUP(B143,'[11]january-2026'!$A:$A,'[11]january-2026'!$J:$J,0,0)</f>
        <v>0</v>
      </c>
      <c r="EL143">
        <f>_xlfn.XLOOKUP(B143,'[12]february-2026'!$A:$A,'[12]february-2026'!$J:$J,0,0)</f>
        <v>0</v>
      </c>
      <c r="EM143">
        <f t="shared" si="361"/>
        <v>0</v>
      </c>
      <c r="EN143">
        <f>DV143+DL143+DB143+CR143+CH143+BX143+BN143+BD143+AS143+AI143+Y143+O143+H143+I143</f>
        <v>564820</v>
      </c>
      <c r="EO143">
        <f>DY143+DO143+DE143+CU143+CK143+CA143+BQ143+BG143+AV143+AL143+AB143+R143</f>
        <v>2400</v>
      </c>
      <c r="EP143">
        <f t="shared" si="409"/>
        <v>50000</v>
      </c>
      <c r="EQ143">
        <v>0</v>
      </c>
      <c r="ER143">
        <f t="shared" si="362"/>
        <v>512420</v>
      </c>
      <c r="ES143">
        <f>DW143+DM143+DC143+CS143+CI143+BY143+BO143+BE143+AT143+AJ143+Z143+P143</f>
        <v>84000</v>
      </c>
      <c r="ET143">
        <f>DX143+DN143+DD143+CT143+CJ143+BZ143+BP143+BF143+AU143+AK143+AA143+Q143</f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410"/>
        <v>84000</v>
      </c>
      <c r="FF143">
        <f t="shared" si="411"/>
        <v>84000</v>
      </c>
      <c r="FG143">
        <f t="shared" si="412"/>
        <v>428420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>SUM(FH143:FN143)+(IF(F143="YES",50000,0))</f>
        <v>0</v>
      </c>
      <c r="FP143">
        <f t="shared" si="413"/>
        <v>428420</v>
      </c>
      <c r="FQ143">
        <f t="shared" si="414"/>
        <v>8921</v>
      </c>
      <c r="FR143">
        <f t="shared" si="415"/>
        <v>0</v>
      </c>
      <c r="FS143">
        <f t="shared" si="416"/>
        <v>8921</v>
      </c>
      <c r="FT143">
        <f t="shared" si="417"/>
        <v>0</v>
      </c>
      <c r="FU143">
        <f t="shared" si="418"/>
        <v>0</v>
      </c>
      <c r="FV143">
        <f t="shared" si="419"/>
        <v>0</v>
      </c>
      <c r="FW143">
        <v>0</v>
      </c>
      <c r="FX143">
        <f t="shared" si="420"/>
        <v>0</v>
      </c>
      <c r="FY143" t="b">
        <f t="shared" si="421"/>
        <v>1</v>
      </c>
      <c r="FZ143">
        <f t="shared" ca="1" si="422"/>
        <v>983</v>
      </c>
      <c r="GA143">
        <f t="shared" ca="1" si="423"/>
        <v>565803</v>
      </c>
      <c r="GB143">
        <f t="shared" si="424"/>
        <v>75000</v>
      </c>
      <c r="GC143">
        <f t="shared" ca="1" si="425"/>
        <v>490803</v>
      </c>
      <c r="GD143">
        <f t="shared" ca="1" si="426"/>
        <v>0</v>
      </c>
      <c r="GE143">
        <f t="shared" ca="1" si="427"/>
        <v>0</v>
      </c>
      <c r="GF143">
        <f t="shared" ca="1" si="428"/>
        <v>0</v>
      </c>
      <c r="GG143">
        <f t="shared" ca="1" si="429"/>
        <v>0</v>
      </c>
      <c r="GH143">
        <f t="shared" ca="1" si="430"/>
        <v>0</v>
      </c>
      <c r="GI143">
        <f t="shared" ca="1" si="431"/>
        <v>0</v>
      </c>
      <c r="GJ143">
        <f ca="1">IF(GC143&gt;1200000,GC143-1200000-IF(F143="YES",50000,0)-GH143,0)</f>
        <v>0</v>
      </c>
      <c r="GK143">
        <f t="shared" ca="1" si="432"/>
        <v>0</v>
      </c>
      <c r="GL143">
        <f t="shared" ca="1" si="433"/>
        <v>0</v>
      </c>
      <c r="GM143">
        <f t="shared" ca="1" si="434"/>
        <v>0</v>
      </c>
      <c r="GN143">
        <f t="shared" ca="1" si="435"/>
        <v>90803</v>
      </c>
      <c r="GO143">
        <f t="shared" ca="1" si="436"/>
        <v>4540.1500000000005</v>
      </c>
      <c r="GP143">
        <f t="shared" ca="1" si="437"/>
        <v>4540</v>
      </c>
      <c r="GQ143">
        <f t="shared" ca="1" si="438"/>
        <v>0</v>
      </c>
      <c r="GR143">
        <f t="shared" ca="1" si="439"/>
        <v>0</v>
      </c>
      <c r="GS143">
        <f t="shared" ca="1" si="440"/>
        <v>4540</v>
      </c>
      <c r="GT143">
        <f t="shared" ca="1" si="441"/>
        <v>0</v>
      </c>
      <c r="GU143" t="b">
        <f t="shared" ca="1" si="442"/>
        <v>0</v>
      </c>
      <c r="GV143">
        <f t="shared" ca="1" si="443"/>
        <v>0</v>
      </c>
      <c r="GW143">
        <f t="shared" ca="1" si="444"/>
        <v>4540</v>
      </c>
      <c r="GX143">
        <f t="shared" ca="1" si="445"/>
        <v>0</v>
      </c>
      <c r="GY143">
        <f t="shared" ca="1" si="446"/>
        <v>0</v>
      </c>
      <c r="GZ143">
        <f t="shared" ca="1" si="447"/>
        <v>0</v>
      </c>
    </row>
    <row r="144" spans="1:208" x14ac:dyDescent="0.25">
      <c r="A144">
        <f>_xlfn.AGGREGATE(3,5,$B$2:B144)</f>
        <v>143</v>
      </c>
      <c r="B144" t="s">
        <v>394</v>
      </c>
      <c r="C144" t="s">
        <v>395</v>
      </c>
      <c r="D144" t="s">
        <v>789</v>
      </c>
      <c r="E144" t="s">
        <v>831</v>
      </c>
      <c r="F144" t="s">
        <v>957</v>
      </c>
      <c r="G144" t="s">
        <v>875</v>
      </c>
      <c r="H144">
        <f t="shared" si="449"/>
        <v>6800</v>
      </c>
      <c r="I144">
        <f>_xlfn.XLOOKUP(B144,'[1]march-2025'!$A:$A,'[1]march-2025'!$J:$J,0,0)</f>
        <v>0</v>
      </c>
      <c r="J144">
        <f>_xlfn.XLOOKUP(B144,'[1]march-2025'!$A:$A,'[1]march-2025'!$C:$C,0,0)</f>
        <v>30700</v>
      </c>
      <c r="K144">
        <f t="shared" si="364"/>
        <v>4298</v>
      </c>
      <c r="L144">
        <f t="shared" si="365"/>
        <v>3684</v>
      </c>
      <c r="M144">
        <f>_xlfn.XLOOKUP(B144,'[1]march-2025'!$A:$A,'[1]march-2025'!$D:$D,0,0)</f>
        <v>0</v>
      </c>
      <c r="N144">
        <f>_xlfn.XLOOKUP(B144,'[1]march-2025'!$A:$A,'[1]march-2025'!$G:$G,0,0)</f>
        <v>500</v>
      </c>
      <c r="O144">
        <f>IF(J144&gt;0,SUM(J144:N144),0)</f>
        <v>39182</v>
      </c>
      <c r="P144">
        <f>_xlfn.XLOOKUP(B144,'[1]march-2025'!$A:$A,'[1]march-2025'!$H:$H,0,0)</f>
        <v>4000</v>
      </c>
      <c r="Q144">
        <f>_xlfn.XLOOKUP(B144,'[1]march-2025'!$A:$A,'[1]march-2025'!$I:$I,0,0)</f>
        <v>0</v>
      </c>
      <c r="R144">
        <f t="shared" si="448"/>
        <v>150</v>
      </c>
      <c r="S144">
        <f t="shared" si="357"/>
        <v>35032</v>
      </c>
      <c r="T144">
        <f>_xlfn.XLOOKUP(B144,'[2]april-2025'!$A:$A,'[2]april-2025'!$C:$C,0,0)</f>
        <v>30700</v>
      </c>
      <c r="U144">
        <f t="shared" si="366"/>
        <v>5526</v>
      </c>
      <c r="V144">
        <f t="shared" si="367"/>
        <v>3684</v>
      </c>
      <c r="W144">
        <f>_xlfn.XLOOKUP(B144,'[2]april-2025'!$A:$A,'[2]april-2025'!$D:$D,0,0)</f>
        <v>0</v>
      </c>
      <c r="X144">
        <f>_xlfn.XLOOKUP(B144,'[2]april-2025'!$A:$A,'[2]april-2025'!$G:$G,0,0)</f>
        <v>500</v>
      </c>
      <c r="Y144">
        <f t="shared" si="358"/>
        <v>40410</v>
      </c>
      <c r="Z144">
        <f>_xlfn.XLOOKUP(B144,'[2]april-2025'!$A:$A,'[2]april-2025'!$H:$H,0,0)</f>
        <v>4000</v>
      </c>
      <c r="AA144">
        <f>_xlfn.XLOOKUP(B144,'[2]april-2025'!$A:$A,'[2]april-2025'!$I:$I,0,0)</f>
        <v>0</v>
      </c>
      <c r="AB144">
        <f t="shared" si="368"/>
        <v>200</v>
      </c>
      <c r="AC144">
        <f t="shared" si="369"/>
        <v>36210</v>
      </c>
      <c r="AD144">
        <f>_xlfn.XLOOKUP(B144,'[3]may-2025'!$A:$A,'[3]may-2025'!$C:$C,0,0)</f>
        <v>30700</v>
      </c>
      <c r="AE144">
        <f t="shared" si="370"/>
        <v>5526</v>
      </c>
      <c r="AF144">
        <f t="shared" si="371"/>
        <v>3684</v>
      </c>
      <c r="AG144">
        <f>_xlfn.XLOOKUP(B144,'[3]may-2025'!$A:$A,'[3]may-2025'!$D:$D,0,0)</f>
        <v>0</v>
      </c>
      <c r="AH144">
        <f>_xlfn.XLOOKUP(B144,'[3]may-2025'!$A:$A,'[3]may-2025'!$G:$G,0,0)</f>
        <v>500</v>
      </c>
      <c r="AI144">
        <f t="shared" si="359"/>
        <v>40410</v>
      </c>
      <c r="AJ144">
        <f>_xlfn.XLOOKUP(B144,'[3]may-2025'!$A:$A,'[3]may-2025'!$H:$H,0,0)</f>
        <v>4000</v>
      </c>
      <c r="AK144">
        <f>_xlfn.XLOOKUP(B144,'[3]may-2025'!$A:$A,'[3]may-2025'!$I:$I,0,0)</f>
        <v>0</v>
      </c>
      <c r="AL144">
        <f t="shared" si="372"/>
        <v>200</v>
      </c>
      <c r="AM144">
        <f t="shared" si="373"/>
        <v>36210</v>
      </c>
      <c r="AN144">
        <f>_xlfn.XLOOKUP(B144,'[4]june-2025'!$A:$A,'[4]june-2025'!$C:$C,0,0)</f>
        <v>30700</v>
      </c>
      <c r="AO144">
        <f t="shared" si="374"/>
        <v>5526</v>
      </c>
      <c r="AP144">
        <f t="shared" si="375"/>
        <v>3684</v>
      </c>
      <c r="AQ144">
        <f>_xlfn.XLOOKUP(B144,'[4]june-2025'!$A:$A,'[4]june-2025'!$D:$D,0,0)</f>
        <v>0</v>
      </c>
      <c r="AR144">
        <f>_xlfn.XLOOKUP(B144,'[4]june-2025'!$A:$A,'[4]june-2025'!$G:$G,0,0)</f>
        <v>500</v>
      </c>
      <c r="AS144">
        <f t="shared" si="360"/>
        <v>40410</v>
      </c>
      <c r="AT144">
        <f>_xlfn.XLOOKUP(B144,'[4]june-2025'!$A:$A,'[4]june-2025'!$H:$H,0,0)</f>
        <v>4000</v>
      </c>
      <c r="AU144">
        <f>_xlfn.XLOOKUP(B144,'[4]june-2025'!$A:$A,'[4]june-2025'!$I:$I,0,0)</f>
        <v>0</v>
      </c>
      <c r="AV144">
        <f t="shared" si="376"/>
        <v>200</v>
      </c>
      <c r="AW144">
        <f t="shared" si="377"/>
        <v>36210</v>
      </c>
      <c r="AX144">
        <f>_xlfn.XLOOKUP(B144,'[5]july-2025'!$A:$A,'[5]july-2025'!$C:$C,0,0)</f>
        <v>31600</v>
      </c>
      <c r="AY144">
        <f t="shared" si="378"/>
        <v>5688</v>
      </c>
      <c r="AZ144">
        <v>0</v>
      </c>
      <c r="BA144">
        <f t="shared" si="379"/>
        <v>3792</v>
      </c>
      <c r="BB144">
        <f>_xlfn.XLOOKUP(B144,'[5]july-2025'!$A:$A,'[5]july-2025'!$D:$D,0,0)</f>
        <v>0</v>
      </c>
      <c r="BC144">
        <f>_xlfn.XLOOKUP(B144,'[5]july-2025'!$A:$A,'[5]july-2025'!$G:$G,0,0)</f>
        <v>500</v>
      </c>
      <c r="BD144">
        <f>IF(AX144&gt;0,SUM(AX144:BC144),0)</f>
        <v>41580</v>
      </c>
      <c r="BE144">
        <f>_xlfn.XLOOKUP(B144,'[5]july-2025'!$A:$A,'[5]july-2025'!$H:$H,0,0)</f>
        <v>4000</v>
      </c>
      <c r="BF144">
        <f>_xlfn.XLOOKUP(B144,'[5]july-2025'!$A:$A,'[5]july-2025'!$I:$I,0,0)</f>
        <v>0</v>
      </c>
      <c r="BG144">
        <f t="shared" si="380"/>
        <v>200</v>
      </c>
      <c r="BH144">
        <f t="shared" si="381"/>
        <v>37380</v>
      </c>
      <c r="BI144">
        <f>_xlfn.XLOOKUP(B144,'[6]august-2025'!$A:$A,'[6]august-2025'!$C:$C,0,0)</f>
        <v>31600</v>
      </c>
      <c r="BJ144">
        <f t="shared" si="382"/>
        <v>5688</v>
      </c>
      <c r="BK144">
        <f t="shared" si="383"/>
        <v>3792</v>
      </c>
      <c r="BL144">
        <f>_xlfn.XLOOKUP(B144,'[6]august-2025'!$A:$A,'[6]august-2025'!$D:$D,0,0)</f>
        <v>0</v>
      </c>
      <c r="BM144">
        <f>_xlfn.XLOOKUP(B144,'[6]august-2025'!$A:$A,'[6]august-2025'!$G:$G,0,0)</f>
        <v>500</v>
      </c>
      <c r="BN144">
        <f t="shared" si="384"/>
        <v>41580</v>
      </c>
      <c r="BO144">
        <f>_xlfn.XLOOKUP(B144,'[6]august-2025'!$A:$A,'[6]august-2025'!$H:$H,0,0)</f>
        <v>4000</v>
      </c>
      <c r="BP144">
        <f>_xlfn.XLOOKUP(B144,'[6]august-2025'!$A:$A,'[6]august-2025'!$I:$I,0,0)</f>
        <v>0</v>
      </c>
      <c r="BQ144">
        <f>IF($F144="YES",0,IF(BN144&gt;40000,200,IF(BN144&gt;25000,150,IF(BN144&gt;15000,130,IF(BN144&gt;10000,110,0)))))</f>
        <v>200</v>
      </c>
      <c r="BR144">
        <f>BN144-BO144-BP144-BQ144</f>
        <v>37380</v>
      </c>
      <c r="BS144">
        <f>_xlfn.XLOOKUP(B144,'[7]september-2025'!$A:$A,'[7]september-2025'!$C:$C,0,0)</f>
        <v>31600</v>
      </c>
      <c r="BT144">
        <f t="shared" si="385"/>
        <v>5688</v>
      </c>
      <c r="BU144">
        <f t="shared" si="386"/>
        <v>3792</v>
      </c>
      <c r="BV144">
        <f>_xlfn.XLOOKUP(B144,'[7]september-2025'!$A:$A,'[7]september-2025'!$D:$D,0,0)</f>
        <v>0</v>
      </c>
      <c r="BW144">
        <f>_xlfn.XLOOKUP(B144,'[7]september-2025'!$A:$A,'[7]september-2025'!$G:$G,0,0)</f>
        <v>500</v>
      </c>
      <c r="BX144">
        <f>IF(BS144&gt;0,SUM(BS144:BW144),0)</f>
        <v>41580</v>
      </c>
      <c r="BY144">
        <f>_xlfn.XLOOKUP(B144,'[7]september-2025'!$A:$A,'[7]september-2025'!$H:$H,0,0)</f>
        <v>4000</v>
      </c>
      <c r="BZ144">
        <f>_xlfn.XLOOKUP(B144,'[7]september-2025'!$A:$A,'[7]september-2025'!$I:$I,0,0)</f>
        <v>0</v>
      </c>
      <c r="CA144">
        <f t="shared" si="387"/>
        <v>200</v>
      </c>
      <c r="CB144">
        <f t="shared" si="388"/>
        <v>37380</v>
      </c>
      <c r="CC144">
        <f>_xlfn.XLOOKUP(B144,'[8]october-2025'!$A:$A,'[8]october-2025'!$C:$C,0,0)</f>
        <v>31600</v>
      </c>
      <c r="CD144">
        <f t="shared" si="389"/>
        <v>5688</v>
      </c>
      <c r="CE144">
        <f t="shared" si="390"/>
        <v>3792</v>
      </c>
      <c r="CF144">
        <f>_xlfn.XLOOKUP(B144,'[8]october-2025'!$A:$A,'[8]october-2025'!$D:$D,0,0)</f>
        <v>0</v>
      </c>
      <c r="CG144">
        <f>_xlfn.XLOOKUP(B144,'[8]october-2025'!$A:$A,'[8]october-2025'!$G:$G,0,0)</f>
        <v>500</v>
      </c>
      <c r="CH144">
        <f>IF(CC144&gt;0,SUM(CC144:CG144),0)</f>
        <v>41580</v>
      </c>
      <c r="CI144">
        <f>_xlfn.XLOOKUP(B144,'[8]october-2025'!$A:$A,'[8]october-2025'!$H:$H,0,0)</f>
        <v>4000</v>
      </c>
      <c r="CJ144">
        <f>_xlfn.XLOOKUP(B144,'[8]october-2025'!$A:$A,'[8]october-2025'!$I:$I,0,0)</f>
        <v>0</v>
      </c>
      <c r="CK144">
        <f t="shared" si="391"/>
        <v>200</v>
      </c>
      <c r="CL144">
        <f t="shared" si="392"/>
        <v>37380</v>
      </c>
      <c r="CM144">
        <f>_xlfn.XLOOKUP(B144,'[9]november-2025'!$A:$A,'[9]november-2025'!$C:$C,0,0)</f>
        <v>31600</v>
      </c>
      <c r="CN144">
        <f t="shared" si="393"/>
        <v>5688</v>
      </c>
      <c r="CO144">
        <f t="shared" si="394"/>
        <v>3792</v>
      </c>
      <c r="CP144">
        <f>_xlfn.XLOOKUP(B144,'[9]november-2025'!$A:$A,'[9]november-2025'!$D:$D,0,0)</f>
        <v>0</v>
      </c>
      <c r="CQ144">
        <f>_xlfn.XLOOKUP(B144,'[9]november-2025'!$A:$A,'[9]november-2025'!$G:$G,0,0)</f>
        <v>500</v>
      </c>
      <c r="CR144">
        <f>IF(CM144&gt;0,SUM(CM144:CQ144),0)</f>
        <v>41580</v>
      </c>
      <c r="CS144">
        <f>_xlfn.XLOOKUP(B144,'[9]november-2025'!$A:$A,'[9]november-2025'!$H:$H,0,0)</f>
        <v>4000</v>
      </c>
      <c r="CT144">
        <f>_xlfn.XLOOKUP(B144,'[9]november-2025'!$A:$A,'[9]november-2025'!$I:$I,0,0)</f>
        <v>0</v>
      </c>
      <c r="CU144">
        <f t="shared" si="395"/>
        <v>200</v>
      </c>
      <c r="CV144">
        <f t="shared" si="396"/>
        <v>37380</v>
      </c>
      <c r="CW144">
        <f>_xlfn.XLOOKUP(B144,'[10]december-2025'!$A:$A,'[10]december-2025'!$C:$C,0,0)</f>
        <v>31600</v>
      </c>
      <c r="CX144">
        <f t="shared" si="397"/>
        <v>5688</v>
      </c>
      <c r="CY144">
        <f t="shared" si="398"/>
        <v>3792</v>
      </c>
      <c r="CZ144">
        <f>_xlfn.XLOOKUP(B144,'[10]december-2025'!$A:$A,'[10]december-2025'!$D:$D,0,0)</f>
        <v>0</v>
      </c>
      <c r="DA144">
        <f>_xlfn.XLOOKUP(B144,'[10]december-2025'!$A:$A,'[10]december-2025'!$G:$G,0,0)</f>
        <v>500</v>
      </c>
      <c r="DB144">
        <f>IF(CW144&gt;0,SUM(CW144:DA144),0)</f>
        <v>41580</v>
      </c>
      <c r="DC144">
        <f>_xlfn.XLOOKUP(B144,'[10]december-2025'!$A:$A,'[10]december-2025'!$H:$H,0,0)</f>
        <v>4000</v>
      </c>
      <c r="DD144">
        <f>_xlfn.XLOOKUP(B144,'[10]december-2025'!$A:$A,'[10]december-2025'!$I:$I,0,0)</f>
        <v>0</v>
      </c>
      <c r="DE144">
        <f t="shared" si="399"/>
        <v>200</v>
      </c>
      <c r="DF144">
        <f t="shared" si="400"/>
        <v>37380</v>
      </c>
      <c r="DG144">
        <f>_xlfn.XLOOKUP(B144,'[11]january-2026'!$A:$A,'[11]january-2026'!$C:$C,0,0)</f>
        <v>31600</v>
      </c>
      <c r="DH144">
        <f t="shared" si="401"/>
        <v>5688</v>
      </c>
      <c r="DI144">
        <f t="shared" si="402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>IF(DG144&gt;0,SUM(DG144:DK144),0)</f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03"/>
        <v>200</v>
      </c>
      <c r="DP144">
        <f t="shared" si="404"/>
        <v>37380</v>
      </c>
      <c r="DQ144">
        <f>_xlfn.XLOOKUP(B144,'[12]february-2026'!$A:$A,'[12]february-2026'!$C:$C,0,0)</f>
        <v>31600</v>
      </c>
      <c r="DR144">
        <f t="shared" si="405"/>
        <v>5688</v>
      </c>
      <c r="DS144">
        <f t="shared" si="406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>IF(DQ144&gt;0,SUM(DQ144:DU144),0)</f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07"/>
        <v>200</v>
      </c>
      <c r="DZ144">
        <f t="shared" si="408"/>
        <v>37380</v>
      </c>
      <c r="EA144">
        <f>_xlfn.XLOOKUP(B144,'[1]march-2025'!$A:$A,'[1]march-2025'!$J:$J,0,0)</f>
        <v>0</v>
      </c>
      <c r="EB144">
        <f>_xlfn.XLOOKUP(B144,'[2]april-2025'!$A:$A,'[2]april-2025'!$J:$J,0,0)</f>
        <v>0</v>
      </c>
      <c r="EC144">
        <f>_xlfn.XLOOKUP(B144,'[3]may-2025'!$A:$A,'[3]may-2025'!$J:$J,0,0)</f>
        <v>0</v>
      </c>
      <c r="ED144">
        <f>_xlfn.XLOOKUP(B144,'[4]june-2025'!$A:$A,'[4]june-2025'!$J:$J,0,0)</f>
        <v>0</v>
      </c>
      <c r="EE144">
        <f>_xlfn.XLOOKUP(B144,'[5]july-2025'!$A:$A,'[5]july-2025'!$J:$J,0,0)</f>
        <v>0</v>
      </c>
      <c r="EF144">
        <f>_xlfn.XLOOKUP(B144,'[6]august-2025'!$A:$A,'[6]august-2025'!$J:$J,0,0)</f>
        <v>0</v>
      </c>
      <c r="EG144">
        <f>_xlfn.XLOOKUP(B144,'[7]september-2025'!$A:$A,'[7]september-2025'!$J:$J,0,0)</f>
        <v>0</v>
      </c>
      <c r="EH144">
        <f>_xlfn.XLOOKUP(B144,'[8]october-2025'!$A:$A,'[8]october-2025'!$J:$J,0,0)</f>
        <v>0</v>
      </c>
      <c r="EI144">
        <f>_xlfn.XLOOKUP(C144,'[9]november-2025'!$A:$A,'[9]november-2025'!$J:$J,0,0)</f>
        <v>0</v>
      </c>
      <c r="EJ144">
        <f>_xlfn.XLOOKUP(B144,'[10]december-2025'!$A:$A,'[10]december-2025'!$J:$J,0,0)</f>
        <v>0</v>
      </c>
      <c r="EK144">
        <f>_xlfn.XLOOKUP(B144,'[11]january-2026'!$A:$A,'[11]january-2026'!$J:$J,0,0)</f>
        <v>0</v>
      </c>
      <c r="EL144">
        <f>_xlfn.XLOOKUP(B144,'[12]february-2026'!$A:$A,'[12]february-2026'!$J:$J,0,0)</f>
        <v>0</v>
      </c>
      <c r="EM144">
        <f t="shared" si="361"/>
        <v>0</v>
      </c>
      <c r="EN144">
        <f>DV144+DL144+DB144+CR144+CH144+BX144+BN144+BD144+AS144+AI144+Y144+O144+H144+I144</f>
        <v>499852</v>
      </c>
      <c r="EO144">
        <f>DY144+DO144+DE144+CU144+CK144+CA144+BQ144+BG144+AV144+AL144+AB144+R144</f>
        <v>2350</v>
      </c>
      <c r="EP144">
        <f t="shared" si="409"/>
        <v>50000</v>
      </c>
      <c r="EQ144">
        <v>0</v>
      </c>
      <c r="ER144">
        <f t="shared" si="362"/>
        <v>447502</v>
      </c>
      <c r="ES144">
        <f>DW144+DM144+DC144+CS144+CI144+BY144+BO144+BE144+AT144+AJ144+Z144+P144</f>
        <v>48000</v>
      </c>
      <c r="ET144">
        <f>DX144+DN144+DD144+CT144+CJ144+BZ144+BP144+BF144+AU144+AK144+AA144+Q144</f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410"/>
        <v>48000</v>
      </c>
      <c r="FF144">
        <f t="shared" si="411"/>
        <v>48000</v>
      </c>
      <c r="FG144">
        <f t="shared" si="412"/>
        <v>399502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>SUM(FH144:FN144)+(IF(F144="YES",50000,0))</f>
        <v>0</v>
      </c>
      <c r="FP144">
        <f t="shared" si="413"/>
        <v>399502</v>
      </c>
      <c r="FQ144">
        <f t="shared" si="414"/>
        <v>7475</v>
      </c>
      <c r="FR144">
        <f t="shared" si="415"/>
        <v>0</v>
      </c>
      <c r="FS144">
        <f t="shared" si="416"/>
        <v>7475</v>
      </c>
      <c r="FT144">
        <f t="shared" si="417"/>
        <v>0</v>
      </c>
      <c r="FU144">
        <f t="shared" si="418"/>
        <v>0</v>
      </c>
      <c r="FV144">
        <f t="shared" si="419"/>
        <v>0</v>
      </c>
      <c r="FW144">
        <v>0</v>
      </c>
      <c r="FX144">
        <f t="shared" si="420"/>
        <v>0</v>
      </c>
      <c r="FY144" t="b">
        <f t="shared" si="421"/>
        <v>0</v>
      </c>
      <c r="FZ144">
        <f t="shared" ca="1" si="422"/>
        <v>1552</v>
      </c>
      <c r="GA144">
        <f t="shared" ca="1" si="423"/>
        <v>501404</v>
      </c>
      <c r="GB144">
        <f t="shared" si="424"/>
        <v>75000</v>
      </c>
      <c r="GC144">
        <f t="shared" ca="1" si="425"/>
        <v>426404</v>
      </c>
      <c r="GD144">
        <f t="shared" ca="1" si="426"/>
        <v>0</v>
      </c>
      <c r="GE144">
        <f t="shared" ca="1" si="427"/>
        <v>0</v>
      </c>
      <c r="GF144">
        <f t="shared" ca="1" si="428"/>
        <v>0</v>
      </c>
      <c r="GG144">
        <f t="shared" ca="1" si="429"/>
        <v>0</v>
      </c>
      <c r="GH144">
        <f t="shared" ca="1" si="430"/>
        <v>0</v>
      </c>
      <c r="GI144">
        <f t="shared" ca="1" si="431"/>
        <v>0</v>
      </c>
      <c r="GJ144">
        <f ca="1">IF(GC144&gt;1200000,GC144-1200000-IF(F144="YES",50000,0)-GH144,0)</f>
        <v>0</v>
      </c>
      <c r="GK144">
        <f t="shared" ca="1" si="432"/>
        <v>0</v>
      </c>
      <c r="GL144">
        <f t="shared" ca="1" si="433"/>
        <v>0</v>
      </c>
      <c r="GM144">
        <f t="shared" ca="1" si="434"/>
        <v>0</v>
      </c>
      <c r="GN144">
        <f t="shared" ca="1" si="435"/>
        <v>26404</v>
      </c>
      <c r="GO144">
        <f t="shared" ca="1" si="436"/>
        <v>1320.2</v>
      </c>
      <c r="GP144">
        <f t="shared" ca="1" si="437"/>
        <v>1320</v>
      </c>
      <c r="GQ144">
        <f t="shared" ca="1" si="438"/>
        <v>0</v>
      </c>
      <c r="GR144">
        <f t="shared" ca="1" si="439"/>
        <v>0</v>
      </c>
      <c r="GS144">
        <f t="shared" ca="1" si="440"/>
        <v>1320</v>
      </c>
      <c r="GT144">
        <f t="shared" ca="1" si="441"/>
        <v>0</v>
      </c>
      <c r="GU144" t="b">
        <f t="shared" ca="1" si="442"/>
        <v>0</v>
      </c>
      <c r="GV144">
        <f t="shared" ca="1" si="443"/>
        <v>0</v>
      </c>
      <c r="GW144">
        <f t="shared" ca="1" si="444"/>
        <v>1320</v>
      </c>
      <c r="GX144">
        <f t="shared" ca="1" si="445"/>
        <v>0</v>
      </c>
      <c r="GY144">
        <f t="shared" ca="1" si="446"/>
        <v>0</v>
      </c>
      <c r="GZ144">
        <f t="shared" ca="1" si="447"/>
        <v>0</v>
      </c>
    </row>
    <row r="145" spans="1:208" x14ac:dyDescent="0.25">
      <c r="A145">
        <f>_xlfn.AGGREGATE(3,5,$B$2:B145)</f>
        <v>144</v>
      </c>
      <c r="B145" t="s">
        <v>396</v>
      </c>
      <c r="C145" t="s">
        <v>397</v>
      </c>
      <c r="D145" t="s">
        <v>789</v>
      </c>
      <c r="E145" t="s">
        <v>831</v>
      </c>
      <c r="F145" t="s">
        <v>957</v>
      </c>
      <c r="G145" t="s">
        <v>930</v>
      </c>
      <c r="H145">
        <f t="shared" si="449"/>
        <v>6800</v>
      </c>
      <c r="I145">
        <f>_xlfn.XLOOKUP(B145,'[1]march-2025'!$A:$A,'[1]march-2025'!$J:$J,0,0)</f>
        <v>0</v>
      </c>
      <c r="J145">
        <f>_xlfn.XLOOKUP(B145,'[1]march-2025'!$A:$A,'[1]march-2025'!$C:$C,0,0)</f>
        <v>28900</v>
      </c>
      <c r="K145">
        <f t="shared" si="364"/>
        <v>4046.0000000000005</v>
      </c>
      <c r="L145">
        <f t="shared" si="365"/>
        <v>3468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>IF(J145&gt;0,SUM(J145:N145),0)</f>
        <v>36414</v>
      </c>
      <c r="P145">
        <f>_xlfn.XLOOKUP(B145,'[1]march-2025'!$A:$A,'[1]march-2025'!$H:$H,0,0)</f>
        <v>2000</v>
      </c>
      <c r="Q145">
        <f>_xlfn.XLOOKUP(B145,'[1]march-2025'!$A:$A,'[1]march-2025'!$I:$I,0,0)</f>
        <v>0</v>
      </c>
      <c r="R145">
        <f t="shared" si="448"/>
        <v>150</v>
      </c>
      <c r="S145">
        <f t="shared" si="357"/>
        <v>34264</v>
      </c>
      <c r="T145">
        <f>_xlfn.XLOOKUP(B145,'[2]april-2025'!$A:$A,'[2]april-2025'!$C:$C,0,0)</f>
        <v>28900</v>
      </c>
      <c r="U145">
        <f t="shared" si="366"/>
        <v>5202</v>
      </c>
      <c r="V145">
        <f t="shared" si="367"/>
        <v>3468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358"/>
        <v>37570</v>
      </c>
      <c r="Z145">
        <f>_xlfn.XLOOKUP(B145,'[2]april-2025'!$A:$A,'[2]april-2025'!$H:$H,0,0)</f>
        <v>2000</v>
      </c>
      <c r="AA145">
        <f>_xlfn.XLOOKUP(B145,'[2]april-2025'!$A:$A,'[2]april-2025'!$I:$I,0,0)</f>
        <v>0</v>
      </c>
      <c r="AB145">
        <f t="shared" si="368"/>
        <v>150</v>
      </c>
      <c r="AC145">
        <f t="shared" si="369"/>
        <v>35420</v>
      </c>
      <c r="AD145">
        <f>_xlfn.XLOOKUP(B145,'[3]may-2025'!$A:$A,'[3]may-2025'!$C:$C,0,0)</f>
        <v>28900</v>
      </c>
      <c r="AE145">
        <f t="shared" si="370"/>
        <v>5202</v>
      </c>
      <c r="AF145">
        <f t="shared" si="371"/>
        <v>3468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359"/>
        <v>37570</v>
      </c>
      <c r="AJ145">
        <f>_xlfn.XLOOKUP(B145,'[3]may-2025'!$A:$A,'[3]may-2025'!$H:$H,0,0)</f>
        <v>2000</v>
      </c>
      <c r="AK145">
        <f>_xlfn.XLOOKUP(B145,'[3]may-2025'!$A:$A,'[3]may-2025'!$I:$I,0,0)</f>
        <v>0</v>
      </c>
      <c r="AL145">
        <f t="shared" si="372"/>
        <v>150</v>
      </c>
      <c r="AM145">
        <f t="shared" si="373"/>
        <v>35420</v>
      </c>
      <c r="AN145">
        <f>_xlfn.XLOOKUP(B145,'[4]june-2025'!$A:$A,'[4]june-2025'!$C:$C,0,0)</f>
        <v>28900</v>
      </c>
      <c r="AO145">
        <f t="shared" si="374"/>
        <v>5202</v>
      </c>
      <c r="AP145">
        <f t="shared" si="375"/>
        <v>3468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360"/>
        <v>37570</v>
      </c>
      <c r="AT145">
        <f>_xlfn.XLOOKUP(B145,'[4]june-2025'!$A:$A,'[4]june-2025'!$H:$H,0,0)</f>
        <v>2000</v>
      </c>
      <c r="AU145">
        <f>_xlfn.XLOOKUP(B145,'[4]june-2025'!$A:$A,'[4]june-2025'!$I:$I,0,0)</f>
        <v>0</v>
      </c>
      <c r="AV145">
        <f t="shared" si="376"/>
        <v>150</v>
      </c>
      <c r="AW145">
        <f t="shared" si="377"/>
        <v>35420</v>
      </c>
      <c r="AX145">
        <f>_xlfn.XLOOKUP(B145,'[5]july-2025'!$A:$A,'[5]july-2025'!$C:$C,0,0)</f>
        <v>29800</v>
      </c>
      <c r="AY145">
        <f t="shared" si="378"/>
        <v>5364</v>
      </c>
      <c r="AZ145">
        <v>0</v>
      </c>
      <c r="BA145">
        <f t="shared" si="379"/>
        <v>3576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>IF(AX145&gt;0,SUM(AX145:BC145),0)</f>
        <v>38740</v>
      </c>
      <c r="BE145">
        <f>_xlfn.XLOOKUP(B145,'[5]july-2025'!$A:$A,'[5]july-2025'!$H:$H,0,0)</f>
        <v>2000</v>
      </c>
      <c r="BF145">
        <f>_xlfn.XLOOKUP(B145,'[5]july-2025'!$A:$A,'[5]july-2025'!$I:$I,0,0)</f>
        <v>0</v>
      </c>
      <c r="BG145">
        <f t="shared" si="380"/>
        <v>150</v>
      </c>
      <c r="BH145">
        <f t="shared" si="381"/>
        <v>36590</v>
      </c>
      <c r="BI145">
        <f>_xlfn.XLOOKUP(B145,'[6]august-2025'!$A:$A,'[6]august-2025'!$C:$C,0,0)</f>
        <v>29800</v>
      </c>
      <c r="BJ145">
        <f t="shared" si="382"/>
        <v>5364</v>
      </c>
      <c r="BK145">
        <f t="shared" si="383"/>
        <v>3576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384"/>
        <v>38740</v>
      </c>
      <c r="BO145">
        <f>_xlfn.XLOOKUP(B145,'[6]august-2025'!$A:$A,'[6]august-2025'!$H:$H,0,0)</f>
        <v>2000</v>
      </c>
      <c r="BP145">
        <f>_xlfn.XLOOKUP(B145,'[6]august-2025'!$A:$A,'[6]august-2025'!$I:$I,0,0)</f>
        <v>0</v>
      </c>
      <c r="BQ145">
        <f>IF($F145="YES",0,IF(BN145&gt;40000,200,IF(BN145&gt;25000,150,IF(BN145&gt;15000,130,IF(BN145&gt;10000,110,0)))))</f>
        <v>150</v>
      </c>
      <c r="BR145">
        <f>BN145-BO145-BP145-BQ145</f>
        <v>36590</v>
      </c>
      <c r="BS145">
        <f>_xlfn.XLOOKUP(B145,'[7]september-2025'!$A:$A,'[7]september-2025'!$C:$C,0,0)</f>
        <v>29800</v>
      </c>
      <c r="BT145">
        <f t="shared" si="385"/>
        <v>5364</v>
      </c>
      <c r="BU145">
        <f t="shared" si="386"/>
        <v>3576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>IF(BS145&gt;0,SUM(BS145:BW145),0)</f>
        <v>38740</v>
      </c>
      <c r="BY145">
        <f>_xlfn.XLOOKUP(B145,'[7]september-2025'!$A:$A,'[7]september-2025'!$H:$H,0,0)</f>
        <v>2000</v>
      </c>
      <c r="BZ145">
        <f>_xlfn.XLOOKUP(B145,'[7]september-2025'!$A:$A,'[7]september-2025'!$I:$I,0,0)</f>
        <v>0</v>
      </c>
      <c r="CA145">
        <f t="shared" si="387"/>
        <v>150</v>
      </c>
      <c r="CB145">
        <f t="shared" si="388"/>
        <v>36590</v>
      </c>
      <c r="CC145">
        <f>_xlfn.XLOOKUP(B145,'[8]october-2025'!$A:$A,'[8]october-2025'!$C:$C,0,0)</f>
        <v>29800</v>
      </c>
      <c r="CD145">
        <f t="shared" si="389"/>
        <v>5364</v>
      </c>
      <c r="CE145">
        <f t="shared" si="390"/>
        <v>3576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>IF(CC145&gt;0,SUM(CC145:CG145),0)</f>
        <v>38740</v>
      </c>
      <c r="CI145">
        <f>_xlfn.XLOOKUP(B145,'[8]october-2025'!$A:$A,'[8]october-2025'!$H:$H,0,0)</f>
        <v>2000</v>
      </c>
      <c r="CJ145">
        <f>_xlfn.XLOOKUP(B145,'[8]october-2025'!$A:$A,'[8]october-2025'!$I:$I,0,0)</f>
        <v>0</v>
      </c>
      <c r="CK145">
        <f t="shared" si="391"/>
        <v>150</v>
      </c>
      <c r="CL145">
        <f t="shared" si="392"/>
        <v>36590</v>
      </c>
      <c r="CM145">
        <f>_xlfn.XLOOKUP(B145,'[9]november-2025'!$A:$A,'[9]november-2025'!$C:$C,0,0)</f>
        <v>29800</v>
      </c>
      <c r="CN145">
        <f t="shared" si="393"/>
        <v>5364</v>
      </c>
      <c r="CO145">
        <f t="shared" si="394"/>
        <v>3576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>IF(CM145&gt;0,SUM(CM145:CQ145),0)</f>
        <v>38740</v>
      </c>
      <c r="CS145">
        <f>_xlfn.XLOOKUP(B145,'[9]november-2025'!$A:$A,'[9]november-2025'!$H:$H,0,0)</f>
        <v>2000</v>
      </c>
      <c r="CT145">
        <f>_xlfn.XLOOKUP(B145,'[9]november-2025'!$A:$A,'[9]november-2025'!$I:$I,0,0)</f>
        <v>0</v>
      </c>
      <c r="CU145">
        <f t="shared" si="395"/>
        <v>150</v>
      </c>
      <c r="CV145">
        <f t="shared" si="396"/>
        <v>36590</v>
      </c>
      <c r="CW145">
        <f>_xlfn.XLOOKUP(B145,'[10]december-2025'!$A:$A,'[10]december-2025'!$C:$C,0,0)</f>
        <v>29800</v>
      </c>
      <c r="CX145">
        <f t="shared" si="397"/>
        <v>5364</v>
      </c>
      <c r="CY145">
        <f t="shared" si="398"/>
        <v>3576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>IF(CW145&gt;0,SUM(CW145:DA145),0)</f>
        <v>38740</v>
      </c>
      <c r="DC145">
        <f>_xlfn.XLOOKUP(B145,'[10]december-2025'!$A:$A,'[10]december-2025'!$H:$H,0,0)</f>
        <v>2000</v>
      </c>
      <c r="DD145">
        <f>_xlfn.XLOOKUP(B145,'[10]december-2025'!$A:$A,'[10]december-2025'!$I:$I,0,0)</f>
        <v>0</v>
      </c>
      <c r="DE145">
        <f t="shared" si="399"/>
        <v>150</v>
      </c>
      <c r="DF145">
        <f t="shared" si="400"/>
        <v>36590</v>
      </c>
      <c r="DG145">
        <f>_xlfn.XLOOKUP(B145,'[11]january-2026'!$A:$A,'[11]january-2026'!$C:$C,0,0)</f>
        <v>29800</v>
      </c>
      <c r="DH145">
        <f t="shared" si="401"/>
        <v>5364</v>
      </c>
      <c r="DI145">
        <f t="shared" si="402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>IF(DG145&gt;0,SUM(DG145:DK145),0)</f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03"/>
        <v>150</v>
      </c>
      <c r="DP145">
        <f t="shared" si="404"/>
        <v>36590</v>
      </c>
      <c r="DQ145">
        <f>_xlfn.XLOOKUP(B145,'[12]february-2026'!$A:$A,'[12]february-2026'!$C:$C,0,0)</f>
        <v>29800</v>
      </c>
      <c r="DR145">
        <f t="shared" si="405"/>
        <v>5364</v>
      </c>
      <c r="DS145">
        <f t="shared" si="406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>IF(DQ145&gt;0,SUM(DQ145:DU145),0)</f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07"/>
        <v>150</v>
      </c>
      <c r="DZ145">
        <f t="shared" si="408"/>
        <v>36590</v>
      </c>
      <c r="EA145">
        <f>_xlfn.XLOOKUP(B145,'[1]march-2025'!$A:$A,'[1]march-2025'!$J:$J,0,0)</f>
        <v>0</v>
      </c>
      <c r="EB145">
        <f>_xlfn.XLOOKUP(B145,'[2]april-2025'!$A:$A,'[2]april-2025'!$J:$J,0,0)</f>
        <v>0</v>
      </c>
      <c r="EC145">
        <f>_xlfn.XLOOKUP(B145,'[3]may-2025'!$A:$A,'[3]may-2025'!$J:$J,0,0)</f>
        <v>28934</v>
      </c>
      <c r="ED145">
        <f>_xlfn.XLOOKUP(B145,'[4]june-2025'!$A:$A,'[4]june-2025'!$J:$J,0,0)</f>
        <v>0</v>
      </c>
      <c r="EE145">
        <f>_xlfn.XLOOKUP(B145,'[5]july-2025'!$A:$A,'[5]july-2025'!$J:$J,0,0)</f>
        <v>0</v>
      </c>
      <c r="EF145">
        <f>_xlfn.XLOOKUP(B145,'[6]august-2025'!$A:$A,'[6]august-2025'!$J:$J,0,0)</f>
        <v>0</v>
      </c>
      <c r="EG145">
        <f>_xlfn.XLOOKUP(B145,'[7]september-2025'!$A:$A,'[7]september-2025'!$J:$J,0,0)</f>
        <v>0</v>
      </c>
      <c r="EH145">
        <f>_xlfn.XLOOKUP(B145,'[8]october-2025'!$A:$A,'[8]october-2025'!$J:$J,0,0)</f>
        <v>0</v>
      </c>
      <c r="EI145">
        <f>_xlfn.XLOOKUP(C145,'[9]november-2025'!$A:$A,'[9]november-2025'!$J:$J,0,0)</f>
        <v>0</v>
      </c>
      <c r="EJ145">
        <f>_xlfn.XLOOKUP(B145,'[10]december-2025'!$A:$A,'[10]december-2025'!$J:$J,0,0)</f>
        <v>0</v>
      </c>
      <c r="EK145">
        <f>_xlfn.XLOOKUP(B145,'[11]january-2026'!$A:$A,'[11]january-2026'!$J:$J,0,0)</f>
        <v>0</v>
      </c>
      <c r="EL145">
        <f>_xlfn.XLOOKUP(B145,'[12]february-2026'!$A:$A,'[12]february-2026'!$J:$J,0,0)</f>
        <v>0</v>
      </c>
      <c r="EM145">
        <f t="shared" si="361"/>
        <v>28934</v>
      </c>
      <c r="EN145">
        <f>DV145+DL145+DB145+CR145+CH145+BX145+BN145+BD145+AS145+AI145+Y145+O145+H145+I145</f>
        <v>465844</v>
      </c>
      <c r="EO145">
        <f>DY145+DO145+DE145+CU145+CK145+CA145+BQ145+BG145+AV145+AL145+AB145+R145</f>
        <v>1800</v>
      </c>
      <c r="EP145">
        <f t="shared" si="409"/>
        <v>50000</v>
      </c>
      <c r="EQ145">
        <v>0</v>
      </c>
      <c r="ER145">
        <f t="shared" si="362"/>
        <v>442978</v>
      </c>
      <c r="ES145">
        <f>DW145+DM145+DC145+CS145+CI145+BY145+BO145+BE145+AT145+AJ145+Z145+P145</f>
        <v>24000</v>
      </c>
      <c r="ET145">
        <f>DX145+DN145+DD145+CT145+CJ145+BZ145+BP145+BF145+AU145+AK145+AA145+Q145</f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410"/>
        <v>24000</v>
      </c>
      <c r="FF145">
        <f t="shared" si="411"/>
        <v>24000</v>
      </c>
      <c r="FG145">
        <f t="shared" si="412"/>
        <v>418978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>SUM(FH145:FN145)+(IF(F145="YES",50000,0))</f>
        <v>0</v>
      </c>
      <c r="FP145">
        <f t="shared" si="413"/>
        <v>418978</v>
      </c>
      <c r="FQ145">
        <f t="shared" si="414"/>
        <v>8449</v>
      </c>
      <c r="FR145">
        <f t="shared" si="415"/>
        <v>0</v>
      </c>
      <c r="FS145">
        <f t="shared" si="416"/>
        <v>8449</v>
      </c>
      <c r="FT145">
        <f t="shared" si="417"/>
        <v>0</v>
      </c>
      <c r="FU145">
        <f t="shared" si="418"/>
        <v>0</v>
      </c>
      <c r="FV145">
        <f t="shared" si="419"/>
        <v>0</v>
      </c>
      <c r="FW145">
        <v>0</v>
      </c>
      <c r="FX145">
        <f t="shared" si="420"/>
        <v>0</v>
      </c>
      <c r="FY145" t="b">
        <f t="shared" si="421"/>
        <v>0</v>
      </c>
      <c r="FZ145">
        <f t="shared" ca="1" si="422"/>
        <v>2199</v>
      </c>
      <c r="GA145">
        <f t="shared" ca="1" si="423"/>
        <v>468043</v>
      </c>
      <c r="GB145">
        <f t="shared" si="424"/>
        <v>75000</v>
      </c>
      <c r="GC145">
        <f t="shared" ca="1" si="425"/>
        <v>393043</v>
      </c>
      <c r="GD145">
        <f t="shared" ca="1" si="426"/>
        <v>0</v>
      </c>
      <c r="GE145">
        <f t="shared" ca="1" si="427"/>
        <v>0</v>
      </c>
      <c r="GF145">
        <f t="shared" ca="1" si="428"/>
        <v>0</v>
      </c>
      <c r="GG145">
        <f t="shared" ca="1" si="429"/>
        <v>0</v>
      </c>
      <c r="GH145">
        <f t="shared" ca="1" si="430"/>
        <v>0</v>
      </c>
      <c r="GI145">
        <f t="shared" ca="1" si="431"/>
        <v>0</v>
      </c>
      <c r="GJ145">
        <f ca="1">IF(GC145&gt;1200000,GC145-1200000-IF(F145="YES",50000,0)-GH145,0)</f>
        <v>0</v>
      </c>
      <c r="GK145">
        <f t="shared" ca="1" si="432"/>
        <v>0</v>
      </c>
      <c r="GL145">
        <f t="shared" ca="1" si="433"/>
        <v>0</v>
      </c>
      <c r="GM145">
        <f t="shared" ca="1" si="434"/>
        <v>0</v>
      </c>
      <c r="GN145">
        <f t="shared" ca="1" si="435"/>
        <v>0</v>
      </c>
      <c r="GO145">
        <f t="shared" ca="1" si="436"/>
        <v>0</v>
      </c>
      <c r="GP145">
        <f t="shared" ca="1" si="437"/>
        <v>0</v>
      </c>
      <c r="GQ145">
        <f t="shared" ca="1" si="438"/>
        <v>0</v>
      </c>
      <c r="GR145">
        <f t="shared" ca="1" si="439"/>
        <v>0</v>
      </c>
      <c r="GS145">
        <f t="shared" ca="1" si="440"/>
        <v>0</v>
      </c>
      <c r="GT145">
        <f t="shared" ca="1" si="441"/>
        <v>0</v>
      </c>
      <c r="GU145" t="b">
        <f t="shared" ca="1" si="442"/>
        <v>0</v>
      </c>
      <c r="GV145">
        <f t="shared" ca="1" si="443"/>
        <v>0</v>
      </c>
      <c r="GW145">
        <f t="shared" ca="1" si="444"/>
        <v>0</v>
      </c>
      <c r="GX145">
        <f t="shared" ca="1" si="445"/>
        <v>0</v>
      </c>
      <c r="GY145">
        <f t="shared" ca="1" si="446"/>
        <v>0</v>
      </c>
      <c r="GZ145">
        <f t="shared" ca="1" si="447"/>
        <v>0</v>
      </c>
    </row>
    <row r="146" spans="1:208" x14ac:dyDescent="0.25">
      <c r="A146">
        <f>_xlfn.AGGREGATE(3,5,$B$2:B146)</f>
        <v>145</v>
      </c>
      <c r="B146" t="s">
        <v>398</v>
      </c>
      <c r="C146" t="s">
        <v>399</v>
      </c>
      <c r="D146" t="s">
        <v>790</v>
      </c>
      <c r="E146" t="s">
        <v>831</v>
      </c>
      <c r="F146" t="s">
        <v>957</v>
      </c>
      <c r="G146" t="s">
        <v>899</v>
      </c>
      <c r="H146">
        <f t="shared" si="449"/>
        <v>6800</v>
      </c>
      <c r="I146">
        <f>_xlfn.XLOOKUP(B146,'[1]march-2025'!$A:$A,'[1]march-2025'!$J:$J,0,0)</f>
        <v>0</v>
      </c>
      <c r="J146">
        <f>_xlfn.XLOOKUP(B146,'[1]march-2025'!$A:$A,'[1]march-2025'!$C:$C,0,0)</f>
        <v>48700</v>
      </c>
      <c r="K146">
        <f t="shared" si="364"/>
        <v>6818.0000000000009</v>
      </c>
      <c r="L146">
        <f t="shared" si="365"/>
        <v>5844</v>
      </c>
      <c r="M146">
        <f>_xlfn.XLOOKUP(B146,'[1]march-2025'!$A:$A,'[1]march-2025'!$D:$D,0,0)</f>
        <v>400</v>
      </c>
      <c r="N146">
        <f>_xlfn.XLOOKUP(B146,'[1]march-2025'!$A:$A,'[1]march-2025'!$G:$G,0,0)</f>
        <v>500</v>
      </c>
      <c r="O146">
        <f>IF(J146&gt;0,SUM(J146:N146),0)</f>
        <v>62262</v>
      </c>
      <c r="P146">
        <f>_xlfn.XLOOKUP(B146,'[1]march-2025'!$A:$A,'[1]march-2025'!$H:$H,0,0)</f>
        <v>7000</v>
      </c>
      <c r="Q146">
        <f>_xlfn.XLOOKUP(B146,'[1]march-2025'!$A:$A,'[1]march-2025'!$I:$I,0,0)</f>
        <v>0</v>
      </c>
      <c r="R146">
        <f t="shared" si="448"/>
        <v>200</v>
      </c>
      <c r="S146">
        <f t="shared" si="357"/>
        <v>55062</v>
      </c>
      <c r="T146">
        <f>_xlfn.XLOOKUP(B146,'[2]april-2025'!$A:$A,'[2]april-2025'!$C:$C,0,0)</f>
        <v>48700</v>
      </c>
      <c r="U146">
        <f t="shared" si="366"/>
        <v>8766</v>
      </c>
      <c r="V146">
        <f t="shared" si="367"/>
        <v>5844</v>
      </c>
      <c r="W146">
        <f>_xlfn.XLOOKUP(B146,'[2]april-2025'!$A:$A,'[2]april-2025'!$D:$D,0,0)</f>
        <v>400</v>
      </c>
      <c r="X146">
        <f>_xlfn.XLOOKUP(B146,'[2]april-2025'!$A:$A,'[2]april-2025'!$G:$G,0,0)</f>
        <v>500</v>
      </c>
      <c r="Y146">
        <f t="shared" si="358"/>
        <v>64210</v>
      </c>
      <c r="Z146">
        <f>_xlfn.XLOOKUP(B146,'[2]april-2025'!$A:$A,'[2]april-2025'!$H:$H,0,0)</f>
        <v>7000</v>
      </c>
      <c r="AA146">
        <f>_xlfn.XLOOKUP(B146,'[2]april-2025'!$A:$A,'[2]april-2025'!$I:$I,0,0)</f>
        <v>0</v>
      </c>
      <c r="AB146">
        <f t="shared" si="368"/>
        <v>200</v>
      </c>
      <c r="AC146">
        <f t="shared" si="369"/>
        <v>57010</v>
      </c>
      <c r="AD146">
        <f>_xlfn.XLOOKUP(B146,'[3]may-2025'!$A:$A,'[3]may-2025'!$C:$C,0,0)</f>
        <v>48700</v>
      </c>
      <c r="AE146">
        <f t="shared" si="370"/>
        <v>8766</v>
      </c>
      <c r="AF146">
        <f t="shared" si="371"/>
        <v>5844</v>
      </c>
      <c r="AG146">
        <f>_xlfn.XLOOKUP(B146,'[3]may-2025'!$A:$A,'[3]may-2025'!$D:$D,0,0)</f>
        <v>400</v>
      </c>
      <c r="AH146">
        <f>_xlfn.XLOOKUP(B146,'[3]may-2025'!$A:$A,'[3]may-2025'!$G:$G,0,0)</f>
        <v>500</v>
      </c>
      <c r="AI146">
        <f t="shared" si="359"/>
        <v>64210</v>
      </c>
      <c r="AJ146">
        <f>_xlfn.XLOOKUP(B146,'[3]may-2025'!$A:$A,'[3]may-2025'!$H:$H,0,0)</f>
        <v>7000</v>
      </c>
      <c r="AK146">
        <f>_xlfn.XLOOKUP(B146,'[3]may-2025'!$A:$A,'[3]may-2025'!$I:$I,0,0)</f>
        <v>0</v>
      </c>
      <c r="AL146">
        <f t="shared" si="372"/>
        <v>200</v>
      </c>
      <c r="AM146">
        <f t="shared" si="373"/>
        <v>57010</v>
      </c>
      <c r="AN146">
        <f>_xlfn.XLOOKUP(B146,'[4]june-2025'!$A:$A,'[4]june-2025'!$C:$C,0,0)</f>
        <v>48700</v>
      </c>
      <c r="AO146">
        <f t="shared" si="374"/>
        <v>8766</v>
      </c>
      <c r="AP146">
        <f t="shared" si="375"/>
        <v>5844</v>
      </c>
      <c r="AQ146">
        <f>_xlfn.XLOOKUP(B146,'[4]june-2025'!$A:$A,'[4]june-2025'!$D:$D,0,0)</f>
        <v>400</v>
      </c>
      <c r="AR146">
        <f>_xlfn.XLOOKUP(B146,'[4]june-2025'!$A:$A,'[4]june-2025'!$G:$G,0,0)</f>
        <v>500</v>
      </c>
      <c r="AS146">
        <f t="shared" si="360"/>
        <v>64210</v>
      </c>
      <c r="AT146">
        <f>_xlfn.XLOOKUP(B146,'[4]june-2025'!$A:$A,'[4]june-2025'!$H:$H,0,0)</f>
        <v>7000</v>
      </c>
      <c r="AU146">
        <f>_xlfn.XLOOKUP(B146,'[4]june-2025'!$A:$A,'[4]june-2025'!$I:$I,0,0)</f>
        <v>0</v>
      </c>
      <c r="AV146">
        <f t="shared" si="376"/>
        <v>200</v>
      </c>
      <c r="AW146">
        <f t="shared" si="377"/>
        <v>57010</v>
      </c>
      <c r="AX146">
        <f>_xlfn.XLOOKUP(B146,'[5]july-2025'!$A:$A,'[5]july-2025'!$C:$C,0,0)</f>
        <v>51700</v>
      </c>
      <c r="AY146">
        <f t="shared" si="378"/>
        <v>9306</v>
      </c>
      <c r="AZ146">
        <v>0</v>
      </c>
      <c r="BA146">
        <f t="shared" si="379"/>
        <v>6204</v>
      </c>
      <c r="BB146">
        <f>_xlfn.XLOOKUP(B146,'[5]july-2025'!$A:$A,'[5]july-2025'!$D:$D,0,0)</f>
        <v>400</v>
      </c>
      <c r="BC146">
        <f>_xlfn.XLOOKUP(B146,'[5]july-2025'!$A:$A,'[5]july-2025'!$G:$G,0,0)</f>
        <v>500</v>
      </c>
      <c r="BD146">
        <f>IF(AX146&gt;0,SUM(AX146:BC146),0)</f>
        <v>68110</v>
      </c>
      <c r="BE146">
        <f>_xlfn.XLOOKUP(B146,'[5]july-2025'!$A:$A,'[5]july-2025'!$H:$H,0,0)</f>
        <v>7000</v>
      </c>
      <c r="BF146">
        <f>_xlfn.XLOOKUP(B146,'[5]july-2025'!$A:$A,'[5]july-2025'!$I:$I,0,0)</f>
        <v>0</v>
      </c>
      <c r="BG146">
        <f t="shared" si="380"/>
        <v>200</v>
      </c>
      <c r="BH146">
        <f t="shared" si="381"/>
        <v>60910</v>
      </c>
      <c r="BI146">
        <f>_xlfn.XLOOKUP(B146,'[6]august-2025'!$A:$A,'[6]august-2025'!$C:$C,0,0)</f>
        <v>51700</v>
      </c>
      <c r="BJ146">
        <f t="shared" si="382"/>
        <v>9306</v>
      </c>
      <c r="BK146">
        <f t="shared" si="383"/>
        <v>6204</v>
      </c>
      <c r="BL146">
        <f>_xlfn.XLOOKUP(B146,'[6]august-2025'!$A:$A,'[6]august-2025'!$D:$D,0,0)</f>
        <v>400</v>
      </c>
      <c r="BM146">
        <f>_xlfn.XLOOKUP(B146,'[6]august-2025'!$A:$A,'[6]august-2025'!$G:$G,0,0)</f>
        <v>500</v>
      </c>
      <c r="BN146">
        <f t="shared" si="384"/>
        <v>68110</v>
      </c>
      <c r="BO146">
        <f>_xlfn.XLOOKUP(B146,'[6]august-2025'!$A:$A,'[6]august-2025'!$H:$H,0,0)</f>
        <v>7000</v>
      </c>
      <c r="BP146">
        <f>_xlfn.XLOOKUP(B146,'[6]august-2025'!$A:$A,'[6]august-2025'!$I:$I,0,0)</f>
        <v>0</v>
      </c>
      <c r="BQ146">
        <f>IF($F146="YES",0,IF(BN146&gt;40000,200,IF(BN146&gt;25000,150,IF(BN146&gt;15000,130,IF(BN146&gt;10000,110,0)))))</f>
        <v>200</v>
      </c>
      <c r="BR146">
        <f>BN146-BO146-BP146-BQ146</f>
        <v>60910</v>
      </c>
      <c r="BS146">
        <f>_xlfn.XLOOKUP(B146,'[7]september-2025'!$A:$A,'[7]september-2025'!$C:$C,0,0)</f>
        <v>51700</v>
      </c>
      <c r="BT146">
        <f t="shared" si="385"/>
        <v>9306</v>
      </c>
      <c r="BU146">
        <f t="shared" si="386"/>
        <v>6204</v>
      </c>
      <c r="BV146">
        <f>_xlfn.XLOOKUP(B146,'[7]september-2025'!$A:$A,'[7]september-2025'!$D:$D,0,0)</f>
        <v>400</v>
      </c>
      <c r="BW146">
        <f>_xlfn.XLOOKUP(B146,'[7]september-2025'!$A:$A,'[7]september-2025'!$G:$G,0,0)</f>
        <v>500</v>
      </c>
      <c r="BX146">
        <f>IF(BS146&gt;0,SUM(BS146:BW146),0)</f>
        <v>68110</v>
      </c>
      <c r="BY146">
        <f>_xlfn.XLOOKUP(B146,'[7]september-2025'!$A:$A,'[7]september-2025'!$H:$H,0,0)</f>
        <v>7000</v>
      </c>
      <c r="BZ146">
        <f>_xlfn.XLOOKUP(B146,'[7]september-2025'!$A:$A,'[7]september-2025'!$I:$I,0,0)</f>
        <v>0</v>
      </c>
      <c r="CA146">
        <f t="shared" si="387"/>
        <v>200</v>
      </c>
      <c r="CB146">
        <f t="shared" si="388"/>
        <v>60910</v>
      </c>
      <c r="CC146">
        <f>_xlfn.XLOOKUP(B146,'[8]october-2025'!$A:$A,'[8]october-2025'!$C:$C,0,0)</f>
        <v>51700</v>
      </c>
      <c r="CD146">
        <f t="shared" si="389"/>
        <v>9306</v>
      </c>
      <c r="CE146">
        <f t="shared" si="390"/>
        <v>6204</v>
      </c>
      <c r="CF146">
        <f>_xlfn.XLOOKUP(B146,'[8]october-2025'!$A:$A,'[8]october-2025'!$D:$D,0,0)</f>
        <v>400</v>
      </c>
      <c r="CG146">
        <f>_xlfn.XLOOKUP(B146,'[8]october-2025'!$A:$A,'[8]october-2025'!$G:$G,0,0)</f>
        <v>500</v>
      </c>
      <c r="CH146">
        <f>IF(CC146&gt;0,SUM(CC146:CG146),0)</f>
        <v>68110</v>
      </c>
      <c r="CI146">
        <f>_xlfn.XLOOKUP(B146,'[8]october-2025'!$A:$A,'[8]october-2025'!$H:$H,0,0)</f>
        <v>7000</v>
      </c>
      <c r="CJ146">
        <f>_xlfn.XLOOKUP(B146,'[8]october-2025'!$A:$A,'[8]october-2025'!$I:$I,0,0)</f>
        <v>0</v>
      </c>
      <c r="CK146">
        <f t="shared" si="391"/>
        <v>200</v>
      </c>
      <c r="CL146">
        <f t="shared" si="392"/>
        <v>60910</v>
      </c>
      <c r="CM146">
        <f>_xlfn.XLOOKUP(B146,'[9]november-2025'!$A:$A,'[9]november-2025'!$C:$C,0,0)</f>
        <v>51700</v>
      </c>
      <c r="CN146">
        <f t="shared" si="393"/>
        <v>9306</v>
      </c>
      <c r="CO146">
        <f t="shared" si="394"/>
        <v>6204</v>
      </c>
      <c r="CP146">
        <f>_xlfn.XLOOKUP(B146,'[9]november-2025'!$A:$A,'[9]november-2025'!$D:$D,0,0)</f>
        <v>400</v>
      </c>
      <c r="CQ146">
        <f>_xlfn.XLOOKUP(B146,'[9]november-2025'!$A:$A,'[9]november-2025'!$G:$G,0,0)</f>
        <v>500</v>
      </c>
      <c r="CR146">
        <f>IF(CM146&gt;0,SUM(CM146:CQ146),0)</f>
        <v>68110</v>
      </c>
      <c r="CS146">
        <f>_xlfn.XLOOKUP(B146,'[9]november-2025'!$A:$A,'[9]november-2025'!$H:$H,0,0)</f>
        <v>7000</v>
      </c>
      <c r="CT146">
        <f>_xlfn.XLOOKUP(B146,'[9]november-2025'!$A:$A,'[9]november-2025'!$I:$I,0,0)</f>
        <v>0</v>
      </c>
      <c r="CU146">
        <f t="shared" si="395"/>
        <v>200</v>
      </c>
      <c r="CV146">
        <f t="shared" si="396"/>
        <v>60910</v>
      </c>
      <c r="CW146">
        <f>_xlfn.XLOOKUP(B146,'[10]december-2025'!$A:$A,'[10]december-2025'!$C:$C,0,0)</f>
        <v>51700</v>
      </c>
      <c r="CX146">
        <f t="shared" si="397"/>
        <v>9306</v>
      </c>
      <c r="CY146">
        <f t="shared" si="398"/>
        <v>6204</v>
      </c>
      <c r="CZ146">
        <f>_xlfn.XLOOKUP(B146,'[10]december-2025'!$A:$A,'[10]december-2025'!$D:$D,0,0)</f>
        <v>400</v>
      </c>
      <c r="DA146">
        <f>_xlfn.XLOOKUP(B146,'[10]december-2025'!$A:$A,'[10]december-2025'!$G:$G,0,0)</f>
        <v>500</v>
      </c>
      <c r="DB146">
        <f>IF(CW146&gt;0,SUM(CW146:DA146),0)</f>
        <v>68110</v>
      </c>
      <c r="DC146">
        <f>_xlfn.XLOOKUP(B146,'[10]december-2025'!$A:$A,'[10]december-2025'!$H:$H,0,0)</f>
        <v>7000</v>
      </c>
      <c r="DD146">
        <f>_xlfn.XLOOKUP(B146,'[10]december-2025'!$A:$A,'[10]december-2025'!$I:$I,0,0)</f>
        <v>0</v>
      </c>
      <c r="DE146">
        <f t="shared" si="399"/>
        <v>200</v>
      </c>
      <c r="DF146">
        <f t="shared" si="400"/>
        <v>60910</v>
      </c>
      <c r="DG146">
        <f>_xlfn.XLOOKUP(B146,'[11]january-2026'!$A:$A,'[11]january-2026'!$C:$C,0,0)</f>
        <v>51700</v>
      </c>
      <c r="DH146">
        <f t="shared" si="401"/>
        <v>9306</v>
      </c>
      <c r="DI146">
        <f t="shared" si="402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>IF(DG146&gt;0,SUM(DG146:DK146),0)</f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03"/>
        <v>200</v>
      </c>
      <c r="DP146">
        <f t="shared" si="404"/>
        <v>60910</v>
      </c>
      <c r="DQ146">
        <f>_xlfn.XLOOKUP(B146,'[12]february-2026'!$A:$A,'[12]february-2026'!$C:$C,0,0)</f>
        <v>51700</v>
      </c>
      <c r="DR146">
        <f t="shared" si="405"/>
        <v>9306</v>
      </c>
      <c r="DS146">
        <f t="shared" si="406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>IF(DQ146&gt;0,SUM(DQ146:DU146),0)</f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07"/>
        <v>200</v>
      </c>
      <c r="DZ146">
        <f t="shared" si="408"/>
        <v>60910</v>
      </c>
      <c r="EA146">
        <f>_xlfn.XLOOKUP(B146,'[1]march-2025'!$A:$A,'[1]march-2025'!$J:$J,0,0)</f>
        <v>0</v>
      </c>
      <c r="EB146">
        <f>_xlfn.XLOOKUP(B146,'[2]april-2025'!$A:$A,'[2]april-2025'!$J:$J,0,0)</f>
        <v>0</v>
      </c>
      <c r="EC146">
        <f>_xlfn.XLOOKUP(B146,'[3]may-2025'!$A:$A,'[3]may-2025'!$J:$J,0,0)</f>
        <v>0</v>
      </c>
      <c r="ED146">
        <f>_xlfn.XLOOKUP(B146,'[4]june-2025'!$A:$A,'[4]june-2025'!$J:$J,0,0)</f>
        <v>0</v>
      </c>
      <c r="EE146">
        <f>_xlfn.XLOOKUP(B146,'[5]july-2025'!$A:$A,'[5]july-2025'!$J:$J,0,0)</f>
        <v>0</v>
      </c>
      <c r="EF146">
        <f>_xlfn.XLOOKUP(B146,'[6]august-2025'!$A:$A,'[6]august-2025'!$J:$J,0,0)</f>
        <v>0</v>
      </c>
      <c r="EG146">
        <f>_xlfn.XLOOKUP(B146,'[7]september-2025'!$A:$A,'[7]september-2025'!$J:$J,0,0)</f>
        <v>0</v>
      </c>
      <c r="EH146">
        <f>_xlfn.XLOOKUP(B146,'[8]october-2025'!$A:$A,'[8]october-2025'!$J:$J,0,0)</f>
        <v>0</v>
      </c>
      <c r="EI146">
        <f>_xlfn.XLOOKUP(C146,'[9]november-2025'!$A:$A,'[9]november-2025'!$J:$J,0,0)</f>
        <v>0</v>
      </c>
      <c r="EJ146">
        <f>_xlfn.XLOOKUP(B146,'[10]december-2025'!$A:$A,'[10]december-2025'!$J:$J,0,0)</f>
        <v>0</v>
      </c>
      <c r="EK146">
        <f>_xlfn.XLOOKUP(B146,'[11]january-2026'!$A:$A,'[11]january-2026'!$J:$J,0,0)</f>
        <v>0</v>
      </c>
      <c r="EL146">
        <f>_xlfn.XLOOKUP(B146,'[12]february-2026'!$A:$A,'[12]february-2026'!$J:$J,0,0)</f>
        <v>0</v>
      </c>
      <c r="EM146">
        <f t="shared" si="361"/>
        <v>0</v>
      </c>
      <c r="EN146">
        <f>DV146+DL146+DB146+CR146+CH146+BX146+BN146+BD146+AS146+AI146+Y146+O146+H146+I146</f>
        <v>806572</v>
      </c>
      <c r="EO146">
        <f>DY146+DO146+DE146+CU146+CK146+CA146+BQ146+BG146+AV146+AL146+AB146+R146</f>
        <v>2400</v>
      </c>
      <c r="EP146">
        <f t="shared" si="409"/>
        <v>50000</v>
      </c>
      <c r="EQ146">
        <v>0</v>
      </c>
      <c r="ER146">
        <f t="shared" si="362"/>
        <v>754172</v>
      </c>
      <c r="ES146">
        <f>DW146+DM146+DC146+CS146+CI146+BY146+BO146+BE146+AT146+AJ146+Z146+P146</f>
        <v>84000</v>
      </c>
      <c r="ET146">
        <f>DX146+DN146+DD146+CT146+CJ146+BZ146+BP146+BF146+AU146+AK146+AA146+Q146</f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410"/>
        <v>84000</v>
      </c>
      <c r="FF146">
        <f t="shared" si="411"/>
        <v>84000</v>
      </c>
      <c r="FG146">
        <f t="shared" si="412"/>
        <v>670172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>SUM(FH146:FN146)+(IF(F146="YES",50000,0))</f>
        <v>0</v>
      </c>
      <c r="FP146">
        <f t="shared" si="413"/>
        <v>670172</v>
      </c>
      <c r="FQ146">
        <f t="shared" si="414"/>
        <v>12500</v>
      </c>
      <c r="FR146">
        <f t="shared" si="415"/>
        <v>34034</v>
      </c>
      <c r="FS146">
        <f t="shared" si="416"/>
        <v>46534</v>
      </c>
      <c r="FT146">
        <f t="shared" si="417"/>
        <v>46534</v>
      </c>
      <c r="FU146">
        <f t="shared" si="418"/>
        <v>1861.3600000000001</v>
      </c>
      <c r="FV146">
        <f t="shared" si="419"/>
        <v>48395</v>
      </c>
      <c r="FW146">
        <v>0</v>
      </c>
      <c r="FX146">
        <f t="shared" si="420"/>
        <v>48395</v>
      </c>
      <c r="FY146" t="b">
        <f t="shared" si="421"/>
        <v>1</v>
      </c>
      <c r="FZ146">
        <f t="shared" ca="1" si="422"/>
        <v>560</v>
      </c>
      <c r="GA146">
        <f t="shared" ca="1" si="423"/>
        <v>807132</v>
      </c>
      <c r="GB146">
        <f t="shared" si="424"/>
        <v>75000</v>
      </c>
      <c r="GC146">
        <f t="shared" ca="1" si="425"/>
        <v>732132</v>
      </c>
      <c r="GD146">
        <f t="shared" ca="1" si="426"/>
        <v>0</v>
      </c>
      <c r="GE146">
        <f t="shared" ca="1" si="427"/>
        <v>0</v>
      </c>
      <c r="GF146">
        <f t="shared" ca="1" si="428"/>
        <v>0</v>
      </c>
      <c r="GG146">
        <f t="shared" ca="1" si="429"/>
        <v>0</v>
      </c>
      <c r="GH146">
        <f t="shared" ca="1" si="430"/>
        <v>0</v>
      </c>
      <c r="GI146">
        <f t="shared" ca="1" si="431"/>
        <v>0</v>
      </c>
      <c r="GJ146">
        <f ca="1">IF(GC146&gt;1200000,GC146-1200000-IF(F146="YES",50000,0)-GH146,0)</f>
        <v>0</v>
      </c>
      <c r="GK146">
        <f t="shared" ca="1" si="432"/>
        <v>0</v>
      </c>
      <c r="GL146">
        <f t="shared" ca="1" si="433"/>
        <v>0</v>
      </c>
      <c r="GM146">
        <f t="shared" ca="1" si="434"/>
        <v>0</v>
      </c>
      <c r="GN146">
        <f t="shared" ca="1" si="435"/>
        <v>332132</v>
      </c>
      <c r="GO146">
        <f t="shared" ca="1" si="436"/>
        <v>16606.600000000002</v>
      </c>
      <c r="GP146">
        <f t="shared" ca="1" si="437"/>
        <v>16607</v>
      </c>
      <c r="GQ146">
        <f t="shared" ca="1" si="438"/>
        <v>0</v>
      </c>
      <c r="GR146">
        <f t="shared" ca="1" si="439"/>
        <v>0</v>
      </c>
      <c r="GS146">
        <f t="shared" ca="1" si="440"/>
        <v>16607</v>
      </c>
      <c r="GT146">
        <f t="shared" ca="1" si="441"/>
        <v>0</v>
      </c>
      <c r="GU146" t="b">
        <f t="shared" ca="1" si="442"/>
        <v>0</v>
      </c>
      <c r="GV146">
        <f t="shared" ca="1" si="443"/>
        <v>0</v>
      </c>
      <c r="GW146">
        <f t="shared" ca="1" si="444"/>
        <v>16607</v>
      </c>
      <c r="GX146">
        <f t="shared" ca="1" si="445"/>
        <v>0</v>
      </c>
      <c r="GY146">
        <f t="shared" ca="1" si="446"/>
        <v>0</v>
      </c>
      <c r="GZ146">
        <f t="shared" ca="1" si="447"/>
        <v>0</v>
      </c>
    </row>
    <row r="147" spans="1:208" x14ac:dyDescent="0.25">
      <c r="A147">
        <f>_xlfn.AGGREGATE(3,5,$B$2:B147)</f>
        <v>146</v>
      </c>
      <c r="B147" t="s">
        <v>400</v>
      </c>
      <c r="C147" t="s">
        <v>401</v>
      </c>
      <c r="D147" t="s">
        <v>790</v>
      </c>
      <c r="E147" t="s">
        <v>831</v>
      </c>
      <c r="F147" t="s">
        <v>958</v>
      </c>
      <c r="G147" t="s">
        <v>888</v>
      </c>
      <c r="H147">
        <f t="shared" si="449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364"/>
        <v>5278.0000000000009</v>
      </c>
      <c r="L147">
        <f t="shared" si="365"/>
        <v>4524</v>
      </c>
      <c r="M147">
        <f>_xlfn.XLOOKUP(B147,'[1]march-2025'!$A:$A,'[1]march-2025'!$D:$D,0,0)</f>
        <v>0</v>
      </c>
      <c r="N147">
        <f>_xlfn.XLOOKUP(B147,'[1]march-2025'!$A:$A,'[1]march-2025'!$G:$G,0,0)</f>
        <v>0</v>
      </c>
      <c r="O147">
        <f>IF(J147&gt;0,SUM(J147:N147),0)</f>
        <v>47502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448"/>
        <v>0</v>
      </c>
      <c r="S147">
        <f t="shared" si="357"/>
        <v>45002</v>
      </c>
      <c r="T147">
        <f>_xlfn.XLOOKUP(B147,'[2]april-2025'!$A:$A,'[2]april-2025'!$C:$C,0,0)</f>
        <v>37700</v>
      </c>
      <c r="U147">
        <f t="shared" si="366"/>
        <v>6786</v>
      </c>
      <c r="V147">
        <f t="shared" si="367"/>
        <v>4524</v>
      </c>
      <c r="W147">
        <f>_xlfn.XLOOKUP(B147,'[2]april-2025'!$A:$A,'[2]april-2025'!$D:$D,0,0)</f>
        <v>0</v>
      </c>
      <c r="X147">
        <f>_xlfn.XLOOKUP(B147,'[2]april-2025'!$A:$A,'[2]april-2025'!$G:$G,0,0)</f>
        <v>0</v>
      </c>
      <c r="Y147">
        <f t="shared" si="358"/>
        <v>49010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368"/>
        <v>0</v>
      </c>
      <c r="AC147">
        <f t="shared" si="369"/>
        <v>46510</v>
      </c>
      <c r="AD147">
        <f>_xlfn.XLOOKUP(B147,'[3]may-2025'!$A:$A,'[3]may-2025'!$C:$C,0,0)</f>
        <v>37700</v>
      </c>
      <c r="AE147">
        <f t="shared" si="370"/>
        <v>6786</v>
      </c>
      <c r="AF147">
        <f t="shared" si="371"/>
        <v>4524</v>
      </c>
      <c r="AG147">
        <f>_xlfn.XLOOKUP(B147,'[3]may-2025'!$A:$A,'[3]may-2025'!$D:$D,0,0)</f>
        <v>0</v>
      </c>
      <c r="AH147">
        <f>_xlfn.XLOOKUP(B147,'[3]may-2025'!$A:$A,'[3]may-2025'!$G:$G,0,0)</f>
        <v>0</v>
      </c>
      <c r="AI147">
        <f t="shared" si="359"/>
        <v>49010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372"/>
        <v>0</v>
      </c>
      <c r="AM147">
        <f t="shared" si="373"/>
        <v>46510</v>
      </c>
      <c r="AN147">
        <f>_xlfn.XLOOKUP(B147,'[4]june-2025'!$A:$A,'[4]june-2025'!$C:$C,0,0)</f>
        <v>37700</v>
      </c>
      <c r="AO147">
        <f t="shared" si="374"/>
        <v>6786</v>
      </c>
      <c r="AP147">
        <f t="shared" si="375"/>
        <v>4524</v>
      </c>
      <c r="AQ147">
        <f>_xlfn.XLOOKUP(B147,'[4]june-2025'!$A:$A,'[4]june-2025'!$D:$D,0,0)</f>
        <v>0</v>
      </c>
      <c r="AR147">
        <f>_xlfn.XLOOKUP(B147,'[4]june-2025'!$A:$A,'[4]june-2025'!$G:$G,0,0)</f>
        <v>0</v>
      </c>
      <c r="AS147">
        <f t="shared" si="360"/>
        <v>49010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376"/>
        <v>0</v>
      </c>
      <c r="AW147">
        <f t="shared" si="377"/>
        <v>46510</v>
      </c>
      <c r="AX147">
        <f>_xlfn.XLOOKUP(B147,'[5]july-2025'!$A:$A,'[5]july-2025'!$C:$C,0,0)</f>
        <v>38800</v>
      </c>
      <c r="AY147">
        <f t="shared" si="378"/>
        <v>6984</v>
      </c>
      <c r="AZ147">
        <v>0</v>
      </c>
      <c r="BA147">
        <f t="shared" si="379"/>
        <v>4656</v>
      </c>
      <c r="BB147">
        <f>_xlfn.XLOOKUP(B147,'[5]july-2025'!$A:$A,'[5]july-2025'!$D:$D,0,0)</f>
        <v>0</v>
      </c>
      <c r="BC147">
        <f>_xlfn.XLOOKUP(B147,'[5]july-2025'!$A:$A,'[5]july-2025'!$G:$G,0,0)</f>
        <v>0</v>
      </c>
      <c r="BD147">
        <f>IF(AX147&gt;0,SUM(AX147:BC147),0)</f>
        <v>50440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380"/>
        <v>0</v>
      </c>
      <c r="BH147">
        <f t="shared" si="381"/>
        <v>47940</v>
      </c>
      <c r="BI147">
        <f>_xlfn.XLOOKUP(B147,'[6]august-2025'!$A:$A,'[6]august-2025'!$C:$C,0,0)</f>
        <v>38800</v>
      </c>
      <c r="BJ147">
        <f t="shared" si="382"/>
        <v>6984</v>
      </c>
      <c r="BK147">
        <f t="shared" si="383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0</v>
      </c>
      <c r="BN147">
        <f t="shared" si="384"/>
        <v>50440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>IF($F147="YES",0,IF(BN147&gt;40000,200,IF(BN147&gt;25000,150,IF(BN147&gt;15000,130,IF(BN147&gt;10000,110,0)))))</f>
        <v>0</v>
      </c>
      <c r="BR147">
        <f>BN147-BO147-BP147-BQ147</f>
        <v>47940</v>
      </c>
      <c r="BS147">
        <f>_xlfn.XLOOKUP(B147,'[7]september-2025'!$A:$A,'[7]september-2025'!$C:$C,0,0)</f>
        <v>38800</v>
      </c>
      <c r="BT147">
        <f t="shared" si="385"/>
        <v>6984</v>
      </c>
      <c r="BU147">
        <f t="shared" si="386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0</v>
      </c>
      <c r="BX147">
        <f>IF(BS147&gt;0,SUM(BS147:BW147),0)</f>
        <v>50440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387"/>
        <v>0</v>
      </c>
      <c r="CB147">
        <f t="shared" si="388"/>
        <v>47940</v>
      </c>
      <c r="CC147">
        <f>_xlfn.XLOOKUP(B147,'[8]october-2025'!$A:$A,'[8]october-2025'!$C:$C,0,0)</f>
        <v>38800</v>
      </c>
      <c r="CD147">
        <f t="shared" si="389"/>
        <v>6984</v>
      </c>
      <c r="CE147">
        <f t="shared" si="390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0</v>
      </c>
      <c r="CH147">
        <f>IF(CC147&gt;0,SUM(CC147:CG147),0)</f>
        <v>50440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391"/>
        <v>0</v>
      </c>
      <c r="CL147">
        <f t="shared" si="392"/>
        <v>47940</v>
      </c>
      <c r="CM147">
        <f>_xlfn.XLOOKUP(B147,'[9]november-2025'!$A:$A,'[9]november-2025'!$C:$C,0,0)</f>
        <v>38800</v>
      </c>
      <c r="CN147">
        <f t="shared" si="393"/>
        <v>6984</v>
      </c>
      <c r="CO147">
        <f t="shared" si="394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0</v>
      </c>
      <c r="CR147">
        <f>IF(CM147&gt;0,SUM(CM147:CQ147),0)</f>
        <v>50440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395"/>
        <v>0</v>
      </c>
      <c r="CV147">
        <f t="shared" si="396"/>
        <v>47940</v>
      </c>
      <c r="CW147">
        <f>_xlfn.XLOOKUP(B147,'[10]december-2025'!$A:$A,'[10]december-2025'!$C:$C,0,0)</f>
        <v>38800</v>
      </c>
      <c r="CX147">
        <f t="shared" si="397"/>
        <v>6984</v>
      </c>
      <c r="CY147">
        <f t="shared" si="398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0</v>
      </c>
      <c r="DB147">
        <f>IF(CW147&gt;0,SUM(CW147:DA147),0)</f>
        <v>50440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399"/>
        <v>0</v>
      </c>
      <c r="DF147">
        <f t="shared" si="400"/>
        <v>47940</v>
      </c>
      <c r="DG147">
        <f>_xlfn.XLOOKUP(B147,'[11]january-2026'!$A:$A,'[11]january-2026'!$C:$C,0,0)</f>
        <v>38800</v>
      </c>
      <c r="DH147">
        <f t="shared" si="401"/>
        <v>6984</v>
      </c>
      <c r="DI147">
        <f t="shared" si="402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>IF(DG147&gt;0,SUM(DG147:DK147),0)</f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03"/>
        <v>0</v>
      </c>
      <c r="DP147">
        <f t="shared" si="404"/>
        <v>47940</v>
      </c>
      <c r="DQ147">
        <f>_xlfn.XLOOKUP(B147,'[12]february-2026'!$A:$A,'[12]february-2026'!$C:$C,0,0)</f>
        <v>38800</v>
      </c>
      <c r="DR147">
        <f t="shared" si="405"/>
        <v>6984</v>
      </c>
      <c r="DS147">
        <f t="shared" si="406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>IF(DQ147&gt;0,SUM(DQ147:DU147),0)</f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07"/>
        <v>0</v>
      </c>
      <c r="DZ147">
        <f t="shared" si="408"/>
        <v>47940</v>
      </c>
      <c r="EA147">
        <f>_xlfn.XLOOKUP(B147,'[1]march-2025'!$A:$A,'[1]march-2025'!$J:$J,0,0)</f>
        <v>0</v>
      </c>
      <c r="EB147">
        <f>_xlfn.XLOOKUP(B147,'[2]april-2025'!$A:$A,'[2]april-2025'!$J:$J,0,0)</f>
        <v>0</v>
      </c>
      <c r="EC147">
        <f>_xlfn.XLOOKUP(B147,'[3]may-2025'!$A:$A,'[3]may-2025'!$J:$J,0,0)</f>
        <v>0</v>
      </c>
      <c r="ED147">
        <f>_xlfn.XLOOKUP(B147,'[4]june-2025'!$A:$A,'[4]june-2025'!$J:$J,0,0)</f>
        <v>0</v>
      </c>
      <c r="EE147">
        <f>_xlfn.XLOOKUP(B147,'[5]july-2025'!$A:$A,'[5]july-2025'!$J:$J,0,0)</f>
        <v>0</v>
      </c>
      <c r="EF147">
        <f>_xlfn.XLOOKUP(B147,'[6]august-2025'!$A:$A,'[6]august-2025'!$J:$J,0,0)</f>
        <v>0</v>
      </c>
      <c r="EG147">
        <f>_xlfn.XLOOKUP(B147,'[7]september-2025'!$A:$A,'[7]september-2025'!$J:$J,0,0)</f>
        <v>0</v>
      </c>
      <c r="EH147">
        <f>_xlfn.XLOOKUP(B147,'[8]october-2025'!$A:$A,'[8]october-2025'!$J:$J,0,0)</f>
        <v>0</v>
      </c>
      <c r="EI147">
        <f>_xlfn.XLOOKUP(C147,'[9]november-2025'!$A:$A,'[9]november-2025'!$J:$J,0,0)</f>
        <v>0</v>
      </c>
      <c r="EJ147">
        <f>_xlfn.XLOOKUP(B147,'[10]december-2025'!$A:$A,'[10]december-2025'!$J:$J,0,0)</f>
        <v>0</v>
      </c>
      <c r="EK147">
        <f>_xlfn.XLOOKUP(B147,'[11]january-2026'!$A:$A,'[11]january-2026'!$J:$J,0,0)</f>
        <v>0</v>
      </c>
      <c r="EL147">
        <f>_xlfn.XLOOKUP(B147,'[12]february-2026'!$A:$A,'[12]february-2026'!$J:$J,0,0)</f>
        <v>0</v>
      </c>
      <c r="EM147">
        <f t="shared" si="361"/>
        <v>0</v>
      </c>
      <c r="EN147">
        <f>DV147+DL147+DB147+CR147+CH147+BX147+BN147+BD147+AS147+AI147+Y147+O147+H147+I147</f>
        <v>604852</v>
      </c>
      <c r="EO147">
        <f>DY147+DO147+DE147+CU147+CK147+CA147+BQ147+BG147+AV147+AL147+AB147+R147</f>
        <v>0</v>
      </c>
      <c r="EP147">
        <f t="shared" si="409"/>
        <v>50000</v>
      </c>
      <c r="EQ147">
        <v>0</v>
      </c>
      <c r="ER147">
        <f t="shared" si="362"/>
        <v>554852</v>
      </c>
      <c r="ES147">
        <f>DW147+DM147+DC147+CS147+CI147+BY147+BO147+BE147+AT147+AJ147+Z147+P147</f>
        <v>30000</v>
      </c>
      <c r="ET147">
        <f>DX147+DN147+DD147+CT147+CJ147+BZ147+BP147+BF147+AU147+AK147+AA147+Q147</f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410"/>
        <v>30000</v>
      </c>
      <c r="FF147">
        <f t="shared" si="411"/>
        <v>30000</v>
      </c>
      <c r="FG147">
        <f t="shared" si="412"/>
        <v>524852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>SUM(FH147:FN147)+(IF(F147="YES",50000,0))</f>
        <v>50000</v>
      </c>
      <c r="FP147">
        <f t="shared" si="413"/>
        <v>474852</v>
      </c>
      <c r="FQ147">
        <f t="shared" si="414"/>
        <v>11243</v>
      </c>
      <c r="FR147">
        <f t="shared" si="415"/>
        <v>0</v>
      </c>
      <c r="FS147">
        <f t="shared" si="416"/>
        <v>11243</v>
      </c>
      <c r="FT147">
        <f t="shared" si="417"/>
        <v>0</v>
      </c>
      <c r="FU147">
        <f t="shared" si="418"/>
        <v>0</v>
      </c>
      <c r="FV147">
        <f t="shared" si="419"/>
        <v>0</v>
      </c>
      <c r="FW147">
        <v>0</v>
      </c>
      <c r="FX147">
        <f t="shared" si="420"/>
        <v>0</v>
      </c>
      <c r="FY147" t="b">
        <f t="shared" si="421"/>
        <v>1</v>
      </c>
      <c r="FZ147">
        <f t="shared" ca="1" si="422"/>
        <v>681</v>
      </c>
      <c r="GA147">
        <f t="shared" ca="1" si="423"/>
        <v>605533</v>
      </c>
      <c r="GB147">
        <f t="shared" si="424"/>
        <v>75000</v>
      </c>
      <c r="GC147">
        <f t="shared" ca="1" si="425"/>
        <v>530533</v>
      </c>
      <c r="GD147">
        <f t="shared" ca="1" si="426"/>
        <v>0</v>
      </c>
      <c r="GE147">
        <f t="shared" ca="1" si="427"/>
        <v>0</v>
      </c>
      <c r="GF147">
        <f t="shared" ca="1" si="428"/>
        <v>0</v>
      </c>
      <c r="GG147">
        <f t="shared" ca="1" si="429"/>
        <v>0</v>
      </c>
      <c r="GH147">
        <f t="shared" ca="1" si="430"/>
        <v>0</v>
      </c>
      <c r="GI147">
        <f t="shared" ca="1" si="431"/>
        <v>0</v>
      </c>
      <c r="GJ147">
        <f ca="1">IF(GC147&gt;1200000,GC147-1200000-IF(F147="YES",50000,0)-GH147,0)</f>
        <v>0</v>
      </c>
      <c r="GK147">
        <f t="shared" ca="1" si="432"/>
        <v>0</v>
      </c>
      <c r="GL147">
        <f t="shared" ca="1" si="433"/>
        <v>0</v>
      </c>
      <c r="GM147">
        <f t="shared" ca="1" si="434"/>
        <v>0</v>
      </c>
      <c r="GN147">
        <f t="shared" ca="1" si="435"/>
        <v>130533</v>
      </c>
      <c r="GO147">
        <f t="shared" ca="1" si="436"/>
        <v>6526.6500000000005</v>
      </c>
      <c r="GP147">
        <f t="shared" ca="1" si="437"/>
        <v>6527</v>
      </c>
      <c r="GQ147">
        <f t="shared" ca="1" si="438"/>
        <v>0</v>
      </c>
      <c r="GR147">
        <f t="shared" ca="1" si="439"/>
        <v>0</v>
      </c>
      <c r="GS147">
        <f t="shared" ca="1" si="440"/>
        <v>6527</v>
      </c>
      <c r="GT147">
        <f t="shared" ca="1" si="441"/>
        <v>0</v>
      </c>
      <c r="GU147" t="b">
        <f t="shared" ca="1" si="442"/>
        <v>0</v>
      </c>
      <c r="GV147">
        <f t="shared" ca="1" si="443"/>
        <v>0</v>
      </c>
      <c r="GW147">
        <f t="shared" ca="1" si="444"/>
        <v>6527</v>
      </c>
      <c r="GX147">
        <f t="shared" ca="1" si="445"/>
        <v>0</v>
      </c>
      <c r="GY147">
        <f t="shared" ca="1" si="446"/>
        <v>0</v>
      </c>
      <c r="GZ147">
        <f t="shared" ca="1" si="447"/>
        <v>0</v>
      </c>
    </row>
    <row r="148" spans="1:208" x14ac:dyDescent="0.25">
      <c r="A148">
        <f>_xlfn.AGGREGATE(3,5,$B$2:B148)</f>
        <v>147</v>
      </c>
      <c r="B148" t="s">
        <v>402</v>
      </c>
      <c r="C148" t="s">
        <v>403</v>
      </c>
      <c r="D148" t="s">
        <v>790</v>
      </c>
      <c r="E148" t="s">
        <v>831</v>
      </c>
      <c r="F148" t="s">
        <v>957</v>
      </c>
      <c r="G148" t="s">
        <v>888</v>
      </c>
      <c r="H148">
        <f t="shared" si="449"/>
        <v>6800</v>
      </c>
      <c r="I148">
        <f>_xlfn.XLOOKUP(B148,'[1]march-2025'!$A:$A,'[1]march-2025'!$J:$J,0,0)</f>
        <v>0</v>
      </c>
      <c r="J148">
        <f>_xlfn.XLOOKUP(B148,'[1]march-2025'!$A:$A,'[1]march-2025'!$C:$C,0,0)</f>
        <v>37700</v>
      </c>
      <c r="K148">
        <f t="shared" si="364"/>
        <v>5278.0000000000009</v>
      </c>
      <c r="L148">
        <f t="shared" si="365"/>
        <v>4524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>IF(J148&gt;0,SUM(J148:N148),0)</f>
        <v>48002</v>
      </c>
      <c r="P148">
        <f>_xlfn.XLOOKUP(B148,'[1]march-2025'!$A:$A,'[1]march-2025'!$H:$H,0,0)</f>
        <v>2500</v>
      </c>
      <c r="Q148">
        <f>_xlfn.XLOOKUP(B148,'[1]march-2025'!$A:$A,'[1]march-2025'!$I:$I,0,0)</f>
        <v>0</v>
      </c>
      <c r="R148">
        <f t="shared" si="448"/>
        <v>200</v>
      </c>
      <c r="S148">
        <f t="shared" si="357"/>
        <v>45302</v>
      </c>
      <c r="T148">
        <f>_xlfn.XLOOKUP(B148,'[2]april-2025'!$A:$A,'[2]april-2025'!$C:$C,0,0)</f>
        <v>37700</v>
      </c>
      <c r="U148">
        <f t="shared" si="366"/>
        <v>6786</v>
      </c>
      <c r="V148">
        <f t="shared" si="367"/>
        <v>4524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358"/>
        <v>49510</v>
      </c>
      <c r="Z148">
        <f>_xlfn.XLOOKUP(B148,'[2]april-2025'!$A:$A,'[2]april-2025'!$H:$H,0,0)</f>
        <v>2500</v>
      </c>
      <c r="AA148">
        <f>_xlfn.XLOOKUP(B148,'[2]april-2025'!$A:$A,'[2]april-2025'!$I:$I,0,0)</f>
        <v>0</v>
      </c>
      <c r="AB148">
        <f t="shared" si="368"/>
        <v>200</v>
      </c>
      <c r="AC148">
        <f t="shared" si="369"/>
        <v>46810</v>
      </c>
      <c r="AD148">
        <f>_xlfn.XLOOKUP(B148,'[3]may-2025'!$A:$A,'[3]may-2025'!$C:$C,0,0)</f>
        <v>37700</v>
      </c>
      <c r="AE148">
        <f t="shared" si="370"/>
        <v>6786</v>
      </c>
      <c r="AF148">
        <f t="shared" si="371"/>
        <v>4524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359"/>
        <v>49510</v>
      </c>
      <c r="AJ148">
        <f>_xlfn.XLOOKUP(B148,'[3]may-2025'!$A:$A,'[3]may-2025'!$H:$H,0,0)</f>
        <v>2500</v>
      </c>
      <c r="AK148">
        <f>_xlfn.XLOOKUP(B148,'[3]may-2025'!$A:$A,'[3]may-2025'!$I:$I,0,0)</f>
        <v>0</v>
      </c>
      <c r="AL148">
        <f t="shared" si="372"/>
        <v>200</v>
      </c>
      <c r="AM148">
        <f t="shared" si="373"/>
        <v>46810</v>
      </c>
      <c r="AN148">
        <f>_xlfn.XLOOKUP(B148,'[4]june-2025'!$A:$A,'[4]june-2025'!$C:$C,0,0)</f>
        <v>37700</v>
      </c>
      <c r="AO148">
        <f t="shared" si="374"/>
        <v>6786</v>
      </c>
      <c r="AP148">
        <f t="shared" si="375"/>
        <v>4524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360"/>
        <v>49510</v>
      </c>
      <c r="AT148">
        <f>_xlfn.XLOOKUP(B148,'[4]june-2025'!$A:$A,'[4]june-2025'!$H:$H,0,0)</f>
        <v>2500</v>
      </c>
      <c r="AU148">
        <f>_xlfn.XLOOKUP(B148,'[4]june-2025'!$A:$A,'[4]june-2025'!$I:$I,0,0)</f>
        <v>0</v>
      </c>
      <c r="AV148">
        <f t="shared" si="376"/>
        <v>200</v>
      </c>
      <c r="AW148">
        <f t="shared" si="377"/>
        <v>46810</v>
      </c>
      <c r="AX148">
        <f>_xlfn.XLOOKUP(B148,'[5]july-2025'!$A:$A,'[5]july-2025'!$C:$C,0,0)</f>
        <v>38800</v>
      </c>
      <c r="AY148">
        <f t="shared" si="378"/>
        <v>6984</v>
      </c>
      <c r="AZ148">
        <v>0</v>
      </c>
      <c r="BA148">
        <f t="shared" si="379"/>
        <v>4656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>IF(AX148&gt;0,SUM(AX148:BC148),0)</f>
        <v>50940</v>
      </c>
      <c r="BE148">
        <f>_xlfn.XLOOKUP(B148,'[5]july-2025'!$A:$A,'[5]july-2025'!$H:$H,0,0)</f>
        <v>2500</v>
      </c>
      <c r="BF148">
        <f>_xlfn.XLOOKUP(B148,'[5]july-2025'!$A:$A,'[5]july-2025'!$I:$I,0,0)</f>
        <v>0</v>
      </c>
      <c r="BG148">
        <f t="shared" si="380"/>
        <v>200</v>
      </c>
      <c r="BH148">
        <f t="shared" si="381"/>
        <v>48240</v>
      </c>
      <c r="BI148">
        <f>_xlfn.XLOOKUP(B148,'[6]august-2025'!$A:$A,'[6]august-2025'!$C:$C,0,0)</f>
        <v>38800</v>
      </c>
      <c r="BJ148">
        <f t="shared" si="382"/>
        <v>6984</v>
      </c>
      <c r="BK148">
        <f t="shared" si="383"/>
        <v>4656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384"/>
        <v>50940</v>
      </c>
      <c r="BO148">
        <f>_xlfn.XLOOKUP(B148,'[6]august-2025'!$A:$A,'[6]august-2025'!$H:$H,0,0)</f>
        <v>2500</v>
      </c>
      <c r="BP148">
        <f>_xlfn.XLOOKUP(B148,'[6]august-2025'!$A:$A,'[6]august-2025'!$I:$I,0,0)</f>
        <v>0</v>
      </c>
      <c r="BQ148">
        <f>IF($F148="YES",0,IF(BN148&gt;40000,200,IF(BN148&gt;25000,150,IF(BN148&gt;15000,130,IF(BN148&gt;10000,110,0)))))</f>
        <v>200</v>
      </c>
      <c r="BR148">
        <f>BN148-BO148-BP148-BQ148</f>
        <v>48240</v>
      </c>
      <c r="BS148">
        <f>_xlfn.XLOOKUP(B148,'[7]september-2025'!$A:$A,'[7]september-2025'!$C:$C,0,0)</f>
        <v>38800</v>
      </c>
      <c r="BT148">
        <f t="shared" si="385"/>
        <v>6984</v>
      </c>
      <c r="BU148">
        <f t="shared" si="386"/>
        <v>4656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>IF(BS148&gt;0,SUM(BS148:BW148),0)</f>
        <v>50940</v>
      </c>
      <c r="BY148">
        <f>_xlfn.XLOOKUP(B148,'[7]september-2025'!$A:$A,'[7]september-2025'!$H:$H,0,0)</f>
        <v>2500</v>
      </c>
      <c r="BZ148">
        <f>_xlfn.XLOOKUP(B148,'[7]september-2025'!$A:$A,'[7]september-2025'!$I:$I,0,0)</f>
        <v>0</v>
      </c>
      <c r="CA148">
        <f t="shared" si="387"/>
        <v>200</v>
      </c>
      <c r="CB148">
        <f t="shared" si="388"/>
        <v>48240</v>
      </c>
      <c r="CC148">
        <f>_xlfn.XLOOKUP(B148,'[8]october-2025'!$A:$A,'[8]october-2025'!$C:$C,0,0)</f>
        <v>38800</v>
      </c>
      <c r="CD148">
        <f t="shared" si="389"/>
        <v>6984</v>
      </c>
      <c r="CE148">
        <f t="shared" si="390"/>
        <v>4656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>IF(CC148&gt;0,SUM(CC148:CG148),0)</f>
        <v>50940</v>
      </c>
      <c r="CI148">
        <f>_xlfn.XLOOKUP(B148,'[8]october-2025'!$A:$A,'[8]october-2025'!$H:$H,0,0)</f>
        <v>2500</v>
      </c>
      <c r="CJ148">
        <f>_xlfn.XLOOKUP(B148,'[8]october-2025'!$A:$A,'[8]october-2025'!$I:$I,0,0)</f>
        <v>0</v>
      </c>
      <c r="CK148">
        <f t="shared" si="391"/>
        <v>200</v>
      </c>
      <c r="CL148">
        <f t="shared" si="392"/>
        <v>48240</v>
      </c>
      <c r="CM148">
        <f>_xlfn.XLOOKUP(B148,'[9]november-2025'!$A:$A,'[9]november-2025'!$C:$C,0,0)</f>
        <v>38800</v>
      </c>
      <c r="CN148">
        <f t="shared" si="393"/>
        <v>6984</v>
      </c>
      <c r="CO148">
        <f t="shared" si="394"/>
        <v>4656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>IF(CM148&gt;0,SUM(CM148:CQ148),0)</f>
        <v>50940</v>
      </c>
      <c r="CS148">
        <f>_xlfn.XLOOKUP(B148,'[9]november-2025'!$A:$A,'[9]november-2025'!$H:$H,0,0)</f>
        <v>2500</v>
      </c>
      <c r="CT148">
        <f>_xlfn.XLOOKUP(B148,'[9]november-2025'!$A:$A,'[9]november-2025'!$I:$I,0,0)</f>
        <v>0</v>
      </c>
      <c r="CU148">
        <f t="shared" si="395"/>
        <v>200</v>
      </c>
      <c r="CV148">
        <f t="shared" si="396"/>
        <v>48240</v>
      </c>
      <c r="CW148">
        <f>_xlfn.XLOOKUP(B148,'[10]december-2025'!$A:$A,'[10]december-2025'!$C:$C,0,0)</f>
        <v>38800</v>
      </c>
      <c r="CX148">
        <f t="shared" si="397"/>
        <v>6984</v>
      </c>
      <c r="CY148">
        <f t="shared" si="398"/>
        <v>4656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>IF(CW148&gt;0,SUM(CW148:DA148),0)</f>
        <v>50940</v>
      </c>
      <c r="DC148">
        <f>_xlfn.XLOOKUP(B148,'[10]december-2025'!$A:$A,'[10]december-2025'!$H:$H,0,0)</f>
        <v>2500</v>
      </c>
      <c r="DD148">
        <f>_xlfn.XLOOKUP(B148,'[10]december-2025'!$A:$A,'[10]december-2025'!$I:$I,0,0)</f>
        <v>0</v>
      </c>
      <c r="DE148">
        <f t="shared" si="399"/>
        <v>200</v>
      </c>
      <c r="DF148">
        <f t="shared" si="400"/>
        <v>48240</v>
      </c>
      <c r="DG148">
        <f>_xlfn.XLOOKUP(B148,'[11]january-2026'!$A:$A,'[11]january-2026'!$C:$C,0,0)</f>
        <v>38800</v>
      </c>
      <c r="DH148">
        <f t="shared" si="401"/>
        <v>6984</v>
      </c>
      <c r="DI148">
        <f t="shared" si="402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>IF(DG148&gt;0,SUM(DG148:DK148),0)</f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03"/>
        <v>200</v>
      </c>
      <c r="DP148">
        <f t="shared" si="404"/>
        <v>48240</v>
      </c>
      <c r="DQ148">
        <f>_xlfn.XLOOKUP(B148,'[12]february-2026'!$A:$A,'[12]february-2026'!$C:$C,0,0)</f>
        <v>38800</v>
      </c>
      <c r="DR148">
        <f t="shared" si="405"/>
        <v>6984</v>
      </c>
      <c r="DS148">
        <f t="shared" si="406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>IF(DQ148&gt;0,SUM(DQ148:DU148),0)</f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07"/>
        <v>200</v>
      </c>
      <c r="DZ148">
        <f t="shared" si="408"/>
        <v>48240</v>
      </c>
      <c r="EA148">
        <f>_xlfn.XLOOKUP(B148,'[1]march-2025'!$A:$A,'[1]march-2025'!$J:$J,0,0)</f>
        <v>0</v>
      </c>
      <c r="EB148">
        <f>_xlfn.XLOOKUP(B148,'[2]april-2025'!$A:$A,'[2]april-2025'!$J:$J,0,0)</f>
        <v>0</v>
      </c>
      <c r="EC148">
        <f>_xlfn.XLOOKUP(B148,'[3]may-2025'!$A:$A,'[3]may-2025'!$J:$J,0,0)</f>
        <v>0</v>
      </c>
      <c r="ED148">
        <f>_xlfn.XLOOKUP(B148,'[4]june-2025'!$A:$A,'[4]june-2025'!$J:$J,0,0)</f>
        <v>0</v>
      </c>
      <c r="EE148">
        <f>_xlfn.XLOOKUP(B148,'[5]july-2025'!$A:$A,'[5]july-2025'!$J:$J,0,0)</f>
        <v>0</v>
      </c>
      <c r="EF148">
        <f>_xlfn.XLOOKUP(B148,'[6]august-2025'!$A:$A,'[6]august-2025'!$J:$J,0,0)</f>
        <v>0</v>
      </c>
      <c r="EG148">
        <f>_xlfn.XLOOKUP(B148,'[7]september-2025'!$A:$A,'[7]september-2025'!$J:$J,0,0)</f>
        <v>0</v>
      </c>
      <c r="EH148">
        <f>_xlfn.XLOOKUP(B148,'[8]october-2025'!$A:$A,'[8]october-2025'!$J:$J,0,0)</f>
        <v>0</v>
      </c>
      <c r="EI148">
        <f>_xlfn.XLOOKUP(C148,'[9]november-2025'!$A:$A,'[9]november-2025'!$J:$J,0,0)</f>
        <v>0</v>
      </c>
      <c r="EJ148">
        <f>_xlfn.XLOOKUP(B148,'[10]december-2025'!$A:$A,'[10]december-2025'!$J:$J,0,0)</f>
        <v>0</v>
      </c>
      <c r="EK148">
        <f>_xlfn.XLOOKUP(B148,'[11]january-2026'!$A:$A,'[11]january-2026'!$J:$J,0,0)</f>
        <v>0</v>
      </c>
      <c r="EL148">
        <f>_xlfn.XLOOKUP(B148,'[12]february-2026'!$A:$A,'[12]february-2026'!$J:$J,0,0)</f>
        <v>0</v>
      </c>
      <c r="EM148">
        <f t="shared" si="361"/>
        <v>0</v>
      </c>
      <c r="EN148">
        <f>DV148+DL148+DB148+CR148+CH148+BX148+BN148+BD148+AS148+AI148+Y148+O148+H148+I148</f>
        <v>610852</v>
      </c>
      <c r="EO148">
        <f>DY148+DO148+DE148+CU148+CK148+CA148+BQ148+BG148+AV148+AL148+AB148+R148</f>
        <v>2400</v>
      </c>
      <c r="EP148">
        <f t="shared" si="409"/>
        <v>50000</v>
      </c>
      <c r="EQ148">
        <v>0</v>
      </c>
      <c r="ER148">
        <f t="shared" si="362"/>
        <v>558452</v>
      </c>
      <c r="ES148">
        <f>DW148+DM148+DC148+CS148+CI148+BY148+BO148+BE148+AT148+AJ148+Z148+P148</f>
        <v>30000</v>
      </c>
      <c r="ET148">
        <f>DX148+DN148+DD148+CT148+CJ148+BZ148+BP148+BF148+AU148+AK148+AA148+Q148</f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410"/>
        <v>30000</v>
      </c>
      <c r="FF148">
        <f t="shared" si="411"/>
        <v>30000</v>
      </c>
      <c r="FG148">
        <f t="shared" si="412"/>
        <v>528452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>SUM(FH148:FN148)+(IF(F148="YES",50000,0))</f>
        <v>0</v>
      </c>
      <c r="FP148">
        <f t="shared" si="413"/>
        <v>528452</v>
      </c>
      <c r="FQ148">
        <f t="shared" si="414"/>
        <v>12500</v>
      </c>
      <c r="FR148">
        <f t="shared" si="415"/>
        <v>5690</v>
      </c>
      <c r="FS148">
        <f t="shared" si="416"/>
        <v>18190</v>
      </c>
      <c r="FT148">
        <f t="shared" si="417"/>
        <v>18190</v>
      </c>
      <c r="FU148">
        <f t="shared" si="418"/>
        <v>727.6</v>
      </c>
      <c r="FV148">
        <f t="shared" si="419"/>
        <v>18918</v>
      </c>
      <c r="FW148">
        <v>0</v>
      </c>
      <c r="FX148">
        <f t="shared" si="420"/>
        <v>18918</v>
      </c>
      <c r="FY148" t="b">
        <f t="shared" si="421"/>
        <v>1</v>
      </c>
      <c r="FZ148">
        <f t="shared" ca="1" si="422"/>
        <v>556</v>
      </c>
      <c r="GA148">
        <f t="shared" ca="1" si="423"/>
        <v>611408</v>
      </c>
      <c r="GB148">
        <f t="shared" si="424"/>
        <v>75000</v>
      </c>
      <c r="GC148">
        <f t="shared" ca="1" si="425"/>
        <v>536408</v>
      </c>
      <c r="GD148">
        <f t="shared" ca="1" si="426"/>
        <v>0</v>
      </c>
      <c r="GE148">
        <f t="shared" ca="1" si="427"/>
        <v>0</v>
      </c>
      <c r="GF148">
        <f t="shared" ca="1" si="428"/>
        <v>0</v>
      </c>
      <c r="GG148">
        <f t="shared" ca="1" si="429"/>
        <v>0</v>
      </c>
      <c r="GH148">
        <f t="shared" ca="1" si="430"/>
        <v>0</v>
      </c>
      <c r="GI148">
        <f t="shared" ca="1" si="431"/>
        <v>0</v>
      </c>
      <c r="GJ148">
        <f ca="1">IF(GC148&gt;1200000,GC148-1200000-IF(F148="YES",50000,0)-GH148,0)</f>
        <v>0</v>
      </c>
      <c r="GK148">
        <f t="shared" ca="1" si="432"/>
        <v>0</v>
      </c>
      <c r="GL148">
        <f t="shared" ca="1" si="433"/>
        <v>0</v>
      </c>
      <c r="GM148">
        <f t="shared" ca="1" si="434"/>
        <v>0</v>
      </c>
      <c r="GN148">
        <f t="shared" ca="1" si="435"/>
        <v>136408</v>
      </c>
      <c r="GO148">
        <f t="shared" ca="1" si="436"/>
        <v>6820.4000000000005</v>
      </c>
      <c r="GP148">
        <f t="shared" ca="1" si="437"/>
        <v>6820</v>
      </c>
      <c r="GQ148">
        <f t="shared" ca="1" si="438"/>
        <v>0</v>
      </c>
      <c r="GR148">
        <f t="shared" ca="1" si="439"/>
        <v>0</v>
      </c>
      <c r="GS148">
        <f t="shared" ca="1" si="440"/>
        <v>6820</v>
      </c>
      <c r="GT148">
        <f t="shared" ca="1" si="441"/>
        <v>0</v>
      </c>
      <c r="GU148" t="b">
        <f t="shared" ca="1" si="442"/>
        <v>0</v>
      </c>
      <c r="GV148">
        <f t="shared" ca="1" si="443"/>
        <v>0</v>
      </c>
      <c r="GW148">
        <f t="shared" ca="1" si="444"/>
        <v>6820</v>
      </c>
      <c r="GX148">
        <f t="shared" ca="1" si="445"/>
        <v>0</v>
      </c>
      <c r="GY148">
        <f t="shared" ca="1" si="446"/>
        <v>0</v>
      </c>
      <c r="GZ148">
        <f t="shared" ca="1" si="447"/>
        <v>0</v>
      </c>
    </row>
    <row r="149" spans="1:208" x14ac:dyDescent="0.25">
      <c r="A149">
        <f>_xlfn.AGGREGATE(3,5,$B$2:B149)</f>
        <v>148</v>
      </c>
      <c r="B149" t="s">
        <v>404</v>
      </c>
      <c r="C149" t="s">
        <v>405</v>
      </c>
      <c r="D149" t="s">
        <v>791</v>
      </c>
      <c r="E149" t="s">
        <v>832</v>
      </c>
      <c r="F149" t="s">
        <v>957</v>
      </c>
      <c r="G149" t="s">
        <v>908</v>
      </c>
      <c r="H149">
        <f t="shared" si="449"/>
        <v>6800</v>
      </c>
      <c r="I149">
        <f>_xlfn.XLOOKUP(B149,'[1]march-2025'!$A:$A,'[1]march-2025'!$J:$J,0,0)</f>
        <v>0</v>
      </c>
      <c r="J149">
        <f>_xlfn.XLOOKUP(B149,'[1]march-2025'!$A:$A,'[1]march-2025'!$C:$C,0,0)</f>
        <v>47300</v>
      </c>
      <c r="K149">
        <f t="shared" si="364"/>
        <v>6622.0000000000009</v>
      </c>
      <c r="L149">
        <f t="shared" si="365"/>
        <v>5676</v>
      </c>
      <c r="M149">
        <f>_xlfn.XLOOKUP(B149,'[1]march-2025'!$A:$A,'[1]march-2025'!$D:$D,0,0)</f>
        <v>400</v>
      </c>
      <c r="N149">
        <f>_xlfn.XLOOKUP(B149,'[1]march-2025'!$A:$A,'[1]march-2025'!$G:$G,0,0)</f>
        <v>0</v>
      </c>
      <c r="O149">
        <f>IF(J149&gt;0,SUM(J149:N149),0)</f>
        <v>59998</v>
      </c>
      <c r="P149">
        <f>_xlfn.XLOOKUP(B149,'[1]march-2025'!$A:$A,'[1]march-2025'!$H:$H,0,0)</f>
        <v>3000</v>
      </c>
      <c r="Q149">
        <f>_xlfn.XLOOKUP(B149,'[1]march-2025'!$A:$A,'[1]march-2025'!$I:$I,0,0)</f>
        <v>60</v>
      </c>
      <c r="R149">
        <f t="shared" si="448"/>
        <v>200</v>
      </c>
      <c r="S149">
        <f t="shared" si="357"/>
        <v>56738</v>
      </c>
      <c r="T149">
        <f>_xlfn.XLOOKUP(B149,'[2]april-2025'!$A:$A,'[2]april-2025'!$C:$C,0,0)</f>
        <v>47300</v>
      </c>
      <c r="U149">
        <f t="shared" si="366"/>
        <v>8514</v>
      </c>
      <c r="V149">
        <f t="shared" si="367"/>
        <v>5676</v>
      </c>
      <c r="W149">
        <f>_xlfn.XLOOKUP(B149,'[2]april-2025'!$A:$A,'[2]april-2025'!$D:$D,0,0)</f>
        <v>400</v>
      </c>
      <c r="X149">
        <f>_xlfn.XLOOKUP(B149,'[2]april-2025'!$A:$A,'[2]april-2025'!$G:$G,0,0)</f>
        <v>0</v>
      </c>
      <c r="Y149">
        <f t="shared" si="358"/>
        <v>61890</v>
      </c>
      <c r="Z149">
        <f>_xlfn.XLOOKUP(B149,'[2]april-2025'!$A:$A,'[2]april-2025'!$H:$H,0,0)</f>
        <v>3000</v>
      </c>
      <c r="AA149">
        <f>_xlfn.XLOOKUP(B149,'[2]april-2025'!$A:$A,'[2]april-2025'!$I:$I,0,0)</f>
        <v>60</v>
      </c>
      <c r="AB149">
        <f t="shared" si="368"/>
        <v>200</v>
      </c>
      <c r="AC149">
        <f t="shared" si="369"/>
        <v>58630</v>
      </c>
      <c r="AD149">
        <f>_xlfn.XLOOKUP(B149,'[3]may-2025'!$A:$A,'[3]may-2025'!$C:$C,0,0)</f>
        <v>47300</v>
      </c>
      <c r="AE149">
        <f t="shared" si="370"/>
        <v>8514</v>
      </c>
      <c r="AF149">
        <f t="shared" si="371"/>
        <v>5676</v>
      </c>
      <c r="AG149">
        <f>_xlfn.XLOOKUP(B149,'[3]may-2025'!$A:$A,'[3]may-2025'!$D:$D,0,0)</f>
        <v>400</v>
      </c>
      <c r="AH149">
        <f>_xlfn.XLOOKUP(B149,'[3]may-2025'!$A:$A,'[3]may-2025'!$G:$G,0,0)</f>
        <v>0</v>
      </c>
      <c r="AI149">
        <f t="shared" si="359"/>
        <v>61890</v>
      </c>
      <c r="AJ149">
        <f>_xlfn.XLOOKUP(B149,'[3]may-2025'!$A:$A,'[3]may-2025'!$H:$H,0,0)</f>
        <v>3000</v>
      </c>
      <c r="AK149">
        <f>_xlfn.XLOOKUP(B149,'[3]may-2025'!$A:$A,'[3]may-2025'!$I:$I,0,0)</f>
        <v>60</v>
      </c>
      <c r="AL149">
        <f t="shared" si="372"/>
        <v>200</v>
      </c>
      <c r="AM149">
        <f t="shared" si="373"/>
        <v>58630</v>
      </c>
      <c r="AN149">
        <f>_xlfn.XLOOKUP(B149,'[4]june-2025'!$A:$A,'[4]june-2025'!$C:$C,0,0)</f>
        <v>47300</v>
      </c>
      <c r="AO149">
        <f t="shared" si="374"/>
        <v>8514</v>
      </c>
      <c r="AP149">
        <f t="shared" si="375"/>
        <v>5676</v>
      </c>
      <c r="AQ149">
        <f>_xlfn.XLOOKUP(B149,'[4]june-2025'!$A:$A,'[4]june-2025'!$D:$D,0,0)</f>
        <v>400</v>
      </c>
      <c r="AR149">
        <f>_xlfn.XLOOKUP(B149,'[4]june-2025'!$A:$A,'[4]june-2025'!$G:$G,0,0)</f>
        <v>0</v>
      </c>
      <c r="AS149">
        <f t="shared" si="360"/>
        <v>61890</v>
      </c>
      <c r="AT149">
        <f>_xlfn.XLOOKUP(B149,'[4]june-2025'!$A:$A,'[4]june-2025'!$H:$H,0,0)</f>
        <v>3000</v>
      </c>
      <c r="AU149">
        <f>_xlfn.XLOOKUP(B149,'[4]june-2025'!$A:$A,'[4]june-2025'!$I:$I,0,0)</f>
        <v>60</v>
      </c>
      <c r="AV149">
        <f t="shared" si="376"/>
        <v>200</v>
      </c>
      <c r="AW149">
        <f t="shared" si="377"/>
        <v>58630</v>
      </c>
      <c r="AX149">
        <f>_xlfn.XLOOKUP(B149,'[5]july-2025'!$A:$A,'[5]july-2025'!$C:$C,0,0)</f>
        <v>48700</v>
      </c>
      <c r="AY149">
        <f t="shared" si="378"/>
        <v>8766</v>
      </c>
      <c r="AZ149">
        <v>0</v>
      </c>
      <c r="BA149">
        <f t="shared" si="379"/>
        <v>5844</v>
      </c>
      <c r="BB149">
        <f>_xlfn.XLOOKUP(B149,'[5]july-2025'!$A:$A,'[5]july-2025'!$D:$D,0,0)</f>
        <v>400</v>
      </c>
      <c r="BC149">
        <f>_xlfn.XLOOKUP(B149,'[5]july-2025'!$A:$A,'[5]july-2025'!$G:$G,0,0)</f>
        <v>0</v>
      </c>
      <c r="BD149">
        <f>IF(AX149&gt;0,SUM(AX149:BC149),0)</f>
        <v>63710</v>
      </c>
      <c r="BE149">
        <f>_xlfn.XLOOKUP(B149,'[5]july-2025'!$A:$A,'[5]july-2025'!$H:$H,0,0)</f>
        <v>3000</v>
      </c>
      <c r="BF149">
        <f>_xlfn.XLOOKUP(B149,'[5]july-2025'!$A:$A,'[5]july-2025'!$I:$I,0,0)</f>
        <v>60</v>
      </c>
      <c r="BG149">
        <f t="shared" si="380"/>
        <v>200</v>
      </c>
      <c r="BH149">
        <f t="shared" si="381"/>
        <v>60450</v>
      </c>
      <c r="BI149">
        <f>_xlfn.XLOOKUP(B149,'[6]august-2025'!$A:$A,'[6]august-2025'!$C:$C,0,0)</f>
        <v>48700</v>
      </c>
      <c r="BJ149">
        <f t="shared" si="382"/>
        <v>8766</v>
      </c>
      <c r="BK149">
        <f t="shared" si="383"/>
        <v>5844</v>
      </c>
      <c r="BL149">
        <f>_xlfn.XLOOKUP(B149,'[6]august-2025'!$A:$A,'[6]august-2025'!$D:$D,0,0)</f>
        <v>400</v>
      </c>
      <c r="BM149">
        <f>_xlfn.XLOOKUP(B149,'[6]august-2025'!$A:$A,'[6]august-2025'!$G:$G,0,0)</f>
        <v>0</v>
      </c>
      <c r="BN149">
        <f t="shared" si="384"/>
        <v>63710</v>
      </c>
      <c r="BO149">
        <f>_xlfn.XLOOKUP(B149,'[6]august-2025'!$A:$A,'[6]august-2025'!$H:$H,0,0)</f>
        <v>3000</v>
      </c>
      <c r="BP149">
        <f>_xlfn.XLOOKUP(B149,'[6]august-2025'!$A:$A,'[6]august-2025'!$I:$I,0,0)</f>
        <v>60</v>
      </c>
      <c r="BQ149">
        <f>IF($F149="YES",0,IF(BN149&gt;40000,200,IF(BN149&gt;25000,150,IF(BN149&gt;15000,130,IF(BN149&gt;10000,110,0)))))</f>
        <v>200</v>
      </c>
      <c r="BR149">
        <f>BN149-BO149-BP149-BQ149</f>
        <v>60450</v>
      </c>
      <c r="BS149">
        <f>_xlfn.XLOOKUP(B149,'[7]september-2025'!$A:$A,'[7]september-2025'!$C:$C,0,0)</f>
        <v>48700</v>
      </c>
      <c r="BT149">
        <f t="shared" si="385"/>
        <v>8766</v>
      </c>
      <c r="BU149">
        <f t="shared" si="386"/>
        <v>5844</v>
      </c>
      <c r="BV149">
        <f>_xlfn.XLOOKUP(B149,'[7]september-2025'!$A:$A,'[7]september-2025'!$D:$D,0,0)</f>
        <v>400</v>
      </c>
      <c r="BW149">
        <f>_xlfn.XLOOKUP(B149,'[7]september-2025'!$A:$A,'[7]september-2025'!$G:$G,0,0)</f>
        <v>0</v>
      </c>
      <c r="BX149">
        <f>IF(BS149&gt;0,SUM(BS149:BW149),0)</f>
        <v>63710</v>
      </c>
      <c r="BY149">
        <f>_xlfn.XLOOKUP(B149,'[7]september-2025'!$A:$A,'[7]september-2025'!$H:$H,0,0)</f>
        <v>3000</v>
      </c>
      <c r="BZ149">
        <f>_xlfn.XLOOKUP(B149,'[7]september-2025'!$A:$A,'[7]september-2025'!$I:$I,0,0)</f>
        <v>60</v>
      </c>
      <c r="CA149">
        <f t="shared" si="387"/>
        <v>200</v>
      </c>
      <c r="CB149">
        <f t="shared" si="388"/>
        <v>60450</v>
      </c>
      <c r="CC149">
        <f>_xlfn.XLOOKUP(B149,'[8]october-2025'!$A:$A,'[8]october-2025'!$C:$C,0,0)</f>
        <v>48700</v>
      </c>
      <c r="CD149">
        <f t="shared" si="389"/>
        <v>8766</v>
      </c>
      <c r="CE149">
        <f t="shared" si="390"/>
        <v>5844</v>
      </c>
      <c r="CF149">
        <f>_xlfn.XLOOKUP(B149,'[8]october-2025'!$A:$A,'[8]october-2025'!$D:$D,0,0)</f>
        <v>400</v>
      </c>
      <c r="CG149">
        <f>_xlfn.XLOOKUP(B149,'[8]october-2025'!$A:$A,'[8]october-2025'!$G:$G,0,0)</f>
        <v>0</v>
      </c>
      <c r="CH149">
        <f>IF(CC149&gt;0,SUM(CC149:CG149),0)</f>
        <v>63710</v>
      </c>
      <c r="CI149">
        <f>_xlfn.XLOOKUP(B149,'[8]october-2025'!$A:$A,'[8]october-2025'!$H:$H,0,0)</f>
        <v>3000</v>
      </c>
      <c r="CJ149">
        <f>_xlfn.XLOOKUP(B149,'[8]october-2025'!$A:$A,'[8]october-2025'!$I:$I,0,0)</f>
        <v>60</v>
      </c>
      <c r="CK149">
        <f t="shared" si="391"/>
        <v>200</v>
      </c>
      <c r="CL149">
        <f t="shared" si="392"/>
        <v>60450</v>
      </c>
      <c r="CM149">
        <f>_xlfn.XLOOKUP(B149,'[9]november-2025'!$A:$A,'[9]november-2025'!$C:$C,0,0)</f>
        <v>48700</v>
      </c>
      <c r="CN149">
        <f t="shared" si="393"/>
        <v>8766</v>
      </c>
      <c r="CO149">
        <f t="shared" si="394"/>
        <v>5844</v>
      </c>
      <c r="CP149">
        <f>_xlfn.XLOOKUP(B149,'[9]november-2025'!$A:$A,'[9]november-2025'!$D:$D,0,0)</f>
        <v>400</v>
      </c>
      <c r="CQ149">
        <f>_xlfn.XLOOKUP(B149,'[9]november-2025'!$A:$A,'[9]november-2025'!$G:$G,0,0)</f>
        <v>0</v>
      </c>
      <c r="CR149">
        <f>IF(CM149&gt;0,SUM(CM149:CQ149),0)</f>
        <v>63710</v>
      </c>
      <c r="CS149">
        <f>_xlfn.XLOOKUP(B149,'[9]november-2025'!$A:$A,'[9]november-2025'!$H:$H,0,0)</f>
        <v>3000</v>
      </c>
      <c r="CT149">
        <f>_xlfn.XLOOKUP(B149,'[9]november-2025'!$A:$A,'[9]november-2025'!$I:$I,0,0)</f>
        <v>60</v>
      </c>
      <c r="CU149">
        <f t="shared" si="395"/>
        <v>200</v>
      </c>
      <c r="CV149">
        <f t="shared" si="396"/>
        <v>60450</v>
      </c>
      <c r="CW149">
        <f>_xlfn.XLOOKUP(B149,'[10]december-2025'!$A:$A,'[10]december-2025'!$C:$C,0,0)</f>
        <v>48700</v>
      </c>
      <c r="CX149">
        <f t="shared" si="397"/>
        <v>8766</v>
      </c>
      <c r="CY149">
        <f t="shared" si="398"/>
        <v>5844</v>
      </c>
      <c r="CZ149">
        <f>_xlfn.XLOOKUP(B149,'[10]december-2025'!$A:$A,'[10]december-2025'!$D:$D,0,0)</f>
        <v>400</v>
      </c>
      <c r="DA149">
        <f>_xlfn.XLOOKUP(B149,'[10]december-2025'!$A:$A,'[10]december-2025'!$G:$G,0,0)</f>
        <v>0</v>
      </c>
      <c r="DB149">
        <f>IF(CW149&gt;0,SUM(CW149:DA149),0)</f>
        <v>63710</v>
      </c>
      <c r="DC149">
        <f>_xlfn.XLOOKUP(B149,'[10]december-2025'!$A:$A,'[10]december-2025'!$H:$H,0,0)</f>
        <v>3000</v>
      </c>
      <c r="DD149">
        <f>_xlfn.XLOOKUP(B149,'[10]december-2025'!$A:$A,'[10]december-2025'!$I:$I,0,0)</f>
        <v>60</v>
      </c>
      <c r="DE149">
        <f t="shared" si="399"/>
        <v>200</v>
      </c>
      <c r="DF149">
        <f t="shared" si="400"/>
        <v>60450</v>
      </c>
      <c r="DG149">
        <f>_xlfn.XLOOKUP(B149,'[11]january-2026'!$A:$A,'[11]january-2026'!$C:$C,0,0)</f>
        <v>48700</v>
      </c>
      <c r="DH149">
        <f t="shared" si="401"/>
        <v>8766</v>
      </c>
      <c r="DI149">
        <f t="shared" si="402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>IF(DG149&gt;0,SUM(DG149:DK149),0)</f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03"/>
        <v>200</v>
      </c>
      <c r="DP149">
        <f t="shared" si="404"/>
        <v>60450</v>
      </c>
      <c r="DQ149">
        <f>_xlfn.XLOOKUP(B149,'[12]february-2026'!$A:$A,'[12]february-2026'!$C:$C,0,0)</f>
        <v>48700</v>
      </c>
      <c r="DR149">
        <f t="shared" si="405"/>
        <v>8766</v>
      </c>
      <c r="DS149">
        <f t="shared" si="406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>IF(DQ149&gt;0,SUM(DQ149:DU149),0)</f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07"/>
        <v>200</v>
      </c>
      <c r="DZ149">
        <f t="shared" si="408"/>
        <v>60450</v>
      </c>
      <c r="EA149">
        <f>_xlfn.XLOOKUP(B149,'[1]march-2025'!$A:$A,'[1]march-2025'!$J:$J,0,0)</f>
        <v>0</v>
      </c>
      <c r="EB149">
        <f>_xlfn.XLOOKUP(B149,'[2]april-2025'!$A:$A,'[2]april-2025'!$J:$J,0,0)</f>
        <v>0</v>
      </c>
      <c r="EC149">
        <f>_xlfn.XLOOKUP(B149,'[3]may-2025'!$A:$A,'[3]may-2025'!$J:$J,0,0)</f>
        <v>0</v>
      </c>
      <c r="ED149">
        <f>_xlfn.XLOOKUP(B149,'[4]june-2025'!$A:$A,'[4]june-2025'!$J:$J,0,0)</f>
        <v>0</v>
      </c>
      <c r="EE149">
        <f>_xlfn.XLOOKUP(B149,'[5]july-2025'!$A:$A,'[5]july-2025'!$J:$J,0,0)</f>
        <v>0</v>
      </c>
      <c r="EF149">
        <f>_xlfn.XLOOKUP(B149,'[6]august-2025'!$A:$A,'[6]august-2025'!$J:$J,0,0)</f>
        <v>0</v>
      </c>
      <c r="EG149">
        <f>_xlfn.XLOOKUP(B149,'[7]september-2025'!$A:$A,'[7]september-2025'!$J:$J,0,0)</f>
        <v>0</v>
      </c>
      <c r="EH149">
        <f>_xlfn.XLOOKUP(B149,'[8]october-2025'!$A:$A,'[8]october-2025'!$J:$J,0,0)</f>
        <v>0</v>
      </c>
      <c r="EI149">
        <f>_xlfn.XLOOKUP(C149,'[9]november-2025'!$A:$A,'[9]november-2025'!$J:$J,0,0)</f>
        <v>0</v>
      </c>
      <c r="EJ149">
        <f>_xlfn.XLOOKUP(B149,'[10]december-2025'!$A:$A,'[10]december-2025'!$J:$J,0,0)</f>
        <v>0</v>
      </c>
      <c r="EK149">
        <f>_xlfn.XLOOKUP(B149,'[11]january-2026'!$A:$A,'[11]january-2026'!$J:$J,0,0)</f>
        <v>0</v>
      </c>
      <c r="EL149">
        <f>_xlfn.XLOOKUP(B149,'[12]february-2026'!$A:$A,'[12]february-2026'!$J:$J,0,0)</f>
        <v>0</v>
      </c>
      <c r="EM149">
        <f t="shared" si="361"/>
        <v>0</v>
      </c>
      <c r="EN149">
        <f>DV149+DL149+DB149+CR149+CH149+BX149+BN149+BD149+AS149+AI149+Y149+O149+H149+I149</f>
        <v>762148</v>
      </c>
      <c r="EO149">
        <f>DY149+DO149+DE149+CU149+CK149+CA149+BQ149+BG149+AV149+AL149+AB149+R149</f>
        <v>2400</v>
      </c>
      <c r="EP149">
        <f t="shared" si="409"/>
        <v>50000</v>
      </c>
      <c r="EQ149">
        <v>0</v>
      </c>
      <c r="ER149">
        <f t="shared" si="362"/>
        <v>709748</v>
      </c>
      <c r="ES149">
        <f>DW149+DM149+DC149+CS149+CI149+BY149+BO149+BE149+AT149+AJ149+Z149+P149</f>
        <v>36000</v>
      </c>
      <c r="ET149">
        <f>DX149+DN149+DD149+CT149+CJ149+BZ149+BP149+BF149+AU149+AK149+AA149+Q149</f>
        <v>720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410"/>
        <v>36720</v>
      </c>
      <c r="FF149">
        <f t="shared" si="411"/>
        <v>36720</v>
      </c>
      <c r="FG149">
        <f t="shared" si="412"/>
        <v>673028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>SUM(FH149:FN149)+(IF(F149="YES",50000,0))</f>
        <v>0</v>
      </c>
      <c r="FP149">
        <f t="shared" si="413"/>
        <v>673028</v>
      </c>
      <c r="FQ149">
        <f t="shared" si="414"/>
        <v>12500</v>
      </c>
      <c r="FR149">
        <f t="shared" si="415"/>
        <v>34606</v>
      </c>
      <c r="FS149">
        <f t="shared" si="416"/>
        <v>47106</v>
      </c>
      <c r="FT149">
        <f t="shared" si="417"/>
        <v>47106</v>
      </c>
      <c r="FU149">
        <f t="shared" si="418"/>
        <v>1884.24</v>
      </c>
      <c r="FV149">
        <f t="shared" si="419"/>
        <v>48990</v>
      </c>
      <c r="FW149">
        <v>0</v>
      </c>
      <c r="FX149">
        <f t="shared" si="420"/>
        <v>48990</v>
      </c>
      <c r="FY149" t="b">
        <f t="shared" si="421"/>
        <v>1</v>
      </c>
      <c r="FZ149">
        <f t="shared" ca="1" si="422"/>
        <v>837</v>
      </c>
      <c r="GA149">
        <f t="shared" ca="1" si="423"/>
        <v>762985</v>
      </c>
      <c r="GB149">
        <f t="shared" si="424"/>
        <v>75000</v>
      </c>
      <c r="GC149">
        <f t="shared" ca="1" si="425"/>
        <v>687985</v>
      </c>
      <c r="GD149">
        <f t="shared" ca="1" si="426"/>
        <v>0</v>
      </c>
      <c r="GE149">
        <f t="shared" ca="1" si="427"/>
        <v>0</v>
      </c>
      <c r="GF149">
        <f t="shared" ca="1" si="428"/>
        <v>0</v>
      </c>
      <c r="GG149">
        <f t="shared" ca="1" si="429"/>
        <v>0</v>
      </c>
      <c r="GH149">
        <f t="shared" ca="1" si="430"/>
        <v>0</v>
      </c>
      <c r="GI149">
        <f t="shared" ca="1" si="431"/>
        <v>0</v>
      </c>
      <c r="GJ149">
        <f ca="1">IF(GC149&gt;1200000,GC149-1200000-IF(F149="YES",50000,0)-GH149,0)</f>
        <v>0</v>
      </c>
      <c r="GK149">
        <f t="shared" ca="1" si="432"/>
        <v>0</v>
      </c>
      <c r="GL149">
        <f t="shared" ca="1" si="433"/>
        <v>0</v>
      </c>
      <c r="GM149">
        <f t="shared" ca="1" si="434"/>
        <v>0</v>
      </c>
      <c r="GN149">
        <f t="shared" ca="1" si="435"/>
        <v>287985</v>
      </c>
      <c r="GO149">
        <f t="shared" ca="1" si="436"/>
        <v>14399.25</v>
      </c>
      <c r="GP149">
        <f t="shared" ca="1" si="437"/>
        <v>14399</v>
      </c>
      <c r="GQ149">
        <f t="shared" ca="1" si="438"/>
        <v>0</v>
      </c>
      <c r="GR149">
        <f t="shared" ca="1" si="439"/>
        <v>0</v>
      </c>
      <c r="GS149">
        <f t="shared" ca="1" si="440"/>
        <v>14399</v>
      </c>
      <c r="GT149">
        <f t="shared" ca="1" si="441"/>
        <v>0</v>
      </c>
      <c r="GU149" t="b">
        <f t="shared" ca="1" si="442"/>
        <v>0</v>
      </c>
      <c r="GV149">
        <f t="shared" ca="1" si="443"/>
        <v>0</v>
      </c>
      <c r="GW149">
        <f t="shared" ca="1" si="444"/>
        <v>14399</v>
      </c>
      <c r="GX149">
        <f t="shared" ca="1" si="445"/>
        <v>0</v>
      </c>
      <c r="GY149">
        <f t="shared" ca="1" si="446"/>
        <v>0</v>
      </c>
      <c r="GZ149">
        <f t="shared" ca="1" si="447"/>
        <v>0</v>
      </c>
    </row>
    <row r="150" spans="1:208" x14ac:dyDescent="0.25">
      <c r="A150">
        <f>_xlfn.AGGREGATE(3,5,$B$2:B150)</f>
        <v>149</v>
      </c>
      <c r="B150" t="s">
        <v>406</v>
      </c>
      <c r="C150" t="s">
        <v>407</v>
      </c>
      <c r="D150" t="s">
        <v>791</v>
      </c>
      <c r="E150" t="s">
        <v>831</v>
      </c>
      <c r="F150" t="s">
        <v>957</v>
      </c>
      <c r="G150" t="s">
        <v>879</v>
      </c>
      <c r="H150">
        <f t="shared" si="449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364"/>
        <v>3780.0000000000005</v>
      </c>
      <c r="L150">
        <f t="shared" si="365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>IF(J150&gt;0,SUM(J150:N150),0)</f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448"/>
        <v>150</v>
      </c>
      <c r="S150">
        <f t="shared" si="357"/>
        <v>32370</v>
      </c>
      <c r="T150">
        <f>_xlfn.XLOOKUP(B150,'[2]april-2025'!$A:$A,'[2]april-2025'!$C:$C,0,0)</f>
        <v>27000</v>
      </c>
      <c r="U150">
        <f t="shared" si="366"/>
        <v>4860</v>
      </c>
      <c r="V150">
        <f t="shared" si="367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358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368"/>
        <v>150</v>
      </c>
      <c r="AC150">
        <f t="shared" si="369"/>
        <v>33450</v>
      </c>
      <c r="AD150">
        <f>_xlfn.XLOOKUP(B150,'[3]may-2025'!$A:$A,'[3]may-2025'!$C:$C,0,0)</f>
        <v>31600</v>
      </c>
      <c r="AE150">
        <f t="shared" si="370"/>
        <v>5688</v>
      </c>
      <c r="AF150">
        <f t="shared" si="371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359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372"/>
        <v>200</v>
      </c>
      <c r="AM150">
        <f t="shared" si="373"/>
        <v>39380</v>
      </c>
      <c r="AN150">
        <f>_xlfn.XLOOKUP(B150,'[4]june-2025'!$A:$A,'[4]june-2025'!$C:$C,0,0)</f>
        <v>31600</v>
      </c>
      <c r="AO150">
        <f t="shared" si="374"/>
        <v>5688</v>
      </c>
      <c r="AP150">
        <f t="shared" si="375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360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376"/>
        <v>200</v>
      </c>
      <c r="AW150">
        <f t="shared" si="377"/>
        <v>39380</v>
      </c>
      <c r="AX150">
        <f>_xlfn.XLOOKUP(B150,'[5]july-2025'!$A:$A,'[5]july-2025'!$C:$C,0,0)</f>
        <v>32500</v>
      </c>
      <c r="AY150">
        <f t="shared" si="378"/>
        <v>5850</v>
      </c>
      <c r="AZ150">
        <v>0</v>
      </c>
      <c r="BA150">
        <f t="shared" si="379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>IF(AX150&gt;0,SUM(AX150:BC150),0)</f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380"/>
        <v>200</v>
      </c>
      <c r="BH150">
        <f t="shared" si="381"/>
        <v>40550</v>
      </c>
      <c r="BI150">
        <f>_xlfn.XLOOKUP(B150,'[6]august-2025'!$A:$A,'[6]august-2025'!$C:$C,0,0)</f>
        <v>32500</v>
      </c>
      <c r="BJ150">
        <f t="shared" si="382"/>
        <v>5850</v>
      </c>
      <c r="BK150">
        <f t="shared" si="383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384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>IF($F150="YES",0,IF(BN150&gt;40000,200,IF(BN150&gt;25000,150,IF(BN150&gt;15000,130,IF(BN150&gt;10000,110,0)))))</f>
        <v>200</v>
      </c>
      <c r="BR150">
        <f>BN150-BO150-BP150-BQ150</f>
        <v>40550</v>
      </c>
      <c r="BS150">
        <f>_xlfn.XLOOKUP(B150,'[7]september-2025'!$A:$A,'[7]september-2025'!$C:$C,0,0)</f>
        <v>32500</v>
      </c>
      <c r="BT150">
        <f t="shared" si="385"/>
        <v>5850</v>
      </c>
      <c r="BU150">
        <f t="shared" si="386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>IF(BS150&gt;0,SUM(BS150:BW150),0)</f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387"/>
        <v>200</v>
      </c>
      <c r="CB150">
        <f t="shared" si="388"/>
        <v>40550</v>
      </c>
      <c r="CC150">
        <f>_xlfn.XLOOKUP(B150,'[8]october-2025'!$A:$A,'[8]october-2025'!$C:$C,0,0)</f>
        <v>32500</v>
      </c>
      <c r="CD150">
        <f t="shared" si="389"/>
        <v>5850</v>
      </c>
      <c r="CE150">
        <f t="shared" si="390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>IF(CC150&gt;0,SUM(CC150:CG150),0)</f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391"/>
        <v>200</v>
      </c>
      <c r="CL150">
        <f t="shared" si="392"/>
        <v>40550</v>
      </c>
      <c r="CM150">
        <f>_xlfn.XLOOKUP(B150,'[9]november-2025'!$A:$A,'[9]november-2025'!$C:$C,0,0)</f>
        <v>32500</v>
      </c>
      <c r="CN150">
        <f t="shared" si="393"/>
        <v>5850</v>
      </c>
      <c r="CO150">
        <f t="shared" si="394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>IF(CM150&gt;0,SUM(CM150:CQ150),0)</f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395"/>
        <v>200</v>
      </c>
      <c r="CV150">
        <f t="shared" si="396"/>
        <v>40550</v>
      </c>
      <c r="CW150">
        <f>_xlfn.XLOOKUP(B150,'[10]december-2025'!$A:$A,'[10]december-2025'!$C:$C,0,0)</f>
        <v>32500</v>
      </c>
      <c r="CX150">
        <f t="shared" si="397"/>
        <v>5850</v>
      </c>
      <c r="CY150">
        <f t="shared" si="398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>IF(CW150&gt;0,SUM(CW150:DA150),0)</f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399"/>
        <v>200</v>
      </c>
      <c r="DF150">
        <f t="shared" si="400"/>
        <v>40550</v>
      </c>
      <c r="DG150">
        <f>_xlfn.XLOOKUP(B150,'[11]january-2026'!$A:$A,'[11]january-2026'!$C:$C,0,0)</f>
        <v>32500</v>
      </c>
      <c r="DH150">
        <f t="shared" si="401"/>
        <v>5850</v>
      </c>
      <c r="DI150">
        <f t="shared" si="402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>IF(DG150&gt;0,SUM(DG150:DK150),0)</f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03"/>
        <v>200</v>
      </c>
      <c r="DP150">
        <f t="shared" si="404"/>
        <v>40550</v>
      </c>
      <c r="DQ150">
        <f>_xlfn.XLOOKUP(B150,'[12]february-2026'!$A:$A,'[12]february-2026'!$C:$C,0,0)</f>
        <v>32500</v>
      </c>
      <c r="DR150">
        <f t="shared" si="405"/>
        <v>5850</v>
      </c>
      <c r="DS150">
        <f t="shared" si="406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>IF(DQ150&gt;0,SUM(DQ150:DU150),0)</f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07"/>
        <v>200</v>
      </c>
      <c r="DZ150">
        <f t="shared" si="408"/>
        <v>40550</v>
      </c>
      <c r="EA150">
        <f>_xlfn.XLOOKUP(B150,'[1]march-2025'!$A:$A,'[1]march-2025'!$J:$J,0,0)</f>
        <v>0</v>
      </c>
      <c r="EB150">
        <f>_xlfn.XLOOKUP(B150,'[2]april-2025'!$A:$A,'[2]april-2025'!$J:$J,0,0)</f>
        <v>0</v>
      </c>
      <c r="EC150">
        <f>_xlfn.XLOOKUP(B150,'[3]may-2025'!$A:$A,'[3]may-2025'!$J:$J,0,0)</f>
        <v>0</v>
      </c>
      <c r="ED150">
        <f>_xlfn.XLOOKUP(B150,'[4]june-2025'!$A:$A,'[4]june-2025'!$J:$J,0,0)</f>
        <v>0</v>
      </c>
      <c r="EE150">
        <f>_xlfn.XLOOKUP(B150,'[5]july-2025'!$A:$A,'[5]july-2025'!$J:$J,0,0)</f>
        <v>0</v>
      </c>
      <c r="EF150">
        <f>_xlfn.XLOOKUP(B150,'[6]august-2025'!$A:$A,'[6]august-2025'!$J:$J,0,0)</f>
        <v>0</v>
      </c>
      <c r="EG150">
        <f>_xlfn.XLOOKUP(B150,'[7]september-2025'!$A:$A,'[7]september-2025'!$J:$J,0,0)</f>
        <v>0</v>
      </c>
      <c r="EH150">
        <f>_xlfn.XLOOKUP(B150,'[8]october-2025'!$A:$A,'[8]october-2025'!$J:$J,0,0)</f>
        <v>0</v>
      </c>
      <c r="EI150">
        <f>_xlfn.XLOOKUP(C150,'[9]november-2025'!$A:$A,'[9]november-2025'!$J:$J,0,0)</f>
        <v>0</v>
      </c>
      <c r="EJ150">
        <f>_xlfn.XLOOKUP(B150,'[10]december-2025'!$A:$A,'[10]december-2025'!$J:$J,0,0)</f>
        <v>0</v>
      </c>
      <c r="EK150">
        <f>_xlfn.XLOOKUP(B150,'[11]january-2026'!$A:$A,'[11]january-2026'!$J:$J,0,0)</f>
        <v>0</v>
      </c>
      <c r="EL150">
        <f>_xlfn.XLOOKUP(B150,'[12]february-2026'!$A:$A,'[12]february-2026'!$J:$J,0,0)</f>
        <v>0</v>
      </c>
      <c r="EM150">
        <f t="shared" si="361"/>
        <v>0</v>
      </c>
      <c r="EN150">
        <f>DV150+DL150+DB150+CR150+CH150+BX150+BN150+BD150+AS150+AI150+Y150+O150+H150+I150</f>
        <v>502080</v>
      </c>
      <c r="EO150">
        <f>DY150+DO150+DE150+CU150+CK150+CA150+BQ150+BG150+AV150+AL150+AB150+R150</f>
        <v>2300</v>
      </c>
      <c r="EP150">
        <f t="shared" si="409"/>
        <v>50000</v>
      </c>
      <c r="EQ150">
        <v>0</v>
      </c>
      <c r="ER150">
        <f t="shared" si="362"/>
        <v>449780</v>
      </c>
      <c r="ES150">
        <f>DW150+DM150+DC150+CS150+CI150+BY150+BO150+BE150+AT150+AJ150+Z150+P150</f>
        <v>24000</v>
      </c>
      <c r="ET150">
        <f>DX150+DN150+DD150+CT150+CJ150+BZ150+BP150+BF150+AU150+AK150+AA150+Q150</f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410"/>
        <v>24000</v>
      </c>
      <c r="FF150">
        <f t="shared" si="411"/>
        <v>24000</v>
      </c>
      <c r="FG150">
        <f t="shared" si="412"/>
        <v>425780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>SUM(FH150:FN150)+(IF(F150="YES",50000,0))</f>
        <v>0</v>
      </c>
      <c r="FP150">
        <f t="shared" si="413"/>
        <v>425780</v>
      </c>
      <c r="FQ150">
        <f t="shared" si="414"/>
        <v>8789</v>
      </c>
      <c r="FR150">
        <f t="shared" si="415"/>
        <v>0</v>
      </c>
      <c r="FS150">
        <f t="shared" si="416"/>
        <v>8789</v>
      </c>
      <c r="FT150">
        <f t="shared" si="417"/>
        <v>0</v>
      </c>
      <c r="FU150">
        <f t="shared" si="418"/>
        <v>0</v>
      </c>
      <c r="FV150">
        <f t="shared" si="419"/>
        <v>0</v>
      </c>
      <c r="FW150">
        <v>0</v>
      </c>
      <c r="FX150">
        <f t="shared" si="420"/>
        <v>0</v>
      </c>
      <c r="FY150" t="b">
        <f t="shared" si="421"/>
        <v>1</v>
      </c>
      <c r="FZ150">
        <f t="shared" ca="1" si="422"/>
        <v>710</v>
      </c>
      <c r="GA150">
        <f t="shared" ca="1" si="423"/>
        <v>502790</v>
      </c>
      <c r="GB150">
        <f t="shared" si="424"/>
        <v>75000</v>
      </c>
      <c r="GC150">
        <f t="shared" ca="1" si="425"/>
        <v>427790</v>
      </c>
      <c r="GD150">
        <f t="shared" ca="1" si="426"/>
        <v>0</v>
      </c>
      <c r="GE150">
        <f t="shared" ca="1" si="427"/>
        <v>0</v>
      </c>
      <c r="GF150">
        <f t="shared" ca="1" si="428"/>
        <v>0</v>
      </c>
      <c r="GG150">
        <f t="shared" ca="1" si="429"/>
        <v>0</v>
      </c>
      <c r="GH150">
        <f t="shared" ca="1" si="430"/>
        <v>0</v>
      </c>
      <c r="GI150">
        <f t="shared" ca="1" si="431"/>
        <v>0</v>
      </c>
      <c r="GJ150">
        <f ca="1">IF(GC150&gt;1200000,GC150-1200000-IF(F150="YES",50000,0)-GH150,0)</f>
        <v>0</v>
      </c>
      <c r="GK150">
        <f t="shared" ca="1" si="432"/>
        <v>0</v>
      </c>
      <c r="GL150">
        <f t="shared" ca="1" si="433"/>
        <v>0</v>
      </c>
      <c r="GM150">
        <f t="shared" ca="1" si="434"/>
        <v>0</v>
      </c>
      <c r="GN150">
        <f t="shared" ca="1" si="435"/>
        <v>27790</v>
      </c>
      <c r="GO150">
        <f t="shared" ca="1" si="436"/>
        <v>1389.5</v>
      </c>
      <c r="GP150">
        <f t="shared" ca="1" si="437"/>
        <v>1390</v>
      </c>
      <c r="GQ150">
        <f t="shared" ca="1" si="438"/>
        <v>0</v>
      </c>
      <c r="GR150">
        <f t="shared" ca="1" si="439"/>
        <v>0</v>
      </c>
      <c r="GS150">
        <f t="shared" ca="1" si="440"/>
        <v>1390</v>
      </c>
      <c r="GT150">
        <f t="shared" ca="1" si="441"/>
        <v>0</v>
      </c>
      <c r="GU150" t="b">
        <f t="shared" ca="1" si="442"/>
        <v>0</v>
      </c>
      <c r="GV150">
        <f t="shared" ca="1" si="443"/>
        <v>0</v>
      </c>
      <c r="GW150">
        <f t="shared" ca="1" si="444"/>
        <v>1390</v>
      </c>
      <c r="GX150">
        <f t="shared" ca="1" si="445"/>
        <v>0</v>
      </c>
      <c r="GY150">
        <f t="shared" ca="1" si="446"/>
        <v>0</v>
      </c>
      <c r="GZ150">
        <f t="shared" ca="1" si="447"/>
        <v>0</v>
      </c>
    </row>
    <row r="151" spans="1:208" x14ac:dyDescent="0.25">
      <c r="A151">
        <f>_xlfn.AGGREGATE(3,5,$B$2:B151)</f>
        <v>150</v>
      </c>
      <c r="B151" t="s">
        <v>408</v>
      </c>
      <c r="C151" t="s">
        <v>409</v>
      </c>
      <c r="D151" t="s">
        <v>791</v>
      </c>
      <c r="E151" t="s">
        <v>831</v>
      </c>
      <c r="F151" t="s">
        <v>957</v>
      </c>
      <c r="G151" t="s">
        <v>917</v>
      </c>
      <c r="H151">
        <f t="shared" si="449"/>
        <v>6800</v>
      </c>
      <c r="I151">
        <f>_xlfn.XLOOKUP(B151,'[1]march-2025'!$A:$A,'[1]march-2025'!$J:$J,0,0)</f>
        <v>0</v>
      </c>
      <c r="J151">
        <f>_xlfn.XLOOKUP(B151,'[1]march-2025'!$A:$A,'[1]march-2025'!$C:$C,0,0)</f>
        <v>27000</v>
      </c>
      <c r="K151">
        <f t="shared" si="364"/>
        <v>3780.0000000000005</v>
      </c>
      <c r="L151">
        <f t="shared" si="365"/>
        <v>3240</v>
      </c>
      <c r="M151">
        <f>_xlfn.XLOOKUP(B151,'[1]march-2025'!$A:$A,'[1]march-2025'!$D:$D,0,0)</f>
        <v>0</v>
      </c>
      <c r="N151">
        <f>_xlfn.XLOOKUP(B151,'[1]march-2025'!$A:$A,'[1]march-2025'!$G:$G,0,0)</f>
        <v>500</v>
      </c>
      <c r="O151">
        <f>IF(J151&gt;0,SUM(J151:N151),0)</f>
        <v>34520</v>
      </c>
      <c r="P151">
        <f>_xlfn.XLOOKUP(B151,'[1]march-2025'!$A:$A,'[1]march-2025'!$H:$H,0,0)</f>
        <v>2000</v>
      </c>
      <c r="Q151">
        <f>_xlfn.XLOOKUP(B151,'[1]march-2025'!$A:$A,'[1]march-2025'!$I:$I,0,0)</f>
        <v>0</v>
      </c>
      <c r="R151">
        <f t="shared" si="448"/>
        <v>150</v>
      </c>
      <c r="S151">
        <f t="shared" si="357"/>
        <v>32370</v>
      </c>
      <c r="T151">
        <f>_xlfn.XLOOKUP(B151,'[2]april-2025'!$A:$A,'[2]april-2025'!$C:$C,0,0)</f>
        <v>27000</v>
      </c>
      <c r="U151">
        <f t="shared" si="366"/>
        <v>4860</v>
      </c>
      <c r="V151">
        <f t="shared" si="367"/>
        <v>3240</v>
      </c>
      <c r="W151">
        <f>_xlfn.XLOOKUP(B151,'[2]april-2025'!$A:$A,'[2]april-2025'!$D:$D,0,0)</f>
        <v>0</v>
      </c>
      <c r="X151">
        <f>_xlfn.XLOOKUP(B151,'[2]april-2025'!$A:$A,'[2]april-2025'!$G:$G,0,0)</f>
        <v>500</v>
      </c>
      <c r="Y151">
        <f t="shared" si="358"/>
        <v>35600</v>
      </c>
      <c r="Z151">
        <f>_xlfn.XLOOKUP(B151,'[2]april-2025'!$A:$A,'[2]april-2025'!$H:$H,0,0)</f>
        <v>2000</v>
      </c>
      <c r="AA151">
        <f>_xlfn.XLOOKUP(B151,'[2]april-2025'!$A:$A,'[2]april-2025'!$I:$I,0,0)</f>
        <v>0</v>
      </c>
      <c r="AB151">
        <f t="shared" si="368"/>
        <v>150</v>
      </c>
      <c r="AC151">
        <f t="shared" si="369"/>
        <v>33450</v>
      </c>
      <c r="AD151">
        <f>_xlfn.XLOOKUP(B151,'[3]may-2025'!$A:$A,'[3]may-2025'!$C:$C,0,0)</f>
        <v>31600</v>
      </c>
      <c r="AE151">
        <f t="shared" si="370"/>
        <v>5688</v>
      </c>
      <c r="AF151">
        <f t="shared" si="371"/>
        <v>3792</v>
      </c>
      <c r="AG151">
        <f>_xlfn.XLOOKUP(B151,'[3]may-2025'!$A:$A,'[3]may-2025'!$D:$D,0,0)</f>
        <v>0</v>
      </c>
      <c r="AH151">
        <f>_xlfn.XLOOKUP(B151,'[3]may-2025'!$A:$A,'[3]may-2025'!$G:$G,0,0)</f>
        <v>500</v>
      </c>
      <c r="AI151">
        <f t="shared" si="359"/>
        <v>41580</v>
      </c>
      <c r="AJ151">
        <f>_xlfn.XLOOKUP(B151,'[3]may-2025'!$A:$A,'[3]may-2025'!$H:$H,0,0)</f>
        <v>2000</v>
      </c>
      <c r="AK151">
        <f>_xlfn.XLOOKUP(B151,'[3]may-2025'!$A:$A,'[3]may-2025'!$I:$I,0,0)</f>
        <v>0</v>
      </c>
      <c r="AL151">
        <f t="shared" si="372"/>
        <v>200</v>
      </c>
      <c r="AM151">
        <f t="shared" si="373"/>
        <v>39380</v>
      </c>
      <c r="AN151">
        <f>_xlfn.XLOOKUP(B151,'[4]june-2025'!$A:$A,'[4]june-2025'!$C:$C,0,0)</f>
        <v>31600</v>
      </c>
      <c r="AO151">
        <f t="shared" si="374"/>
        <v>5688</v>
      </c>
      <c r="AP151">
        <f t="shared" si="375"/>
        <v>3792</v>
      </c>
      <c r="AQ151">
        <f>_xlfn.XLOOKUP(B151,'[4]june-2025'!$A:$A,'[4]june-2025'!$D:$D,0,0)</f>
        <v>0</v>
      </c>
      <c r="AR151">
        <f>_xlfn.XLOOKUP(B151,'[4]june-2025'!$A:$A,'[4]june-2025'!$G:$G,0,0)</f>
        <v>500</v>
      </c>
      <c r="AS151">
        <f t="shared" si="360"/>
        <v>41580</v>
      </c>
      <c r="AT151">
        <f>_xlfn.XLOOKUP(B151,'[4]june-2025'!$A:$A,'[4]june-2025'!$H:$H,0,0)</f>
        <v>2000</v>
      </c>
      <c r="AU151">
        <f>_xlfn.XLOOKUP(B151,'[4]june-2025'!$A:$A,'[4]june-2025'!$I:$I,0,0)</f>
        <v>0</v>
      </c>
      <c r="AV151">
        <f t="shared" si="376"/>
        <v>200</v>
      </c>
      <c r="AW151">
        <f t="shared" si="377"/>
        <v>39380</v>
      </c>
      <c r="AX151">
        <f>_xlfn.XLOOKUP(B151,'[5]july-2025'!$A:$A,'[5]july-2025'!$C:$C,0,0)</f>
        <v>32500</v>
      </c>
      <c r="AY151">
        <f t="shared" si="378"/>
        <v>5850</v>
      </c>
      <c r="AZ151">
        <v>0</v>
      </c>
      <c r="BA151">
        <f t="shared" si="379"/>
        <v>3900</v>
      </c>
      <c r="BB151">
        <f>_xlfn.XLOOKUP(B151,'[5]july-2025'!$A:$A,'[5]july-2025'!$D:$D,0,0)</f>
        <v>0</v>
      </c>
      <c r="BC151">
        <f>_xlfn.XLOOKUP(B151,'[5]july-2025'!$A:$A,'[5]july-2025'!$G:$G,0,0)</f>
        <v>500</v>
      </c>
      <c r="BD151">
        <f>IF(AX151&gt;0,SUM(AX151:BC151),0)</f>
        <v>42750</v>
      </c>
      <c r="BE151">
        <f>_xlfn.XLOOKUP(B151,'[5]july-2025'!$A:$A,'[5]july-2025'!$H:$H,0,0)</f>
        <v>2000</v>
      </c>
      <c r="BF151">
        <f>_xlfn.XLOOKUP(B151,'[5]july-2025'!$A:$A,'[5]july-2025'!$I:$I,0,0)</f>
        <v>0</v>
      </c>
      <c r="BG151">
        <f t="shared" si="380"/>
        <v>200</v>
      </c>
      <c r="BH151">
        <f t="shared" si="381"/>
        <v>40550</v>
      </c>
      <c r="BI151">
        <f>_xlfn.XLOOKUP(B151,'[6]august-2025'!$A:$A,'[6]august-2025'!$C:$C,0,0)</f>
        <v>32500</v>
      </c>
      <c r="BJ151">
        <f t="shared" si="382"/>
        <v>5850</v>
      </c>
      <c r="BK151">
        <f t="shared" si="383"/>
        <v>3900</v>
      </c>
      <c r="BL151">
        <f>_xlfn.XLOOKUP(B151,'[6]august-2025'!$A:$A,'[6]august-2025'!$D:$D,0,0)</f>
        <v>0</v>
      </c>
      <c r="BM151">
        <f>_xlfn.XLOOKUP(B151,'[6]august-2025'!$A:$A,'[6]august-2025'!$G:$G,0,0)</f>
        <v>500</v>
      </c>
      <c r="BN151">
        <f t="shared" si="384"/>
        <v>42750</v>
      </c>
      <c r="BO151">
        <f>_xlfn.XLOOKUP(B151,'[6]august-2025'!$A:$A,'[6]august-2025'!$H:$H,0,0)</f>
        <v>2000</v>
      </c>
      <c r="BP151">
        <f>_xlfn.XLOOKUP(B151,'[6]august-2025'!$A:$A,'[6]august-2025'!$I:$I,0,0)</f>
        <v>0</v>
      </c>
      <c r="BQ151">
        <f>IF($F151="YES",0,IF(BN151&gt;40000,200,IF(BN151&gt;25000,150,IF(BN151&gt;15000,130,IF(BN151&gt;10000,110,0)))))</f>
        <v>200</v>
      </c>
      <c r="BR151">
        <f>BN151-BO151-BP151-BQ151</f>
        <v>40550</v>
      </c>
      <c r="BS151">
        <f>_xlfn.XLOOKUP(B151,'[7]september-2025'!$A:$A,'[7]september-2025'!$C:$C,0,0)</f>
        <v>32500</v>
      </c>
      <c r="BT151">
        <f t="shared" si="385"/>
        <v>5850</v>
      </c>
      <c r="BU151">
        <f t="shared" si="386"/>
        <v>3900</v>
      </c>
      <c r="BV151">
        <f>_xlfn.XLOOKUP(B151,'[7]september-2025'!$A:$A,'[7]september-2025'!$D:$D,0,0)</f>
        <v>0</v>
      </c>
      <c r="BW151">
        <f>_xlfn.XLOOKUP(B151,'[7]september-2025'!$A:$A,'[7]september-2025'!$G:$G,0,0)</f>
        <v>500</v>
      </c>
      <c r="BX151">
        <f>IF(BS151&gt;0,SUM(BS151:BW151),0)</f>
        <v>42750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387"/>
        <v>200</v>
      </c>
      <c r="CB151">
        <f t="shared" si="388"/>
        <v>40550</v>
      </c>
      <c r="CC151">
        <f>_xlfn.XLOOKUP(B151,'[8]october-2025'!$A:$A,'[8]october-2025'!$C:$C,0,0)</f>
        <v>32500</v>
      </c>
      <c r="CD151">
        <f t="shared" si="389"/>
        <v>5850</v>
      </c>
      <c r="CE151">
        <f t="shared" si="390"/>
        <v>3900</v>
      </c>
      <c r="CF151">
        <f>_xlfn.XLOOKUP(B151,'[8]october-2025'!$A:$A,'[8]october-2025'!$D:$D,0,0)</f>
        <v>0</v>
      </c>
      <c r="CG151">
        <f>_xlfn.XLOOKUP(B151,'[8]october-2025'!$A:$A,'[8]october-2025'!$G:$G,0,0)</f>
        <v>500</v>
      </c>
      <c r="CH151">
        <f>IF(CC151&gt;0,SUM(CC151:CG151),0)</f>
        <v>42750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391"/>
        <v>200</v>
      </c>
      <c r="CL151">
        <f t="shared" si="392"/>
        <v>40550</v>
      </c>
      <c r="CM151">
        <f>_xlfn.XLOOKUP(B151,'[9]november-2025'!$A:$A,'[9]november-2025'!$C:$C,0,0)</f>
        <v>32500</v>
      </c>
      <c r="CN151">
        <f t="shared" si="393"/>
        <v>5850</v>
      </c>
      <c r="CO151">
        <f t="shared" si="394"/>
        <v>3900</v>
      </c>
      <c r="CP151">
        <f>_xlfn.XLOOKUP(B151,'[9]november-2025'!$A:$A,'[9]november-2025'!$D:$D,0,0)</f>
        <v>0</v>
      </c>
      <c r="CQ151">
        <f>_xlfn.XLOOKUP(B151,'[9]november-2025'!$A:$A,'[9]november-2025'!$G:$G,0,0)</f>
        <v>500</v>
      </c>
      <c r="CR151">
        <f>IF(CM151&gt;0,SUM(CM151:CQ151),0)</f>
        <v>42750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395"/>
        <v>200</v>
      </c>
      <c r="CV151">
        <f t="shared" si="396"/>
        <v>40550</v>
      </c>
      <c r="CW151">
        <f>_xlfn.XLOOKUP(B151,'[10]december-2025'!$A:$A,'[10]december-2025'!$C:$C,0,0)</f>
        <v>32500</v>
      </c>
      <c r="CX151">
        <f t="shared" si="397"/>
        <v>5850</v>
      </c>
      <c r="CY151">
        <f t="shared" si="398"/>
        <v>3900</v>
      </c>
      <c r="CZ151">
        <f>_xlfn.XLOOKUP(B151,'[10]december-2025'!$A:$A,'[10]december-2025'!$D:$D,0,0)</f>
        <v>0</v>
      </c>
      <c r="DA151">
        <f>_xlfn.XLOOKUP(B151,'[10]december-2025'!$A:$A,'[10]december-2025'!$G:$G,0,0)</f>
        <v>500</v>
      </c>
      <c r="DB151">
        <f>IF(CW151&gt;0,SUM(CW151:DA151),0)</f>
        <v>42750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399"/>
        <v>200</v>
      </c>
      <c r="DF151">
        <f t="shared" si="400"/>
        <v>40550</v>
      </c>
      <c r="DG151">
        <f>_xlfn.XLOOKUP(B151,'[11]january-2026'!$A:$A,'[11]january-2026'!$C:$C,0,0)</f>
        <v>32500</v>
      </c>
      <c r="DH151">
        <f t="shared" si="401"/>
        <v>5850</v>
      </c>
      <c r="DI151">
        <f t="shared" si="402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>IF(DG151&gt;0,SUM(DG151:DK151),0)</f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03"/>
        <v>200</v>
      </c>
      <c r="DP151">
        <f t="shared" si="404"/>
        <v>40550</v>
      </c>
      <c r="DQ151">
        <f>_xlfn.XLOOKUP(B151,'[12]february-2026'!$A:$A,'[12]february-2026'!$C:$C,0,0)</f>
        <v>32500</v>
      </c>
      <c r="DR151">
        <f t="shared" si="405"/>
        <v>5850</v>
      </c>
      <c r="DS151">
        <f t="shared" si="406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>IF(DQ151&gt;0,SUM(DQ151:DU151),0)</f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07"/>
        <v>200</v>
      </c>
      <c r="DZ151">
        <f t="shared" si="408"/>
        <v>40550</v>
      </c>
      <c r="EA151">
        <f>_xlfn.XLOOKUP(B151,'[1]march-2025'!$A:$A,'[1]march-2025'!$J:$J,0,0)</f>
        <v>0</v>
      </c>
      <c r="EB151">
        <f>_xlfn.XLOOKUP(B151,'[2]april-2025'!$A:$A,'[2]april-2025'!$J:$J,0,0)</f>
        <v>0</v>
      </c>
      <c r="EC151">
        <f>_xlfn.XLOOKUP(B151,'[3]may-2025'!$A:$A,'[3]may-2025'!$J:$J,0,0)</f>
        <v>0</v>
      </c>
      <c r="ED151">
        <f>_xlfn.XLOOKUP(B151,'[4]june-2025'!$A:$A,'[4]june-2025'!$J:$J,0,0)</f>
        <v>0</v>
      </c>
      <c r="EE151">
        <f>_xlfn.XLOOKUP(B151,'[5]july-2025'!$A:$A,'[5]july-2025'!$J:$J,0,0)</f>
        <v>0</v>
      </c>
      <c r="EF151">
        <f>_xlfn.XLOOKUP(B151,'[6]august-2025'!$A:$A,'[6]august-2025'!$J:$J,0,0)</f>
        <v>0</v>
      </c>
      <c r="EG151">
        <f>_xlfn.XLOOKUP(B151,'[7]september-2025'!$A:$A,'[7]september-2025'!$J:$J,0,0)</f>
        <v>0</v>
      </c>
      <c r="EH151">
        <f>_xlfn.XLOOKUP(B151,'[8]october-2025'!$A:$A,'[8]october-2025'!$J:$J,0,0)</f>
        <v>0</v>
      </c>
      <c r="EI151">
        <f>_xlfn.XLOOKUP(C151,'[9]november-2025'!$A:$A,'[9]november-2025'!$J:$J,0,0)</f>
        <v>0</v>
      </c>
      <c r="EJ151">
        <f>_xlfn.XLOOKUP(B151,'[10]december-2025'!$A:$A,'[10]december-2025'!$J:$J,0,0)</f>
        <v>0</v>
      </c>
      <c r="EK151">
        <f>_xlfn.XLOOKUP(B151,'[11]january-2026'!$A:$A,'[11]january-2026'!$J:$J,0,0)</f>
        <v>0</v>
      </c>
      <c r="EL151">
        <f>_xlfn.XLOOKUP(B151,'[12]february-2026'!$A:$A,'[12]february-2026'!$J:$J,0,0)</f>
        <v>0</v>
      </c>
      <c r="EM151">
        <f t="shared" si="361"/>
        <v>0</v>
      </c>
      <c r="EN151">
        <f>DV151+DL151+DB151+CR151+CH151+BX151+BN151+BD151+AS151+AI151+Y151+O151+H151+I151</f>
        <v>502080</v>
      </c>
      <c r="EO151">
        <f>DY151+DO151+DE151+CU151+CK151+CA151+BQ151+BG151+AV151+AL151+AB151+R151</f>
        <v>2300</v>
      </c>
      <c r="EP151">
        <f t="shared" si="409"/>
        <v>50000</v>
      </c>
      <c r="EQ151">
        <v>0</v>
      </c>
      <c r="ER151">
        <f t="shared" si="362"/>
        <v>449780</v>
      </c>
      <c r="ES151">
        <f>DW151+DM151+DC151+CS151+CI151+BY151+BO151+BE151+AT151+AJ151+Z151+P151</f>
        <v>24000</v>
      </c>
      <c r="ET151">
        <f>DX151+DN151+DD151+CT151+CJ151+BZ151+BP151+BF151+AU151+AK151+AA151+Q151</f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410"/>
        <v>24000</v>
      </c>
      <c r="FF151">
        <f t="shared" si="411"/>
        <v>24000</v>
      </c>
      <c r="FG151">
        <f t="shared" si="412"/>
        <v>425780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>SUM(FH151:FN151)+(IF(F151="YES",50000,0))</f>
        <v>0</v>
      </c>
      <c r="FP151">
        <f t="shared" si="413"/>
        <v>425780</v>
      </c>
      <c r="FQ151">
        <f t="shared" si="414"/>
        <v>8789</v>
      </c>
      <c r="FR151">
        <f t="shared" si="415"/>
        <v>0</v>
      </c>
      <c r="FS151">
        <f t="shared" si="416"/>
        <v>8789</v>
      </c>
      <c r="FT151">
        <f t="shared" si="417"/>
        <v>0</v>
      </c>
      <c r="FU151">
        <f t="shared" si="418"/>
        <v>0</v>
      </c>
      <c r="FV151">
        <f t="shared" si="419"/>
        <v>0</v>
      </c>
      <c r="FW151">
        <v>0</v>
      </c>
      <c r="FX151">
        <f t="shared" si="420"/>
        <v>0</v>
      </c>
      <c r="FY151" t="b">
        <f t="shared" si="421"/>
        <v>1</v>
      </c>
      <c r="FZ151">
        <f t="shared" ca="1" si="422"/>
        <v>864</v>
      </c>
      <c r="GA151">
        <f t="shared" ca="1" si="423"/>
        <v>502944</v>
      </c>
      <c r="GB151">
        <f t="shared" si="424"/>
        <v>75000</v>
      </c>
      <c r="GC151">
        <f t="shared" ca="1" si="425"/>
        <v>427944</v>
      </c>
      <c r="GD151">
        <f t="shared" ca="1" si="426"/>
        <v>0</v>
      </c>
      <c r="GE151">
        <f t="shared" ca="1" si="427"/>
        <v>0</v>
      </c>
      <c r="GF151">
        <f t="shared" ca="1" si="428"/>
        <v>0</v>
      </c>
      <c r="GG151">
        <f t="shared" ca="1" si="429"/>
        <v>0</v>
      </c>
      <c r="GH151">
        <f t="shared" ca="1" si="430"/>
        <v>0</v>
      </c>
      <c r="GI151">
        <f t="shared" ca="1" si="431"/>
        <v>0</v>
      </c>
      <c r="GJ151">
        <f ca="1">IF(GC151&gt;1200000,GC151-1200000-IF(F151="YES",50000,0)-GH151,0)</f>
        <v>0</v>
      </c>
      <c r="GK151">
        <f t="shared" ca="1" si="432"/>
        <v>0</v>
      </c>
      <c r="GL151">
        <f t="shared" ca="1" si="433"/>
        <v>0</v>
      </c>
      <c r="GM151">
        <f t="shared" ca="1" si="434"/>
        <v>0</v>
      </c>
      <c r="GN151">
        <f t="shared" ca="1" si="435"/>
        <v>27944</v>
      </c>
      <c r="GO151">
        <f t="shared" ca="1" si="436"/>
        <v>1397.2</v>
      </c>
      <c r="GP151">
        <f t="shared" ca="1" si="437"/>
        <v>1397</v>
      </c>
      <c r="GQ151">
        <f t="shared" ca="1" si="438"/>
        <v>0</v>
      </c>
      <c r="GR151">
        <f t="shared" ca="1" si="439"/>
        <v>0</v>
      </c>
      <c r="GS151">
        <f t="shared" ca="1" si="440"/>
        <v>1397</v>
      </c>
      <c r="GT151">
        <f t="shared" ca="1" si="441"/>
        <v>0</v>
      </c>
      <c r="GU151" t="b">
        <f t="shared" ca="1" si="442"/>
        <v>0</v>
      </c>
      <c r="GV151">
        <f t="shared" ca="1" si="443"/>
        <v>0</v>
      </c>
      <c r="GW151">
        <f t="shared" ca="1" si="444"/>
        <v>1397</v>
      </c>
      <c r="GX151">
        <f t="shared" ca="1" si="445"/>
        <v>0</v>
      </c>
      <c r="GY151">
        <f t="shared" ca="1" si="446"/>
        <v>0</v>
      </c>
      <c r="GZ151">
        <f t="shared" ca="1" si="447"/>
        <v>0</v>
      </c>
    </row>
    <row r="152" spans="1:208" x14ac:dyDescent="0.25">
      <c r="A152">
        <f>_xlfn.AGGREGATE(3,5,$B$2:B152)</f>
        <v>151</v>
      </c>
      <c r="B152" t="s">
        <v>410</v>
      </c>
      <c r="C152" t="s">
        <v>411</v>
      </c>
      <c r="D152" t="s">
        <v>791</v>
      </c>
      <c r="E152" t="s">
        <v>831</v>
      </c>
      <c r="F152" t="s">
        <v>957</v>
      </c>
      <c r="G152" t="s">
        <v>931</v>
      </c>
      <c r="H152">
        <f t="shared" si="449"/>
        <v>6800</v>
      </c>
      <c r="I152">
        <f>_xlfn.XLOOKUP(B152,'[1]march-2025'!$A:$A,'[1]march-2025'!$J:$J,0,0)</f>
        <v>0</v>
      </c>
      <c r="J152">
        <f>_xlfn.XLOOKUP(B152,'[1]march-2025'!$A:$A,'[1]march-2025'!$C:$C,0,0)</f>
        <v>28900</v>
      </c>
      <c r="K152">
        <f t="shared" si="364"/>
        <v>4046.0000000000005</v>
      </c>
      <c r="L152">
        <f t="shared" si="365"/>
        <v>3468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>IF(J152&gt;0,SUM(J152:N152),0)</f>
        <v>36414</v>
      </c>
      <c r="P152">
        <f>_xlfn.XLOOKUP(B152,'[1]march-2025'!$A:$A,'[1]march-2025'!$H:$H,0,0)</f>
        <v>0</v>
      </c>
      <c r="Q152">
        <f>_xlfn.XLOOKUP(B152,'[1]march-2025'!$A:$A,'[1]march-2025'!$I:$I,0,0)</f>
        <v>0</v>
      </c>
      <c r="R152">
        <f t="shared" si="448"/>
        <v>150</v>
      </c>
      <c r="S152">
        <f t="shared" si="357"/>
        <v>36264</v>
      </c>
      <c r="T152">
        <f>_xlfn.XLOOKUP(B152,'[2]april-2025'!$A:$A,'[2]april-2025'!$C:$C,0,0)</f>
        <v>28900</v>
      </c>
      <c r="U152">
        <f t="shared" si="366"/>
        <v>5202</v>
      </c>
      <c r="V152">
        <f t="shared" si="367"/>
        <v>3468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358"/>
        <v>37570</v>
      </c>
      <c r="Z152">
        <f>_xlfn.XLOOKUP(B152,'[2]april-2025'!$A:$A,'[2]april-2025'!$H:$H,0,0)</f>
        <v>0</v>
      </c>
      <c r="AA152">
        <f>_xlfn.XLOOKUP(B152,'[2]april-2025'!$A:$A,'[2]april-2025'!$I:$I,0,0)</f>
        <v>0</v>
      </c>
      <c r="AB152">
        <f t="shared" si="368"/>
        <v>150</v>
      </c>
      <c r="AC152">
        <f t="shared" si="369"/>
        <v>37420</v>
      </c>
      <c r="AD152">
        <f>_xlfn.XLOOKUP(B152,'[3]may-2025'!$A:$A,'[3]may-2025'!$C:$C,0,0)</f>
        <v>28900</v>
      </c>
      <c r="AE152">
        <f t="shared" si="370"/>
        <v>5202</v>
      </c>
      <c r="AF152">
        <f t="shared" si="371"/>
        <v>3468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359"/>
        <v>37570</v>
      </c>
      <c r="AJ152">
        <f>_xlfn.XLOOKUP(B152,'[3]may-2025'!$A:$A,'[3]may-2025'!$H:$H,0,0)</f>
        <v>0</v>
      </c>
      <c r="AK152">
        <f>_xlfn.XLOOKUP(B152,'[3]may-2025'!$A:$A,'[3]may-2025'!$I:$I,0,0)</f>
        <v>0</v>
      </c>
      <c r="AL152">
        <f t="shared" si="372"/>
        <v>150</v>
      </c>
      <c r="AM152">
        <f t="shared" si="373"/>
        <v>37420</v>
      </c>
      <c r="AN152">
        <f>_xlfn.XLOOKUP(B152,'[4]june-2025'!$A:$A,'[4]june-2025'!$C:$C,0,0)</f>
        <v>28900</v>
      </c>
      <c r="AO152">
        <f t="shared" si="374"/>
        <v>5202</v>
      </c>
      <c r="AP152">
        <f t="shared" si="375"/>
        <v>3468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360"/>
        <v>37570</v>
      </c>
      <c r="AT152">
        <f>_xlfn.XLOOKUP(B152,'[4]june-2025'!$A:$A,'[4]june-2025'!$H:$H,0,0)</f>
        <v>0</v>
      </c>
      <c r="AU152">
        <f>_xlfn.XLOOKUP(B152,'[4]june-2025'!$A:$A,'[4]june-2025'!$I:$I,0,0)</f>
        <v>0</v>
      </c>
      <c r="AV152">
        <f t="shared" si="376"/>
        <v>150</v>
      </c>
      <c r="AW152">
        <f t="shared" si="377"/>
        <v>37420</v>
      </c>
      <c r="AX152">
        <f>_xlfn.XLOOKUP(B152,'[5]july-2025'!$A:$A,'[5]july-2025'!$C:$C,0,0)</f>
        <v>29800</v>
      </c>
      <c r="AY152">
        <f t="shared" si="378"/>
        <v>5364</v>
      </c>
      <c r="AZ152">
        <v>0</v>
      </c>
      <c r="BA152">
        <f t="shared" si="379"/>
        <v>3576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>IF(AX152&gt;0,SUM(AX152:BC152),0)</f>
        <v>38740</v>
      </c>
      <c r="BE152">
        <f>_xlfn.XLOOKUP(B152,'[5]july-2025'!$A:$A,'[5]july-2025'!$H:$H,0,0)</f>
        <v>0</v>
      </c>
      <c r="BF152">
        <f>_xlfn.XLOOKUP(B152,'[5]july-2025'!$A:$A,'[5]july-2025'!$I:$I,0,0)</f>
        <v>0</v>
      </c>
      <c r="BG152">
        <f t="shared" si="380"/>
        <v>150</v>
      </c>
      <c r="BH152">
        <f t="shared" si="381"/>
        <v>38590</v>
      </c>
      <c r="BI152">
        <f>_xlfn.XLOOKUP(B152,'[6]august-2025'!$A:$A,'[6]august-2025'!$C:$C,0,0)</f>
        <v>29800</v>
      </c>
      <c r="BJ152">
        <f t="shared" si="382"/>
        <v>5364</v>
      </c>
      <c r="BK152">
        <f t="shared" si="383"/>
        <v>3576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384"/>
        <v>38740</v>
      </c>
      <c r="BO152">
        <f>_xlfn.XLOOKUP(B152,'[6]august-2025'!$A:$A,'[6]august-2025'!$H:$H,0,0)</f>
        <v>0</v>
      </c>
      <c r="BP152">
        <f>_xlfn.XLOOKUP(B152,'[6]august-2025'!$A:$A,'[6]august-2025'!$I:$I,0,0)</f>
        <v>0</v>
      </c>
      <c r="BQ152">
        <f>IF($F152="YES",0,IF(BN152&gt;40000,200,IF(BN152&gt;25000,150,IF(BN152&gt;15000,130,IF(BN152&gt;10000,110,0)))))</f>
        <v>150</v>
      </c>
      <c r="BR152">
        <f>BN152-BO152-BP152-BQ152</f>
        <v>38590</v>
      </c>
      <c r="BS152">
        <f>_xlfn.XLOOKUP(B152,'[7]september-2025'!$A:$A,'[7]september-2025'!$C:$C,0,0)</f>
        <v>29800</v>
      </c>
      <c r="BT152">
        <f t="shared" si="385"/>
        <v>5364</v>
      </c>
      <c r="BU152">
        <f t="shared" si="386"/>
        <v>3576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>IF(BS152&gt;0,SUM(BS152:BW152),0)</f>
        <v>38740</v>
      </c>
      <c r="BY152">
        <f>_xlfn.XLOOKUP(B152,'[7]september-2025'!$A:$A,'[7]september-2025'!$H:$H,0,0)</f>
        <v>2000</v>
      </c>
      <c r="BZ152">
        <f>_xlfn.XLOOKUP(B152,'[7]september-2025'!$A:$A,'[7]september-2025'!$I:$I,0,0)</f>
        <v>0</v>
      </c>
      <c r="CA152">
        <f t="shared" si="387"/>
        <v>150</v>
      </c>
      <c r="CB152">
        <f t="shared" si="388"/>
        <v>36590</v>
      </c>
      <c r="CC152">
        <f>_xlfn.XLOOKUP(B152,'[8]october-2025'!$A:$A,'[8]october-2025'!$C:$C,0,0)</f>
        <v>29800</v>
      </c>
      <c r="CD152">
        <f t="shared" si="389"/>
        <v>5364</v>
      </c>
      <c r="CE152">
        <f t="shared" si="390"/>
        <v>3576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>IF(CC152&gt;0,SUM(CC152:CG152),0)</f>
        <v>38740</v>
      </c>
      <c r="CI152">
        <f>_xlfn.XLOOKUP(B152,'[8]october-2025'!$A:$A,'[8]october-2025'!$H:$H,0,0)</f>
        <v>2000</v>
      </c>
      <c r="CJ152">
        <f>_xlfn.XLOOKUP(B152,'[8]october-2025'!$A:$A,'[8]october-2025'!$I:$I,0,0)</f>
        <v>0</v>
      </c>
      <c r="CK152">
        <f t="shared" si="391"/>
        <v>150</v>
      </c>
      <c r="CL152">
        <f t="shared" si="392"/>
        <v>36590</v>
      </c>
      <c r="CM152">
        <f>_xlfn.XLOOKUP(B152,'[9]november-2025'!$A:$A,'[9]november-2025'!$C:$C,0,0)</f>
        <v>29800</v>
      </c>
      <c r="CN152">
        <f t="shared" si="393"/>
        <v>5364</v>
      </c>
      <c r="CO152">
        <f t="shared" si="394"/>
        <v>3576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>IF(CM152&gt;0,SUM(CM152:CQ152),0)</f>
        <v>38740</v>
      </c>
      <c r="CS152">
        <f>_xlfn.XLOOKUP(B152,'[9]november-2025'!$A:$A,'[9]november-2025'!$H:$H,0,0)</f>
        <v>2000</v>
      </c>
      <c r="CT152">
        <f>_xlfn.XLOOKUP(B152,'[9]november-2025'!$A:$A,'[9]november-2025'!$I:$I,0,0)</f>
        <v>0</v>
      </c>
      <c r="CU152">
        <f t="shared" si="395"/>
        <v>150</v>
      </c>
      <c r="CV152">
        <f t="shared" si="396"/>
        <v>36590</v>
      </c>
      <c r="CW152">
        <f>_xlfn.XLOOKUP(B152,'[10]december-2025'!$A:$A,'[10]december-2025'!$C:$C,0,0)</f>
        <v>29800</v>
      </c>
      <c r="CX152">
        <f t="shared" si="397"/>
        <v>5364</v>
      </c>
      <c r="CY152">
        <f t="shared" si="398"/>
        <v>3576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>IF(CW152&gt;0,SUM(CW152:DA152),0)</f>
        <v>38740</v>
      </c>
      <c r="DC152">
        <f>_xlfn.XLOOKUP(B152,'[10]december-2025'!$A:$A,'[10]december-2025'!$H:$H,0,0)</f>
        <v>2000</v>
      </c>
      <c r="DD152">
        <f>_xlfn.XLOOKUP(B152,'[10]december-2025'!$A:$A,'[10]december-2025'!$I:$I,0,0)</f>
        <v>0</v>
      </c>
      <c r="DE152">
        <f t="shared" si="399"/>
        <v>150</v>
      </c>
      <c r="DF152">
        <f t="shared" si="400"/>
        <v>36590</v>
      </c>
      <c r="DG152">
        <f>_xlfn.XLOOKUP(B152,'[11]january-2026'!$A:$A,'[11]january-2026'!$C:$C,0,0)</f>
        <v>29800</v>
      </c>
      <c r="DH152">
        <f t="shared" si="401"/>
        <v>5364</v>
      </c>
      <c r="DI152">
        <f t="shared" si="402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>IF(DG152&gt;0,SUM(DG152:DK152),0)</f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03"/>
        <v>150</v>
      </c>
      <c r="DP152">
        <f t="shared" si="404"/>
        <v>36590</v>
      </c>
      <c r="DQ152">
        <f>_xlfn.XLOOKUP(B152,'[12]february-2026'!$A:$A,'[12]february-2026'!$C:$C,0,0)</f>
        <v>29800</v>
      </c>
      <c r="DR152">
        <f t="shared" si="405"/>
        <v>5364</v>
      </c>
      <c r="DS152">
        <f t="shared" si="406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>IF(DQ152&gt;0,SUM(DQ152:DU152),0)</f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07"/>
        <v>150</v>
      </c>
      <c r="DZ152">
        <f t="shared" si="408"/>
        <v>36590</v>
      </c>
      <c r="EA152">
        <f>_xlfn.XLOOKUP(B152,'[1]march-2025'!$A:$A,'[1]march-2025'!$J:$J,0,0)</f>
        <v>0</v>
      </c>
      <c r="EB152">
        <f>_xlfn.XLOOKUP(B152,'[2]april-2025'!$A:$A,'[2]april-2025'!$J:$J,0,0)</f>
        <v>0</v>
      </c>
      <c r="EC152">
        <f>_xlfn.XLOOKUP(B152,'[3]may-2025'!$A:$A,'[3]may-2025'!$J:$J,0,0)</f>
        <v>0</v>
      </c>
      <c r="ED152">
        <f>_xlfn.XLOOKUP(B152,'[4]june-2025'!$A:$A,'[4]june-2025'!$J:$J,0,0)</f>
        <v>0</v>
      </c>
      <c r="EE152">
        <f>_xlfn.XLOOKUP(B152,'[5]july-2025'!$A:$A,'[5]july-2025'!$J:$J,0,0)</f>
        <v>0</v>
      </c>
      <c r="EF152">
        <f>_xlfn.XLOOKUP(B152,'[6]august-2025'!$A:$A,'[6]august-2025'!$J:$J,0,0)</f>
        <v>68886</v>
      </c>
      <c r="EG152">
        <f>_xlfn.XLOOKUP(B152,'[7]september-2025'!$A:$A,'[7]september-2025'!$J:$J,0,0)</f>
        <v>0</v>
      </c>
      <c r="EH152">
        <f>_xlfn.XLOOKUP(B152,'[8]october-2025'!$A:$A,'[8]october-2025'!$J:$J,0,0)</f>
        <v>0</v>
      </c>
      <c r="EI152">
        <f>_xlfn.XLOOKUP(C152,'[9]november-2025'!$A:$A,'[9]november-2025'!$J:$J,0,0)</f>
        <v>0</v>
      </c>
      <c r="EJ152">
        <f>_xlfn.XLOOKUP(B152,'[10]december-2025'!$A:$A,'[10]december-2025'!$J:$J,0,0)</f>
        <v>0</v>
      </c>
      <c r="EK152">
        <f>_xlfn.XLOOKUP(B152,'[11]january-2026'!$A:$A,'[11]january-2026'!$J:$J,0,0)</f>
        <v>0</v>
      </c>
      <c r="EL152">
        <f>_xlfn.XLOOKUP(B152,'[12]february-2026'!$A:$A,'[12]february-2026'!$J:$J,0,0)</f>
        <v>0</v>
      </c>
      <c r="EM152">
        <f t="shared" si="361"/>
        <v>68886</v>
      </c>
      <c r="EN152">
        <f>DV152+DL152+DB152+CR152+CH152+BX152+BN152+BD152+AS152+AI152+Y152+O152+H152+I152</f>
        <v>465844</v>
      </c>
      <c r="EO152">
        <f>DY152+DO152+DE152+CU152+CK152+CA152+BQ152+BG152+AV152+AL152+AB152+R152</f>
        <v>1800</v>
      </c>
      <c r="EP152">
        <f t="shared" si="409"/>
        <v>50000</v>
      </c>
      <c r="EQ152">
        <v>0</v>
      </c>
      <c r="ER152">
        <f t="shared" si="362"/>
        <v>482930</v>
      </c>
      <c r="ES152">
        <f>DW152+DM152+DC152+CS152+CI152+BY152+BO152+BE152+AT152+AJ152+Z152+P152</f>
        <v>12000</v>
      </c>
      <c r="ET152">
        <f>DX152+DN152+DD152+CT152+CJ152+BZ152+BP152+BF152+AU152+AK152+AA152+Q152</f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410"/>
        <v>12000</v>
      </c>
      <c r="FF152">
        <f t="shared" si="411"/>
        <v>12000</v>
      </c>
      <c r="FG152">
        <f t="shared" si="412"/>
        <v>470930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>SUM(FH152:FN152)+(IF(F152="YES",50000,0))</f>
        <v>0</v>
      </c>
      <c r="FP152">
        <f t="shared" si="413"/>
        <v>470930</v>
      </c>
      <c r="FQ152">
        <f t="shared" si="414"/>
        <v>11047</v>
      </c>
      <c r="FR152">
        <f t="shared" si="415"/>
        <v>0</v>
      </c>
      <c r="FS152">
        <f t="shared" si="416"/>
        <v>11047</v>
      </c>
      <c r="FT152">
        <f t="shared" si="417"/>
        <v>0</v>
      </c>
      <c r="FU152">
        <f t="shared" si="418"/>
        <v>0</v>
      </c>
      <c r="FV152">
        <f t="shared" si="419"/>
        <v>0</v>
      </c>
      <c r="FW152">
        <v>0</v>
      </c>
      <c r="FX152">
        <f t="shared" si="420"/>
        <v>0</v>
      </c>
      <c r="FY152" t="b">
        <f t="shared" si="421"/>
        <v>0</v>
      </c>
      <c r="FZ152">
        <f t="shared" ca="1" si="422"/>
        <v>1653</v>
      </c>
      <c r="GA152">
        <f t="shared" ca="1" si="423"/>
        <v>467497</v>
      </c>
      <c r="GB152">
        <f t="shared" si="424"/>
        <v>75000</v>
      </c>
      <c r="GC152">
        <f t="shared" ca="1" si="425"/>
        <v>392497</v>
      </c>
      <c r="GD152">
        <f t="shared" ca="1" si="426"/>
        <v>0</v>
      </c>
      <c r="GE152">
        <f t="shared" ca="1" si="427"/>
        <v>0</v>
      </c>
      <c r="GF152">
        <f t="shared" ca="1" si="428"/>
        <v>0</v>
      </c>
      <c r="GG152">
        <f t="shared" ca="1" si="429"/>
        <v>0</v>
      </c>
      <c r="GH152">
        <f t="shared" ca="1" si="430"/>
        <v>0</v>
      </c>
      <c r="GI152">
        <f t="shared" ca="1" si="431"/>
        <v>0</v>
      </c>
      <c r="GJ152">
        <f ca="1">IF(GC152&gt;1200000,GC152-1200000-IF(F152="YES",50000,0)-GH152,0)</f>
        <v>0</v>
      </c>
      <c r="GK152">
        <f t="shared" ca="1" si="432"/>
        <v>0</v>
      </c>
      <c r="GL152">
        <f t="shared" ca="1" si="433"/>
        <v>0</v>
      </c>
      <c r="GM152">
        <f t="shared" ca="1" si="434"/>
        <v>0</v>
      </c>
      <c r="GN152">
        <f t="shared" ca="1" si="435"/>
        <v>0</v>
      </c>
      <c r="GO152">
        <f t="shared" ca="1" si="436"/>
        <v>0</v>
      </c>
      <c r="GP152">
        <f t="shared" ca="1" si="437"/>
        <v>0</v>
      </c>
      <c r="GQ152">
        <f t="shared" ca="1" si="438"/>
        <v>0</v>
      </c>
      <c r="GR152">
        <f t="shared" ca="1" si="439"/>
        <v>0</v>
      </c>
      <c r="GS152">
        <f t="shared" ca="1" si="440"/>
        <v>0</v>
      </c>
      <c r="GT152">
        <f t="shared" ca="1" si="441"/>
        <v>0</v>
      </c>
      <c r="GU152" t="b">
        <f t="shared" ca="1" si="442"/>
        <v>0</v>
      </c>
      <c r="GV152">
        <f t="shared" ca="1" si="443"/>
        <v>0</v>
      </c>
      <c r="GW152">
        <f t="shared" ca="1" si="444"/>
        <v>0</v>
      </c>
      <c r="GX152">
        <f t="shared" ca="1" si="445"/>
        <v>0</v>
      </c>
      <c r="GY152">
        <f t="shared" ca="1" si="446"/>
        <v>0</v>
      </c>
      <c r="GZ152">
        <f t="shared" ca="1" si="447"/>
        <v>0</v>
      </c>
    </row>
    <row r="153" spans="1:208" x14ac:dyDescent="0.25">
      <c r="A153">
        <f>_xlfn.AGGREGATE(3,5,$B$2:B153)</f>
        <v>152</v>
      </c>
      <c r="B153" t="s">
        <v>412</v>
      </c>
      <c r="C153" t="s">
        <v>413</v>
      </c>
      <c r="D153" t="s">
        <v>792</v>
      </c>
      <c r="E153" t="s">
        <v>831</v>
      </c>
      <c r="F153" t="s">
        <v>957</v>
      </c>
      <c r="G153" t="s">
        <v>885</v>
      </c>
      <c r="H153">
        <f t="shared" si="449"/>
        <v>6800</v>
      </c>
      <c r="I153">
        <f>_xlfn.XLOOKUP(B153,'[1]march-2025'!$A:$A,'[1]march-2025'!$J:$J,0,0)</f>
        <v>0</v>
      </c>
      <c r="J153">
        <f>_xlfn.XLOOKUP(B153,'[1]march-2025'!$A:$A,'[1]march-2025'!$C:$C,0,0)</f>
        <v>48700</v>
      </c>
      <c r="K153">
        <f t="shared" si="364"/>
        <v>6818.0000000000009</v>
      </c>
      <c r="L153">
        <f t="shared" si="365"/>
        <v>5844</v>
      </c>
      <c r="M153">
        <f>_xlfn.XLOOKUP(B153,'[1]march-2025'!$A:$A,'[1]march-2025'!$D:$D,0,0)</f>
        <v>400</v>
      </c>
      <c r="N153">
        <f>_xlfn.XLOOKUP(B153,'[1]march-2025'!$A:$A,'[1]march-2025'!$G:$G,0,0)</f>
        <v>500</v>
      </c>
      <c r="O153">
        <f>IF(J153&gt;0,SUM(J153:N153),0)</f>
        <v>62262</v>
      </c>
      <c r="P153">
        <f>_xlfn.XLOOKUP(B153,'[1]march-2025'!$A:$A,'[1]march-2025'!$H:$H,0,0)</f>
        <v>8000</v>
      </c>
      <c r="Q153">
        <f>_xlfn.XLOOKUP(B153,'[1]march-2025'!$A:$A,'[1]march-2025'!$I:$I,0,0)</f>
        <v>0</v>
      </c>
      <c r="R153">
        <f t="shared" si="448"/>
        <v>200</v>
      </c>
      <c r="S153">
        <f t="shared" si="357"/>
        <v>54062</v>
      </c>
      <c r="T153">
        <f>_xlfn.XLOOKUP(B153,'[2]april-2025'!$A:$A,'[2]april-2025'!$C:$C,0,0)</f>
        <v>48700</v>
      </c>
      <c r="U153">
        <f t="shared" si="366"/>
        <v>8766</v>
      </c>
      <c r="V153">
        <f t="shared" si="367"/>
        <v>5844</v>
      </c>
      <c r="W153">
        <f>_xlfn.XLOOKUP(B153,'[2]april-2025'!$A:$A,'[2]april-2025'!$D:$D,0,0)</f>
        <v>400</v>
      </c>
      <c r="X153">
        <f>_xlfn.XLOOKUP(B153,'[2]april-2025'!$A:$A,'[2]april-2025'!$G:$G,0,0)</f>
        <v>500</v>
      </c>
      <c r="Y153">
        <f t="shared" si="358"/>
        <v>64210</v>
      </c>
      <c r="Z153">
        <f>_xlfn.XLOOKUP(B153,'[2]april-2025'!$A:$A,'[2]april-2025'!$H:$H,0,0)</f>
        <v>8000</v>
      </c>
      <c r="AA153">
        <f>_xlfn.XLOOKUP(B153,'[2]april-2025'!$A:$A,'[2]april-2025'!$I:$I,0,0)</f>
        <v>0</v>
      </c>
      <c r="AB153">
        <f t="shared" si="368"/>
        <v>200</v>
      </c>
      <c r="AC153">
        <f t="shared" si="369"/>
        <v>56010</v>
      </c>
      <c r="AD153">
        <f>_xlfn.XLOOKUP(B153,'[3]may-2025'!$A:$A,'[3]may-2025'!$C:$C,0,0)</f>
        <v>48700</v>
      </c>
      <c r="AE153">
        <f t="shared" si="370"/>
        <v>8766</v>
      </c>
      <c r="AF153">
        <f t="shared" si="371"/>
        <v>5844</v>
      </c>
      <c r="AG153">
        <f>_xlfn.XLOOKUP(B153,'[3]may-2025'!$A:$A,'[3]may-2025'!$D:$D,0,0)</f>
        <v>400</v>
      </c>
      <c r="AH153">
        <f>_xlfn.XLOOKUP(B153,'[3]may-2025'!$A:$A,'[3]may-2025'!$G:$G,0,0)</f>
        <v>500</v>
      </c>
      <c r="AI153">
        <f t="shared" si="359"/>
        <v>64210</v>
      </c>
      <c r="AJ153">
        <f>_xlfn.XLOOKUP(B153,'[3]may-2025'!$A:$A,'[3]may-2025'!$H:$H,0,0)</f>
        <v>8000</v>
      </c>
      <c r="AK153">
        <f>_xlfn.XLOOKUP(B153,'[3]may-2025'!$A:$A,'[3]may-2025'!$I:$I,0,0)</f>
        <v>0</v>
      </c>
      <c r="AL153">
        <f t="shared" si="372"/>
        <v>200</v>
      </c>
      <c r="AM153">
        <f t="shared" si="373"/>
        <v>56010</v>
      </c>
      <c r="AN153">
        <f>_xlfn.XLOOKUP(B153,'[4]june-2025'!$A:$A,'[4]june-2025'!$C:$C,0,0)</f>
        <v>48700</v>
      </c>
      <c r="AO153">
        <f t="shared" si="374"/>
        <v>8766</v>
      </c>
      <c r="AP153">
        <f t="shared" si="375"/>
        <v>5844</v>
      </c>
      <c r="AQ153">
        <f>_xlfn.XLOOKUP(B153,'[4]june-2025'!$A:$A,'[4]june-2025'!$D:$D,0,0)</f>
        <v>400</v>
      </c>
      <c r="AR153">
        <f>_xlfn.XLOOKUP(B153,'[4]june-2025'!$A:$A,'[4]june-2025'!$G:$G,0,0)</f>
        <v>500</v>
      </c>
      <c r="AS153">
        <f t="shared" si="360"/>
        <v>64210</v>
      </c>
      <c r="AT153">
        <f>_xlfn.XLOOKUP(B153,'[4]june-2025'!$A:$A,'[4]june-2025'!$H:$H,0,0)</f>
        <v>8000</v>
      </c>
      <c r="AU153">
        <f>_xlfn.XLOOKUP(B153,'[4]june-2025'!$A:$A,'[4]june-2025'!$I:$I,0,0)</f>
        <v>0</v>
      </c>
      <c r="AV153">
        <f t="shared" si="376"/>
        <v>200</v>
      </c>
      <c r="AW153">
        <f t="shared" si="377"/>
        <v>56010</v>
      </c>
      <c r="AX153">
        <f>_xlfn.XLOOKUP(B153,'[5]july-2025'!$A:$A,'[5]july-2025'!$C:$C,0,0)</f>
        <v>50200</v>
      </c>
      <c r="AY153">
        <f t="shared" si="378"/>
        <v>9036</v>
      </c>
      <c r="AZ153">
        <v>0</v>
      </c>
      <c r="BA153">
        <f t="shared" si="379"/>
        <v>6024</v>
      </c>
      <c r="BB153">
        <f>_xlfn.XLOOKUP(B153,'[5]july-2025'!$A:$A,'[5]july-2025'!$D:$D,0,0)</f>
        <v>400</v>
      </c>
      <c r="BC153">
        <f>_xlfn.XLOOKUP(B153,'[5]july-2025'!$A:$A,'[5]july-2025'!$G:$G,0,0)</f>
        <v>500</v>
      </c>
      <c r="BD153">
        <f>IF(AX153&gt;0,SUM(AX153:BC153),0)</f>
        <v>66160</v>
      </c>
      <c r="BE153">
        <f>_xlfn.XLOOKUP(B153,'[5]july-2025'!$A:$A,'[5]july-2025'!$H:$H,0,0)</f>
        <v>8000</v>
      </c>
      <c r="BF153">
        <f>_xlfn.XLOOKUP(B153,'[5]july-2025'!$A:$A,'[5]july-2025'!$I:$I,0,0)</f>
        <v>0</v>
      </c>
      <c r="BG153">
        <f t="shared" si="380"/>
        <v>200</v>
      </c>
      <c r="BH153">
        <f t="shared" si="381"/>
        <v>57960</v>
      </c>
      <c r="BI153">
        <f>_xlfn.XLOOKUP(B153,'[6]august-2025'!$A:$A,'[6]august-2025'!$C:$C,0,0)</f>
        <v>50200</v>
      </c>
      <c r="BJ153">
        <f t="shared" si="382"/>
        <v>9036</v>
      </c>
      <c r="BK153">
        <f t="shared" si="383"/>
        <v>6024</v>
      </c>
      <c r="BL153">
        <f>_xlfn.XLOOKUP(B153,'[6]august-2025'!$A:$A,'[6]august-2025'!$D:$D,0,0)</f>
        <v>400</v>
      </c>
      <c r="BM153">
        <f>_xlfn.XLOOKUP(B153,'[6]august-2025'!$A:$A,'[6]august-2025'!$G:$G,0,0)</f>
        <v>500</v>
      </c>
      <c r="BN153">
        <f t="shared" si="384"/>
        <v>66160</v>
      </c>
      <c r="BO153">
        <f>_xlfn.XLOOKUP(B153,'[6]august-2025'!$A:$A,'[6]august-2025'!$H:$H,0,0)</f>
        <v>8000</v>
      </c>
      <c r="BP153">
        <f>_xlfn.XLOOKUP(B153,'[6]august-2025'!$A:$A,'[6]august-2025'!$I:$I,0,0)</f>
        <v>0</v>
      </c>
      <c r="BQ153">
        <f>IF($F153="YES",0,IF(BN153&gt;40000,200,IF(BN153&gt;25000,150,IF(BN153&gt;15000,130,IF(BN153&gt;10000,110,0)))))</f>
        <v>200</v>
      </c>
      <c r="BR153">
        <f>BN153-BO153-BP153-BQ153</f>
        <v>57960</v>
      </c>
      <c r="BS153">
        <f>_xlfn.XLOOKUP(B153,'[7]september-2025'!$A:$A,'[7]september-2025'!$C:$C,0,0)</f>
        <v>50200</v>
      </c>
      <c r="BT153">
        <f t="shared" si="385"/>
        <v>9036</v>
      </c>
      <c r="BU153">
        <f t="shared" si="386"/>
        <v>6024</v>
      </c>
      <c r="BV153">
        <f>_xlfn.XLOOKUP(B153,'[7]september-2025'!$A:$A,'[7]september-2025'!$D:$D,0,0)</f>
        <v>400</v>
      </c>
      <c r="BW153">
        <f>_xlfn.XLOOKUP(B153,'[7]september-2025'!$A:$A,'[7]september-2025'!$G:$G,0,0)</f>
        <v>500</v>
      </c>
      <c r="BX153">
        <f>IF(BS153&gt;0,SUM(BS153:BW153),0)</f>
        <v>66160</v>
      </c>
      <c r="BY153">
        <f>_xlfn.XLOOKUP(B153,'[7]september-2025'!$A:$A,'[7]september-2025'!$H:$H,0,0)</f>
        <v>8000</v>
      </c>
      <c r="BZ153">
        <f>_xlfn.XLOOKUP(B153,'[7]september-2025'!$A:$A,'[7]september-2025'!$I:$I,0,0)</f>
        <v>0</v>
      </c>
      <c r="CA153">
        <f t="shared" si="387"/>
        <v>200</v>
      </c>
      <c r="CB153">
        <f t="shared" si="388"/>
        <v>57960</v>
      </c>
      <c r="CC153">
        <f>_xlfn.XLOOKUP(B153,'[8]october-2025'!$A:$A,'[8]october-2025'!$C:$C,0,0)</f>
        <v>50200</v>
      </c>
      <c r="CD153">
        <f t="shared" si="389"/>
        <v>9036</v>
      </c>
      <c r="CE153">
        <f t="shared" si="390"/>
        <v>6024</v>
      </c>
      <c r="CF153">
        <f>_xlfn.XLOOKUP(B153,'[8]october-2025'!$A:$A,'[8]october-2025'!$D:$D,0,0)</f>
        <v>400</v>
      </c>
      <c r="CG153">
        <f>_xlfn.XLOOKUP(B153,'[8]october-2025'!$A:$A,'[8]october-2025'!$G:$G,0,0)</f>
        <v>500</v>
      </c>
      <c r="CH153">
        <f>IF(CC153&gt;0,SUM(CC153:CG153),0)</f>
        <v>66160</v>
      </c>
      <c r="CI153">
        <f>_xlfn.XLOOKUP(B153,'[8]october-2025'!$A:$A,'[8]october-2025'!$H:$H,0,0)</f>
        <v>8000</v>
      </c>
      <c r="CJ153">
        <f>_xlfn.XLOOKUP(B153,'[8]october-2025'!$A:$A,'[8]october-2025'!$I:$I,0,0)</f>
        <v>0</v>
      </c>
      <c r="CK153">
        <f t="shared" si="391"/>
        <v>200</v>
      </c>
      <c r="CL153">
        <f t="shared" si="392"/>
        <v>57960</v>
      </c>
      <c r="CM153">
        <f>_xlfn.XLOOKUP(B153,'[9]november-2025'!$A:$A,'[9]november-2025'!$C:$C,0,0)</f>
        <v>50200</v>
      </c>
      <c r="CN153">
        <f t="shared" si="393"/>
        <v>9036</v>
      </c>
      <c r="CO153">
        <f t="shared" si="394"/>
        <v>6024</v>
      </c>
      <c r="CP153">
        <f>_xlfn.XLOOKUP(B153,'[9]november-2025'!$A:$A,'[9]november-2025'!$D:$D,0,0)</f>
        <v>400</v>
      </c>
      <c r="CQ153">
        <f>_xlfn.XLOOKUP(B153,'[9]november-2025'!$A:$A,'[9]november-2025'!$G:$G,0,0)</f>
        <v>500</v>
      </c>
      <c r="CR153">
        <f>IF(CM153&gt;0,SUM(CM153:CQ153),0)</f>
        <v>66160</v>
      </c>
      <c r="CS153">
        <f>_xlfn.XLOOKUP(B153,'[9]november-2025'!$A:$A,'[9]november-2025'!$H:$H,0,0)</f>
        <v>8000</v>
      </c>
      <c r="CT153">
        <f>_xlfn.XLOOKUP(B153,'[9]november-2025'!$A:$A,'[9]november-2025'!$I:$I,0,0)</f>
        <v>0</v>
      </c>
      <c r="CU153">
        <f t="shared" si="395"/>
        <v>200</v>
      </c>
      <c r="CV153">
        <f t="shared" si="396"/>
        <v>57960</v>
      </c>
      <c r="CW153">
        <f>_xlfn.XLOOKUP(B153,'[10]december-2025'!$A:$A,'[10]december-2025'!$C:$C,0,0)</f>
        <v>50200</v>
      </c>
      <c r="CX153">
        <f t="shared" si="397"/>
        <v>9036</v>
      </c>
      <c r="CY153">
        <f t="shared" si="398"/>
        <v>6024</v>
      </c>
      <c r="CZ153">
        <f>_xlfn.XLOOKUP(B153,'[10]december-2025'!$A:$A,'[10]december-2025'!$D:$D,0,0)</f>
        <v>400</v>
      </c>
      <c r="DA153">
        <f>_xlfn.XLOOKUP(B153,'[10]december-2025'!$A:$A,'[10]december-2025'!$G:$G,0,0)</f>
        <v>500</v>
      </c>
      <c r="DB153">
        <f>IF(CW153&gt;0,SUM(CW153:DA153),0)</f>
        <v>66160</v>
      </c>
      <c r="DC153">
        <f>_xlfn.XLOOKUP(B153,'[10]december-2025'!$A:$A,'[10]december-2025'!$H:$H,0,0)</f>
        <v>8000</v>
      </c>
      <c r="DD153">
        <f>_xlfn.XLOOKUP(B153,'[10]december-2025'!$A:$A,'[10]december-2025'!$I:$I,0,0)</f>
        <v>0</v>
      </c>
      <c r="DE153">
        <f t="shared" si="399"/>
        <v>200</v>
      </c>
      <c r="DF153">
        <f t="shared" si="400"/>
        <v>57960</v>
      </c>
      <c r="DG153">
        <f>_xlfn.XLOOKUP(B153,'[11]january-2026'!$A:$A,'[11]january-2026'!$C:$C,0,0)</f>
        <v>50200</v>
      </c>
      <c r="DH153">
        <f t="shared" si="401"/>
        <v>9036</v>
      </c>
      <c r="DI153">
        <f t="shared" si="402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>IF(DG153&gt;0,SUM(DG153:DK153),0)</f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03"/>
        <v>200</v>
      </c>
      <c r="DP153">
        <f t="shared" si="404"/>
        <v>57960</v>
      </c>
      <c r="DQ153">
        <f>_xlfn.XLOOKUP(B153,'[12]february-2026'!$A:$A,'[12]february-2026'!$C:$C,0,0)</f>
        <v>50200</v>
      </c>
      <c r="DR153">
        <f t="shared" si="405"/>
        <v>9036</v>
      </c>
      <c r="DS153">
        <f t="shared" si="406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>IF(DQ153&gt;0,SUM(DQ153:DU153),0)</f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07"/>
        <v>200</v>
      </c>
      <c r="DZ153">
        <f t="shared" si="408"/>
        <v>57960</v>
      </c>
      <c r="EA153">
        <f>_xlfn.XLOOKUP(B153,'[1]march-2025'!$A:$A,'[1]march-2025'!$J:$J,0,0)</f>
        <v>0</v>
      </c>
      <c r="EB153">
        <f>_xlfn.XLOOKUP(B153,'[2]april-2025'!$A:$A,'[2]april-2025'!$J:$J,0,0)</f>
        <v>0</v>
      </c>
      <c r="EC153">
        <f>_xlfn.XLOOKUP(B153,'[3]may-2025'!$A:$A,'[3]may-2025'!$J:$J,0,0)</f>
        <v>0</v>
      </c>
      <c r="ED153">
        <f>_xlfn.XLOOKUP(B153,'[4]june-2025'!$A:$A,'[4]june-2025'!$J:$J,0,0)</f>
        <v>0</v>
      </c>
      <c r="EE153">
        <f>_xlfn.XLOOKUP(B153,'[5]july-2025'!$A:$A,'[5]july-2025'!$J:$J,0,0)</f>
        <v>0</v>
      </c>
      <c r="EF153">
        <f>_xlfn.XLOOKUP(B153,'[6]august-2025'!$A:$A,'[6]august-2025'!$J:$J,0,0)</f>
        <v>0</v>
      </c>
      <c r="EG153">
        <f>_xlfn.XLOOKUP(B153,'[7]september-2025'!$A:$A,'[7]september-2025'!$J:$J,0,0)</f>
        <v>0</v>
      </c>
      <c r="EH153">
        <f>_xlfn.XLOOKUP(B153,'[8]october-2025'!$A:$A,'[8]october-2025'!$J:$J,0,0)</f>
        <v>0</v>
      </c>
      <c r="EI153">
        <f>_xlfn.XLOOKUP(C153,'[9]november-2025'!$A:$A,'[9]november-2025'!$J:$J,0,0)</f>
        <v>0</v>
      </c>
      <c r="EJ153">
        <f>_xlfn.XLOOKUP(B153,'[10]december-2025'!$A:$A,'[10]december-2025'!$J:$J,0,0)</f>
        <v>0</v>
      </c>
      <c r="EK153">
        <f>_xlfn.XLOOKUP(B153,'[11]january-2026'!$A:$A,'[11]january-2026'!$J:$J,0,0)</f>
        <v>0</v>
      </c>
      <c r="EL153">
        <f>_xlfn.XLOOKUP(B153,'[12]february-2026'!$A:$A,'[12]february-2026'!$J:$J,0,0)</f>
        <v>0</v>
      </c>
      <c r="EM153">
        <f t="shared" si="361"/>
        <v>0</v>
      </c>
      <c r="EN153">
        <f>DV153+DL153+DB153+CR153+CH153+BX153+BN153+BD153+AS153+AI153+Y153+O153+H153+I153</f>
        <v>790972</v>
      </c>
      <c r="EO153">
        <f>DY153+DO153+DE153+CU153+CK153+CA153+BQ153+BG153+AV153+AL153+AB153+R153</f>
        <v>2400</v>
      </c>
      <c r="EP153">
        <f t="shared" si="409"/>
        <v>50000</v>
      </c>
      <c r="EQ153">
        <v>0</v>
      </c>
      <c r="ER153">
        <f t="shared" si="362"/>
        <v>738572</v>
      </c>
      <c r="ES153">
        <f>DW153+DM153+DC153+CS153+CI153+BY153+BO153+BE153+AT153+AJ153+Z153+P153</f>
        <v>96000</v>
      </c>
      <c r="ET153">
        <f>DX153+DN153+DD153+CT153+CJ153+BZ153+BP153+BF153+AU153+AK153+AA153+Q153</f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410"/>
        <v>96000</v>
      </c>
      <c r="FF153">
        <f t="shared" si="411"/>
        <v>96000</v>
      </c>
      <c r="FG153">
        <f t="shared" si="412"/>
        <v>642572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>SUM(FH153:FN153)+(IF(F153="YES",50000,0))</f>
        <v>0</v>
      </c>
      <c r="FP153">
        <f t="shared" si="413"/>
        <v>642572</v>
      </c>
      <c r="FQ153">
        <f t="shared" si="414"/>
        <v>12500</v>
      </c>
      <c r="FR153">
        <f t="shared" si="415"/>
        <v>28514</v>
      </c>
      <c r="FS153">
        <f t="shared" si="416"/>
        <v>41014</v>
      </c>
      <c r="FT153">
        <f t="shared" si="417"/>
        <v>41014</v>
      </c>
      <c r="FU153">
        <f t="shared" si="418"/>
        <v>1640.56</v>
      </c>
      <c r="FV153">
        <f t="shared" si="419"/>
        <v>42655</v>
      </c>
      <c r="FW153">
        <v>0</v>
      </c>
      <c r="FX153">
        <f t="shared" si="420"/>
        <v>42655</v>
      </c>
      <c r="FY153" t="b">
        <f t="shared" si="421"/>
        <v>1</v>
      </c>
      <c r="FZ153">
        <f t="shared" ca="1" si="422"/>
        <v>913</v>
      </c>
      <c r="GA153">
        <f t="shared" ca="1" si="423"/>
        <v>791885</v>
      </c>
      <c r="GB153">
        <f t="shared" si="424"/>
        <v>75000</v>
      </c>
      <c r="GC153">
        <f t="shared" ca="1" si="425"/>
        <v>716885</v>
      </c>
      <c r="GD153">
        <f t="shared" ca="1" si="426"/>
        <v>0</v>
      </c>
      <c r="GE153">
        <f t="shared" ca="1" si="427"/>
        <v>0</v>
      </c>
      <c r="GF153">
        <f t="shared" ca="1" si="428"/>
        <v>0</v>
      </c>
      <c r="GG153">
        <f t="shared" ca="1" si="429"/>
        <v>0</v>
      </c>
      <c r="GH153">
        <f t="shared" ca="1" si="430"/>
        <v>0</v>
      </c>
      <c r="GI153">
        <f t="shared" ca="1" si="431"/>
        <v>0</v>
      </c>
      <c r="GJ153">
        <f ca="1">IF(GC153&gt;1200000,GC153-1200000-IF(F153="YES",50000,0)-GH153,0)</f>
        <v>0</v>
      </c>
      <c r="GK153">
        <f t="shared" ca="1" si="432"/>
        <v>0</v>
      </c>
      <c r="GL153">
        <f t="shared" ca="1" si="433"/>
        <v>0</v>
      </c>
      <c r="GM153">
        <f t="shared" ca="1" si="434"/>
        <v>0</v>
      </c>
      <c r="GN153">
        <f t="shared" ca="1" si="435"/>
        <v>316885</v>
      </c>
      <c r="GO153">
        <f t="shared" ca="1" si="436"/>
        <v>15844.25</v>
      </c>
      <c r="GP153">
        <f t="shared" ca="1" si="437"/>
        <v>15844</v>
      </c>
      <c r="GQ153">
        <f t="shared" ca="1" si="438"/>
        <v>0</v>
      </c>
      <c r="GR153">
        <f t="shared" ca="1" si="439"/>
        <v>0</v>
      </c>
      <c r="GS153">
        <f t="shared" ca="1" si="440"/>
        <v>15844</v>
      </c>
      <c r="GT153">
        <f t="shared" ca="1" si="441"/>
        <v>0</v>
      </c>
      <c r="GU153" t="b">
        <f t="shared" ca="1" si="442"/>
        <v>0</v>
      </c>
      <c r="GV153">
        <f t="shared" ca="1" si="443"/>
        <v>0</v>
      </c>
      <c r="GW153">
        <f t="shared" ca="1" si="444"/>
        <v>15844</v>
      </c>
      <c r="GX153">
        <f t="shared" ca="1" si="445"/>
        <v>0</v>
      </c>
      <c r="GY153">
        <f t="shared" ca="1" si="446"/>
        <v>0</v>
      </c>
      <c r="GZ153">
        <f t="shared" ca="1" si="447"/>
        <v>0</v>
      </c>
    </row>
    <row r="154" spans="1:208" x14ac:dyDescent="0.25">
      <c r="A154">
        <f>_xlfn.AGGREGATE(3,5,$B$2:B154)</f>
        <v>153</v>
      </c>
      <c r="B154" t="s">
        <v>414</v>
      </c>
      <c r="C154" t="s">
        <v>415</v>
      </c>
      <c r="D154" t="s">
        <v>792</v>
      </c>
      <c r="E154" t="s">
        <v>831</v>
      </c>
      <c r="F154" t="s">
        <v>957</v>
      </c>
      <c r="G154" t="s">
        <v>932</v>
      </c>
      <c r="H154">
        <f t="shared" si="449"/>
        <v>6800</v>
      </c>
      <c r="I154">
        <f>_xlfn.XLOOKUP(B154,'[1]march-2025'!$A:$A,'[1]march-2025'!$J:$J,0,0)</f>
        <v>0</v>
      </c>
      <c r="J154">
        <f>_xlfn.XLOOKUP(B154,'[1]march-2025'!$A:$A,'[1]march-2025'!$C:$C,0,0)</f>
        <v>47300</v>
      </c>
      <c r="K154">
        <f t="shared" si="364"/>
        <v>6622.0000000000009</v>
      </c>
      <c r="L154">
        <f t="shared" si="365"/>
        <v>5676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>IF(J154&gt;0,SUM(J154:N154),0)</f>
        <v>59598</v>
      </c>
      <c r="P154">
        <f>_xlfn.XLOOKUP(B154,'[1]march-2025'!$A:$A,'[1]march-2025'!$H:$H,0,0)</f>
        <v>9000</v>
      </c>
      <c r="Q154">
        <f>_xlfn.XLOOKUP(B154,'[1]march-2025'!$A:$A,'[1]march-2025'!$I:$I,0,0)</f>
        <v>0</v>
      </c>
      <c r="R154">
        <f t="shared" si="448"/>
        <v>200</v>
      </c>
      <c r="S154">
        <f t="shared" si="357"/>
        <v>50398</v>
      </c>
      <c r="T154">
        <f>_xlfn.XLOOKUP(B154,'[2]april-2025'!$A:$A,'[2]april-2025'!$C:$C,0,0)</f>
        <v>47300</v>
      </c>
      <c r="U154">
        <f t="shared" si="366"/>
        <v>8514</v>
      </c>
      <c r="V154">
        <f t="shared" si="367"/>
        <v>5676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358"/>
        <v>61490</v>
      </c>
      <c r="Z154">
        <f>_xlfn.XLOOKUP(B154,'[2]april-2025'!$A:$A,'[2]april-2025'!$H:$H,0,0)</f>
        <v>9000</v>
      </c>
      <c r="AA154">
        <f>_xlfn.XLOOKUP(B154,'[2]april-2025'!$A:$A,'[2]april-2025'!$I:$I,0,0)</f>
        <v>0</v>
      </c>
      <c r="AB154">
        <f t="shared" si="368"/>
        <v>200</v>
      </c>
      <c r="AC154">
        <f t="shared" si="369"/>
        <v>52290</v>
      </c>
      <c r="AD154">
        <f>_xlfn.XLOOKUP(B154,'[3]may-2025'!$A:$A,'[3]may-2025'!$C:$C,0,0)</f>
        <v>47300</v>
      </c>
      <c r="AE154">
        <f t="shared" si="370"/>
        <v>8514</v>
      </c>
      <c r="AF154">
        <f t="shared" si="371"/>
        <v>5676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359"/>
        <v>61490</v>
      </c>
      <c r="AJ154">
        <f>_xlfn.XLOOKUP(B154,'[3]may-2025'!$A:$A,'[3]may-2025'!$H:$H,0,0)</f>
        <v>9000</v>
      </c>
      <c r="AK154">
        <f>_xlfn.XLOOKUP(B154,'[3]may-2025'!$A:$A,'[3]may-2025'!$I:$I,0,0)</f>
        <v>0</v>
      </c>
      <c r="AL154">
        <f t="shared" si="372"/>
        <v>200</v>
      </c>
      <c r="AM154">
        <f t="shared" si="373"/>
        <v>52290</v>
      </c>
      <c r="AN154">
        <f>_xlfn.XLOOKUP(B154,'[4]june-2025'!$A:$A,'[4]june-2025'!$C:$C,0,0)</f>
        <v>47300</v>
      </c>
      <c r="AO154">
        <f t="shared" si="374"/>
        <v>8514</v>
      </c>
      <c r="AP154">
        <f t="shared" si="375"/>
        <v>5676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360"/>
        <v>61490</v>
      </c>
      <c r="AT154">
        <f>_xlfn.XLOOKUP(B154,'[4]june-2025'!$A:$A,'[4]june-2025'!$H:$H,0,0)</f>
        <v>9000</v>
      </c>
      <c r="AU154">
        <f>_xlfn.XLOOKUP(B154,'[4]june-2025'!$A:$A,'[4]june-2025'!$I:$I,0,0)</f>
        <v>0</v>
      </c>
      <c r="AV154">
        <f t="shared" si="376"/>
        <v>200</v>
      </c>
      <c r="AW154">
        <f t="shared" si="377"/>
        <v>52290</v>
      </c>
      <c r="AX154">
        <f>_xlfn.XLOOKUP(B154,'[5]july-2025'!$A:$A,'[5]july-2025'!$C:$C,0,0)</f>
        <v>48700</v>
      </c>
      <c r="AY154">
        <f t="shared" si="378"/>
        <v>8766</v>
      </c>
      <c r="AZ154">
        <v>0</v>
      </c>
      <c r="BA154">
        <f t="shared" si="379"/>
        <v>5844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>IF(AX154&gt;0,SUM(AX154:BC154),0)</f>
        <v>63310</v>
      </c>
      <c r="BE154">
        <f>_xlfn.XLOOKUP(B154,'[5]july-2025'!$A:$A,'[5]july-2025'!$H:$H,0,0)</f>
        <v>9000</v>
      </c>
      <c r="BF154">
        <f>_xlfn.XLOOKUP(B154,'[5]july-2025'!$A:$A,'[5]july-2025'!$I:$I,0,0)</f>
        <v>0</v>
      </c>
      <c r="BG154">
        <f t="shared" si="380"/>
        <v>200</v>
      </c>
      <c r="BH154">
        <f t="shared" si="381"/>
        <v>54110</v>
      </c>
      <c r="BI154">
        <f>_xlfn.XLOOKUP(B154,'[6]august-2025'!$A:$A,'[6]august-2025'!$C:$C,0,0)</f>
        <v>48700</v>
      </c>
      <c r="BJ154">
        <f t="shared" si="382"/>
        <v>8766</v>
      </c>
      <c r="BK154">
        <f t="shared" si="383"/>
        <v>5844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384"/>
        <v>63310</v>
      </c>
      <c r="BO154">
        <f>_xlfn.XLOOKUP(B154,'[6]august-2025'!$A:$A,'[6]august-2025'!$H:$H,0,0)</f>
        <v>9000</v>
      </c>
      <c r="BP154">
        <f>_xlfn.XLOOKUP(B154,'[6]august-2025'!$A:$A,'[6]august-2025'!$I:$I,0,0)</f>
        <v>0</v>
      </c>
      <c r="BQ154">
        <f>IF($F154="YES",0,IF(BN154&gt;40000,200,IF(BN154&gt;25000,150,IF(BN154&gt;15000,130,IF(BN154&gt;10000,110,0)))))</f>
        <v>200</v>
      </c>
      <c r="BR154">
        <f>BN154-BO154-BP154-BQ154</f>
        <v>54110</v>
      </c>
      <c r="BS154">
        <f>_xlfn.XLOOKUP(B154,'[7]september-2025'!$A:$A,'[7]september-2025'!$C:$C,0,0)</f>
        <v>48700</v>
      </c>
      <c r="BT154">
        <f t="shared" si="385"/>
        <v>8766</v>
      </c>
      <c r="BU154">
        <f t="shared" si="386"/>
        <v>5844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>IF(BS154&gt;0,SUM(BS154:BW154),0)</f>
        <v>63310</v>
      </c>
      <c r="BY154">
        <f>_xlfn.XLOOKUP(B154,'[7]september-2025'!$A:$A,'[7]september-2025'!$H:$H,0,0)</f>
        <v>9000</v>
      </c>
      <c r="BZ154">
        <f>_xlfn.XLOOKUP(B154,'[7]september-2025'!$A:$A,'[7]september-2025'!$I:$I,0,0)</f>
        <v>0</v>
      </c>
      <c r="CA154">
        <f t="shared" si="387"/>
        <v>200</v>
      </c>
      <c r="CB154">
        <f t="shared" si="388"/>
        <v>54110</v>
      </c>
      <c r="CC154">
        <f>_xlfn.XLOOKUP(B154,'[8]october-2025'!$A:$A,'[8]october-2025'!$C:$C,0,0)</f>
        <v>48700</v>
      </c>
      <c r="CD154">
        <f t="shared" si="389"/>
        <v>8766</v>
      </c>
      <c r="CE154">
        <f t="shared" si="390"/>
        <v>5844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>IF(CC154&gt;0,SUM(CC154:CG154),0)</f>
        <v>63310</v>
      </c>
      <c r="CI154">
        <f>_xlfn.XLOOKUP(B154,'[8]october-2025'!$A:$A,'[8]october-2025'!$H:$H,0,0)</f>
        <v>9000</v>
      </c>
      <c r="CJ154">
        <f>_xlfn.XLOOKUP(B154,'[8]october-2025'!$A:$A,'[8]october-2025'!$I:$I,0,0)</f>
        <v>0</v>
      </c>
      <c r="CK154">
        <f t="shared" si="391"/>
        <v>200</v>
      </c>
      <c r="CL154">
        <f t="shared" si="392"/>
        <v>54110</v>
      </c>
      <c r="CM154">
        <f>_xlfn.XLOOKUP(B154,'[9]november-2025'!$A:$A,'[9]november-2025'!$C:$C,0,0)</f>
        <v>48700</v>
      </c>
      <c r="CN154">
        <f t="shared" si="393"/>
        <v>8766</v>
      </c>
      <c r="CO154">
        <f t="shared" si="394"/>
        <v>5844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>IF(CM154&gt;0,SUM(CM154:CQ154),0)</f>
        <v>63310</v>
      </c>
      <c r="CS154">
        <f>_xlfn.XLOOKUP(B154,'[9]november-2025'!$A:$A,'[9]november-2025'!$H:$H,0,0)</f>
        <v>9000</v>
      </c>
      <c r="CT154">
        <f>_xlfn.XLOOKUP(B154,'[9]november-2025'!$A:$A,'[9]november-2025'!$I:$I,0,0)</f>
        <v>0</v>
      </c>
      <c r="CU154">
        <f t="shared" si="395"/>
        <v>200</v>
      </c>
      <c r="CV154">
        <f t="shared" si="396"/>
        <v>54110</v>
      </c>
      <c r="CW154">
        <f>_xlfn.XLOOKUP(B154,'[10]december-2025'!$A:$A,'[10]december-2025'!$C:$C,0,0)</f>
        <v>48700</v>
      </c>
      <c r="CX154">
        <f t="shared" si="397"/>
        <v>8766</v>
      </c>
      <c r="CY154">
        <f t="shared" si="398"/>
        <v>5844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>IF(CW154&gt;0,SUM(CW154:DA154),0)</f>
        <v>63310</v>
      </c>
      <c r="DC154">
        <f>_xlfn.XLOOKUP(B154,'[10]december-2025'!$A:$A,'[10]december-2025'!$H:$H,0,0)</f>
        <v>9000</v>
      </c>
      <c r="DD154">
        <f>_xlfn.XLOOKUP(B154,'[10]december-2025'!$A:$A,'[10]december-2025'!$I:$I,0,0)</f>
        <v>0</v>
      </c>
      <c r="DE154">
        <f t="shared" si="399"/>
        <v>200</v>
      </c>
      <c r="DF154">
        <f t="shared" si="400"/>
        <v>54110</v>
      </c>
      <c r="DG154">
        <f>_xlfn.XLOOKUP(B154,'[11]january-2026'!$A:$A,'[11]january-2026'!$C:$C,0,0)</f>
        <v>48700</v>
      </c>
      <c r="DH154">
        <f t="shared" si="401"/>
        <v>8766</v>
      </c>
      <c r="DI154">
        <f t="shared" si="402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>IF(DG154&gt;0,SUM(DG154:DK154),0)</f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03"/>
        <v>200</v>
      </c>
      <c r="DP154">
        <f t="shared" si="404"/>
        <v>54110</v>
      </c>
      <c r="DQ154">
        <f>_xlfn.XLOOKUP(B154,'[12]february-2026'!$A:$A,'[12]february-2026'!$C:$C,0,0)</f>
        <v>48700</v>
      </c>
      <c r="DR154">
        <f t="shared" si="405"/>
        <v>8766</v>
      </c>
      <c r="DS154">
        <f t="shared" si="406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>IF(DQ154&gt;0,SUM(DQ154:DU154),0)</f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07"/>
        <v>200</v>
      </c>
      <c r="DZ154">
        <f t="shared" si="408"/>
        <v>54110</v>
      </c>
      <c r="EA154">
        <f>_xlfn.XLOOKUP(B154,'[1]march-2025'!$A:$A,'[1]march-2025'!$J:$J,0,0)</f>
        <v>0</v>
      </c>
      <c r="EB154">
        <f>_xlfn.XLOOKUP(B154,'[2]april-2025'!$A:$A,'[2]april-2025'!$J:$J,0,0)</f>
        <v>0</v>
      </c>
      <c r="EC154">
        <f>_xlfn.XLOOKUP(B154,'[3]may-2025'!$A:$A,'[3]may-2025'!$J:$J,0,0)</f>
        <v>0</v>
      </c>
      <c r="ED154">
        <f>_xlfn.XLOOKUP(B154,'[4]june-2025'!$A:$A,'[4]june-2025'!$J:$J,0,0)</f>
        <v>0</v>
      </c>
      <c r="EE154">
        <f>_xlfn.XLOOKUP(B154,'[5]july-2025'!$A:$A,'[5]july-2025'!$J:$J,0,0)</f>
        <v>0</v>
      </c>
      <c r="EF154">
        <f>_xlfn.XLOOKUP(B154,'[6]august-2025'!$A:$A,'[6]august-2025'!$J:$J,0,0)</f>
        <v>0</v>
      </c>
      <c r="EG154">
        <f>_xlfn.XLOOKUP(B154,'[7]september-2025'!$A:$A,'[7]september-2025'!$J:$J,0,0)</f>
        <v>0</v>
      </c>
      <c r="EH154">
        <f>_xlfn.XLOOKUP(B154,'[8]october-2025'!$A:$A,'[8]october-2025'!$J:$J,0,0)</f>
        <v>0</v>
      </c>
      <c r="EI154">
        <f>_xlfn.XLOOKUP(C154,'[9]november-2025'!$A:$A,'[9]november-2025'!$J:$J,0,0)</f>
        <v>0</v>
      </c>
      <c r="EJ154">
        <f>_xlfn.XLOOKUP(B154,'[10]december-2025'!$A:$A,'[10]december-2025'!$J:$J,0,0)</f>
        <v>0</v>
      </c>
      <c r="EK154">
        <f>_xlfn.XLOOKUP(B154,'[11]january-2026'!$A:$A,'[11]january-2026'!$J:$J,0,0)</f>
        <v>0</v>
      </c>
      <c r="EL154">
        <f>_xlfn.XLOOKUP(B154,'[12]february-2026'!$A:$A,'[12]february-2026'!$J:$J,0,0)</f>
        <v>0</v>
      </c>
      <c r="EM154">
        <f t="shared" si="361"/>
        <v>0</v>
      </c>
      <c r="EN154">
        <f>DV154+DL154+DB154+CR154+CH154+BX154+BN154+BD154+AS154+AI154+Y154+O154+H154+I154</f>
        <v>757348</v>
      </c>
      <c r="EO154">
        <f>DY154+DO154+DE154+CU154+CK154+CA154+BQ154+BG154+AV154+AL154+AB154+R154</f>
        <v>2400</v>
      </c>
      <c r="EP154">
        <f t="shared" si="409"/>
        <v>50000</v>
      </c>
      <c r="EQ154">
        <v>0</v>
      </c>
      <c r="ER154">
        <f t="shared" si="362"/>
        <v>704948</v>
      </c>
      <c r="ES154">
        <f>DW154+DM154+DC154+CS154+CI154+BY154+BO154+BE154+AT154+AJ154+Z154+P154</f>
        <v>108000</v>
      </c>
      <c r="ET154">
        <f>DX154+DN154+DD154+CT154+CJ154+BZ154+BP154+BF154+AU154+AK154+AA154+Q154</f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410"/>
        <v>108000</v>
      </c>
      <c r="FF154">
        <f t="shared" si="411"/>
        <v>108000</v>
      </c>
      <c r="FG154">
        <f t="shared" si="412"/>
        <v>596948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>SUM(FH154:FN154)+(IF(F154="YES",50000,0))</f>
        <v>0</v>
      </c>
      <c r="FP154">
        <f t="shared" si="413"/>
        <v>596948</v>
      </c>
      <c r="FQ154">
        <f t="shared" si="414"/>
        <v>12500</v>
      </c>
      <c r="FR154">
        <f t="shared" si="415"/>
        <v>19390</v>
      </c>
      <c r="FS154">
        <f t="shared" si="416"/>
        <v>31890</v>
      </c>
      <c r="FT154">
        <f t="shared" si="417"/>
        <v>31890</v>
      </c>
      <c r="FU154">
        <f t="shared" si="418"/>
        <v>1275.6000000000001</v>
      </c>
      <c r="FV154">
        <f t="shared" si="419"/>
        <v>33166</v>
      </c>
      <c r="FW154">
        <v>0</v>
      </c>
      <c r="FX154">
        <f t="shared" si="420"/>
        <v>33166</v>
      </c>
      <c r="FY154" t="b">
        <f t="shared" si="421"/>
        <v>1</v>
      </c>
      <c r="FZ154">
        <f t="shared" ca="1" si="422"/>
        <v>713</v>
      </c>
      <c r="GA154">
        <f t="shared" ca="1" si="423"/>
        <v>758061</v>
      </c>
      <c r="GB154">
        <f t="shared" si="424"/>
        <v>75000</v>
      </c>
      <c r="GC154">
        <f t="shared" ca="1" si="425"/>
        <v>683061</v>
      </c>
      <c r="GD154">
        <f t="shared" ca="1" si="426"/>
        <v>0</v>
      </c>
      <c r="GE154">
        <f t="shared" ca="1" si="427"/>
        <v>0</v>
      </c>
      <c r="GF154">
        <f t="shared" ca="1" si="428"/>
        <v>0</v>
      </c>
      <c r="GG154">
        <f t="shared" ca="1" si="429"/>
        <v>0</v>
      </c>
      <c r="GH154">
        <f t="shared" ca="1" si="430"/>
        <v>0</v>
      </c>
      <c r="GI154">
        <f t="shared" ca="1" si="431"/>
        <v>0</v>
      </c>
      <c r="GJ154">
        <f ca="1">IF(GC154&gt;1200000,GC154-1200000-IF(F154="YES",50000,0)-GH154,0)</f>
        <v>0</v>
      </c>
      <c r="GK154">
        <f t="shared" ca="1" si="432"/>
        <v>0</v>
      </c>
      <c r="GL154">
        <f t="shared" ca="1" si="433"/>
        <v>0</v>
      </c>
      <c r="GM154">
        <f t="shared" ca="1" si="434"/>
        <v>0</v>
      </c>
      <c r="GN154">
        <f t="shared" ca="1" si="435"/>
        <v>283061</v>
      </c>
      <c r="GO154">
        <f t="shared" ca="1" si="436"/>
        <v>14153.050000000001</v>
      </c>
      <c r="GP154">
        <f t="shared" ca="1" si="437"/>
        <v>14153</v>
      </c>
      <c r="GQ154">
        <f t="shared" ca="1" si="438"/>
        <v>0</v>
      </c>
      <c r="GR154">
        <f t="shared" ca="1" si="439"/>
        <v>0</v>
      </c>
      <c r="GS154">
        <f t="shared" ca="1" si="440"/>
        <v>14153</v>
      </c>
      <c r="GT154">
        <f t="shared" ca="1" si="441"/>
        <v>0</v>
      </c>
      <c r="GU154" t="b">
        <f t="shared" ca="1" si="442"/>
        <v>0</v>
      </c>
      <c r="GV154">
        <f t="shared" ca="1" si="443"/>
        <v>0</v>
      </c>
      <c r="GW154">
        <f t="shared" ca="1" si="444"/>
        <v>14153</v>
      </c>
      <c r="GX154">
        <f t="shared" ca="1" si="445"/>
        <v>0</v>
      </c>
      <c r="GY154">
        <f t="shared" ca="1" si="446"/>
        <v>0</v>
      </c>
      <c r="GZ154">
        <f t="shared" ca="1" si="447"/>
        <v>0</v>
      </c>
    </row>
    <row r="155" spans="1:208" x14ac:dyDescent="0.25">
      <c r="A155">
        <f>_xlfn.AGGREGATE(3,5,$B$2:B155)</f>
        <v>154</v>
      </c>
      <c r="B155" t="s">
        <v>416</v>
      </c>
      <c r="C155" t="s">
        <v>417</v>
      </c>
      <c r="D155" t="s">
        <v>792</v>
      </c>
      <c r="E155" t="s">
        <v>831</v>
      </c>
      <c r="F155" t="s">
        <v>957</v>
      </c>
      <c r="G155" t="s">
        <v>888</v>
      </c>
      <c r="H155">
        <f t="shared" si="449"/>
        <v>6800</v>
      </c>
      <c r="I155">
        <f>_xlfn.XLOOKUP(B155,'[1]march-2025'!$A:$A,'[1]march-2025'!$J:$J,0,0)</f>
        <v>0</v>
      </c>
      <c r="J155">
        <f>_xlfn.XLOOKUP(B155,'[1]march-2025'!$A:$A,'[1]march-2025'!$C:$C,0,0)</f>
        <v>37700</v>
      </c>
      <c r="K155">
        <f t="shared" si="364"/>
        <v>5278.0000000000009</v>
      </c>
      <c r="L155">
        <f t="shared" si="365"/>
        <v>4524</v>
      </c>
      <c r="M155">
        <f>_xlfn.XLOOKUP(B155,'[1]march-2025'!$A:$A,'[1]march-2025'!$D:$D,0,0)</f>
        <v>0</v>
      </c>
      <c r="N155">
        <f>_xlfn.XLOOKUP(B155,'[1]march-2025'!$A:$A,'[1]march-2025'!$G:$G,0,0)</f>
        <v>0</v>
      </c>
      <c r="O155">
        <f>IF(J155&gt;0,SUM(J155:N155),0)</f>
        <v>47502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448"/>
        <v>200</v>
      </c>
      <c r="S155">
        <f t="shared" si="357"/>
        <v>44302</v>
      </c>
      <c r="T155">
        <f>_xlfn.XLOOKUP(B155,'[2]april-2025'!$A:$A,'[2]april-2025'!$C:$C,0,0)</f>
        <v>37700</v>
      </c>
      <c r="U155">
        <f t="shared" si="366"/>
        <v>6786</v>
      </c>
      <c r="V155">
        <f t="shared" si="367"/>
        <v>4524</v>
      </c>
      <c r="W155">
        <f>_xlfn.XLOOKUP(B155,'[2]april-2025'!$A:$A,'[2]april-2025'!$D:$D,0,0)</f>
        <v>0</v>
      </c>
      <c r="X155">
        <f>_xlfn.XLOOKUP(B155,'[2]april-2025'!$A:$A,'[2]april-2025'!$G:$G,0,0)</f>
        <v>0</v>
      </c>
      <c r="Y155">
        <f t="shared" si="358"/>
        <v>49010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368"/>
        <v>200</v>
      </c>
      <c r="AC155">
        <f t="shared" si="369"/>
        <v>45810</v>
      </c>
      <c r="AD155">
        <f>_xlfn.XLOOKUP(B155,'[3]may-2025'!$A:$A,'[3]may-2025'!$C:$C,0,0)</f>
        <v>37700</v>
      </c>
      <c r="AE155">
        <f t="shared" si="370"/>
        <v>6786</v>
      </c>
      <c r="AF155">
        <f t="shared" si="371"/>
        <v>4524</v>
      </c>
      <c r="AG155">
        <f>_xlfn.XLOOKUP(B155,'[3]may-2025'!$A:$A,'[3]may-2025'!$D:$D,0,0)</f>
        <v>0</v>
      </c>
      <c r="AH155">
        <f>_xlfn.XLOOKUP(B155,'[3]may-2025'!$A:$A,'[3]may-2025'!$G:$G,0,0)</f>
        <v>0</v>
      </c>
      <c r="AI155">
        <f t="shared" si="359"/>
        <v>49010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372"/>
        <v>200</v>
      </c>
      <c r="AM155">
        <f t="shared" si="373"/>
        <v>45810</v>
      </c>
      <c r="AN155">
        <f>_xlfn.XLOOKUP(B155,'[4]june-2025'!$A:$A,'[4]june-2025'!$C:$C,0,0)</f>
        <v>37700</v>
      </c>
      <c r="AO155">
        <f t="shared" si="374"/>
        <v>6786</v>
      </c>
      <c r="AP155">
        <f t="shared" si="375"/>
        <v>4524</v>
      </c>
      <c r="AQ155">
        <f>_xlfn.XLOOKUP(B155,'[4]june-2025'!$A:$A,'[4]june-2025'!$D:$D,0,0)</f>
        <v>0</v>
      </c>
      <c r="AR155">
        <f>_xlfn.XLOOKUP(B155,'[4]june-2025'!$A:$A,'[4]june-2025'!$G:$G,0,0)</f>
        <v>0</v>
      </c>
      <c r="AS155">
        <f t="shared" si="360"/>
        <v>49010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376"/>
        <v>200</v>
      </c>
      <c r="AW155">
        <f t="shared" si="377"/>
        <v>45810</v>
      </c>
      <c r="AX155">
        <f>_xlfn.XLOOKUP(B155,'[5]july-2025'!$A:$A,'[5]july-2025'!$C:$C,0,0)</f>
        <v>38800</v>
      </c>
      <c r="AY155">
        <f t="shared" si="378"/>
        <v>6984</v>
      </c>
      <c r="AZ155">
        <v>0</v>
      </c>
      <c r="BA155">
        <f t="shared" si="379"/>
        <v>4656</v>
      </c>
      <c r="BB155">
        <f>_xlfn.XLOOKUP(B155,'[5]july-2025'!$A:$A,'[5]july-2025'!$D:$D,0,0)</f>
        <v>0</v>
      </c>
      <c r="BC155">
        <f>_xlfn.XLOOKUP(B155,'[5]july-2025'!$A:$A,'[5]july-2025'!$G:$G,0,0)</f>
        <v>0</v>
      </c>
      <c r="BD155">
        <f>IF(AX155&gt;0,SUM(AX155:BC155),0)</f>
        <v>50440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380"/>
        <v>200</v>
      </c>
      <c r="BH155">
        <f t="shared" si="381"/>
        <v>47240</v>
      </c>
      <c r="BI155">
        <f>_xlfn.XLOOKUP(B155,'[6]august-2025'!$A:$A,'[6]august-2025'!$C:$C,0,0)</f>
        <v>38800</v>
      </c>
      <c r="BJ155">
        <f t="shared" si="382"/>
        <v>6984</v>
      </c>
      <c r="BK155">
        <f t="shared" si="383"/>
        <v>4656</v>
      </c>
      <c r="BL155">
        <f>_xlfn.XLOOKUP(B155,'[6]august-2025'!$A:$A,'[6]august-2025'!$D:$D,0,0)</f>
        <v>0</v>
      </c>
      <c r="BM155">
        <f>_xlfn.XLOOKUP(B155,'[6]august-2025'!$A:$A,'[6]august-2025'!$G:$G,0,0)</f>
        <v>0</v>
      </c>
      <c r="BN155">
        <f t="shared" si="384"/>
        <v>50440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>IF($F155="YES",0,IF(BN155&gt;40000,200,IF(BN155&gt;25000,150,IF(BN155&gt;15000,130,IF(BN155&gt;10000,110,0)))))</f>
        <v>200</v>
      </c>
      <c r="BR155">
        <f>BN155-BO155-BP155-BQ155</f>
        <v>47240</v>
      </c>
      <c r="BS155">
        <f>_xlfn.XLOOKUP(B155,'[7]september-2025'!$A:$A,'[7]september-2025'!$C:$C,0,0)</f>
        <v>38800</v>
      </c>
      <c r="BT155">
        <f t="shared" si="385"/>
        <v>6984</v>
      </c>
      <c r="BU155">
        <f t="shared" si="386"/>
        <v>4656</v>
      </c>
      <c r="BV155">
        <f>_xlfn.XLOOKUP(B155,'[7]september-2025'!$A:$A,'[7]september-2025'!$D:$D,0,0)</f>
        <v>0</v>
      </c>
      <c r="BW155">
        <f>_xlfn.XLOOKUP(B155,'[7]september-2025'!$A:$A,'[7]september-2025'!$G:$G,0,0)</f>
        <v>0</v>
      </c>
      <c r="BX155">
        <f>IF(BS155&gt;0,SUM(BS155:BW155),0)</f>
        <v>50440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387"/>
        <v>200</v>
      </c>
      <c r="CB155">
        <f t="shared" si="388"/>
        <v>47240</v>
      </c>
      <c r="CC155">
        <f>_xlfn.XLOOKUP(B155,'[8]october-2025'!$A:$A,'[8]october-2025'!$C:$C,0,0)</f>
        <v>38800</v>
      </c>
      <c r="CD155">
        <f t="shared" si="389"/>
        <v>6984</v>
      </c>
      <c r="CE155">
        <f t="shared" si="390"/>
        <v>4656</v>
      </c>
      <c r="CF155">
        <f>_xlfn.XLOOKUP(B155,'[8]october-2025'!$A:$A,'[8]october-2025'!$D:$D,0,0)</f>
        <v>0</v>
      </c>
      <c r="CG155">
        <f>_xlfn.XLOOKUP(B155,'[8]october-2025'!$A:$A,'[8]october-2025'!$G:$G,0,0)</f>
        <v>0</v>
      </c>
      <c r="CH155">
        <f>IF(CC155&gt;0,SUM(CC155:CG155),0)</f>
        <v>50440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391"/>
        <v>200</v>
      </c>
      <c r="CL155">
        <f t="shared" si="392"/>
        <v>47240</v>
      </c>
      <c r="CM155">
        <f>_xlfn.XLOOKUP(B155,'[9]november-2025'!$A:$A,'[9]november-2025'!$C:$C,0,0)</f>
        <v>38800</v>
      </c>
      <c r="CN155">
        <f t="shared" si="393"/>
        <v>6984</v>
      </c>
      <c r="CO155">
        <f t="shared" si="394"/>
        <v>4656</v>
      </c>
      <c r="CP155">
        <f>_xlfn.XLOOKUP(B155,'[9]november-2025'!$A:$A,'[9]november-2025'!$D:$D,0,0)</f>
        <v>0</v>
      </c>
      <c r="CQ155">
        <f>_xlfn.XLOOKUP(B155,'[9]november-2025'!$A:$A,'[9]november-2025'!$G:$G,0,0)</f>
        <v>0</v>
      </c>
      <c r="CR155">
        <f>IF(CM155&gt;0,SUM(CM155:CQ155),0)</f>
        <v>50440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395"/>
        <v>200</v>
      </c>
      <c r="CV155">
        <f t="shared" si="396"/>
        <v>47240</v>
      </c>
      <c r="CW155">
        <f>_xlfn.XLOOKUP(B155,'[10]december-2025'!$A:$A,'[10]december-2025'!$C:$C,0,0)</f>
        <v>38800</v>
      </c>
      <c r="CX155">
        <f t="shared" si="397"/>
        <v>6984</v>
      </c>
      <c r="CY155">
        <f t="shared" si="398"/>
        <v>4656</v>
      </c>
      <c r="CZ155">
        <f>_xlfn.XLOOKUP(B155,'[10]december-2025'!$A:$A,'[10]december-2025'!$D:$D,0,0)</f>
        <v>0</v>
      </c>
      <c r="DA155">
        <f>_xlfn.XLOOKUP(B155,'[10]december-2025'!$A:$A,'[10]december-2025'!$G:$G,0,0)</f>
        <v>0</v>
      </c>
      <c r="DB155">
        <f>IF(CW155&gt;0,SUM(CW155:DA155),0)</f>
        <v>50440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399"/>
        <v>200</v>
      </c>
      <c r="DF155">
        <f t="shared" si="400"/>
        <v>47240</v>
      </c>
      <c r="DG155">
        <f>_xlfn.XLOOKUP(B155,'[11]january-2026'!$A:$A,'[11]january-2026'!$C:$C,0,0)</f>
        <v>38800</v>
      </c>
      <c r="DH155">
        <f t="shared" si="401"/>
        <v>6984</v>
      </c>
      <c r="DI155">
        <f t="shared" si="402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>IF(DG155&gt;0,SUM(DG155:DK155),0)</f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03"/>
        <v>200</v>
      </c>
      <c r="DP155">
        <f t="shared" si="404"/>
        <v>47240</v>
      </c>
      <c r="DQ155">
        <f>_xlfn.XLOOKUP(B155,'[12]february-2026'!$A:$A,'[12]february-2026'!$C:$C,0,0)</f>
        <v>38800</v>
      </c>
      <c r="DR155">
        <f t="shared" si="405"/>
        <v>6984</v>
      </c>
      <c r="DS155">
        <f t="shared" si="406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>IF(DQ155&gt;0,SUM(DQ155:DU155),0)</f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07"/>
        <v>200</v>
      </c>
      <c r="DZ155">
        <f t="shared" si="408"/>
        <v>47240</v>
      </c>
      <c r="EA155">
        <f>_xlfn.XLOOKUP(B155,'[1]march-2025'!$A:$A,'[1]march-2025'!$J:$J,0,0)</f>
        <v>0</v>
      </c>
      <c r="EB155">
        <f>_xlfn.XLOOKUP(B155,'[2]april-2025'!$A:$A,'[2]april-2025'!$J:$J,0,0)</f>
        <v>0</v>
      </c>
      <c r="EC155">
        <f>_xlfn.XLOOKUP(B155,'[3]may-2025'!$A:$A,'[3]may-2025'!$J:$J,0,0)</f>
        <v>0</v>
      </c>
      <c r="ED155">
        <f>_xlfn.XLOOKUP(B155,'[4]june-2025'!$A:$A,'[4]june-2025'!$J:$J,0,0)</f>
        <v>0</v>
      </c>
      <c r="EE155">
        <f>_xlfn.XLOOKUP(B155,'[5]july-2025'!$A:$A,'[5]july-2025'!$J:$J,0,0)</f>
        <v>0</v>
      </c>
      <c r="EF155">
        <f>_xlfn.XLOOKUP(B155,'[6]august-2025'!$A:$A,'[6]august-2025'!$J:$J,0,0)</f>
        <v>0</v>
      </c>
      <c r="EG155">
        <f>_xlfn.XLOOKUP(B155,'[7]september-2025'!$A:$A,'[7]september-2025'!$J:$J,0,0)</f>
        <v>0</v>
      </c>
      <c r="EH155">
        <f>_xlfn.XLOOKUP(B155,'[8]october-2025'!$A:$A,'[8]october-2025'!$J:$J,0,0)</f>
        <v>0</v>
      </c>
      <c r="EI155">
        <f>_xlfn.XLOOKUP(C155,'[9]november-2025'!$A:$A,'[9]november-2025'!$J:$J,0,0)</f>
        <v>0</v>
      </c>
      <c r="EJ155">
        <f>_xlfn.XLOOKUP(B155,'[10]december-2025'!$A:$A,'[10]december-2025'!$J:$J,0,0)</f>
        <v>0</v>
      </c>
      <c r="EK155">
        <f>_xlfn.XLOOKUP(B155,'[11]january-2026'!$A:$A,'[11]january-2026'!$J:$J,0,0)</f>
        <v>0</v>
      </c>
      <c r="EL155">
        <f>_xlfn.XLOOKUP(B155,'[12]february-2026'!$A:$A,'[12]february-2026'!$J:$J,0,0)</f>
        <v>0</v>
      </c>
      <c r="EM155">
        <f t="shared" si="361"/>
        <v>0</v>
      </c>
      <c r="EN155">
        <f>DV155+DL155+DB155+CR155+CH155+BX155+BN155+BD155+AS155+AI155+Y155+O155+H155+I155</f>
        <v>604852</v>
      </c>
      <c r="EO155">
        <f>DY155+DO155+DE155+CU155+CK155+CA155+BQ155+BG155+AV155+AL155+AB155+R155</f>
        <v>2400</v>
      </c>
      <c r="EP155">
        <f t="shared" si="409"/>
        <v>50000</v>
      </c>
      <c r="EQ155">
        <v>0</v>
      </c>
      <c r="ER155">
        <f t="shared" si="362"/>
        <v>552452</v>
      </c>
      <c r="ES155">
        <f>DW155+DM155+DC155+CS155+CI155+BY155+BO155+BE155+AT155+AJ155+Z155+P155</f>
        <v>36000</v>
      </c>
      <c r="ET155">
        <f>DX155+DN155+DD155+CT155+CJ155+BZ155+BP155+BF155+AU155+AK155+AA155+Q155</f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410"/>
        <v>36000</v>
      </c>
      <c r="FF155">
        <f t="shared" si="411"/>
        <v>36000</v>
      </c>
      <c r="FG155">
        <f t="shared" si="412"/>
        <v>516452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>SUM(FH155:FN155)+(IF(F155="YES",50000,0))</f>
        <v>0</v>
      </c>
      <c r="FP155">
        <f t="shared" si="413"/>
        <v>516452</v>
      </c>
      <c r="FQ155">
        <f t="shared" si="414"/>
        <v>12500</v>
      </c>
      <c r="FR155">
        <f t="shared" si="415"/>
        <v>3290</v>
      </c>
      <c r="FS155">
        <f t="shared" si="416"/>
        <v>15790</v>
      </c>
      <c r="FT155">
        <f t="shared" si="417"/>
        <v>15790</v>
      </c>
      <c r="FU155">
        <f t="shared" si="418"/>
        <v>631.6</v>
      </c>
      <c r="FV155">
        <f t="shared" si="419"/>
        <v>16422</v>
      </c>
      <c r="FW155">
        <v>0</v>
      </c>
      <c r="FX155">
        <f t="shared" si="420"/>
        <v>16422</v>
      </c>
      <c r="FY155" t="b">
        <f t="shared" si="421"/>
        <v>1</v>
      </c>
      <c r="FZ155">
        <f t="shared" ca="1" si="422"/>
        <v>813</v>
      </c>
      <c r="GA155">
        <f t="shared" ca="1" si="423"/>
        <v>605665</v>
      </c>
      <c r="GB155">
        <f t="shared" si="424"/>
        <v>75000</v>
      </c>
      <c r="GC155">
        <f t="shared" ca="1" si="425"/>
        <v>530665</v>
      </c>
      <c r="GD155">
        <f t="shared" ca="1" si="426"/>
        <v>0</v>
      </c>
      <c r="GE155">
        <f t="shared" ca="1" si="427"/>
        <v>0</v>
      </c>
      <c r="GF155">
        <f t="shared" ca="1" si="428"/>
        <v>0</v>
      </c>
      <c r="GG155">
        <f t="shared" ca="1" si="429"/>
        <v>0</v>
      </c>
      <c r="GH155">
        <f t="shared" ca="1" si="430"/>
        <v>0</v>
      </c>
      <c r="GI155">
        <f t="shared" ca="1" si="431"/>
        <v>0</v>
      </c>
      <c r="GJ155">
        <f ca="1">IF(GC155&gt;1200000,GC155-1200000-IF(F155="YES",50000,0)-GH155,0)</f>
        <v>0</v>
      </c>
      <c r="GK155">
        <f t="shared" ca="1" si="432"/>
        <v>0</v>
      </c>
      <c r="GL155">
        <f t="shared" ca="1" si="433"/>
        <v>0</v>
      </c>
      <c r="GM155">
        <f t="shared" ca="1" si="434"/>
        <v>0</v>
      </c>
      <c r="GN155">
        <f t="shared" ca="1" si="435"/>
        <v>130665</v>
      </c>
      <c r="GO155">
        <f t="shared" ca="1" si="436"/>
        <v>6533.25</v>
      </c>
      <c r="GP155">
        <f t="shared" ca="1" si="437"/>
        <v>6533</v>
      </c>
      <c r="GQ155">
        <f t="shared" ca="1" si="438"/>
        <v>0</v>
      </c>
      <c r="GR155">
        <f t="shared" ca="1" si="439"/>
        <v>0</v>
      </c>
      <c r="GS155">
        <f t="shared" ca="1" si="440"/>
        <v>6533</v>
      </c>
      <c r="GT155">
        <f t="shared" ca="1" si="441"/>
        <v>0</v>
      </c>
      <c r="GU155" t="b">
        <f t="shared" ca="1" si="442"/>
        <v>0</v>
      </c>
      <c r="GV155">
        <f t="shared" ca="1" si="443"/>
        <v>0</v>
      </c>
      <c r="GW155">
        <f t="shared" ca="1" si="444"/>
        <v>6533</v>
      </c>
      <c r="GX155">
        <f t="shared" ca="1" si="445"/>
        <v>0</v>
      </c>
      <c r="GY155">
        <f t="shared" ca="1" si="446"/>
        <v>0</v>
      </c>
      <c r="GZ155">
        <f t="shared" ca="1" si="447"/>
        <v>0</v>
      </c>
    </row>
    <row r="156" spans="1:208" x14ac:dyDescent="0.25">
      <c r="A156">
        <f>_xlfn.AGGREGATE(3,5,$B$2:B156)</f>
        <v>155</v>
      </c>
      <c r="B156" t="s">
        <v>418</v>
      </c>
      <c r="C156" t="s">
        <v>419</v>
      </c>
      <c r="D156" t="s">
        <v>792</v>
      </c>
      <c r="E156" t="s">
        <v>831</v>
      </c>
      <c r="F156" t="s">
        <v>957</v>
      </c>
      <c r="G156" t="s">
        <v>933</v>
      </c>
      <c r="H156">
        <f t="shared" si="449"/>
        <v>6800</v>
      </c>
      <c r="I156">
        <f>_xlfn.XLOOKUP(B156,'[1]march-2025'!$A:$A,'[1]march-2025'!$J:$J,0,0)</f>
        <v>0</v>
      </c>
      <c r="J156">
        <f>_xlfn.XLOOKUP(B156,'[1]march-2025'!$A:$A,'[1]march-2025'!$C:$C,0,0)</f>
        <v>33500</v>
      </c>
      <c r="K156">
        <f t="shared" si="364"/>
        <v>4690</v>
      </c>
      <c r="L156">
        <f t="shared" si="365"/>
        <v>4020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>IF(J156&gt;0,SUM(J156:N156),0)</f>
        <v>42710</v>
      </c>
      <c r="P156">
        <f>_xlfn.XLOOKUP(B156,'[1]march-2025'!$A:$A,'[1]march-2025'!$H:$H,0,0)</f>
        <v>3000</v>
      </c>
      <c r="Q156">
        <f>_xlfn.XLOOKUP(B156,'[1]march-2025'!$A:$A,'[1]march-2025'!$I:$I,0,0)</f>
        <v>0</v>
      </c>
      <c r="R156">
        <f t="shared" si="448"/>
        <v>200</v>
      </c>
      <c r="S156">
        <f t="shared" si="357"/>
        <v>39510</v>
      </c>
      <c r="T156">
        <f>_xlfn.XLOOKUP(B156,'[2]april-2025'!$A:$A,'[2]april-2025'!$C:$C,0,0)</f>
        <v>33500</v>
      </c>
      <c r="U156">
        <f t="shared" si="366"/>
        <v>6030</v>
      </c>
      <c r="V156">
        <f t="shared" si="367"/>
        <v>4020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358"/>
        <v>44050</v>
      </c>
      <c r="Z156">
        <f>_xlfn.XLOOKUP(B156,'[2]april-2025'!$A:$A,'[2]april-2025'!$H:$H,0,0)</f>
        <v>3000</v>
      </c>
      <c r="AA156">
        <f>_xlfn.XLOOKUP(B156,'[2]april-2025'!$A:$A,'[2]april-2025'!$I:$I,0,0)</f>
        <v>0</v>
      </c>
      <c r="AB156">
        <f t="shared" si="368"/>
        <v>200</v>
      </c>
      <c r="AC156">
        <f t="shared" si="369"/>
        <v>40850</v>
      </c>
      <c r="AD156">
        <f>_xlfn.XLOOKUP(B156,'[3]may-2025'!$A:$A,'[3]may-2025'!$C:$C,0,0)</f>
        <v>33500</v>
      </c>
      <c r="AE156">
        <f t="shared" si="370"/>
        <v>6030</v>
      </c>
      <c r="AF156">
        <f t="shared" si="371"/>
        <v>4020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359"/>
        <v>44050</v>
      </c>
      <c r="AJ156">
        <f>_xlfn.XLOOKUP(B156,'[3]may-2025'!$A:$A,'[3]may-2025'!$H:$H,0,0)</f>
        <v>3000</v>
      </c>
      <c r="AK156">
        <f>_xlfn.XLOOKUP(B156,'[3]may-2025'!$A:$A,'[3]may-2025'!$I:$I,0,0)</f>
        <v>0</v>
      </c>
      <c r="AL156">
        <f t="shared" si="372"/>
        <v>200</v>
      </c>
      <c r="AM156">
        <f t="shared" si="373"/>
        <v>40850</v>
      </c>
      <c r="AN156">
        <f>_xlfn.XLOOKUP(B156,'[4]june-2025'!$A:$A,'[4]june-2025'!$C:$C,0,0)</f>
        <v>33500</v>
      </c>
      <c r="AO156">
        <f t="shared" si="374"/>
        <v>6030</v>
      </c>
      <c r="AP156">
        <f t="shared" si="375"/>
        <v>4020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360"/>
        <v>44050</v>
      </c>
      <c r="AT156">
        <f>_xlfn.XLOOKUP(B156,'[4]june-2025'!$A:$A,'[4]june-2025'!$H:$H,0,0)</f>
        <v>3000</v>
      </c>
      <c r="AU156">
        <f>_xlfn.XLOOKUP(B156,'[4]june-2025'!$A:$A,'[4]june-2025'!$I:$I,0,0)</f>
        <v>0</v>
      </c>
      <c r="AV156">
        <f t="shared" si="376"/>
        <v>200</v>
      </c>
      <c r="AW156">
        <f t="shared" si="377"/>
        <v>40850</v>
      </c>
      <c r="AX156">
        <f>_xlfn.XLOOKUP(B156,'[5]july-2025'!$A:$A,'[5]july-2025'!$C:$C,0,0)</f>
        <v>34500</v>
      </c>
      <c r="AY156">
        <f t="shared" si="378"/>
        <v>6210</v>
      </c>
      <c r="AZ156">
        <v>0</v>
      </c>
      <c r="BA156">
        <f t="shared" si="379"/>
        <v>4140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>IF(AX156&gt;0,SUM(AX156:BC156),0)</f>
        <v>45350</v>
      </c>
      <c r="BE156">
        <f>_xlfn.XLOOKUP(B156,'[5]july-2025'!$A:$A,'[5]july-2025'!$H:$H,0,0)</f>
        <v>3000</v>
      </c>
      <c r="BF156">
        <f>_xlfn.XLOOKUP(B156,'[5]july-2025'!$A:$A,'[5]july-2025'!$I:$I,0,0)</f>
        <v>0</v>
      </c>
      <c r="BG156">
        <f t="shared" si="380"/>
        <v>200</v>
      </c>
      <c r="BH156">
        <f t="shared" si="381"/>
        <v>42150</v>
      </c>
      <c r="BI156">
        <f>_xlfn.XLOOKUP(B156,'[6]august-2025'!$A:$A,'[6]august-2025'!$C:$C,0,0)</f>
        <v>34500</v>
      </c>
      <c r="BJ156">
        <f t="shared" si="382"/>
        <v>6210</v>
      </c>
      <c r="BK156">
        <f t="shared" si="383"/>
        <v>4140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384"/>
        <v>45350</v>
      </c>
      <c r="BO156">
        <f>_xlfn.XLOOKUP(B156,'[6]august-2025'!$A:$A,'[6]august-2025'!$H:$H,0,0)</f>
        <v>3000</v>
      </c>
      <c r="BP156">
        <f>_xlfn.XLOOKUP(B156,'[6]august-2025'!$A:$A,'[6]august-2025'!$I:$I,0,0)</f>
        <v>0</v>
      </c>
      <c r="BQ156">
        <f>IF($F156="YES",0,IF(BN156&gt;40000,200,IF(BN156&gt;25000,150,IF(BN156&gt;15000,130,IF(BN156&gt;10000,110,0)))))</f>
        <v>200</v>
      </c>
      <c r="BR156">
        <f>BN156-BO156-BP156-BQ156</f>
        <v>42150</v>
      </c>
      <c r="BS156">
        <f>_xlfn.XLOOKUP(B156,'[7]september-2025'!$A:$A,'[7]september-2025'!$C:$C,0,0)</f>
        <v>34500</v>
      </c>
      <c r="BT156">
        <f t="shared" si="385"/>
        <v>6210</v>
      </c>
      <c r="BU156">
        <f t="shared" si="386"/>
        <v>4140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>IF(BS156&gt;0,SUM(BS156:BW156),0)</f>
        <v>45350</v>
      </c>
      <c r="BY156">
        <f>_xlfn.XLOOKUP(B156,'[7]september-2025'!$A:$A,'[7]september-2025'!$H:$H,0,0)</f>
        <v>3000</v>
      </c>
      <c r="BZ156">
        <f>_xlfn.XLOOKUP(B156,'[7]september-2025'!$A:$A,'[7]september-2025'!$I:$I,0,0)</f>
        <v>0</v>
      </c>
      <c r="CA156">
        <f t="shared" si="387"/>
        <v>200</v>
      </c>
      <c r="CB156">
        <f t="shared" si="388"/>
        <v>42150</v>
      </c>
      <c r="CC156">
        <f>_xlfn.XLOOKUP(B156,'[8]october-2025'!$A:$A,'[8]october-2025'!$C:$C,0,0)</f>
        <v>34500</v>
      </c>
      <c r="CD156">
        <f t="shared" si="389"/>
        <v>6210</v>
      </c>
      <c r="CE156">
        <f t="shared" si="390"/>
        <v>4140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>IF(CC156&gt;0,SUM(CC156:CG156),0)</f>
        <v>45350</v>
      </c>
      <c r="CI156">
        <f>_xlfn.XLOOKUP(B156,'[8]october-2025'!$A:$A,'[8]october-2025'!$H:$H,0,0)</f>
        <v>3000</v>
      </c>
      <c r="CJ156">
        <f>_xlfn.XLOOKUP(B156,'[8]october-2025'!$A:$A,'[8]october-2025'!$I:$I,0,0)</f>
        <v>0</v>
      </c>
      <c r="CK156">
        <f t="shared" si="391"/>
        <v>200</v>
      </c>
      <c r="CL156">
        <f t="shared" si="392"/>
        <v>42150</v>
      </c>
      <c r="CM156">
        <f>_xlfn.XLOOKUP(B156,'[9]november-2025'!$A:$A,'[9]november-2025'!$C:$C,0,0)</f>
        <v>34500</v>
      </c>
      <c r="CN156">
        <f t="shared" si="393"/>
        <v>6210</v>
      </c>
      <c r="CO156">
        <f t="shared" si="394"/>
        <v>4140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>IF(CM156&gt;0,SUM(CM156:CQ156),0)</f>
        <v>45350</v>
      </c>
      <c r="CS156">
        <f>_xlfn.XLOOKUP(B156,'[9]november-2025'!$A:$A,'[9]november-2025'!$H:$H,0,0)</f>
        <v>3000</v>
      </c>
      <c r="CT156">
        <f>_xlfn.XLOOKUP(B156,'[9]november-2025'!$A:$A,'[9]november-2025'!$I:$I,0,0)</f>
        <v>0</v>
      </c>
      <c r="CU156">
        <f t="shared" si="395"/>
        <v>200</v>
      </c>
      <c r="CV156">
        <f t="shared" si="396"/>
        <v>42150</v>
      </c>
      <c r="CW156">
        <f>_xlfn.XLOOKUP(B156,'[10]december-2025'!$A:$A,'[10]december-2025'!$C:$C,0,0)</f>
        <v>34500</v>
      </c>
      <c r="CX156">
        <f t="shared" si="397"/>
        <v>6210</v>
      </c>
      <c r="CY156">
        <f t="shared" si="398"/>
        <v>4140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>IF(CW156&gt;0,SUM(CW156:DA156),0)</f>
        <v>45350</v>
      </c>
      <c r="DC156">
        <f>_xlfn.XLOOKUP(B156,'[10]december-2025'!$A:$A,'[10]december-2025'!$H:$H,0,0)</f>
        <v>3000</v>
      </c>
      <c r="DD156">
        <f>_xlfn.XLOOKUP(B156,'[10]december-2025'!$A:$A,'[10]december-2025'!$I:$I,0,0)</f>
        <v>0</v>
      </c>
      <c r="DE156">
        <f t="shared" si="399"/>
        <v>200</v>
      </c>
      <c r="DF156">
        <f t="shared" si="400"/>
        <v>42150</v>
      </c>
      <c r="DG156">
        <f>_xlfn.XLOOKUP(B156,'[11]january-2026'!$A:$A,'[11]january-2026'!$C:$C,0,0)</f>
        <v>34500</v>
      </c>
      <c r="DH156">
        <f t="shared" si="401"/>
        <v>6210</v>
      </c>
      <c r="DI156">
        <f t="shared" si="402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>IF(DG156&gt;0,SUM(DG156:DK156),0)</f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03"/>
        <v>200</v>
      </c>
      <c r="DP156">
        <f t="shared" si="404"/>
        <v>42150</v>
      </c>
      <c r="DQ156">
        <f>_xlfn.XLOOKUP(B156,'[12]february-2026'!$A:$A,'[12]february-2026'!$C:$C,0,0)</f>
        <v>34500</v>
      </c>
      <c r="DR156">
        <f t="shared" si="405"/>
        <v>6210</v>
      </c>
      <c r="DS156">
        <f t="shared" si="406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>IF(DQ156&gt;0,SUM(DQ156:DU156),0)</f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07"/>
        <v>200</v>
      </c>
      <c r="DZ156">
        <f t="shared" si="408"/>
        <v>42150</v>
      </c>
      <c r="EA156">
        <f>_xlfn.XLOOKUP(B156,'[1]march-2025'!$A:$A,'[1]march-2025'!$J:$J,0,0)</f>
        <v>0</v>
      </c>
      <c r="EB156">
        <f>_xlfn.XLOOKUP(B156,'[2]april-2025'!$A:$A,'[2]april-2025'!$J:$J,0,0)</f>
        <v>0</v>
      </c>
      <c r="EC156">
        <f>_xlfn.XLOOKUP(B156,'[3]may-2025'!$A:$A,'[3]may-2025'!$J:$J,0,0)</f>
        <v>0</v>
      </c>
      <c r="ED156">
        <f>_xlfn.XLOOKUP(B156,'[4]june-2025'!$A:$A,'[4]june-2025'!$J:$J,0,0)</f>
        <v>0</v>
      </c>
      <c r="EE156">
        <f>_xlfn.XLOOKUP(B156,'[5]july-2025'!$A:$A,'[5]july-2025'!$J:$J,0,0)</f>
        <v>0</v>
      </c>
      <c r="EF156">
        <f>_xlfn.XLOOKUP(B156,'[6]august-2025'!$A:$A,'[6]august-2025'!$J:$J,0,0)</f>
        <v>0</v>
      </c>
      <c r="EG156">
        <f>_xlfn.XLOOKUP(B156,'[7]september-2025'!$A:$A,'[7]september-2025'!$J:$J,0,0)</f>
        <v>0</v>
      </c>
      <c r="EH156">
        <f>_xlfn.XLOOKUP(B156,'[8]october-2025'!$A:$A,'[8]october-2025'!$J:$J,0,0)</f>
        <v>0</v>
      </c>
      <c r="EI156">
        <f>_xlfn.XLOOKUP(C156,'[9]november-2025'!$A:$A,'[9]november-2025'!$J:$J,0,0)</f>
        <v>0</v>
      </c>
      <c r="EJ156">
        <f>_xlfn.XLOOKUP(B156,'[10]december-2025'!$A:$A,'[10]december-2025'!$J:$J,0,0)</f>
        <v>0</v>
      </c>
      <c r="EK156">
        <f>_xlfn.XLOOKUP(B156,'[11]january-2026'!$A:$A,'[11]january-2026'!$J:$J,0,0)</f>
        <v>0</v>
      </c>
      <c r="EL156">
        <f>_xlfn.XLOOKUP(B156,'[12]february-2026'!$A:$A,'[12]february-2026'!$J:$J,0,0)</f>
        <v>0</v>
      </c>
      <c r="EM156">
        <f t="shared" si="361"/>
        <v>0</v>
      </c>
      <c r="EN156">
        <f>DV156+DL156+DB156+CR156+CH156+BX156+BN156+BD156+AS156+AI156+Y156+O156+H156+I156</f>
        <v>544460</v>
      </c>
      <c r="EO156">
        <f>DY156+DO156+DE156+CU156+CK156+CA156+BQ156+BG156+AV156+AL156+AB156+R156</f>
        <v>2400</v>
      </c>
      <c r="EP156">
        <f t="shared" si="409"/>
        <v>50000</v>
      </c>
      <c r="EQ156">
        <v>0</v>
      </c>
      <c r="ER156">
        <f t="shared" si="362"/>
        <v>492060</v>
      </c>
      <c r="ES156">
        <f>DW156+DM156+DC156+CS156+CI156+BY156+BO156+BE156+AT156+AJ156+Z156+P156</f>
        <v>36000</v>
      </c>
      <c r="ET156">
        <f>DX156+DN156+DD156+CT156+CJ156+BZ156+BP156+BF156+AU156+AK156+AA156+Q156</f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410"/>
        <v>36000</v>
      </c>
      <c r="FF156">
        <f t="shared" si="411"/>
        <v>36000</v>
      </c>
      <c r="FG156">
        <f t="shared" si="412"/>
        <v>456060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>SUM(FH156:FN156)+(IF(F156="YES",50000,0))</f>
        <v>0</v>
      </c>
      <c r="FP156">
        <f t="shared" si="413"/>
        <v>456060</v>
      </c>
      <c r="FQ156">
        <f t="shared" si="414"/>
        <v>10303</v>
      </c>
      <c r="FR156">
        <f t="shared" si="415"/>
        <v>0</v>
      </c>
      <c r="FS156">
        <f t="shared" si="416"/>
        <v>10303</v>
      </c>
      <c r="FT156">
        <f t="shared" si="417"/>
        <v>0</v>
      </c>
      <c r="FU156">
        <f t="shared" si="418"/>
        <v>0</v>
      </c>
      <c r="FV156">
        <f t="shared" si="419"/>
        <v>0</v>
      </c>
      <c r="FW156">
        <v>0</v>
      </c>
      <c r="FX156">
        <f t="shared" si="420"/>
        <v>0</v>
      </c>
      <c r="FY156" t="b">
        <f t="shared" si="421"/>
        <v>1</v>
      </c>
      <c r="FZ156">
        <f t="shared" ca="1" si="422"/>
        <v>958</v>
      </c>
      <c r="GA156">
        <f t="shared" ca="1" si="423"/>
        <v>545418</v>
      </c>
      <c r="GB156">
        <f t="shared" si="424"/>
        <v>75000</v>
      </c>
      <c r="GC156">
        <f t="shared" ca="1" si="425"/>
        <v>470418</v>
      </c>
      <c r="GD156">
        <f t="shared" ca="1" si="426"/>
        <v>0</v>
      </c>
      <c r="GE156">
        <f t="shared" ca="1" si="427"/>
        <v>0</v>
      </c>
      <c r="GF156">
        <f t="shared" ca="1" si="428"/>
        <v>0</v>
      </c>
      <c r="GG156">
        <f t="shared" ca="1" si="429"/>
        <v>0</v>
      </c>
      <c r="GH156">
        <f t="shared" ca="1" si="430"/>
        <v>0</v>
      </c>
      <c r="GI156">
        <f t="shared" ca="1" si="431"/>
        <v>0</v>
      </c>
      <c r="GJ156">
        <f ca="1">IF(GC156&gt;1200000,GC156-1200000-IF(F156="YES",50000,0)-GH156,0)</f>
        <v>0</v>
      </c>
      <c r="GK156">
        <f t="shared" ca="1" si="432"/>
        <v>0</v>
      </c>
      <c r="GL156">
        <f t="shared" ca="1" si="433"/>
        <v>0</v>
      </c>
      <c r="GM156">
        <f t="shared" ca="1" si="434"/>
        <v>0</v>
      </c>
      <c r="GN156">
        <f t="shared" ca="1" si="435"/>
        <v>70418</v>
      </c>
      <c r="GO156">
        <f t="shared" ca="1" si="436"/>
        <v>3520.9</v>
      </c>
      <c r="GP156">
        <f t="shared" ca="1" si="437"/>
        <v>3521</v>
      </c>
      <c r="GQ156">
        <f t="shared" ca="1" si="438"/>
        <v>0</v>
      </c>
      <c r="GR156">
        <f t="shared" ca="1" si="439"/>
        <v>0</v>
      </c>
      <c r="GS156">
        <f t="shared" ca="1" si="440"/>
        <v>3521</v>
      </c>
      <c r="GT156">
        <f t="shared" ca="1" si="441"/>
        <v>0</v>
      </c>
      <c r="GU156" t="b">
        <f t="shared" ca="1" si="442"/>
        <v>0</v>
      </c>
      <c r="GV156">
        <f t="shared" ca="1" si="443"/>
        <v>0</v>
      </c>
      <c r="GW156">
        <f t="shared" ca="1" si="444"/>
        <v>3521</v>
      </c>
      <c r="GX156">
        <f t="shared" ca="1" si="445"/>
        <v>0</v>
      </c>
      <c r="GY156">
        <f t="shared" ca="1" si="446"/>
        <v>0</v>
      </c>
      <c r="GZ156">
        <f t="shared" ca="1" si="447"/>
        <v>0</v>
      </c>
    </row>
    <row r="157" spans="1:208" x14ac:dyDescent="0.25">
      <c r="A157">
        <f>_xlfn.AGGREGATE(3,5,$B$2:B157)</f>
        <v>156</v>
      </c>
      <c r="B157" t="s">
        <v>420</v>
      </c>
      <c r="C157" t="s">
        <v>421</v>
      </c>
      <c r="D157" t="s">
        <v>793</v>
      </c>
      <c r="E157" t="s">
        <v>832</v>
      </c>
      <c r="F157" t="s">
        <v>957</v>
      </c>
      <c r="G157" t="s">
        <v>880</v>
      </c>
      <c r="H157">
        <f t="shared" si="449"/>
        <v>6800</v>
      </c>
      <c r="I157">
        <f>_xlfn.XLOOKUP(B157,'[1]march-2025'!$A:$A,'[1]march-2025'!$J:$J,0,0)</f>
        <v>0</v>
      </c>
      <c r="J157">
        <f>_xlfn.XLOOKUP(B157,'[1]march-2025'!$A:$A,'[1]march-2025'!$C:$C,0,0)</f>
        <v>47300</v>
      </c>
      <c r="K157">
        <f t="shared" si="364"/>
        <v>6622.0000000000009</v>
      </c>
      <c r="L157">
        <f t="shared" si="365"/>
        <v>5676</v>
      </c>
      <c r="M157">
        <f>_xlfn.XLOOKUP(B157,'[1]march-2025'!$A:$A,'[1]march-2025'!$D:$D,0,0)</f>
        <v>400</v>
      </c>
      <c r="N157">
        <f>_xlfn.XLOOKUP(B157,'[1]march-2025'!$A:$A,'[1]march-2025'!$G:$G,0,0)</f>
        <v>500</v>
      </c>
      <c r="O157">
        <f>IF(J157&gt;0,SUM(J157:N157),0)</f>
        <v>60498</v>
      </c>
      <c r="P157">
        <f>_xlfn.XLOOKUP(B157,'[1]march-2025'!$A:$A,'[1]march-2025'!$H:$H,0,0)</f>
        <v>8000</v>
      </c>
      <c r="Q157">
        <f>_xlfn.XLOOKUP(B157,'[1]march-2025'!$A:$A,'[1]march-2025'!$I:$I,0,0)</f>
        <v>60</v>
      </c>
      <c r="R157">
        <f t="shared" si="448"/>
        <v>200</v>
      </c>
      <c r="S157">
        <f t="shared" si="357"/>
        <v>52238</v>
      </c>
      <c r="T157">
        <f>_xlfn.XLOOKUP(B157,'[2]april-2025'!$A:$A,'[2]april-2025'!$C:$C,0,0)</f>
        <v>47300</v>
      </c>
      <c r="U157">
        <f t="shared" si="366"/>
        <v>8514</v>
      </c>
      <c r="V157">
        <f t="shared" si="367"/>
        <v>5676</v>
      </c>
      <c r="W157">
        <f>_xlfn.XLOOKUP(B157,'[2]april-2025'!$A:$A,'[2]april-2025'!$D:$D,0,0)</f>
        <v>400</v>
      </c>
      <c r="X157">
        <f>_xlfn.XLOOKUP(B157,'[2]april-2025'!$A:$A,'[2]april-2025'!$G:$G,0,0)</f>
        <v>500</v>
      </c>
      <c r="Y157">
        <f t="shared" si="358"/>
        <v>62390</v>
      </c>
      <c r="Z157">
        <f>_xlfn.XLOOKUP(B157,'[2]april-2025'!$A:$A,'[2]april-2025'!$H:$H,0,0)</f>
        <v>8000</v>
      </c>
      <c r="AA157">
        <f>_xlfn.XLOOKUP(B157,'[2]april-2025'!$A:$A,'[2]april-2025'!$I:$I,0,0)</f>
        <v>60</v>
      </c>
      <c r="AB157">
        <f t="shared" si="368"/>
        <v>200</v>
      </c>
      <c r="AC157">
        <f t="shared" si="369"/>
        <v>54130</v>
      </c>
      <c r="AD157">
        <f>_xlfn.XLOOKUP(B157,'[3]may-2025'!$A:$A,'[3]may-2025'!$C:$C,0,0)</f>
        <v>47300</v>
      </c>
      <c r="AE157">
        <f t="shared" si="370"/>
        <v>8514</v>
      </c>
      <c r="AF157">
        <f t="shared" si="371"/>
        <v>5676</v>
      </c>
      <c r="AG157">
        <f>_xlfn.XLOOKUP(B157,'[3]may-2025'!$A:$A,'[3]may-2025'!$D:$D,0,0)</f>
        <v>400</v>
      </c>
      <c r="AH157">
        <f>_xlfn.XLOOKUP(B157,'[3]may-2025'!$A:$A,'[3]may-2025'!$G:$G,0,0)</f>
        <v>500</v>
      </c>
      <c r="AI157">
        <f t="shared" si="359"/>
        <v>62390</v>
      </c>
      <c r="AJ157">
        <f>_xlfn.XLOOKUP(B157,'[3]may-2025'!$A:$A,'[3]may-2025'!$H:$H,0,0)</f>
        <v>8000</v>
      </c>
      <c r="AK157">
        <f>_xlfn.XLOOKUP(B157,'[3]may-2025'!$A:$A,'[3]may-2025'!$I:$I,0,0)</f>
        <v>60</v>
      </c>
      <c r="AL157">
        <f t="shared" si="372"/>
        <v>200</v>
      </c>
      <c r="AM157">
        <f t="shared" si="373"/>
        <v>54130</v>
      </c>
      <c r="AN157">
        <f>_xlfn.XLOOKUP(B157,'[4]june-2025'!$A:$A,'[4]june-2025'!$C:$C,0,0)</f>
        <v>47300</v>
      </c>
      <c r="AO157">
        <f t="shared" si="374"/>
        <v>8514</v>
      </c>
      <c r="AP157">
        <f t="shared" si="375"/>
        <v>5676</v>
      </c>
      <c r="AQ157">
        <f>_xlfn.XLOOKUP(B157,'[4]june-2025'!$A:$A,'[4]june-2025'!$D:$D,0,0)</f>
        <v>400</v>
      </c>
      <c r="AR157">
        <f>_xlfn.XLOOKUP(B157,'[4]june-2025'!$A:$A,'[4]june-2025'!$G:$G,0,0)</f>
        <v>500</v>
      </c>
      <c r="AS157">
        <f t="shared" si="360"/>
        <v>62390</v>
      </c>
      <c r="AT157">
        <f>_xlfn.XLOOKUP(B157,'[4]june-2025'!$A:$A,'[4]june-2025'!$H:$H,0,0)</f>
        <v>8000</v>
      </c>
      <c r="AU157">
        <f>_xlfn.XLOOKUP(B157,'[4]june-2025'!$A:$A,'[4]june-2025'!$I:$I,0,0)</f>
        <v>60</v>
      </c>
      <c r="AV157">
        <f t="shared" si="376"/>
        <v>200</v>
      </c>
      <c r="AW157">
        <f t="shared" si="377"/>
        <v>54130</v>
      </c>
      <c r="AX157">
        <f>_xlfn.XLOOKUP(B157,'[5]july-2025'!$A:$A,'[5]july-2025'!$C:$C,0,0)</f>
        <v>48700</v>
      </c>
      <c r="AY157">
        <f t="shared" si="378"/>
        <v>8766</v>
      </c>
      <c r="AZ157">
        <v>0</v>
      </c>
      <c r="BA157">
        <f t="shared" si="379"/>
        <v>5844</v>
      </c>
      <c r="BB157">
        <f>_xlfn.XLOOKUP(B157,'[5]july-2025'!$A:$A,'[5]july-2025'!$D:$D,0,0)</f>
        <v>400</v>
      </c>
      <c r="BC157">
        <f>_xlfn.XLOOKUP(B157,'[5]july-2025'!$A:$A,'[5]july-2025'!$G:$G,0,0)</f>
        <v>500</v>
      </c>
      <c r="BD157">
        <f>IF(AX157&gt;0,SUM(AX157:BC157),0)</f>
        <v>64210</v>
      </c>
      <c r="BE157">
        <f>_xlfn.XLOOKUP(B157,'[5]july-2025'!$A:$A,'[5]july-2025'!$H:$H,0,0)</f>
        <v>8000</v>
      </c>
      <c r="BF157">
        <f>_xlfn.XLOOKUP(B157,'[5]july-2025'!$A:$A,'[5]july-2025'!$I:$I,0,0)</f>
        <v>60</v>
      </c>
      <c r="BG157">
        <f t="shared" si="380"/>
        <v>200</v>
      </c>
      <c r="BH157">
        <f t="shared" si="381"/>
        <v>55950</v>
      </c>
      <c r="BI157">
        <f>_xlfn.XLOOKUP(B157,'[6]august-2025'!$A:$A,'[6]august-2025'!$C:$C,0,0)</f>
        <v>48700</v>
      </c>
      <c r="BJ157">
        <f t="shared" si="382"/>
        <v>8766</v>
      </c>
      <c r="BK157">
        <f t="shared" si="383"/>
        <v>5844</v>
      </c>
      <c r="BL157">
        <f>_xlfn.XLOOKUP(B157,'[6]august-2025'!$A:$A,'[6]august-2025'!$D:$D,0,0)</f>
        <v>400</v>
      </c>
      <c r="BM157">
        <f>_xlfn.XLOOKUP(B157,'[6]august-2025'!$A:$A,'[6]august-2025'!$G:$G,0,0)</f>
        <v>500</v>
      </c>
      <c r="BN157">
        <f t="shared" si="384"/>
        <v>64210</v>
      </c>
      <c r="BO157">
        <f>_xlfn.XLOOKUP(B157,'[6]august-2025'!$A:$A,'[6]august-2025'!$H:$H,0,0)</f>
        <v>8000</v>
      </c>
      <c r="BP157">
        <f>_xlfn.XLOOKUP(B157,'[6]august-2025'!$A:$A,'[6]august-2025'!$I:$I,0,0)</f>
        <v>60</v>
      </c>
      <c r="BQ157">
        <f>IF($F157="YES",0,IF(BN157&gt;40000,200,IF(BN157&gt;25000,150,IF(BN157&gt;15000,130,IF(BN157&gt;10000,110,0)))))</f>
        <v>200</v>
      </c>
      <c r="BR157">
        <f>BN157-BO157-BP157-BQ157</f>
        <v>55950</v>
      </c>
      <c r="BS157">
        <f>_xlfn.XLOOKUP(B157,'[7]september-2025'!$A:$A,'[7]september-2025'!$C:$C,0,0)</f>
        <v>48700</v>
      </c>
      <c r="BT157">
        <f t="shared" si="385"/>
        <v>8766</v>
      </c>
      <c r="BU157">
        <f t="shared" si="386"/>
        <v>5844</v>
      </c>
      <c r="BV157">
        <f>_xlfn.XLOOKUP(B157,'[7]september-2025'!$A:$A,'[7]september-2025'!$D:$D,0,0)</f>
        <v>400</v>
      </c>
      <c r="BW157">
        <f>_xlfn.XLOOKUP(B157,'[7]september-2025'!$A:$A,'[7]september-2025'!$G:$G,0,0)</f>
        <v>500</v>
      </c>
      <c r="BX157">
        <f>IF(BS157&gt;0,SUM(BS157:BW157),0)</f>
        <v>64210</v>
      </c>
      <c r="BY157">
        <f>_xlfn.XLOOKUP(B157,'[7]september-2025'!$A:$A,'[7]september-2025'!$H:$H,0,0)</f>
        <v>8000</v>
      </c>
      <c r="BZ157">
        <f>_xlfn.XLOOKUP(B157,'[7]september-2025'!$A:$A,'[7]september-2025'!$I:$I,0,0)</f>
        <v>60</v>
      </c>
      <c r="CA157">
        <f t="shared" si="387"/>
        <v>200</v>
      </c>
      <c r="CB157">
        <f t="shared" si="388"/>
        <v>55950</v>
      </c>
      <c r="CC157">
        <f>_xlfn.XLOOKUP(B157,'[8]october-2025'!$A:$A,'[8]october-2025'!$C:$C,0,0)</f>
        <v>48700</v>
      </c>
      <c r="CD157">
        <f t="shared" si="389"/>
        <v>8766</v>
      </c>
      <c r="CE157">
        <f t="shared" si="390"/>
        <v>5844</v>
      </c>
      <c r="CF157">
        <f>_xlfn.XLOOKUP(B157,'[8]october-2025'!$A:$A,'[8]october-2025'!$D:$D,0,0)</f>
        <v>400</v>
      </c>
      <c r="CG157">
        <f>_xlfn.XLOOKUP(B157,'[8]october-2025'!$A:$A,'[8]october-2025'!$G:$G,0,0)</f>
        <v>500</v>
      </c>
      <c r="CH157">
        <f>IF(CC157&gt;0,SUM(CC157:CG157),0)</f>
        <v>64210</v>
      </c>
      <c r="CI157">
        <f>_xlfn.XLOOKUP(B157,'[8]october-2025'!$A:$A,'[8]october-2025'!$H:$H,0,0)</f>
        <v>8000</v>
      </c>
      <c r="CJ157">
        <f>_xlfn.XLOOKUP(B157,'[8]october-2025'!$A:$A,'[8]october-2025'!$I:$I,0,0)</f>
        <v>60</v>
      </c>
      <c r="CK157">
        <f t="shared" si="391"/>
        <v>200</v>
      </c>
      <c r="CL157">
        <f t="shared" si="392"/>
        <v>55950</v>
      </c>
      <c r="CM157">
        <f>_xlfn.XLOOKUP(B157,'[9]november-2025'!$A:$A,'[9]november-2025'!$C:$C,0,0)</f>
        <v>48700</v>
      </c>
      <c r="CN157">
        <f t="shared" si="393"/>
        <v>8766</v>
      </c>
      <c r="CO157">
        <f t="shared" si="394"/>
        <v>5844</v>
      </c>
      <c r="CP157">
        <f>_xlfn.XLOOKUP(B157,'[9]november-2025'!$A:$A,'[9]november-2025'!$D:$D,0,0)</f>
        <v>400</v>
      </c>
      <c r="CQ157">
        <f>_xlfn.XLOOKUP(B157,'[9]november-2025'!$A:$A,'[9]november-2025'!$G:$G,0,0)</f>
        <v>500</v>
      </c>
      <c r="CR157">
        <f>IF(CM157&gt;0,SUM(CM157:CQ157),0)</f>
        <v>64210</v>
      </c>
      <c r="CS157">
        <f>_xlfn.XLOOKUP(B157,'[9]november-2025'!$A:$A,'[9]november-2025'!$H:$H,0,0)</f>
        <v>8000</v>
      </c>
      <c r="CT157">
        <f>_xlfn.XLOOKUP(B157,'[9]november-2025'!$A:$A,'[9]november-2025'!$I:$I,0,0)</f>
        <v>60</v>
      </c>
      <c r="CU157">
        <f t="shared" si="395"/>
        <v>200</v>
      </c>
      <c r="CV157">
        <f t="shared" si="396"/>
        <v>55950</v>
      </c>
      <c r="CW157">
        <f>_xlfn.XLOOKUP(B157,'[10]december-2025'!$A:$A,'[10]december-2025'!$C:$C,0,0)</f>
        <v>48700</v>
      </c>
      <c r="CX157">
        <f t="shared" si="397"/>
        <v>8766</v>
      </c>
      <c r="CY157">
        <f t="shared" si="398"/>
        <v>5844</v>
      </c>
      <c r="CZ157">
        <f>_xlfn.XLOOKUP(B157,'[10]december-2025'!$A:$A,'[10]december-2025'!$D:$D,0,0)</f>
        <v>400</v>
      </c>
      <c r="DA157">
        <f>_xlfn.XLOOKUP(B157,'[10]december-2025'!$A:$A,'[10]december-2025'!$G:$G,0,0)</f>
        <v>500</v>
      </c>
      <c r="DB157">
        <f>IF(CW157&gt;0,SUM(CW157:DA157),0)</f>
        <v>64210</v>
      </c>
      <c r="DC157">
        <f>_xlfn.XLOOKUP(B157,'[10]december-2025'!$A:$A,'[10]december-2025'!$H:$H,0,0)</f>
        <v>8000</v>
      </c>
      <c r="DD157">
        <f>_xlfn.XLOOKUP(B157,'[10]december-2025'!$A:$A,'[10]december-2025'!$I:$I,0,0)</f>
        <v>60</v>
      </c>
      <c r="DE157">
        <f t="shared" si="399"/>
        <v>200</v>
      </c>
      <c r="DF157">
        <f t="shared" si="400"/>
        <v>55950</v>
      </c>
      <c r="DG157">
        <f>_xlfn.XLOOKUP(B157,'[11]january-2026'!$A:$A,'[11]january-2026'!$C:$C,0,0)</f>
        <v>48700</v>
      </c>
      <c r="DH157">
        <f t="shared" si="401"/>
        <v>8766</v>
      </c>
      <c r="DI157">
        <f t="shared" si="402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>IF(DG157&gt;0,SUM(DG157:DK157),0)</f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03"/>
        <v>200</v>
      </c>
      <c r="DP157">
        <f t="shared" si="404"/>
        <v>55950</v>
      </c>
      <c r="DQ157">
        <f>_xlfn.XLOOKUP(B157,'[12]february-2026'!$A:$A,'[12]february-2026'!$C:$C,0,0)</f>
        <v>48700</v>
      </c>
      <c r="DR157">
        <f t="shared" si="405"/>
        <v>8766</v>
      </c>
      <c r="DS157">
        <f t="shared" si="406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>IF(DQ157&gt;0,SUM(DQ157:DU157),0)</f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07"/>
        <v>200</v>
      </c>
      <c r="DZ157">
        <f t="shared" si="408"/>
        <v>55950</v>
      </c>
      <c r="EA157">
        <f>_xlfn.XLOOKUP(B157,'[1]march-2025'!$A:$A,'[1]march-2025'!$J:$J,0,0)</f>
        <v>0</v>
      </c>
      <c r="EB157">
        <f>_xlfn.XLOOKUP(B157,'[2]april-2025'!$A:$A,'[2]april-2025'!$J:$J,0,0)</f>
        <v>0</v>
      </c>
      <c r="EC157">
        <f>_xlfn.XLOOKUP(B157,'[3]may-2025'!$A:$A,'[3]may-2025'!$J:$J,0,0)</f>
        <v>0</v>
      </c>
      <c r="ED157">
        <f>_xlfn.XLOOKUP(B157,'[4]june-2025'!$A:$A,'[4]june-2025'!$J:$J,0,0)</f>
        <v>0</v>
      </c>
      <c r="EE157">
        <f>_xlfn.XLOOKUP(B157,'[5]july-2025'!$A:$A,'[5]july-2025'!$J:$J,0,0)</f>
        <v>0</v>
      </c>
      <c r="EF157">
        <f>_xlfn.XLOOKUP(B157,'[6]august-2025'!$A:$A,'[6]august-2025'!$J:$J,0,0)</f>
        <v>0</v>
      </c>
      <c r="EG157">
        <f>_xlfn.XLOOKUP(B157,'[7]september-2025'!$A:$A,'[7]september-2025'!$J:$J,0,0)</f>
        <v>0</v>
      </c>
      <c r="EH157">
        <f>_xlfn.XLOOKUP(B157,'[8]october-2025'!$A:$A,'[8]october-2025'!$J:$J,0,0)</f>
        <v>0</v>
      </c>
      <c r="EI157">
        <f>_xlfn.XLOOKUP(C157,'[9]november-2025'!$A:$A,'[9]november-2025'!$J:$J,0,0)</f>
        <v>0</v>
      </c>
      <c r="EJ157">
        <f>_xlfn.XLOOKUP(B157,'[10]december-2025'!$A:$A,'[10]december-2025'!$J:$J,0,0)</f>
        <v>0</v>
      </c>
      <c r="EK157">
        <f>_xlfn.XLOOKUP(B157,'[11]january-2026'!$A:$A,'[11]january-2026'!$J:$J,0,0)</f>
        <v>0</v>
      </c>
      <c r="EL157">
        <f>_xlfn.XLOOKUP(B157,'[12]february-2026'!$A:$A,'[12]february-2026'!$J:$J,0,0)</f>
        <v>0</v>
      </c>
      <c r="EM157">
        <f t="shared" si="361"/>
        <v>0</v>
      </c>
      <c r="EN157">
        <f>DV157+DL157+DB157+CR157+CH157+BX157+BN157+BD157+AS157+AI157+Y157+O157+H157+I157</f>
        <v>768148</v>
      </c>
      <c r="EO157">
        <f>DY157+DO157+DE157+CU157+CK157+CA157+BQ157+BG157+AV157+AL157+AB157+R157</f>
        <v>2400</v>
      </c>
      <c r="EP157">
        <f t="shared" si="409"/>
        <v>50000</v>
      </c>
      <c r="EQ157">
        <v>0</v>
      </c>
      <c r="ER157">
        <f t="shared" si="362"/>
        <v>715748</v>
      </c>
      <c r="ES157">
        <f>DW157+DM157+DC157+CS157+CI157+BY157+BO157+BE157+AT157+AJ157+Z157+P157</f>
        <v>96000</v>
      </c>
      <c r="ET157">
        <f>DX157+DN157+DD157+CT157+CJ157+BZ157+BP157+BF157+AU157+AK157+AA157+Q157</f>
        <v>720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410"/>
        <v>96720</v>
      </c>
      <c r="FF157">
        <f t="shared" si="411"/>
        <v>96720</v>
      </c>
      <c r="FG157">
        <f t="shared" si="412"/>
        <v>619028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>SUM(FH157:FN157)+(IF(F157="YES",50000,0))</f>
        <v>0</v>
      </c>
      <c r="FP157">
        <f t="shared" si="413"/>
        <v>619028</v>
      </c>
      <c r="FQ157">
        <f t="shared" si="414"/>
        <v>12500</v>
      </c>
      <c r="FR157">
        <f t="shared" si="415"/>
        <v>23806</v>
      </c>
      <c r="FS157">
        <f t="shared" si="416"/>
        <v>36306</v>
      </c>
      <c r="FT157">
        <f t="shared" si="417"/>
        <v>36306</v>
      </c>
      <c r="FU157">
        <f t="shared" si="418"/>
        <v>1452.24</v>
      </c>
      <c r="FV157">
        <f t="shared" si="419"/>
        <v>37758</v>
      </c>
      <c r="FW157">
        <v>0</v>
      </c>
      <c r="FX157">
        <f t="shared" si="420"/>
        <v>37758</v>
      </c>
      <c r="FY157" t="b">
        <f t="shared" si="421"/>
        <v>1</v>
      </c>
      <c r="FZ157">
        <f t="shared" ca="1" si="422"/>
        <v>943</v>
      </c>
      <c r="GA157">
        <f t="shared" ca="1" si="423"/>
        <v>769091</v>
      </c>
      <c r="GB157">
        <f t="shared" si="424"/>
        <v>75000</v>
      </c>
      <c r="GC157">
        <f t="shared" ca="1" si="425"/>
        <v>694091</v>
      </c>
      <c r="GD157">
        <f t="shared" ca="1" si="426"/>
        <v>0</v>
      </c>
      <c r="GE157">
        <f t="shared" ca="1" si="427"/>
        <v>0</v>
      </c>
      <c r="GF157">
        <f t="shared" ca="1" si="428"/>
        <v>0</v>
      </c>
      <c r="GG157">
        <f t="shared" ca="1" si="429"/>
        <v>0</v>
      </c>
      <c r="GH157">
        <f t="shared" ca="1" si="430"/>
        <v>0</v>
      </c>
      <c r="GI157">
        <f t="shared" ca="1" si="431"/>
        <v>0</v>
      </c>
      <c r="GJ157">
        <f ca="1">IF(GC157&gt;1200000,GC157-1200000-IF(F157="YES",50000,0)-GH157,0)</f>
        <v>0</v>
      </c>
      <c r="GK157">
        <f t="shared" ca="1" si="432"/>
        <v>0</v>
      </c>
      <c r="GL157">
        <f t="shared" ca="1" si="433"/>
        <v>0</v>
      </c>
      <c r="GM157">
        <f t="shared" ca="1" si="434"/>
        <v>0</v>
      </c>
      <c r="GN157">
        <f t="shared" ca="1" si="435"/>
        <v>294091</v>
      </c>
      <c r="GO157">
        <f t="shared" ca="1" si="436"/>
        <v>14704.550000000001</v>
      </c>
      <c r="GP157">
        <f t="shared" ca="1" si="437"/>
        <v>14705</v>
      </c>
      <c r="GQ157">
        <f t="shared" ca="1" si="438"/>
        <v>0</v>
      </c>
      <c r="GR157">
        <f t="shared" ca="1" si="439"/>
        <v>0</v>
      </c>
      <c r="GS157">
        <f t="shared" ca="1" si="440"/>
        <v>14705</v>
      </c>
      <c r="GT157">
        <f t="shared" ca="1" si="441"/>
        <v>0</v>
      </c>
      <c r="GU157" t="b">
        <f t="shared" ca="1" si="442"/>
        <v>0</v>
      </c>
      <c r="GV157">
        <f t="shared" ca="1" si="443"/>
        <v>0</v>
      </c>
      <c r="GW157">
        <f t="shared" ca="1" si="444"/>
        <v>14705</v>
      </c>
      <c r="GX157">
        <f t="shared" ca="1" si="445"/>
        <v>0</v>
      </c>
      <c r="GY157">
        <f t="shared" ca="1" si="446"/>
        <v>0</v>
      </c>
      <c r="GZ157">
        <f t="shared" ca="1" si="447"/>
        <v>0</v>
      </c>
    </row>
    <row r="158" spans="1:208" x14ac:dyDescent="0.25">
      <c r="A158">
        <f>_xlfn.AGGREGATE(3,5,$B$2:B158)</f>
        <v>157</v>
      </c>
      <c r="B158" t="s">
        <v>422</v>
      </c>
      <c r="C158" t="s">
        <v>423</v>
      </c>
      <c r="D158" t="s">
        <v>793</v>
      </c>
      <c r="E158" t="s">
        <v>831</v>
      </c>
      <c r="F158" t="s">
        <v>957</v>
      </c>
      <c r="G158" t="s">
        <v>878</v>
      </c>
      <c r="H158">
        <f t="shared" si="449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364"/>
        <v>4830.0000000000009</v>
      </c>
      <c r="L158">
        <f t="shared" si="365"/>
        <v>4140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>IF(J158&gt;0,SUM(J158:N158),0)</f>
        <v>43970</v>
      </c>
      <c r="P158">
        <f>_xlfn.XLOOKUP(B158,'[1]march-2025'!$A:$A,'[1]march-2025'!$H:$H,0,0)</f>
        <v>5000</v>
      </c>
      <c r="Q158">
        <f>_xlfn.XLOOKUP(B158,'[1]march-2025'!$A:$A,'[1]march-2025'!$I:$I,0,0)</f>
        <v>0</v>
      </c>
      <c r="R158">
        <f t="shared" si="448"/>
        <v>200</v>
      </c>
      <c r="S158">
        <f t="shared" si="357"/>
        <v>38770</v>
      </c>
      <c r="T158">
        <f>_xlfn.XLOOKUP(B158,'[2]april-2025'!$A:$A,'[2]april-2025'!$C:$C,0,0)</f>
        <v>34500</v>
      </c>
      <c r="U158">
        <f t="shared" si="366"/>
        <v>6210</v>
      </c>
      <c r="V158">
        <f t="shared" si="367"/>
        <v>4140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358"/>
        <v>45350</v>
      </c>
      <c r="Z158">
        <f>_xlfn.XLOOKUP(B158,'[2]april-2025'!$A:$A,'[2]april-2025'!$H:$H,0,0)</f>
        <v>5000</v>
      </c>
      <c r="AA158">
        <f>_xlfn.XLOOKUP(B158,'[2]april-2025'!$A:$A,'[2]april-2025'!$I:$I,0,0)</f>
        <v>0</v>
      </c>
      <c r="AB158">
        <f t="shared" si="368"/>
        <v>200</v>
      </c>
      <c r="AC158">
        <f t="shared" si="369"/>
        <v>40150</v>
      </c>
      <c r="AD158">
        <f>_xlfn.XLOOKUP(B158,'[3]may-2025'!$A:$A,'[3]may-2025'!$C:$C,0,0)</f>
        <v>34500</v>
      </c>
      <c r="AE158">
        <f t="shared" si="370"/>
        <v>6210</v>
      </c>
      <c r="AF158">
        <f t="shared" si="371"/>
        <v>4140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359"/>
        <v>45350</v>
      </c>
      <c r="AJ158">
        <f>_xlfn.XLOOKUP(B158,'[3]may-2025'!$A:$A,'[3]may-2025'!$H:$H,0,0)</f>
        <v>5000</v>
      </c>
      <c r="AK158">
        <f>_xlfn.XLOOKUP(B158,'[3]may-2025'!$A:$A,'[3]may-2025'!$I:$I,0,0)</f>
        <v>0</v>
      </c>
      <c r="AL158">
        <f t="shared" si="372"/>
        <v>200</v>
      </c>
      <c r="AM158">
        <f t="shared" si="373"/>
        <v>40150</v>
      </c>
      <c r="AN158">
        <f>_xlfn.XLOOKUP(B158,'[4]june-2025'!$A:$A,'[4]june-2025'!$C:$C,0,0)</f>
        <v>34500</v>
      </c>
      <c r="AO158">
        <f t="shared" si="374"/>
        <v>6210</v>
      </c>
      <c r="AP158">
        <f t="shared" si="375"/>
        <v>4140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360"/>
        <v>45350</v>
      </c>
      <c r="AT158">
        <f>_xlfn.XLOOKUP(B158,'[4]june-2025'!$A:$A,'[4]june-2025'!$H:$H,0,0)</f>
        <v>5000</v>
      </c>
      <c r="AU158">
        <f>_xlfn.XLOOKUP(B158,'[4]june-2025'!$A:$A,'[4]june-2025'!$I:$I,0,0)</f>
        <v>0</v>
      </c>
      <c r="AV158">
        <f t="shared" si="376"/>
        <v>200</v>
      </c>
      <c r="AW158">
        <f t="shared" si="377"/>
        <v>40150</v>
      </c>
      <c r="AX158">
        <f>_xlfn.XLOOKUP(B158,'[5]july-2025'!$A:$A,'[5]july-2025'!$C:$C,0,0)</f>
        <v>35500</v>
      </c>
      <c r="AY158">
        <f t="shared" si="378"/>
        <v>6390</v>
      </c>
      <c r="AZ158">
        <v>0</v>
      </c>
      <c r="BA158">
        <f t="shared" si="379"/>
        <v>4260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>IF(AX158&gt;0,SUM(AX158:BC158),0)</f>
        <v>46650</v>
      </c>
      <c r="BE158">
        <f>_xlfn.XLOOKUP(B158,'[5]july-2025'!$A:$A,'[5]july-2025'!$H:$H,0,0)</f>
        <v>5000</v>
      </c>
      <c r="BF158">
        <f>_xlfn.XLOOKUP(B158,'[5]july-2025'!$A:$A,'[5]july-2025'!$I:$I,0,0)</f>
        <v>0</v>
      </c>
      <c r="BG158">
        <f t="shared" si="380"/>
        <v>200</v>
      </c>
      <c r="BH158">
        <f t="shared" si="381"/>
        <v>41450</v>
      </c>
      <c r="BI158">
        <f>_xlfn.XLOOKUP(B158,'[6]august-2025'!$A:$A,'[6]august-2025'!$C:$C,0,0)</f>
        <v>35500</v>
      </c>
      <c r="BJ158">
        <f t="shared" si="382"/>
        <v>6390</v>
      </c>
      <c r="BK158">
        <f t="shared" si="383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384"/>
        <v>46650</v>
      </c>
      <c r="BO158">
        <f>_xlfn.XLOOKUP(B158,'[6]august-2025'!$A:$A,'[6]august-2025'!$H:$H,0,0)</f>
        <v>5000</v>
      </c>
      <c r="BP158">
        <f>_xlfn.XLOOKUP(B158,'[6]august-2025'!$A:$A,'[6]august-2025'!$I:$I,0,0)</f>
        <v>0</v>
      </c>
      <c r="BQ158">
        <f>IF($F158="YES",0,IF(BN158&gt;40000,200,IF(BN158&gt;25000,150,IF(BN158&gt;15000,130,IF(BN158&gt;10000,110,0)))))</f>
        <v>200</v>
      </c>
      <c r="BR158">
        <f>BN158-BO158-BP158-BQ158</f>
        <v>41450</v>
      </c>
      <c r="BS158">
        <f>_xlfn.XLOOKUP(B158,'[7]september-2025'!$A:$A,'[7]september-2025'!$C:$C,0,0)</f>
        <v>35500</v>
      </c>
      <c r="BT158">
        <f t="shared" si="385"/>
        <v>6390</v>
      </c>
      <c r="BU158">
        <f t="shared" si="386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>IF(BS158&gt;0,SUM(BS158:BW158),0)</f>
        <v>46650</v>
      </c>
      <c r="BY158">
        <f>_xlfn.XLOOKUP(B158,'[7]september-2025'!$A:$A,'[7]september-2025'!$H:$H,0,0)</f>
        <v>5000</v>
      </c>
      <c r="BZ158">
        <f>_xlfn.XLOOKUP(B158,'[7]september-2025'!$A:$A,'[7]september-2025'!$I:$I,0,0)</f>
        <v>0</v>
      </c>
      <c r="CA158">
        <f t="shared" si="387"/>
        <v>200</v>
      </c>
      <c r="CB158">
        <f t="shared" si="388"/>
        <v>41450</v>
      </c>
      <c r="CC158">
        <f>_xlfn.XLOOKUP(B158,'[8]october-2025'!$A:$A,'[8]october-2025'!$C:$C,0,0)</f>
        <v>35500</v>
      </c>
      <c r="CD158">
        <f t="shared" si="389"/>
        <v>6390</v>
      </c>
      <c r="CE158">
        <f t="shared" si="390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>IF(CC158&gt;0,SUM(CC158:CG158),0)</f>
        <v>46650</v>
      </c>
      <c r="CI158">
        <f>_xlfn.XLOOKUP(B158,'[8]october-2025'!$A:$A,'[8]october-2025'!$H:$H,0,0)</f>
        <v>5000</v>
      </c>
      <c r="CJ158">
        <f>_xlfn.XLOOKUP(B158,'[8]october-2025'!$A:$A,'[8]october-2025'!$I:$I,0,0)</f>
        <v>0</v>
      </c>
      <c r="CK158">
        <f t="shared" si="391"/>
        <v>200</v>
      </c>
      <c r="CL158">
        <f t="shared" si="392"/>
        <v>41450</v>
      </c>
      <c r="CM158">
        <f>_xlfn.XLOOKUP(B158,'[9]november-2025'!$A:$A,'[9]november-2025'!$C:$C,0,0)</f>
        <v>35500</v>
      </c>
      <c r="CN158">
        <f t="shared" si="393"/>
        <v>6390</v>
      </c>
      <c r="CO158">
        <f t="shared" si="394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>IF(CM158&gt;0,SUM(CM158:CQ158),0)</f>
        <v>46650</v>
      </c>
      <c r="CS158">
        <f>_xlfn.XLOOKUP(B158,'[9]november-2025'!$A:$A,'[9]november-2025'!$H:$H,0,0)</f>
        <v>5000</v>
      </c>
      <c r="CT158">
        <f>_xlfn.XLOOKUP(B158,'[9]november-2025'!$A:$A,'[9]november-2025'!$I:$I,0,0)</f>
        <v>0</v>
      </c>
      <c r="CU158">
        <f t="shared" si="395"/>
        <v>200</v>
      </c>
      <c r="CV158">
        <f t="shared" si="396"/>
        <v>41450</v>
      </c>
      <c r="CW158">
        <f>_xlfn.XLOOKUP(B158,'[10]december-2025'!$A:$A,'[10]december-2025'!$C:$C,0,0)</f>
        <v>35500</v>
      </c>
      <c r="CX158">
        <f t="shared" si="397"/>
        <v>6390</v>
      </c>
      <c r="CY158">
        <f t="shared" si="398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>IF(CW158&gt;0,SUM(CW158:DA158),0)</f>
        <v>46650</v>
      </c>
      <c r="DC158">
        <f>_xlfn.XLOOKUP(B158,'[10]december-2025'!$A:$A,'[10]december-2025'!$H:$H,0,0)</f>
        <v>5000</v>
      </c>
      <c r="DD158">
        <f>_xlfn.XLOOKUP(B158,'[10]december-2025'!$A:$A,'[10]december-2025'!$I:$I,0,0)</f>
        <v>0</v>
      </c>
      <c r="DE158">
        <f t="shared" si="399"/>
        <v>200</v>
      </c>
      <c r="DF158">
        <f t="shared" si="400"/>
        <v>41450</v>
      </c>
      <c r="DG158">
        <f>_xlfn.XLOOKUP(B158,'[11]january-2026'!$A:$A,'[11]january-2026'!$C:$C,0,0)</f>
        <v>35500</v>
      </c>
      <c r="DH158">
        <f t="shared" si="401"/>
        <v>6390</v>
      </c>
      <c r="DI158">
        <f t="shared" si="402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>IF(DG158&gt;0,SUM(DG158:DK158),0)</f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03"/>
        <v>200</v>
      </c>
      <c r="DP158">
        <f t="shared" si="404"/>
        <v>41450</v>
      </c>
      <c r="DQ158">
        <f>_xlfn.XLOOKUP(B158,'[12]february-2026'!$A:$A,'[12]february-2026'!$C:$C,0,0)</f>
        <v>35500</v>
      </c>
      <c r="DR158">
        <f t="shared" si="405"/>
        <v>6390</v>
      </c>
      <c r="DS158">
        <f t="shared" si="406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>IF(DQ158&gt;0,SUM(DQ158:DU158),0)</f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07"/>
        <v>200</v>
      </c>
      <c r="DZ158">
        <f t="shared" si="408"/>
        <v>41450</v>
      </c>
      <c r="EA158">
        <f>_xlfn.XLOOKUP(B158,'[1]march-2025'!$A:$A,'[1]march-2025'!$J:$J,0,0)</f>
        <v>0</v>
      </c>
      <c r="EB158">
        <f>_xlfn.XLOOKUP(B158,'[2]april-2025'!$A:$A,'[2]april-2025'!$J:$J,0,0)</f>
        <v>0</v>
      </c>
      <c r="EC158">
        <f>_xlfn.XLOOKUP(B158,'[3]may-2025'!$A:$A,'[3]may-2025'!$J:$J,0,0)</f>
        <v>0</v>
      </c>
      <c r="ED158">
        <f>_xlfn.XLOOKUP(B158,'[4]june-2025'!$A:$A,'[4]june-2025'!$J:$J,0,0)</f>
        <v>0</v>
      </c>
      <c r="EE158">
        <f>_xlfn.XLOOKUP(B158,'[5]july-2025'!$A:$A,'[5]july-2025'!$J:$J,0,0)</f>
        <v>0</v>
      </c>
      <c r="EF158">
        <f>_xlfn.XLOOKUP(B158,'[6]august-2025'!$A:$A,'[6]august-2025'!$J:$J,0,0)</f>
        <v>0</v>
      </c>
      <c r="EG158">
        <f>_xlfn.XLOOKUP(B158,'[7]september-2025'!$A:$A,'[7]september-2025'!$J:$J,0,0)</f>
        <v>0</v>
      </c>
      <c r="EH158">
        <f>_xlfn.XLOOKUP(B158,'[8]october-2025'!$A:$A,'[8]october-2025'!$J:$J,0,0)</f>
        <v>0</v>
      </c>
      <c r="EI158">
        <f>_xlfn.XLOOKUP(C158,'[9]november-2025'!$A:$A,'[9]november-2025'!$J:$J,0,0)</f>
        <v>0</v>
      </c>
      <c r="EJ158">
        <f>_xlfn.XLOOKUP(B158,'[10]december-2025'!$A:$A,'[10]december-2025'!$J:$J,0,0)</f>
        <v>0</v>
      </c>
      <c r="EK158">
        <f>_xlfn.XLOOKUP(B158,'[11]january-2026'!$A:$A,'[11]january-2026'!$J:$J,0,0)</f>
        <v>0</v>
      </c>
      <c r="EL158">
        <f>_xlfn.XLOOKUP(B158,'[12]february-2026'!$A:$A,'[12]february-2026'!$J:$J,0,0)</f>
        <v>0</v>
      </c>
      <c r="EM158">
        <f t="shared" si="361"/>
        <v>0</v>
      </c>
      <c r="EN158">
        <f>DV158+DL158+DB158+CR158+CH158+BX158+BN158+BD158+AS158+AI158+Y158+O158+H158+I158</f>
        <v>560020</v>
      </c>
      <c r="EO158">
        <f>DY158+DO158+DE158+CU158+CK158+CA158+BQ158+BG158+AV158+AL158+AB158+R158</f>
        <v>2400</v>
      </c>
      <c r="EP158">
        <f t="shared" si="409"/>
        <v>50000</v>
      </c>
      <c r="EQ158">
        <v>0</v>
      </c>
      <c r="ER158">
        <f t="shared" si="362"/>
        <v>507620</v>
      </c>
      <c r="ES158">
        <f>DW158+DM158+DC158+CS158+CI158+BY158+BO158+BE158+AT158+AJ158+Z158+P158</f>
        <v>60000</v>
      </c>
      <c r="ET158">
        <f>DX158+DN158+DD158+CT158+CJ158+BZ158+BP158+BF158+AU158+AK158+AA158+Q158</f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410"/>
        <v>60000</v>
      </c>
      <c r="FF158">
        <f t="shared" si="411"/>
        <v>60000</v>
      </c>
      <c r="FG158">
        <f t="shared" si="412"/>
        <v>447620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>SUM(FH158:FN158)+(IF(F158="YES",50000,0))</f>
        <v>0</v>
      </c>
      <c r="FP158">
        <f t="shared" si="413"/>
        <v>447620</v>
      </c>
      <c r="FQ158">
        <f t="shared" si="414"/>
        <v>9881</v>
      </c>
      <c r="FR158">
        <f t="shared" si="415"/>
        <v>0</v>
      </c>
      <c r="FS158">
        <f t="shared" si="416"/>
        <v>9881</v>
      </c>
      <c r="FT158">
        <f t="shared" si="417"/>
        <v>0</v>
      </c>
      <c r="FU158">
        <f t="shared" si="418"/>
        <v>0</v>
      </c>
      <c r="FV158">
        <f t="shared" si="419"/>
        <v>0</v>
      </c>
      <c r="FW158">
        <v>0</v>
      </c>
      <c r="FX158">
        <f t="shared" si="420"/>
        <v>0</v>
      </c>
      <c r="FY158" t="b">
        <f t="shared" si="421"/>
        <v>1</v>
      </c>
      <c r="FZ158">
        <f t="shared" ca="1" si="422"/>
        <v>789</v>
      </c>
      <c r="GA158">
        <f t="shared" ca="1" si="423"/>
        <v>560809</v>
      </c>
      <c r="GB158">
        <f t="shared" si="424"/>
        <v>75000</v>
      </c>
      <c r="GC158">
        <f t="shared" ca="1" si="425"/>
        <v>485809</v>
      </c>
      <c r="GD158">
        <f t="shared" ca="1" si="426"/>
        <v>0</v>
      </c>
      <c r="GE158">
        <f t="shared" ca="1" si="427"/>
        <v>0</v>
      </c>
      <c r="GF158">
        <f t="shared" ca="1" si="428"/>
        <v>0</v>
      </c>
      <c r="GG158">
        <f t="shared" ca="1" si="429"/>
        <v>0</v>
      </c>
      <c r="GH158">
        <f t="shared" ca="1" si="430"/>
        <v>0</v>
      </c>
      <c r="GI158">
        <f t="shared" ca="1" si="431"/>
        <v>0</v>
      </c>
      <c r="GJ158">
        <f ca="1">IF(GC158&gt;1200000,GC158-1200000-IF(F158="YES",50000,0)-GH158,0)</f>
        <v>0</v>
      </c>
      <c r="GK158">
        <f t="shared" ca="1" si="432"/>
        <v>0</v>
      </c>
      <c r="GL158">
        <f t="shared" ca="1" si="433"/>
        <v>0</v>
      </c>
      <c r="GM158">
        <f t="shared" ca="1" si="434"/>
        <v>0</v>
      </c>
      <c r="GN158">
        <f t="shared" ca="1" si="435"/>
        <v>85809</v>
      </c>
      <c r="GO158">
        <f t="shared" ca="1" si="436"/>
        <v>4290.45</v>
      </c>
      <c r="GP158">
        <f t="shared" ca="1" si="437"/>
        <v>4290</v>
      </c>
      <c r="GQ158">
        <f t="shared" ca="1" si="438"/>
        <v>0</v>
      </c>
      <c r="GR158">
        <f t="shared" ca="1" si="439"/>
        <v>0</v>
      </c>
      <c r="GS158">
        <f t="shared" ca="1" si="440"/>
        <v>4290</v>
      </c>
      <c r="GT158">
        <f t="shared" ca="1" si="441"/>
        <v>0</v>
      </c>
      <c r="GU158" t="b">
        <f t="shared" ca="1" si="442"/>
        <v>0</v>
      </c>
      <c r="GV158">
        <f t="shared" ca="1" si="443"/>
        <v>0</v>
      </c>
      <c r="GW158">
        <f t="shared" ca="1" si="444"/>
        <v>4290</v>
      </c>
      <c r="GX158">
        <f t="shared" ca="1" si="445"/>
        <v>0</v>
      </c>
      <c r="GY158">
        <f t="shared" ca="1" si="446"/>
        <v>0</v>
      </c>
      <c r="GZ158">
        <f t="shared" ca="1" si="447"/>
        <v>0</v>
      </c>
    </row>
    <row r="159" spans="1:208" x14ac:dyDescent="0.25">
      <c r="A159">
        <f>_xlfn.AGGREGATE(3,5,$B$2:B159)</f>
        <v>158</v>
      </c>
      <c r="B159" t="s">
        <v>424</v>
      </c>
      <c r="C159" t="s">
        <v>425</v>
      </c>
      <c r="D159" t="s">
        <v>793</v>
      </c>
      <c r="E159" t="s">
        <v>831</v>
      </c>
      <c r="F159" t="s">
        <v>957</v>
      </c>
      <c r="G159" t="s">
        <v>878</v>
      </c>
      <c r="H159">
        <f t="shared" si="449"/>
        <v>6800</v>
      </c>
      <c r="I159">
        <f>_xlfn.XLOOKUP(B159,'[1]march-2025'!$A:$A,'[1]march-2025'!$J:$J,0,0)</f>
        <v>0</v>
      </c>
      <c r="J159">
        <f>_xlfn.XLOOKUP(B159,'[1]march-2025'!$A:$A,'[1]march-2025'!$C:$C,0,0)</f>
        <v>34500</v>
      </c>
      <c r="K159">
        <f t="shared" si="364"/>
        <v>4830.0000000000009</v>
      </c>
      <c r="L159">
        <f t="shared" si="365"/>
        <v>4140</v>
      </c>
      <c r="M159">
        <f>_xlfn.XLOOKUP(B159,'[1]march-2025'!$A:$A,'[1]march-2025'!$D:$D,0,0)</f>
        <v>0</v>
      </c>
      <c r="N159">
        <f>_xlfn.XLOOKUP(B159,'[1]march-2025'!$A:$A,'[1]march-2025'!$G:$G,0,0)</f>
        <v>0</v>
      </c>
      <c r="O159">
        <f>IF(J159&gt;0,SUM(J159:N159),0)</f>
        <v>43470</v>
      </c>
      <c r="P159">
        <f>_xlfn.XLOOKUP(B159,'[1]march-2025'!$A:$A,'[1]march-2025'!$H:$H,0,0)</f>
        <v>6000</v>
      </c>
      <c r="Q159">
        <f>_xlfn.XLOOKUP(B159,'[1]march-2025'!$A:$A,'[1]march-2025'!$I:$I,0,0)</f>
        <v>0</v>
      </c>
      <c r="R159">
        <f t="shared" si="448"/>
        <v>200</v>
      </c>
      <c r="S159">
        <f t="shared" si="357"/>
        <v>37270</v>
      </c>
      <c r="T159">
        <f>_xlfn.XLOOKUP(B159,'[2]april-2025'!$A:$A,'[2]april-2025'!$C:$C,0,0)</f>
        <v>34500</v>
      </c>
      <c r="U159">
        <f t="shared" si="366"/>
        <v>6210</v>
      </c>
      <c r="V159">
        <f t="shared" si="367"/>
        <v>4140</v>
      </c>
      <c r="W159">
        <f>_xlfn.XLOOKUP(B159,'[2]april-2025'!$A:$A,'[2]april-2025'!$D:$D,0,0)</f>
        <v>0</v>
      </c>
      <c r="X159">
        <f>_xlfn.XLOOKUP(B159,'[2]april-2025'!$A:$A,'[2]april-2025'!$G:$G,0,0)</f>
        <v>0</v>
      </c>
      <c r="Y159">
        <f t="shared" si="358"/>
        <v>44850</v>
      </c>
      <c r="Z159">
        <f>_xlfn.XLOOKUP(B159,'[2]april-2025'!$A:$A,'[2]april-2025'!$H:$H,0,0)</f>
        <v>6000</v>
      </c>
      <c r="AA159">
        <f>_xlfn.XLOOKUP(B159,'[2]april-2025'!$A:$A,'[2]april-2025'!$I:$I,0,0)</f>
        <v>0</v>
      </c>
      <c r="AB159">
        <f t="shared" si="368"/>
        <v>200</v>
      </c>
      <c r="AC159">
        <f t="shared" si="369"/>
        <v>38650</v>
      </c>
      <c r="AD159">
        <f>_xlfn.XLOOKUP(B159,'[3]may-2025'!$A:$A,'[3]may-2025'!$C:$C,0,0)</f>
        <v>34500</v>
      </c>
      <c r="AE159">
        <f t="shared" si="370"/>
        <v>6210</v>
      </c>
      <c r="AF159">
        <f t="shared" si="371"/>
        <v>4140</v>
      </c>
      <c r="AG159">
        <f>_xlfn.XLOOKUP(B159,'[3]may-2025'!$A:$A,'[3]may-2025'!$D:$D,0,0)</f>
        <v>0</v>
      </c>
      <c r="AH159">
        <f>_xlfn.XLOOKUP(B159,'[3]may-2025'!$A:$A,'[3]may-2025'!$G:$G,0,0)</f>
        <v>0</v>
      </c>
      <c r="AI159">
        <f t="shared" si="359"/>
        <v>44850</v>
      </c>
      <c r="AJ159">
        <f>_xlfn.XLOOKUP(B159,'[3]may-2025'!$A:$A,'[3]may-2025'!$H:$H,0,0)</f>
        <v>6000</v>
      </c>
      <c r="AK159">
        <f>_xlfn.XLOOKUP(B159,'[3]may-2025'!$A:$A,'[3]may-2025'!$I:$I,0,0)</f>
        <v>0</v>
      </c>
      <c r="AL159">
        <f t="shared" si="372"/>
        <v>200</v>
      </c>
      <c r="AM159">
        <f t="shared" si="373"/>
        <v>38650</v>
      </c>
      <c r="AN159">
        <f>_xlfn.XLOOKUP(B159,'[4]june-2025'!$A:$A,'[4]june-2025'!$C:$C,0,0)</f>
        <v>34500</v>
      </c>
      <c r="AO159">
        <f t="shared" si="374"/>
        <v>6210</v>
      </c>
      <c r="AP159">
        <f t="shared" si="375"/>
        <v>4140</v>
      </c>
      <c r="AQ159">
        <f>_xlfn.XLOOKUP(B159,'[4]june-2025'!$A:$A,'[4]june-2025'!$D:$D,0,0)</f>
        <v>0</v>
      </c>
      <c r="AR159">
        <f>_xlfn.XLOOKUP(B159,'[4]june-2025'!$A:$A,'[4]june-2025'!$G:$G,0,0)</f>
        <v>0</v>
      </c>
      <c r="AS159">
        <f t="shared" si="360"/>
        <v>44850</v>
      </c>
      <c r="AT159">
        <f>_xlfn.XLOOKUP(B159,'[4]june-2025'!$A:$A,'[4]june-2025'!$H:$H,0,0)</f>
        <v>6000</v>
      </c>
      <c r="AU159">
        <f>_xlfn.XLOOKUP(B159,'[4]june-2025'!$A:$A,'[4]june-2025'!$I:$I,0,0)</f>
        <v>0</v>
      </c>
      <c r="AV159">
        <f t="shared" si="376"/>
        <v>200</v>
      </c>
      <c r="AW159">
        <f t="shared" si="377"/>
        <v>38650</v>
      </c>
      <c r="AX159">
        <f>_xlfn.XLOOKUP(B159,'[5]july-2025'!$A:$A,'[5]july-2025'!$C:$C,0,0)</f>
        <v>35500</v>
      </c>
      <c r="AY159">
        <f t="shared" si="378"/>
        <v>6390</v>
      </c>
      <c r="AZ159">
        <v>0</v>
      </c>
      <c r="BA159">
        <f t="shared" si="379"/>
        <v>4260</v>
      </c>
      <c r="BB159">
        <f>_xlfn.XLOOKUP(B159,'[5]july-2025'!$A:$A,'[5]july-2025'!$D:$D,0,0)</f>
        <v>0</v>
      </c>
      <c r="BC159">
        <f>_xlfn.XLOOKUP(B159,'[5]july-2025'!$A:$A,'[5]july-2025'!$G:$G,0,0)</f>
        <v>0</v>
      </c>
      <c r="BD159">
        <f>IF(AX159&gt;0,SUM(AX159:BC159),0)</f>
        <v>46150</v>
      </c>
      <c r="BE159">
        <f>_xlfn.XLOOKUP(B159,'[5]july-2025'!$A:$A,'[5]july-2025'!$H:$H,0,0)</f>
        <v>6000</v>
      </c>
      <c r="BF159">
        <f>_xlfn.XLOOKUP(B159,'[5]july-2025'!$A:$A,'[5]july-2025'!$I:$I,0,0)</f>
        <v>0</v>
      </c>
      <c r="BG159">
        <f t="shared" si="380"/>
        <v>200</v>
      </c>
      <c r="BH159">
        <f t="shared" si="381"/>
        <v>39950</v>
      </c>
      <c r="BI159">
        <f>_xlfn.XLOOKUP(B159,'[6]august-2025'!$A:$A,'[6]august-2025'!$C:$C,0,0)</f>
        <v>35500</v>
      </c>
      <c r="BJ159">
        <f t="shared" si="382"/>
        <v>6390</v>
      </c>
      <c r="BK159">
        <f t="shared" si="383"/>
        <v>4260</v>
      </c>
      <c r="BL159">
        <f>_xlfn.XLOOKUP(B159,'[6]august-2025'!$A:$A,'[6]august-2025'!$D:$D,0,0)</f>
        <v>0</v>
      </c>
      <c r="BM159">
        <f>_xlfn.XLOOKUP(B159,'[6]august-2025'!$A:$A,'[6]august-2025'!$G:$G,0,0)</f>
        <v>0</v>
      </c>
      <c r="BN159">
        <f t="shared" si="384"/>
        <v>46150</v>
      </c>
      <c r="BO159">
        <f>_xlfn.XLOOKUP(B159,'[6]august-2025'!$A:$A,'[6]august-2025'!$H:$H,0,0)</f>
        <v>6000</v>
      </c>
      <c r="BP159">
        <f>_xlfn.XLOOKUP(B159,'[6]august-2025'!$A:$A,'[6]august-2025'!$I:$I,0,0)</f>
        <v>0</v>
      </c>
      <c r="BQ159">
        <f>IF($F159="YES",0,IF(BN159&gt;40000,200,IF(BN159&gt;25000,150,IF(BN159&gt;15000,130,IF(BN159&gt;10000,110,0)))))</f>
        <v>200</v>
      </c>
      <c r="BR159">
        <f>BN159-BO159-BP159-BQ159</f>
        <v>39950</v>
      </c>
      <c r="BS159">
        <f>_xlfn.XLOOKUP(B159,'[7]september-2025'!$A:$A,'[7]september-2025'!$C:$C,0,0)</f>
        <v>35500</v>
      </c>
      <c r="BT159">
        <f t="shared" si="385"/>
        <v>6390</v>
      </c>
      <c r="BU159">
        <f t="shared" si="386"/>
        <v>4260</v>
      </c>
      <c r="BV159">
        <f>_xlfn.XLOOKUP(B159,'[7]september-2025'!$A:$A,'[7]september-2025'!$D:$D,0,0)</f>
        <v>0</v>
      </c>
      <c r="BW159">
        <f>_xlfn.XLOOKUP(B159,'[7]september-2025'!$A:$A,'[7]september-2025'!$G:$G,0,0)</f>
        <v>0</v>
      </c>
      <c r="BX159">
        <f>IF(BS159&gt;0,SUM(BS159:BW159),0)</f>
        <v>46150</v>
      </c>
      <c r="BY159">
        <f>_xlfn.XLOOKUP(B159,'[7]september-2025'!$A:$A,'[7]september-2025'!$H:$H,0,0)</f>
        <v>6000</v>
      </c>
      <c r="BZ159">
        <f>_xlfn.XLOOKUP(B159,'[7]september-2025'!$A:$A,'[7]september-2025'!$I:$I,0,0)</f>
        <v>0</v>
      </c>
      <c r="CA159">
        <f t="shared" si="387"/>
        <v>200</v>
      </c>
      <c r="CB159">
        <f t="shared" si="388"/>
        <v>39950</v>
      </c>
      <c r="CC159">
        <f>_xlfn.XLOOKUP(B159,'[8]october-2025'!$A:$A,'[8]october-2025'!$C:$C,0,0)</f>
        <v>35500</v>
      </c>
      <c r="CD159">
        <f t="shared" si="389"/>
        <v>6390</v>
      </c>
      <c r="CE159">
        <f t="shared" si="390"/>
        <v>4260</v>
      </c>
      <c r="CF159">
        <f>_xlfn.XLOOKUP(B159,'[8]october-2025'!$A:$A,'[8]october-2025'!$D:$D,0,0)</f>
        <v>0</v>
      </c>
      <c r="CG159">
        <f>_xlfn.XLOOKUP(B159,'[8]october-2025'!$A:$A,'[8]october-2025'!$G:$G,0,0)</f>
        <v>0</v>
      </c>
      <c r="CH159">
        <f>IF(CC159&gt;0,SUM(CC159:CG159),0)</f>
        <v>46150</v>
      </c>
      <c r="CI159">
        <f>_xlfn.XLOOKUP(B159,'[8]october-2025'!$A:$A,'[8]october-2025'!$H:$H,0,0)</f>
        <v>6000</v>
      </c>
      <c r="CJ159">
        <f>_xlfn.XLOOKUP(B159,'[8]october-2025'!$A:$A,'[8]october-2025'!$I:$I,0,0)</f>
        <v>0</v>
      </c>
      <c r="CK159">
        <f t="shared" si="391"/>
        <v>200</v>
      </c>
      <c r="CL159">
        <f t="shared" si="392"/>
        <v>39950</v>
      </c>
      <c r="CM159">
        <f>_xlfn.XLOOKUP(B159,'[9]november-2025'!$A:$A,'[9]november-2025'!$C:$C,0,0)</f>
        <v>35500</v>
      </c>
      <c r="CN159">
        <f t="shared" si="393"/>
        <v>6390</v>
      </c>
      <c r="CO159">
        <f t="shared" si="394"/>
        <v>4260</v>
      </c>
      <c r="CP159">
        <f>_xlfn.XLOOKUP(B159,'[9]november-2025'!$A:$A,'[9]november-2025'!$D:$D,0,0)</f>
        <v>0</v>
      </c>
      <c r="CQ159">
        <f>_xlfn.XLOOKUP(B159,'[9]november-2025'!$A:$A,'[9]november-2025'!$G:$G,0,0)</f>
        <v>0</v>
      </c>
      <c r="CR159">
        <f>IF(CM159&gt;0,SUM(CM159:CQ159),0)</f>
        <v>46150</v>
      </c>
      <c r="CS159">
        <f>_xlfn.XLOOKUP(B159,'[9]november-2025'!$A:$A,'[9]november-2025'!$H:$H,0,0)</f>
        <v>6000</v>
      </c>
      <c r="CT159">
        <f>_xlfn.XLOOKUP(B159,'[9]november-2025'!$A:$A,'[9]november-2025'!$I:$I,0,0)</f>
        <v>0</v>
      </c>
      <c r="CU159">
        <f t="shared" si="395"/>
        <v>200</v>
      </c>
      <c r="CV159">
        <f t="shared" si="396"/>
        <v>39950</v>
      </c>
      <c r="CW159">
        <f>_xlfn.XLOOKUP(B159,'[10]december-2025'!$A:$A,'[10]december-2025'!$C:$C,0,0)</f>
        <v>35500</v>
      </c>
      <c r="CX159">
        <f t="shared" si="397"/>
        <v>6390</v>
      </c>
      <c r="CY159">
        <f t="shared" si="398"/>
        <v>4260</v>
      </c>
      <c r="CZ159">
        <f>_xlfn.XLOOKUP(B159,'[10]december-2025'!$A:$A,'[10]december-2025'!$D:$D,0,0)</f>
        <v>0</v>
      </c>
      <c r="DA159">
        <f>_xlfn.XLOOKUP(B159,'[10]december-2025'!$A:$A,'[10]december-2025'!$G:$G,0,0)</f>
        <v>0</v>
      </c>
      <c r="DB159">
        <f>IF(CW159&gt;0,SUM(CW159:DA159),0)</f>
        <v>46150</v>
      </c>
      <c r="DC159">
        <f>_xlfn.XLOOKUP(B159,'[10]december-2025'!$A:$A,'[10]december-2025'!$H:$H,0,0)</f>
        <v>6000</v>
      </c>
      <c r="DD159">
        <f>_xlfn.XLOOKUP(B159,'[10]december-2025'!$A:$A,'[10]december-2025'!$I:$I,0,0)</f>
        <v>0</v>
      </c>
      <c r="DE159">
        <f t="shared" si="399"/>
        <v>200</v>
      </c>
      <c r="DF159">
        <f t="shared" si="400"/>
        <v>39950</v>
      </c>
      <c r="DG159">
        <f>_xlfn.XLOOKUP(B159,'[11]january-2026'!$A:$A,'[11]january-2026'!$C:$C,0,0)</f>
        <v>35500</v>
      </c>
      <c r="DH159">
        <f t="shared" si="401"/>
        <v>6390</v>
      </c>
      <c r="DI159">
        <f t="shared" si="402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>IF(DG159&gt;0,SUM(DG159:DK159),0)</f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03"/>
        <v>200</v>
      </c>
      <c r="DP159">
        <f t="shared" si="404"/>
        <v>39950</v>
      </c>
      <c r="DQ159">
        <f>_xlfn.XLOOKUP(B159,'[12]february-2026'!$A:$A,'[12]february-2026'!$C:$C,0,0)</f>
        <v>35500</v>
      </c>
      <c r="DR159">
        <f t="shared" si="405"/>
        <v>6390</v>
      </c>
      <c r="DS159">
        <f t="shared" si="406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>IF(DQ159&gt;0,SUM(DQ159:DU159),0)</f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07"/>
        <v>200</v>
      </c>
      <c r="DZ159">
        <f t="shared" si="408"/>
        <v>39950</v>
      </c>
      <c r="EA159">
        <f>_xlfn.XLOOKUP(B159,'[1]march-2025'!$A:$A,'[1]march-2025'!$J:$J,0,0)</f>
        <v>0</v>
      </c>
      <c r="EB159">
        <f>_xlfn.XLOOKUP(B159,'[2]april-2025'!$A:$A,'[2]april-2025'!$J:$J,0,0)</f>
        <v>0</v>
      </c>
      <c r="EC159">
        <f>_xlfn.XLOOKUP(B159,'[3]may-2025'!$A:$A,'[3]may-2025'!$J:$J,0,0)</f>
        <v>0</v>
      </c>
      <c r="ED159">
        <f>_xlfn.XLOOKUP(B159,'[4]june-2025'!$A:$A,'[4]june-2025'!$J:$J,0,0)</f>
        <v>0</v>
      </c>
      <c r="EE159">
        <f>_xlfn.XLOOKUP(B159,'[5]july-2025'!$A:$A,'[5]july-2025'!$J:$J,0,0)</f>
        <v>0</v>
      </c>
      <c r="EF159">
        <f>_xlfn.XLOOKUP(B159,'[6]august-2025'!$A:$A,'[6]august-2025'!$J:$J,0,0)</f>
        <v>0</v>
      </c>
      <c r="EG159">
        <f>_xlfn.XLOOKUP(B159,'[7]september-2025'!$A:$A,'[7]september-2025'!$J:$J,0,0)</f>
        <v>0</v>
      </c>
      <c r="EH159">
        <f>_xlfn.XLOOKUP(B159,'[8]october-2025'!$A:$A,'[8]october-2025'!$J:$J,0,0)</f>
        <v>0</v>
      </c>
      <c r="EI159">
        <f>_xlfn.XLOOKUP(C159,'[9]november-2025'!$A:$A,'[9]november-2025'!$J:$J,0,0)</f>
        <v>0</v>
      </c>
      <c r="EJ159">
        <f>_xlfn.XLOOKUP(B159,'[10]december-2025'!$A:$A,'[10]december-2025'!$J:$J,0,0)</f>
        <v>0</v>
      </c>
      <c r="EK159">
        <f>_xlfn.XLOOKUP(B159,'[11]january-2026'!$A:$A,'[11]january-2026'!$J:$J,0,0)</f>
        <v>0</v>
      </c>
      <c r="EL159">
        <f>_xlfn.XLOOKUP(B159,'[12]february-2026'!$A:$A,'[12]february-2026'!$J:$J,0,0)</f>
        <v>0</v>
      </c>
      <c r="EM159">
        <f t="shared" si="361"/>
        <v>0</v>
      </c>
      <c r="EN159">
        <f>DV159+DL159+DB159+CR159+CH159+BX159+BN159+BD159+AS159+AI159+Y159+O159+H159+I159</f>
        <v>554020</v>
      </c>
      <c r="EO159">
        <f>DY159+DO159+DE159+CU159+CK159+CA159+BQ159+BG159+AV159+AL159+AB159+R159</f>
        <v>2400</v>
      </c>
      <c r="EP159">
        <f t="shared" si="409"/>
        <v>50000</v>
      </c>
      <c r="EQ159">
        <v>0</v>
      </c>
      <c r="ER159">
        <f t="shared" si="362"/>
        <v>501620</v>
      </c>
      <c r="ES159">
        <f>DW159+DM159+DC159+CS159+CI159+BY159+BO159+BE159+AT159+AJ159+Z159+P159</f>
        <v>72000</v>
      </c>
      <c r="ET159">
        <f>DX159+DN159+DD159+CT159+CJ159+BZ159+BP159+BF159+AU159+AK159+AA159+Q159</f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410"/>
        <v>72000</v>
      </c>
      <c r="FF159">
        <f t="shared" si="411"/>
        <v>72000</v>
      </c>
      <c r="FG159">
        <f t="shared" si="412"/>
        <v>429620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>SUM(FH159:FN159)+(IF(F159="YES",50000,0))</f>
        <v>0</v>
      </c>
      <c r="FP159">
        <f t="shared" si="413"/>
        <v>429620</v>
      </c>
      <c r="FQ159">
        <f t="shared" si="414"/>
        <v>8981</v>
      </c>
      <c r="FR159">
        <f t="shared" si="415"/>
        <v>0</v>
      </c>
      <c r="FS159">
        <f t="shared" si="416"/>
        <v>8981</v>
      </c>
      <c r="FT159">
        <f t="shared" si="417"/>
        <v>0</v>
      </c>
      <c r="FU159">
        <f t="shared" si="418"/>
        <v>0</v>
      </c>
      <c r="FV159">
        <f t="shared" si="419"/>
        <v>0</v>
      </c>
      <c r="FW159">
        <v>0</v>
      </c>
      <c r="FX159">
        <f t="shared" si="420"/>
        <v>0</v>
      </c>
      <c r="FY159" t="b">
        <f t="shared" si="421"/>
        <v>1</v>
      </c>
      <c r="FZ159">
        <f t="shared" ca="1" si="422"/>
        <v>669</v>
      </c>
      <c r="GA159">
        <f t="shared" ca="1" si="423"/>
        <v>554689</v>
      </c>
      <c r="GB159">
        <f t="shared" si="424"/>
        <v>75000</v>
      </c>
      <c r="GC159">
        <f t="shared" ca="1" si="425"/>
        <v>479689</v>
      </c>
      <c r="GD159">
        <f t="shared" ca="1" si="426"/>
        <v>0</v>
      </c>
      <c r="GE159">
        <f t="shared" ca="1" si="427"/>
        <v>0</v>
      </c>
      <c r="GF159">
        <f t="shared" ca="1" si="428"/>
        <v>0</v>
      </c>
      <c r="GG159">
        <f t="shared" ca="1" si="429"/>
        <v>0</v>
      </c>
      <c r="GH159">
        <f t="shared" ca="1" si="430"/>
        <v>0</v>
      </c>
      <c r="GI159">
        <f t="shared" ca="1" si="431"/>
        <v>0</v>
      </c>
      <c r="GJ159">
        <f ca="1">IF(GC159&gt;1200000,GC159-1200000-IF(F159="YES",50000,0)-GH159,0)</f>
        <v>0</v>
      </c>
      <c r="GK159">
        <f t="shared" ca="1" si="432"/>
        <v>0</v>
      </c>
      <c r="GL159">
        <f t="shared" ca="1" si="433"/>
        <v>0</v>
      </c>
      <c r="GM159">
        <f t="shared" ca="1" si="434"/>
        <v>0</v>
      </c>
      <c r="GN159">
        <f t="shared" ca="1" si="435"/>
        <v>79689</v>
      </c>
      <c r="GO159">
        <f t="shared" ca="1" si="436"/>
        <v>3984.4500000000003</v>
      </c>
      <c r="GP159">
        <f t="shared" ca="1" si="437"/>
        <v>3984</v>
      </c>
      <c r="GQ159">
        <f t="shared" ca="1" si="438"/>
        <v>0</v>
      </c>
      <c r="GR159">
        <f t="shared" ca="1" si="439"/>
        <v>0</v>
      </c>
      <c r="GS159">
        <f t="shared" ca="1" si="440"/>
        <v>3984</v>
      </c>
      <c r="GT159">
        <f t="shared" ca="1" si="441"/>
        <v>0</v>
      </c>
      <c r="GU159" t="b">
        <f t="shared" ca="1" si="442"/>
        <v>0</v>
      </c>
      <c r="GV159">
        <f t="shared" ca="1" si="443"/>
        <v>0</v>
      </c>
      <c r="GW159">
        <f t="shared" ca="1" si="444"/>
        <v>3984</v>
      </c>
      <c r="GX159">
        <f t="shared" ca="1" si="445"/>
        <v>0</v>
      </c>
      <c r="GY159">
        <f t="shared" ca="1" si="446"/>
        <v>0</v>
      </c>
      <c r="GZ159">
        <f t="shared" ca="1" si="447"/>
        <v>0</v>
      </c>
    </row>
    <row r="160" spans="1:208" x14ac:dyDescent="0.25">
      <c r="A160">
        <f>_xlfn.AGGREGATE(3,5,$B$2:B160)</f>
        <v>159</v>
      </c>
      <c r="B160" t="s">
        <v>426</v>
      </c>
      <c r="C160" t="s">
        <v>427</v>
      </c>
      <c r="D160" t="s">
        <v>793</v>
      </c>
      <c r="E160" t="s">
        <v>831</v>
      </c>
      <c r="F160" t="s">
        <v>957</v>
      </c>
      <c r="G160" t="s">
        <v>881</v>
      </c>
      <c r="H160">
        <f t="shared" si="449"/>
        <v>6800</v>
      </c>
      <c r="I160">
        <f>_xlfn.XLOOKUP(B160,'[1]march-2025'!$A:$A,'[1]march-2025'!$J:$J,0,0)</f>
        <v>0</v>
      </c>
      <c r="J160">
        <f>_xlfn.XLOOKUP(B160,'[1]march-2025'!$A:$A,'[1]march-2025'!$C:$C,0,0)</f>
        <v>28900</v>
      </c>
      <c r="K160">
        <f t="shared" si="364"/>
        <v>4046.0000000000005</v>
      </c>
      <c r="L160">
        <f t="shared" si="365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>IF(J160&gt;0,SUM(J160:N160),0)</f>
        <v>36914</v>
      </c>
      <c r="P160">
        <f>_xlfn.XLOOKUP(B160,'[1]march-2025'!$A:$A,'[1]march-2025'!$H:$H,0,0)</f>
        <v>2000</v>
      </c>
      <c r="Q160">
        <f>_xlfn.XLOOKUP(B160,'[1]march-2025'!$A:$A,'[1]march-2025'!$I:$I,0,0)</f>
        <v>0</v>
      </c>
      <c r="R160">
        <f t="shared" si="448"/>
        <v>150</v>
      </c>
      <c r="S160">
        <f t="shared" si="357"/>
        <v>34764</v>
      </c>
      <c r="T160">
        <f>_xlfn.XLOOKUP(B160,'[2]april-2025'!$A:$A,'[2]april-2025'!$C:$C,0,0)</f>
        <v>28900</v>
      </c>
      <c r="U160">
        <f t="shared" si="366"/>
        <v>5202</v>
      </c>
      <c r="V160">
        <f t="shared" si="367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358"/>
        <v>38070</v>
      </c>
      <c r="Z160">
        <f>_xlfn.XLOOKUP(B160,'[2]april-2025'!$A:$A,'[2]april-2025'!$H:$H,0,0)</f>
        <v>2000</v>
      </c>
      <c r="AA160">
        <f>_xlfn.XLOOKUP(B160,'[2]april-2025'!$A:$A,'[2]april-2025'!$I:$I,0,0)</f>
        <v>0</v>
      </c>
      <c r="AB160">
        <f t="shared" si="368"/>
        <v>150</v>
      </c>
      <c r="AC160">
        <f t="shared" si="369"/>
        <v>35920</v>
      </c>
      <c r="AD160">
        <f>_xlfn.XLOOKUP(B160,'[3]may-2025'!$A:$A,'[3]may-2025'!$C:$C,0,0)</f>
        <v>28900</v>
      </c>
      <c r="AE160">
        <f t="shared" si="370"/>
        <v>5202</v>
      </c>
      <c r="AF160">
        <f t="shared" si="371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359"/>
        <v>38070</v>
      </c>
      <c r="AJ160">
        <f>_xlfn.XLOOKUP(B160,'[3]may-2025'!$A:$A,'[3]may-2025'!$H:$H,0,0)</f>
        <v>2000</v>
      </c>
      <c r="AK160">
        <f>_xlfn.XLOOKUP(B160,'[3]may-2025'!$A:$A,'[3]may-2025'!$I:$I,0,0)</f>
        <v>0</v>
      </c>
      <c r="AL160">
        <f t="shared" si="372"/>
        <v>150</v>
      </c>
      <c r="AM160">
        <f t="shared" si="373"/>
        <v>35920</v>
      </c>
      <c r="AN160">
        <f>_xlfn.XLOOKUP(B160,'[4]june-2025'!$A:$A,'[4]june-2025'!$C:$C,0,0)</f>
        <v>28900</v>
      </c>
      <c r="AO160">
        <f t="shared" si="374"/>
        <v>5202</v>
      </c>
      <c r="AP160">
        <f t="shared" si="375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360"/>
        <v>38070</v>
      </c>
      <c r="AT160">
        <f>_xlfn.XLOOKUP(B160,'[4]june-2025'!$A:$A,'[4]june-2025'!$H:$H,0,0)</f>
        <v>2000</v>
      </c>
      <c r="AU160">
        <f>_xlfn.XLOOKUP(B160,'[4]june-2025'!$A:$A,'[4]june-2025'!$I:$I,0,0)</f>
        <v>0</v>
      </c>
      <c r="AV160">
        <f t="shared" si="376"/>
        <v>150</v>
      </c>
      <c r="AW160">
        <f t="shared" si="377"/>
        <v>35920</v>
      </c>
      <c r="AX160">
        <f>_xlfn.XLOOKUP(B160,'[5]july-2025'!$A:$A,'[5]july-2025'!$C:$C,0,0)</f>
        <v>29800</v>
      </c>
      <c r="AY160">
        <f t="shared" si="378"/>
        <v>5364</v>
      </c>
      <c r="AZ160">
        <v>0</v>
      </c>
      <c r="BA160">
        <f t="shared" si="379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>IF(AX160&gt;0,SUM(AX160:BC160),0)</f>
        <v>39240</v>
      </c>
      <c r="BE160">
        <f>_xlfn.XLOOKUP(B160,'[5]july-2025'!$A:$A,'[5]july-2025'!$H:$H,0,0)</f>
        <v>2000</v>
      </c>
      <c r="BF160">
        <f>_xlfn.XLOOKUP(B160,'[5]july-2025'!$A:$A,'[5]july-2025'!$I:$I,0,0)</f>
        <v>0</v>
      </c>
      <c r="BG160">
        <f t="shared" si="380"/>
        <v>150</v>
      </c>
      <c r="BH160">
        <f t="shared" si="381"/>
        <v>37090</v>
      </c>
      <c r="BI160">
        <f>_xlfn.XLOOKUP(B160,'[6]august-2025'!$A:$A,'[6]august-2025'!$C:$C,0,0)</f>
        <v>29800</v>
      </c>
      <c r="BJ160">
        <f t="shared" si="382"/>
        <v>5364</v>
      </c>
      <c r="BK160">
        <f t="shared" si="383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384"/>
        <v>39240</v>
      </c>
      <c r="BO160">
        <f>_xlfn.XLOOKUP(B160,'[6]august-2025'!$A:$A,'[6]august-2025'!$H:$H,0,0)</f>
        <v>4000</v>
      </c>
      <c r="BP160">
        <f>_xlfn.XLOOKUP(B160,'[6]august-2025'!$A:$A,'[6]august-2025'!$I:$I,0,0)</f>
        <v>0</v>
      </c>
      <c r="BQ160">
        <f>IF($F160="YES",0,IF(BN160&gt;40000,200,IF(BN160&gt;25000,150,IF(BN160&gt;15000,130,IF(BN160&gt;10000,110,0)))))</f>
        <v>150</v>
      </c>
      <c r="BR160">
        <f>BN160-BO160-BP160-BQ160</f>
        <v>35090</v>
      </c>
      <c r="BS160">
        <f>_xlfn.XLOOKUP(B160,'[7]september-2025'!$A:$A,'[7]september-2025'!$C:$C,0,0)</f>
        <v>29800</v>
      </c>
      <c r="BT160">
        <f t="shared" si="385"/>
        <v>5364</v>
      </c>
      <c r="BU160">
        <f t="shared" si="386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>IF(BS160&gt;0,SUM(BS160:BW160),0)</f>
        <v>39240</v>
      </c>
      <c r="BY160">
        <f>_xlfn.XLOOKUP(B160,'[7]september-2025'!$A:$A,'[7]september-2025'!$H:$H,0,0)</f>
        <v>4000</v>
      </c>
      <c r="BZ160">
        <f>_xlfn.XLOOKUP(B160,'[7]september-2025'!$A:$A,'[7]september-2025'!$I:$I,0,0)</f>
        <v>0</v>
      </c>
      <c r="CA160">
        <f t="shared" si="387"/>
        <v>150</v>
      </c>
      <c r="CB160">
        <f t="shared" si="388"/>
        <v>35090</v>
      </c>
      <c r="CC160">
        <f>_xlfn.XLOOKUP(B160,'[8]october-2025'!$A:$A,'[8]october-2025'!$C:$C,0,0)</f>
        <v>29800</v>
      </c>
      <c r="CD160">
        <f t="shared" si="389"/>
        <v>5364</v>
      </c>
      <c r="CE160">
        <f t="shared" si="390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>IF(CC160&gt;0,SUM(CC160:CG160),0)</f>
        <v>39240</v>
      </c>
      <c r="CI160">
        <f>_xlfn.XLOOKUP(B160,'[8]october-2025'!$A:$A,'[8]october-2025'!$H:$H,0,0)</f>
        <v>4000</v>
      </c>
      <c r="CJ160">
        <f>_xlfn.XLOOKUP(B160,'[8]october-2025'!$A:$A,'[8]october-2025'!$I:$I,0,0)</f>
        <v>0</v>
      </c>
      <c r="CK160">
        <f t="shared" si="391"/>
        <v>150</v>
      </c>
      <c r="CL160">
        <f t="shared" si="392"/>
        <v>35090</v>
      </c>
      <c r="CM160">
        <f>_xlfn.XLOOKUP(B160,'[9]november-2025'!$A:$A,'[9]november-2025'!$C:$C,0,0)</f>
        <v>29800</v>
      </c>
      <c r="CN160">
        <f t="shared" si="393"/>
        <v>5364</v>
      </c>
      <c r="CO160">
        <f t="shared" si="394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>IF(CM160&gt;0,SUM(CM160:CQ160),0)</f>
        <v>39240</v>
      </c>
      <c r="CS160">
        <f>_xlfn.XLOOKUP(B160,'[9]november-2025'!$A:$A,'[9]november-2025'!$H:$H,0,0)</f>
        <v>4000</v>
      </c>
      <c r="CT160">
        <f>_xlfn.XLOOKUP(B160,'[9]november-2025'!$A:$A,'[9]november-2025'!$I:$I,0,0)</f>
        <v>0</v>
      </c>
      <c r="CU160">
        <f t="shared" si="395"/>
        <v>150</v>
      </c>
      <c r="CV160">
        <f t="shared" si="396"/>
        <v>35090</v>
      </c>
      <c r="CW160">
        <f>_xlfn.XLOOKUP(B160,'[10]december-2025'!$A:$A,'[10]december-2025'!$C:$C,0,0)</f>
        <v>29800</v>
      </c>
      <c r="CX160">
        <f t="shared" si="397"/>
        <v>5364</v>
      </c>
      <c r="CY160">
        <f t="shared" si="398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>IF(CW160&gt;0,SUM(CW160:DA160),0)</f>
        <v>39240</v>
      </c>
      <c r="DC160">
        <f>_xlfn.XLOOKUP(B160,'[10]december-2025'!$A:$A,'[10]december-2025'!$H:$H,0,0)</f>
        <v>4000</v>
      </c>
      <c r="DD160">
        <f>_xlfn.XLOOKUP(B160,'[10]december-2025'!$A:$A,'[10]december-2025'!$I:$I,0,0)</f>
        <v>0</v>
      </c>
      <c r="DE160">
        <f t="shared" si="399"/>
        <v>150</v>
      </c>
      <c r="DF160">
        <f t="shared" si="400"/>
        <v>35090</v>
      </c>
      <c r="DG160">
        <f>_xlfn.XLOOKUP(B160,'[11]january-2026'!$A:$A,'[11]january-2026'!$C:$C,0,0)</f>
        <v>29800</v>
      </c>
      <c r="DH160">
        <f t="shared" si="401"/>
        <v>5364</v>
      </c>
      <c r="DI160">
        <f t="shared" si="402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>IF(DG160&gt;0,SUM(DG160:DK160),0)</f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03"/>
        <v>150</v>
      </c>
      <c r="DP160">
        <f t="shared" si="404"/>
        <v>35090</v>
      </c>
      <c r="DQ160">
        <f>_xlfn.XLOOKUP(B160,'[12]february-2026'!$A:$A,'[12]february-2026'!$C:$C,0,0)</f>
        <v>29800</v>
      </c>
      <c r="DR160">
        <f t="shared" si="405"/>
        <v>5364</v>
      </c>
      <c r="DS160">
        <f t="shared" si="406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>IF(DQ160&gt;0,SUM(DQ160:DU160),0)</f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07"/>
        <v>150</v>
      </c>
      <c r="DZ160">
        <f t="shared" si="408"/>
        <v>35090</v>
      </c>
      <c r="EA160">
        <f>_xlfn.XLOOKUP(B160,'[1]march-2025'!$A:$A,'[1]march-2025'!$J:$J,0,0)</f>
        <v>0</v>
      </c>
      <c r="EB160">
        <f>_xlfn.XLOOKUP(B160,'[2]april-2025'!$A:$A,'[2]april-2025'!$J:$J,0,0)</f>
        <v>0</v>
      </c>
      <c r="EC160">
        <f>_xlfn.XLOOKUP(B160,'[3]may-2025'!$A:$A,'[3]may-2025'!$J:$J,0,0)</f>
        <v>61490</v>
      </c>
      <c r="ED160">
        <f>_xlfn.XLOOKUP(B160,'[4]june-2025'!$A:$A,'[4]june-2025'!$J:$J,0,0)</f>
        <v>0</v>
      </c>
      <c r="EE160">
        <f>_xlfn.XLOOKUP(B160,'[5]july-2025'!$A:$A,'[5]july-2025'!$J:$J,0,0)</f>
        <v>0</v>
      </c>
      <c r="EF160">
        <f>_xlfn.XLOOKUP(B160,'[6]august-2025'!$A:$A,'[6]august-2025'!$J:$J,0,0)</f>
        <v>0</v>
      </c>
      <c r="EG160">
        <f>_xlfn.XLOOKUP(B160,'[7]september-2025'!$A:$A,'[7]september-2025'!$J:$J,0,0)</f>
        <v>0</v>
      </c>
      <c r="EH160">
        <f>_xlfn.XLOOKUP(B160,'[8]october-2025'!$A:$A,'[8]october-2025'!$J:$J,0,0)</f>
        <v>0</v>
      </c>
      <c r="EI160">
        <f>_xlfn.XLOOKUP(C160,'[9]november-2025'!$A:$A,'[9]november-2025'!$J:$J,0,0)</f>
        <v>0</v>
      </c>
      <c r="EJ160">
        <f>_xlfn.XLOOKUP(B160,'[10]december-2025'!$A:$A,'[10]december-2025'!$J:$J,0,0)</f>
        <v>0</v>
      </c>
      <c r="EK160">
        <f>_xlfn.XLOOKUP(B160,'[11]january-2026'!$A:$A,'[11]january-2026'!$J:$J,0,0)</f>
        <v>0</v>
      </c>
      <c r="EL160">
        <f>_xlfn.XLOOKUP(B160,'[12]february-2026'!$A:$A,'[12]february-2026'!$J:$J,0,0)</f>
        <v>0</v>
      </c>
      <c r="EM160">
        <f t="shared" si="361"/>
        <v>61490</v>
      </c>
      <c r="EN160">
        <f>DV160+DL160+DB160+CR160+CH160+BX160+BN160+BD160+AS160+AI160+Y160+O160+H160+I160</f>
        <v>471844</v>
      </c>
      <c r="EO160">
        <f>DY160+DO160+DE160+CU160+CK160+CA160+BQ160+BG160+AV160+AL160+AB160+R160</f>
        <v>1800</v>
      </c>
      <c r="EP160">
        <f t="shared" si="409"/>
        <v>50000</v>
      </c>
      <c r="EQ160">
        <v>0</v>
      </c>
      <c r="ER160">
        <f t="shared" si="362"/>
        <v>481534</v>
      </c>
      <c r="ES160">
        <f>DW160+DM160+DC160+CS160+CI160+BY160+BO160+BE160+AT160+AJ160+Z160+P160</f>
        <v>38000</v>
      </c>
      <c r="ET160">
        <f>DX160+DN160+DD160+CT160+CJ160+BZ160+BP160+BF160+AU160+AK160+AA160+Q160</f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410"/>
        <v>38000</v>
      </c>
      <c r="FF160">
        <f t="shared" si="411"/>
        <v>38000</v>
      </c>
      <c r="FG160">
        <f t="shared" si="412"/>
        <v>443534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>SUM(FH160:FN160)+(IF(F160="YES",50000,0))</f>
        <v>0</v>
      </c>
      <c r="FP160">
        <f t="shared" si="413"/>
        <v>443534</v>
      </c>
      <c r="FQ160">
        <f t="shared" si="414"/>
        <v>9677</v>
      </c>
      <c r="FR160">
        <f t="shared" si="415"/>
        <v>0</v>
      </c>
      <c r="FS160">
        <f t="shared" si="416"/>
        <v>9677</v>
      </c>
      <c r="FT160">
        <f t="shared" si="417"/>
        <v>0</v>
      </c>
      <c r="FU160">
        <f t="shared" si="418"/>
        <v>0</v>
      </c>
      <c r="FV160">
        <f t="shared" si="419"/>
        <v>0</v>
      </c>
      <c r="FW160">
        <v>0</v>
      </c>
      <c r="FX160">
        <f t="shared" si="420"/>
        <v>0</v>
      </c>
      <c r="FY160" t="b">
        <f t="shared" si="421"/>
        <v>0</v>
      </c>
      <c r="FZ160">
        <f t="shared" ca="1" si="422"/>
        <v>2810</v>
      </c>
      <c r="GA160">
        <f t="shared" ca="1" si="423"/>
        <v>474654</v>
      </c>
      <c r="GB160">
        <f t="shared" si="424"/>
        <v>75000</v>
      </c>
      <c r="GC160">
        <f t="shared" ca="1" si="425"/>
        <v>399654</v>
      </c>
      <c r="GD160">
        <f t="shared" ca="1" si="426"/>
        <v>0</v>
      </c>
      <c r="GE160">
        <f t="shared" ca="1" si="427"/>
        <v>0</v>
      </c>
      <c r="GF160">
        <f t="shared" ca="1" si="428"/>
        <v>0</v>
      </c>
      <c r="GG160">
        <f t="shared" ca="1" si="429"/>
        <v>0</v>
      </c>
      <c r="GH160">
        <f t="shared" ca="1" si="430"/>
        <v>0</v>
      </c>
      <c r="GI160">
        <f t="shared" ca="1" si="431"/>
        <v>0</v>
      </c>
      <c r="GJ160">
        <f ca="1">IF(GC160&gt;1200000,GC160-1200000-IF(F160="YES",50000,0)-GH160,0)</f>
        <v>0</v>
      </c>
      <c r="GK160">
        <f t="shared" ca="1" si="432"/>
        <v>0</v>
      </c>
      <c r="GL160">
        <f t="shared" ca="1" si="433"/>
        <v>0</v>
      </c>
      <c r="GM160">
        <f t="shared" ca="1" si="434"/>
        <v>0</v>
      </c>
      <c r="GN160">
        <f t="shared" ca="1" si="435"/>
        <v>0</v>
      </c>
      <c r="GO160">
        <f t="shared" ca="1" si="436"/>
        <v>0</v>
      </c>
      <c r="GP160">
        <f t="shared" ca="1" si="437"/>
        <v>0</v>
      </c>
      <c r="GQ160">
        <f t="shared" ca="1" si="438"/>
        <v>0</v>
      </c>
      <c r="GR160">
        <f t="shared" ca="1" si="439"/>
        <v>0</v>
      </c>
      <c r="GS160">
        <f t="shared" ca="1" si="440"/>
        <v>0</v>
      </c>
      <c r="GT160">
        <f t="shared" ca="1" si="441"/>
        <v>0</v>
      </c>
      <c r="GU160" t="b">
        <f t="shared" ca="1" si="442"/>
        <v>0</v>
      </c>
      <c r="GV160">
        <f t="shared" ca="1" si="443"/>
        <v>0</v>
      </c>
      <c r="GW160">
        <f t="shared" ca="1" si="444"/>
        <v>0</v>
      </c>
      <c r="GX160">
        <f t="shared" ca="1" si="445"/>
        <v>0</v>
      </c>
      <c r="GY160">
        <f t="shared" ca="1" si="446"/>
        <v>0</v>
      </c>
      <c r="GZ160">
        <f t="shared" ca="1" si="447"/>
        <v>0</v>
      </c>
    </row>
    <row r="161" spans="1:208" x14ac:dyDescent="0.25">
      <c r="A161">
        <f>_xlfn.AGGREGATE(3,5,$B$2:B161)</f>
        <v>160</v>
      </c>
      <c r="B161" t="s">
        <v>428</v>
      </c>
      <c r="C161" t="s">
        <v>429</v>
      </c>
      <c r="D161" t="s">
        <v>793</v>
      </c>
      <c r="E161" t="s">
        <v>831</v>
      </c>
      <c r="F161" t="s">
        <v>957</v>
      </c>
      <c r="G161" t="s">
        <v>883</v>
      </c>
      <c r="H161">
        <f t="shared" si="449"/>
        <v>6800</v>
      </c>
      <c r="I161">
        <f>_xlfn.XLOOKUP(B161,'[1]march-2025'!$A:$A,'[1]march-2025'!$J:$J,0,0)</f>
        <v>0</v>
      </c>
      <c r="J161">
        <f>_xlfn.XLOOKUP(B161,'[1]march-2025'!$A:$A,'[1]march-2025'!$C:$C,0,0)</f>
        <v>28900</v>
      </c>
      <c r="K161">
        <f t="shared" si="364"/>
        <v>4046.0000000000005</v>
      </c>
      <c r="L161">
        <f t="shared" si="365"/>
        <v>3468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>IF(J161&gt;0,SUM(J161:N161),0)</f>
        <v>36914</v>
      </c>
      <c r="P161">
        <f>_xlfn.XLOOKUP(B161,'[1]march-2025'!$A:$A,'[1]march-2025'!$H:$H,0,0)</f>
        <v>0</v>
      </c>
      <c r="Q161">
        <f>_xlfn.XLOOKUP(B161,'[1]march-2025'!$A:$A,'[1]march-2025'!$I:$I,0,0)</f>
        <v>0</v>
      </c>
      <c r="R161">
        <f t="shared" si="448"/>
        <v>150</v>
      </c>
      <c r="S161">
        <f t="shared" si="357"/>
        <v>36764</v>
      </c>
      <c r="T161">
        <f>_xlfn.XLOOKUP(B161,'[2]april-2025'!$A:$A,'[2]april-2025'!$C:$C,0,0)</f>
        <v>28900</v>
      </c>
      <c r="U161">
        <f t="shared" si="366"/>
        <v>5202</v>
      </c>
      <c r="V161">
        <f t="shared" si="367"/>
        <v>3468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358"/>
        <v>38070</v>
      </c>
      <c r="Z161">
        <f>_xlfn.XLOOKUP(B161,'[2]april-2025'!$A:$A,'[2]april-2025'!$H:$H,0,0)</f>
        <v>0</v>
      </c>
      <c r="AA161">
        <f>_xlfn.XLOOKUP(B161,'[2]april-2025'!$A:$A,'[2]april-2025'!$I:$I,0,0)</f>
        <v>0</v>
      </c>
      <c r="AB161">
        <f t="shared" si="368"/>
        <v>150</v>
      </c>
      <c r="AC161">
        <f t="shared" si="369"/>
        <v>37920</v>
      </c>
      <c r="AD161">
        <f>_xlfn.XLOOKUP(B161,'[3]may-2025'!$A:$A,'[3]may-2025'!$C:$C,0,0)</f>
        <v>28900</v>
      </c>
      <c r="AE161">
        <f t="shared" si="370"/>
        <v>5202</v>
      </c>
      <c r="AF161">
        <f t="shared" si="371"/>
        <v>3468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359"/>
        <v>38070</v>
      </c>
      <c r="AJ161">
        <f>_xlfn.XLOOKUP(B161,'[3]may-2025'!$A:$A,'[3]may-2025'!$H:$H,0,0)</f>
        <v>0</v>
      </c>
      <c r="AK161">
        <f>_xlfn.XLOOKUP(B161,'[3]may-2025'!$A:$A,'[3]may-2025'!$I:$I,0,0)</f>
        <v>0</v>
      </c>
      <c r="AL161">
        <f t="shared" si="372"/>
        <v>150</v>
      </c>
      <c r="AM161">
        <f t="shared" si="373"/>
        <v>37920</v>
      </c>
      <c r="AN161">
        <f>_xlfn.XLOOKUP(B161,'[4]june-2025'!$A:$A,'[4]june-2025'!$C:$C,0,0)</f>
        <v>28900</v>
      </c>
      <c r="AO161">
        <f t="shared" si="374"/>
        <v>5202</v>
      </c>
      <c r="AP161">
        <f t="shared" si="375"/>
        <v>3468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360"/>
        <v>38070</v>
      </c>
      <c r="AT161">
        <f>_xlfn.XLOOKUP(B161,'[4]june-2025'!$A:$A,'[4]june-2025'!$H:$H,0,0)</f>
        <v>0</v>
      </c>
      <c r="AU161">
        <f>_xlfn.XLOOKUP(B161,'[4]june-2025'!$A:$A,'[4]june-2025'!$I:$I,0,0)</f>
        <v>0</v>
      </c>
      <c r="AV161">
        <f t="shared" si="376"/>
        <v>150</v>
      </c>
      <c r="AW161">
        <f t="shared" si="377"/>
        <v>37920</v>
      </c>
      <c r="AX161">
        <f>_xlfn.XLOOKUP(B161,'[5]july-2025'!$A:$A,'[5]july-2025'!$C:$C,0,0)</f>
        <v>29800</v>
      </c>
      <c r="AY161">
        <f t="shared" si="378"/>
        <v>5364</v>
      </c>
      <c r="AZ161">
        <v>0</v>
      </c>
      <c r="BA161">
        <f t="shared" si="379"/>
        <v>3576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>IF(AX161&gt;0,SUM(AX161:BC161),0)</f>
        <v>39240</v>
      </c>
      <c r="BE161">
        <f>_xlfn.XLOOKUP(B161,'[5]july-2025'!$A:$A,'[5]july-2025'!$H:$H,0,0)</f>
        <v>0</v>
      </c>
      <c r="BF161">
        <f>_xlfn.XLOOKUP(B161,'[5]july-2025'!$A:$A,'[5]july-2025'!$I:$I,0,0)</f>
        <v>0</v>
      </c>
      <c r="BG161">
        <f t="shared" si="380"/>
        <v>150</v>
      </c>
      <c r="BH161">
        <f t="shared" si="381"/>
        <v>39090</v>
      </c>
      <c r="BI161">
        <f>_xlfn.XLOOKUP(B161,'[6]august-2025'!$A:$A,'[6]august-2025'!$C:$C,0,0)</f>
        <v>29800</v>
      </c>
      <c r="BJ161">
        <f t="shared" si="382"/>
        <v>5364</v>
      </c>
      <c r="BK161">
        <f t="shared" si="383"/>
        <v>3576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384"/>
        <v>39240</v>
      </c>
      <c r="BO161">
        <f>_xlfn.XLOOKUP(B161,'[6]august-2025'!$A:$A,'[6]august-2025'!$H:$H,0,0)</f>
        <v>0</v>
      </c>
      <c r="BP161">
        <f>_xlfn.XLOOKUP(B161,'[6]august-2025'!$A:$A,'[6]august-2025'!$I:$I,0,0)</f>
        <v>0</v>
      </c>
      <c r="BQ161">
        <f>IF($F161="YES",0,IF(BN161&gt;40000,200,IF(BN161&gt;25000,150,IF(BN161&gt;15000,130,IF(BN161&gt;10000,110,0)))))</f>
        <v>150</v>
      </c>
      <c r="BR161">
        <f>BN161-BO161-BP161-BQ161</f>
        <v>39090</v>
      </c>
      <c r="BS161">
        <f>_xlfn.XLOOKUP(B161,'[7]september-2025'!$A:$A,'[7]september-2025'!$C:$C,0,0)</f>
        <v>29800</v>
      </c>
      <c r="BT161">
        <f t="shared" si="385"/>
        <v>5364</v>
      </c>
      <c r="BU161">
        <f t="shared" si="386"/>
        <v>3576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>IF(BS161&gt;0,SUM(BS161:BW161),0)</f>
        <v>39240</v>
      </c>
      <c r="BY161">
        <f>_xlfn.XLOOKUP(B161,'[7]september-2025'!$A:$A,'[7]september-2025'!$H:$H,0,0)</f>
        <v>2000</v>
      </c>
      <c r="BZ161">
        <f>_xlfn.XLOOKUP(B161,'[7]september-2025'!$A:$A,'[7]september-2025'!$I:$I,0,0)</f>
        <v>0</v>
      </c>
      <c r="CA161">
        <f t="shared" si="387"/>
        <v>150</v>
      </c>
      <c r="CB161">
        <f t="shared" si="388"/>
        <v>37090</v>
      </c>
      <c r="CC161">
        <f>_xlfn.XLOOKUP(B161,'[8]october-2025'!$A:$A,'[8]october-2025'!$C:$C,0,0)</f>
        <v>29800</v>
      </c>
      <c r="CD161">
        <f t="shared" si="389"/>
        <v>5364</v>
      </c>
      <c r="CE161">
        <f t="shared" si="390"/>
        <v>3576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>IF(CC161&gt;0,SUM(CC161:CG161),0)</f>
        <v>39240</v>
      </c>
      <c r="CI161">
        <f>_xlfn.XLOOKUP(B161,'[8]october-2025'!$A:$A,'[8]october-2025'!$H:$H,0,0)</f>
        <v>2000</v>
      </c>
      <c r="CJ161">
        <f>_xlfn.XLOOKUP(B161,'[8]october-2025'!$A:$A,'[8]october-2025'!$I:$I,0,0)</f>
        <v>0</v>
      </c>
      <c r="CK161">
        <f t="shared" si="391"/>
        <v>150</v>
      </c>
      <c r="CL161">
        <f t="shared" si="392"/>
        <v>37090</v>
      </c>
      <c r="CM161">
        <f>_xlfn.XLOOKUP(B161,'[9]november-2025'!$A:$A,'[9]november-2025'!$C:$C,0,0)</f>
        <v>29800</v>
      </c>
      <c r="CN161">
        <f t="shared" si="393"/>
        <v>5364</v>
      </c>
      <c r="CO161">
        <f t="shared" si="394"/>
        <v>3576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>IF(CM161&gt;0,SUM(CM161:CQ161),0)</f>
        <v>39240</v>
      </c>
      <c r="CS161">
        <f>_xlfn.XLOOKUP(B161,'[9]november-2025'!$A:$A,'[9]november-2025'!$H:$H,0,0)</f>
        <v>2000</v>
      </c>
      <c r="CT161">
        <f>_xlfn.XLOOKUP(B161,'[9]november-2025'!$A:$A,'[9]november-2025'!$I:$I,0,0)</f>
        <v>0</v>
      </c>
      <c r="CU161">
        <f t="shared" si="395"/>
        <v>150</v>
      </c>
      <c r="CV161">
        <f t="shared" si="396"/>
        <v>37090</v>
      </c>
      <c r="CW161">
        <f>_xlfn.XLOOKUP(B161,'[10]december-2025'!$A:$A,'[10]december-2025'!$C:$C,0,0)</f>
        <v>29800</v>
      </c>
      <c r="CX161">
        <f t="shared" si="397"/>
        <v>5364</v>
      </c>
      <c r="CY161">
        <f t="shared" si="398"/>
        <v>3576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>IF(CW161&gt;0,SUM(CW161:DA161),0)</f>
        <v>39240</v>
      </c>
      <c r="DC161">
        <f>_xlfn.XLOOKUP(B161,'[10]december-2025'!$A:$A,'[10]december-2025'!$H:$H,0,0)</f>
        <v>2000</v>
      </c>
      <c r="DD161">
        <f>_xlfn.XLOOKUP(B161,'[10]december-2025'!$A:$A,'[10]december-2025'!$I:$I,0,0)</f>
        <v>0</v>
      </c>
      <c r="DE161">
        <f t="shared" si="399"/>
        <v>150</v>
      </c>
      <c r="DF161">
        <f t="shared" si="400"/>
        <v>37090</v>
      </c>
      <c r="DG161">
        <f>_xlfn.XLOOKUP(B161,'[11]january-2026'!$A:$A,'[11]january-2026'!$C:$C,0,0)</f>
        <v>29800</v>
      </c>
      <c r="DH161">
        <f t="shared" si="401"/>
        <v>5364</v>
      </c>
      <c r="DI161">
        <f t="shared" si="402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>IF(DG161&gt;0,SUM(DG161:DK161),0)</f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03"/>
        <v>150</v>
      </c>
      <c r="DP161">
        <f t="shared" si="404"/>
        <v>37090</v>
      </c>
      <c r="DQ161">
        <f>_xlfn.XLOOKUP(B161,'[12]february-2026'!$A:$A,'[12]february-2026'!$C:$C,0,0)</f>
        <v>29800</v>
      </c>
      <c r="DR161">
        <f t="shared" si="405"/>
        <v>5364</v>
      </c>
      <c r="DS161">
        <f t="shared" si="406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>IF(DQ161&gt;0,SUM(DQ161:DU161),0)</f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07"/>
        <v>150</v>
      </c>
      <c r="DZ161">
        <f t="shared" si="408"/>
        <v>37090</v>
      </c>
      <c r="EA161">
        <f>_xlfn.XLOOKUP(B161,'[1]march-2025'!$A:$A,'[1]march-2025'!$J:$J,0,0)</f>
        <v>0</v>
      </c>
      <c r="EB161">
        <f>_xlfn.XLOOKUP(B161,'[2]april-2025'!$A:$A,'[2]april-2025'!$J:$J,0,0)</f>
        <v>0</v>
      </c>
      <c r="EC161">
        <f>_xlfn.XLOOKUP(B161,'[3]may-2025'!$A:$A,'[3]may-2025'!$J:$J,0,0)</f>
        <v>71100</v>
      </c>
      <c r="ED161">
        <f>_xlfn.XLOOKUP(B161,'[4]june-2025'!$A:$A,'[4]june-2025'!$J:$J,0,0)</f>
        <v>0</v>
      </c>
      <c r="EE161">
        <f>_xlfn.XLOOKUP(B161,'[5]july-2025'!$A:$A,'[5]july-2025'!$J:$J,0,0)</f>
        <v>0</v>
      </c>
      <c r="EF161">
        <f>_xlfn.XLOOKUP(B161,'[6]august-2025'!$A:$A,'[6]august-2025'!$J:$J,0,0)</f>
        <v>0</v>
      </c>
      <c r="EG161">
        <f>_xlfn.XLOOKUP(B161,'[7]september-2025'!$A:$A,'[7]september-2025'!$J:$J,0,0)</f>
        <v>0</v>
      </c>
      <c r="EH161">
        <f>_xlfn.XLOOKUP(B161,'[8]october-2025'!$A:$A,'[8]october-2025'!$J:$J,0,0)</f>
        <v>0</v>
      </c>
      <c r="EI161">
        <f>_xlfn.XLOOKUP(C161,'[9]november-2025'!$A:$A,'[9]november-2025'!$J:$J,0,0)</f>
        <v>0</v>
      </c>
      <c r="EJ161">
        <f>_xlfn.XLOOKUP(B161,'[10]december-2025'!$A:$A,'[10]december-2025'!$J:$J,0,0)</f>
        <v>0</v>
      </c>
      <c r="EK161">
        <f>_xlfn.XLOOKUP(B161,'[11]january-2026'!$A:$A,'[11]january-2026'!$J:$J,0,0)</f>
        <v>0</v>
      </c>
      <c r="EL161">
        <f>_xlfn.XLOOKUP(B161,'[12]february-2026'!$A:$A,'[12]february-2026'!$J:$J,0,0)</f>
        <v>0</v>
      </c>
      <c r="EM161">
        <f t="shared" si="361"/>
        <v>71100</v>
      </c>
      <c r="EN161">
        <f>DV161+DL161+DB161+CR161+CH161+BX161+BN161+BD161+AS161+AI161+Y161+O161+H161+I161</f>
        <v>471844</v>
      </c>
      <c r="EO161">
        <f>DY161+DO161+DE161+CU161+CK161+CA161+BQ161+BG161+AV161+AL161+AB161+R161</f>
        <v>1800</v>
      </c>
      <c r="EP161">
        <f t="shared" si="409"/>
        <v>50000</v>
      </c>
      <c r="EQ161">
        <v>0</v>
      </c>
      <c r="ER161">
        <f t="shared" si="362"/>
        <v>491144</v>
      </c>
      <c r="ES161">
        <f>DW161+DM161+DC161+CS161+CI161+BY161+BO161+BE161+AT161+AJ161+Z161+P161</f>
        <v>12000</v>
      </c>
      <c r="ET161">
        <f>DX161+DN161+DD161+CT161+CJ161+BZ161+BP161+BF161+AU161+AK161+AA161+Q161</f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410"/>
        <v>12000</v>
      </c>
      <c r="FF161">
        <f t="shared" si="411"/>
        <v>12000</v>
      </c>
      <c r="FG161">
        <f t="shared" si="412"/>
        <v>479144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>SUM(FH161:FN161)+(IF(F161="YES",50000,0))</f>
        <v>0</v>
      </c>
      <c r="FP161">
        <f t="shared" si="413"/>
        <v>479144</v>
      </c>
      <c r="FQ161">
        <f t="shared" si="414"/>
        <v>11457</v>
      </c>
      <c r="FR161">
        <f t="shared" si="415"/>
        <v>0</v>
      </c>
      <c r="FS161">
        <f t="shared" si="416"/>
        <v>11457</v>
      </c>
      <c r="FT161">
        <f t="shared" si="417"/>
        <v>0</v>
      </c>
      <c r="FU161">
        <f t="shared" si="418"/>
        <v>0</v>
      </c>
      <c r="FV161">
        <f t="shared" si="419"/>
        <v>0</v>
      </c>
      <c r="FW161">
        <v>0</v>
      </c>
      <c r="FX161">
        <f t="shared" si="420"/>
        <v>0</v>
      </c>
      <c r="FY161" t="b">
        <f t="shared" si="421"/>
        <v>0</v>
      </c>
      <c r="FZ161">
        <f t="shared" ca="1" si="422"/>
        <v>2538</v>
      </c>
      <c r="GA161">
        <f t="shared" ca="1" si="423"/>
        <v>474382</v>
      </c>
      <c r="GB161">
        <f t="shared" si="424"/>
        <v>75000</v>
      </c>
      <c r="GC161">
        <f t="shared" ca="1" si="425"/>
        <v>399382</v>
      </c>
      <c r="GD161">
        <f t="shared" ca="1" si="426"/>
        <v>0</v>
      </c>
      <c r="GE161">
        <f t="shared" ca="1" si="427"/>
        <v>0</v>
      </c>
      <c r="GF161">
        <f t="shared" ca="1" si="428"/>
        <v>0</v>
      </c>
      <c r="GG161">
        <f t="shared" ca="1" si="429"/>
        <v>0</v>
      </c>
      <c r="GH161">
        <f t="shared" ca="1" si="430"/>
        <v>0</v>
      </c>
      <c r="GI161">
        <f t="shared" ca="1" si="431"/>
        <v>0</v>
      </c>
      <c r="GJ161">
        <f ca="1">IF(GC161&gt;1200000,GC161-1200000-IF(F161="YES",50000,0)-GH161,0)</f>
        <v>0</v>
      </c>
      <c r="GK161">
        <f t="shared" ca="1" si="432"/>
        <v>0</v>
      </c>
      <c r="GL161">
        <f t="shared" ca="1" si="433"/>
        <v>0</v>
      </c>
      <c r="GM161">
        <f t="shared" ca="1" si="434"/>
        <v>0</v>
      </c>
      <c r="GN161">
        <f t="shared" ca="1" si="435"/>
        <v>0</v>
      </c>
      <c r="GO161">
        <f t="shared" ca="1" si="436"/>
        <v>0</v>
      </c>
      <c r="GP161">
        <f t="shared" ca="1" si="437"/>
        <v>0</v>
      </c>
      <c r="GQ161">
        <f t="shared" ca="1" si="438"/>
        <v>0</v>
      </c>
      <c r="GR161">
        <f t="shared" ca="1" si="439"/>
        <v>0</v>
      </c>
      <c r="GS161">
        <f t="shared" ca="1" si="440"/>
        <v>0</v>
      </c>
      <c r="GT161">
        <f t="shared" ca="1" si="441"/>
        <v>0</v>
      </c>
      <c r="GU161" t="b">
        <f t="shared" ca="1" si="442"/>
        <v>0</v>
      </c>
      <c r="GV161">
        <f t="shared" ca="1" si="443"/>
        <v>0</v>
      </c>
      <c r="GW161">
        <f t="shared" ca="1" si="444"/>
        <v>0</v>
      </c>
      <c r="GX161">
        <f t="shared" ca="1" si="445"/>
        <v>0</v>
      </c>
      <c r="GY161">
        <f t="shared" ca="1" si="446"/>
        <v>0</v>
      </c>
      <c r="GZ161">
        <f t="shared" ca="1" si="447"/>
        <v>0</v>
      </c>
    </row>
    <row r="162" spans="1:208" x14ac:dyDescent="0.25">
      <c r="A162">
        <f>_xlfn.AGGREGATE(3,5,$B$2:B162)</f>
        <v>161</v>
      </c>
      <c r="B162" t="s">
        <v>430</v>
      </c>
      <c r="C162" t="s">
        <v>431</v>
      </c>
      <c r="D162" t="s">
        <v>794</v>
      </c>
      <c r="E162" t="s">
        <v>832</v>
      </c>
      <c r="F162" t="s">
        <v>957</v>
      </c>
      <c r="G162" t="s">
        <v>885</v>
      </c>
      <c r="H162">
        <f t="shared" si="449"/>
        <v>6800</v>
      </c>
      <c r="I162">
        <f>_xlfn.XLOOKUP(B162,'[1]march-2025'!$A:$A,'[1]march-2025'!$J:$J,0,0)</f>
        <v>0</v>
      </c>
      <c r="J162">
        <f>_xlfn.XLOOKUP(B162,'[1]march-2025'!$A:$A,'[1]march-2025'!$C:$C,0,0)</f>
        <v>51700</v>
      </c>
      <c r="K162">
        <f t="shared" si="364"/>
        <v>7238.0000000000009</v>
      </c>
      <c r="L162">
        <f t="shared" si="365"/>
        <v>6204</v>
      </c>
      <c r="M162">
        <f>_xlfn.XLOOKUP(B162,'[1]march-2025'!$A:$A,'[1]march-2025'!$D:$D,0,0)</f>
        <v>400</v>
      </c>
      <c r="N162">
        <f>_xlfn.XLOOKUP(B162,'[1]march-2025'!$A:$A,'[1]march-2025'!$G:$G,0,0)</f>
        <v>500</v>
      </c>
      <c r="O162">
        <f>IF(J162&gt;0,SUM(J162:N162),0)</f>
        <v>66042</v>
      </c>
      <c r="P162">
        <f>_xlfn.XLOOKUP(B162,'[1]march-2025'!$A:$A,'[1]march-2025'!$H:$H,0,0)</f>
        <v>6000</v>
      </c>
      <c r="Q162">
        <f>_xlfn.XLOOKUP(B162,'[1]march-2025'!$A:$A,'[1]march-2025'!$I:$I,0,0)</f>
        <v>60</v>
      </c>
      <c r="R162">
        <f t="shared" si="448"/>
        <v>200</v>
      </c>
      <c r="S162">
        <f t="shared" si="357"/>
        <v>59782</v>
      </c>
      <c r="T162">
        <f>_xlfn.XLOOKUP(B162,'[2]april-2025'!$A:$A,'[2]april-2025'!$C:$C,0,0)</f>
        <v>51700</v>
      </c>
      <c r="U162">
        <f t="shared" si="366"/>
        <v>9306</v>
      </c>
      <c r="V162">
        <f t="shared" si="367"/>
        <v>6204</v>
      </c>
      <c r="W162">
        <f>_xlfn.XLOOKUP(B162,'[2]april-2025'!$A:$A,'[2]april-2025'!$D:$D,0,0)</f>
        <v>400</v>
      </c>
      <c r="X162">
        <f>_xlfn.XLOOKUP(B162,'[2]april-2025'!$A:$A,'[2]april-2025'!$G:$G,0,0)</f>
        <v>500</v>
      </c>
      <c r="Y162">
        <f t="shared" si="358"/>
        <v>68110</v>
      </c>
      <c r="Z162">
        <f>_xlfn.XLOOKUP(B162,'[2]april-2025'!$A:$A,'[2]april-2025'!$H:$H,0,0)</f>
        <v>6000</v>
      </c>
      <c r="AA162">
        <f>_xlfn.XLOOKUP(B162,'[2]april-2025'!$A:$A,'[2]april-2025'!$I:$I,0,0)</f>
        <v>60</v>
      </c>
      <c r="AB162">
        <f t="shared" si="368"/>
        <v>200</v>
      </c>
      <c r="AC162">
        <f t="shared" si="369"/>
        <v>61850</v>
      </c>
      <c r="AD162">
        <f>_xlfn.XLOOKUP(B162,'[3]may-2025'!$A:$A,'[3]may-2025'!$C:$C,0,0)</f>
        <v>51700</v>
      </c>
      <c r="AE162">
        <f t="shared" si="370"/>
        <v>9306</v>
      </c>
      <c r="AF162">
        <f t="shared" si="371"/>
        <v>6204</v>
      </c>
      <c r="AG162">
        <f>_xlfn.XLOOKUP(B162,'[3]may-2025'!$A:$A,'[3]may-2025'!$D:$D,0,0)</f>
        <v>400</v>
      </c>
      <c r="AH162">
        <f>_xlfn.XLOOKUP(B162,'[3]may-2025'!$A:$A,'[3]may-2025'!$G:$G,0,0)</f>
        <v>500</v>
      </c>
      <c r="AI162">
        <f t="shared" si="359"/>
        <v>68110</v>
      </c>
      <c r="AJ162">
        <f>_xlfn.XLOOKUP(B162,'[3]may-2025'!$A:$A,'[3]may-2025'!$H:$H,0,0)</f>
        <v>6000</v>
      </c>
      <c r="AK162">
        <f>_xlfn.XLOOKUP(B162,'[3]may-2025'!$A:$A,'[3]may-2025'!$I:$I,0,0)</f>
        <v>60</v>
      </c>
      <c r="AL162">
        <f t="shared" si="372"/>
        <v>200</v>
      </c>
      <c r="AM162">
        <f t="shared" si="373"/>
        <v>61850</v>
      </c>
      <c r="AN162">
        <f>_xlfn.XLOOKUP(B162,'[4]june-2025'!$A:$A,'[4]june-2025'!$C:$C,0,0)</f>
        <v>51700</v>
      </c>
      <c r="AO162">
        <f t="shared" si="374"/>
        <v>9306</v>
      </c>
      <c r="AP162">
        <f t="shared" si="375"/>
        <v>6204</v>
      </c>
      <c r="AQ162">
        <f>_xlfn.XLOOKUP(B162,'[4]june-2025'!$A:$A,'[4]june-2025'!$D:$D,0,0)</f>
        <v>400</v>
      </c>
      <c r="AR162">
        <f>_xlfn.XLOOKUP(B162,'[4]june-2025'!$A:$A,'[4]june-2025'!$G:$G,0,0)</f>
        <v>500</v>
      </c>
      <c r="AS162">
        <f t="shared" si="360"/>
        <v>68110</v>
      </c>
      <c r="AT162">
        <f>_xlfn.XLOOKUP(B162,'[4]june-2025'!$A:$A,'[4]june-2025'!$H:$H,0,0)</f>
        <v>6000</v>
      </c>
      <c r="AU162">
        <f>_xlfn.XLOOKUP(B162,'[4]june-2025'!$A:$A,'[4]june-2025'!$I:$I,0,0)</f>
        <v>60</v>
      </c>
      <c r="AV162">
        <f t="shared" si="376"/>
        <v>200</v>
      </c>
      <c r="AW162">
        <f t="shared" si="377"/>
        <v>61850</v>
      </c>
      <c r="AX162">
        <f>_xlfn.XLOOKUP(B162,'[5]july-2025'!$A:$A,'[5]july-2025'!$C:$C,0,0)</f>
        <v>53300</v>
      </c>
      <c r="AY162">
        <f t="shared" si="378"/>
        <v>9594</v>
      </c>
      <c r="AZ162">
        <v>0</v>
      </c>
      <c r="BA162">
        <f t="shared" si="379"/>
        <v>6396</v>
      </c>
      <c r="BB162">
        <f>_xlfn.XLOOKUP(B162,'[5]july-2025'!$A:$A,'[5]july-2025'!$D:$D,0,0)</f>
        <v>400</v>
      </c>
      <c r="BC162">
        <f>_xlfn.XLOOKUP(B162,'[5]july-2025'!$A:$A,'[5]july-2025'!$G:$G,0,0)</f>
        <v>500</v>
      </c>
      <c r="BD162">
        <f>IF(AX162&gt;0,SUM(AX162:BC162),0)</f>
        <v>70190</v>
      </c>
      <c r="BE162">
        <f>_xlfn.XLOOKUP(B162,'[5]july-2025'!$A:$A,'[5]july-2025'!$H:$H,0,0)</f>
        <v>6000</v>
      </c>
      <c r="BF162">
        <f>_xlfn.XLOOKUP(B162,'[5]july-2025'!$A:$A,'[5]july-2025'!$I:$I,0,0)</f>
        <v>60</v>
      </c>
      <c r="BG162">
        <f t="shared" si="380"/>
        <v>200</v>
      </c>
      <c r="BH162">
        <f t="shared" si="381"/>
        <v>63930</v>
      </c>
      <c r="BI162">
        <f>_xlfn.XLOOKUP(B162,'[6]august-2025'!$A:$A,'[6]august-2025'!$C:$C,0,0)</f>
        <v>53300</v>
      </c>
      <c r="BJ162">
        <f t="shared" si="382"/>
        <v>9594</v>
      </c>
      <c r="BK162">
        <f t="shared" si="383"/>
        <v>6396</v>
      </c>
      <c r="BL162">
        <f>_xlfn.XLOOKUP(B162,'[6]august-2025'!$A:$A,'[6]august-2025'!$D:$D,0,0)</f>
        <v>400</v>
      </c>
      <c r="BM162">
        <f>_xlfn.XLOOKUP(B162,'[6]august-2025'!$A:$A,'[6]august-2025'!$G:$G,0,0)</f>
        <v>500</v>
      </c>
      <c r="BN162">
        <f t="shared" si="384"/>
        <v>70190</v>
      </c>
      <c r="BO162">
        <f>_xlfn.XLOOKUP(B162,'[6]august-2025'!$A:$A,'[6]august-2025'!$H:$H,0,0)</f>
        <v>6000</v>
      </c>
      <c r="BP162">
        <f>_xlfn.XLOOKUP(B162,'[6]august-2025'!$A:$A,'[6]august-2025'!$I:$I,0,0)</f>
        <v>60</v>
      </c>
      <c r="BQ162">
        <f>IF($F162="YES",0,IF(BN162&gt;40000,200,IF(BN162&gt;25000,150,IF(BN162&gt;15000,130,IF(BN162&gt;10000,110,0)))))</f>
        <v>200</v>
      </c>
      <c r="BR162">
        <f>BN162-BO162-BP162-BQ162</f>
        <v>63930</v>
      </c>
      <c r="BS162">
        <f>_xlfn.XLOOKUP(B162,'[7]september-2025'!$A:$A,'[7]september-2025'!$C:$C,0,0)</f>
        <v>53300</v>
      </c>
      <c r="BT162">
        <f t="shared" si="385"/>
        <v>9594</v>
      </c>
      <c r="BU162">
        <f t="shared" si="386"/>
        <v>6396</v>
      </c>
      <c r="BV162">
        <f>_xlfn.XLOOKUP(B162,'[7]september-2025'!$A:$A,'[7]september-2025'!$D:$D,0,0)</f>
        <v>400</v>
      </c>
      <c r="BW162">
        <f>_xlfn.XLOOKUP(B162,'[7]september-2025'!$A:$A,'[7]september-2025'!$G:$G,0,0)</f>
        <v>500</v>
      </c>
      <c r="BX162">
        <f>IF(BS162&gt;0,SUM(BS162:BW162),0)</f>
        <v>70190</v>
      </c>
      <c r="BY162">
        <f>_xlfn.XLOOKUP(B162,'[7]september-2025'!$A:$A,'[7]september-2025'!$H:$H,0,0)</f>
        <v>6000</v>
      </c>
      <c r="BZ162">
        <f>_xlfn.XLOOKUP(B162,'[7]september-2025'!$A:$A,'[7]september-2025'!$I:$I,0,0)</f>
        <v>60</v>
      </c>
      <c r="CA162">
        <f t="shared" si="387"/>
        <v>200</v>
      </c>
      <c r="CB162">
        <f t="shared" si="388"/>
        <v>63930</v>
      </c>
      <c r="CC162">
        <f>_xlfn.XLOOKUP(B162,'[8]october-2025'!$A:$A,'[8]october-2025'!$C:$C,0,0)</f>
        <v>53300</v>
      </c>
      <c r="CD162">
        <f t="shared" si="389"/>
        <v>9594</v>
      </c>
      <c r="CE162">
        <f t="shared" si="390"/>
        <v>6396</v>
      </c>
      <c r="CF162">
        <f>_xlfn.XLOOKUP(B162,'[8]october-2025'!$A:$A,'[8]october-2025'!$D:$D,0,0)</f>
        <v>400</v>
      </c>
      <c r="CG162">
        <f>_xlfn.XLOOKUP(B162,'[8]october-2025'!$A:$A,'[8]october-2025'!$G:$G,0,0)</f>
        <v>500</v>
      </c>
      <c r="CH162">
        <f>IF(CC162&gt;0,SUM(CC162:CG162),0)</f>
        <v>70190</v>
      </c>
      <c r="CI162">
        <f>_xlfn.XLOOKUP(B162,'[8]october-2025'!$A:$A,'[8]october-2025'!$H:$H,0,0)</f>
        <v>6000</v>
      </c>
      <c r="CJ162">
        <f>_xlfn.XLOOKUP(B162,'[8]october-2025'!$A:$A,'[8]october-2025'!$I:$I,0,0)</f>
        <v>60</v>
      </c>
      <c r="CK162">
        <f t="shared" si="391"/>
        <v>200</v>
      </c>
      <c r="CL162">
        <f t="shared" si="392"/>
        <v>63930</v>
      </c>
      <c r="CM162">
        <f>_xlfn.XLOOKUP(B162,'[9]november-2025'!$A:$A,'[9]november-2025'!$C:$C,0,0)</f>
        <v>53300</v>
      </c>
      <c r="CN162">
        <f t="shared" si="393"/>
        <v>9594</v>
      </c>
      <c r="CO162">
        <f t="shared" si="394"/>
        <v>6396</v>
      </c>
      <c r="CP162">
        <f>_xlfn.XLOOKUP(B162,'[9]november-2025'!$A:$A,'[9]november-2025'!$D:$D,0,0)</f>
        <v>400</v>
      </c>
      <c r="CQ162">
        <f>_xlfn.XLOOKUP(B162,'[9]november-2025'!$A:$A,'[9]november-2025'!$G:$G,0,0)</f>
        <v>500</v>
      </c>
      <c r="CR162">
        <f>IF(CM162&gt;0,SUM(CM162:CQ162),0)</f>
        <v>70190</v>
      </c>
      <c r="CS162">
        <f>_xlfn.XLOOKUP(B162,'[9]november-2025'!$A:$A,'[9]november-2025'!$H:$H,0,0)</f>
        <v>6000</v>
      </c>
      <c r="CT162">
        <f>_xlfn.XLOOKUP(B162,'[9]november-2025'!$A:$A,'[9]november-2025'!$I:$I,0,0)</f>
        <v>60</v>
      </c>
      <c r="CU162">
        <f t="shared" si="395"/>
        <v>200</v>
      </c>
      <c r="CV162">
        <f t="shared" si="396"/>
        <v>63930</v>
      </c>
      <c r="CW162">
        <f>_xlfn.XLOOKUP(B162,'[10]december-2025'!$A:$A,'[10]december-2025'!$C:$C,0,0)</f>
        <v>53300</v>
      </c>
      <c r="CX162">
        <f t="shared" si="397"/>
        <v>9594</v>
      </c>
      <c r="CY162">
        <f t="shared" si="398"/>
        <v>6396</v>
      </c>
      <c r="CZ162">
        <f>_xlfn.XLOOKUP(B162,'[10]december-2025'!$A:$A,'[10]december-2025'!$D:$D,0,0)</f>
        <v>400</v>
      </c>
      <c r="DA162">
        <f>_xlfn.XLOOKUP(B162,'[10]december-2025'!$A:$A,'[10]december-2025'!$G:$G,0,0)</f>
        <v>500</v>
      </c>
      <c r="DB162">
        <f>IF(CW162&gt;0,SUM(CW162:DA162),0)</f>
        <v>70190</v>
      </c>
      <c r="DC162">
        <f>_xlfn.XLOOKUP(B162,'[10]december-2025'!$A:$A,'[10]december-2025'!$H:$H,0,0)</f>
        <v>6000</v>
      </c>
      <c r="DD162">
        <f>_xlfn.XLOOKUP(B162,'[10]december-2025'!$A:$A,'[10]december-2025'!$I:$I,0,0)</f>
        <v>60</v>
      </c>
      <c r="DE162">
        <f t="shared" si="399"/>
        <v>200</v>
      </c>
      <c r="DF162">
        <f t="shared" si="400"/>
        <v>63930</v>
      </c>
      <c r="DG162">
        <f>_xlfn.XLOOKUP(B162,'[11]january-2026'!$A:$A,'[11]january-2026'!$C:$C,0,0)</f>
        <v>53300</v>
      </c>
      <c r="DH162">
        <f t="shared" si="401"/>
        <v>9594</v>
      </c>
      <c r="DI162">
        <f t="shared" si="402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>IF(DG162&gt;0,SUM(DG162:DK162),0)</f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03"/>
        <v>200</v>
      </c>
      <c r="DP162">
        <f t="shared" si="404"/>
        <v>63930</v>
      </c>
      <c r="DQ162">
        <f>_xlfn.XLOOKUP(B162,'[12]february-2026'!$A:$A,'[12]february-2026'!$C:$C,0,0)</f>
        <v>53300</v>
      </c>
      <c r="DR162">
        <f t="shared" si="405"/>
        <v>9594</v>
      </c>
      <c r="DS162">
        <f t="shared" si="406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>IF(DQ162&gt;0,SUM(DQ162:DU162),0)</f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07"/>
        <v>200</v>
      </c>
      <c r="DZ162">
        <f t="shared" si="408"/>
        <v>63930</v>
      </c>
      <c r="EA162">
        <f>_xlfn.XLOOKUP(B162,'[1]march-2025'!$A:$A,'[1]march-2025'!$J:$J,0,0)</f>
        <v>0</v>
      </c>
      <c r="EB162">
        <f>_xlfn.XLOOKUP(B162,'[2]april-2025'!$A:$A,'[2]april-2025'!$J:$J,0,0)</f>
        <v>0</v>
      </c>
      <c r="EC162">
        <f>_xlfn.XLOOKUP(B162,'[3]may-2025'!$A:$A,'[3]may-2025'!$J:$J,0,0)</f>
        <v>0</v>
      </c>
      <c r="ED162">
        <f>_xlfn.XLOOKUP(B162,'[4]june-2025'!$A:$A,'[4]june-2025'!$J:$J,0,0)</f>
        <v>0</v>
      </c>
      <c r="EE162">
        <f>_xlfn.XLOOKUP(B162,'[5]july-2025'!$A:$A,'[5]july-2025'!$J:$J,0,0)</f>
        <v>0</v>
      </c>
      <c r="EF162">
        <f>_xlfn.XLOOKUP(B162,'[6]august-2025'!$A:$A,'[6]august-2025'!$J:$J,0,0)</f>
        <v>0</v>
      </c>
      <c r="EG162">
        <f>_xlfn.XLOOKUP(B162,'[7]september-2025'!$A:$A,'[7]september-2025'!$J:$J,0,0)</f>
        <v>0</v>
      </c>
      <c r="EH162">
        <f>_xlfn.XLOOKUP(B162,'[8]october-2025'!$A:$A,'[8]october-2025'!$J:$J,0,0)</f>
        <v>0</v>
      </c>
      <c r="EI162">
        <f>_xlfn.XLOOKUP(C162,'[9]november-2025'!$A:$A,'[9]november-2025'!$J:$J,0,0)</f>
        <v>0</v>
      </c>
      <c r="EJ162">
        <f>_xlfn.XLOOKUP(B162,'[10]december-2025'!$A:$A,'[10]december-2025'!$J:$J,0,0)</f>
        <v>0</v>
      </c>
      <c r="EK162">
        <f>_xlfn.XLOOKUP(B162,'[11]january-2026'!$A:$A,'[11]january-2026'!$J:$J,0,0)</f>
        <v>0</v>
      </c>
      <c r="EL162">
        <f>_xlfn.XLOOKUP(B162,'[12]february-2026'!$A:$A,'[12]february-2026'!$J:$J,0,0)</f>
        <v>0</v>
      </c>
      <c r="EM162">
        <f t="shared" si="361"/>
        <v>0</v>
      </c>
      <c r="EN162">
        <f>DV162+DL162+DB162+CR162+CH162+BX162+BN162+BD162+AS162+AI162+Y162+O162+H162+I162</f>
        <v>838692</v>
      </c>
      <c r="EO162">
        <f>DY162+DO162+DE162+CU162+CK162+CA162+BQ162+BG162+AV162+AL162+AB162+R162</f>
        <v>2400</v>
      </c>
      <c r="EP162">
        <f t="shared" si="409"/>
        <v>50000</v>
      </c>
      <c r="EQ162">
        <v>0</v>
      </c>
      <c r="ER162">
        <f t="shared" si="362"/>
        <v>786292</v>
      </c>
      <c r="ES162">
        <f>DW162+DM162+DC162+CS162+CI162+BY162+BO162+BE162+AT162+AJ162+Z162+P162</f>
        <v>72000</v>
      </c>
      <c r="ET162">
        <f>DX162+DN162+DD162+CT162+CJ162+BZ162+BP162+BF162+AU162+AK162+AA162+Q162</f>
        <v>720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410"/>
        <v>72720</v>
      </c>
      <c r="FF162">
        <f t="shared" si="411"/>
        <v>72720</v>
      </c>
      <c r="FG162">
        <f t="shared" si="412"/>
        <v>713572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>SUM(FH162:FN162)+(IF(F162="YES",50000,0))</f>
        <v>0</v>
      </c>
      <c r="FP162">
        <f t="shared" si="413"/>
        <v>713572</v>
      </c>
      <c r="FQ162">
        <f t="shared" si="414"/>
        <v>12500</v>
      </c>
      <c r="FR162">
        <f t="shared" si="415"/>
        <v>42714</v>
      </c>
      <c r="FS162">
        <f t="shared" si="416"/>
        <v>55214</v>
      </c>
      <c r="FT162">
        <f t="shared" si="417"/>
        <v>55214</v>
      </c>
      <c r="FU162">
        <f t="shared" si="418"/>
        <v>2208.56</v>
      </c>
      <c r="FV162">
        <f t="shared" si="419"/>
        <v>57423</v>
      </c>
      <c r="FW162">
        <v>0</v>
      </c>
      <c r="FX162">
        <f t="shared" si="420"/>
        <v>57423</v>
      </c>
      <c r="FY162" t="b">
        <f t="shared" si="421"/>
        <v>1</v>
      </c>
      <c r="FZ162">
        <f t="shared" ca="1" si="422"/>
        <v>576</v>
      </c>
      <c r="GA162">
        <f t="shared" ca="1" si="423"/>
        <v>839268</v>
      </c>
      <c r="GB162">
        <f t="shared" si="424"/>
        <v>75000</v>
      </c>
      <c r="GC162">
        <f t="shared" ca="1" si="425"/>
        <v>764268</v>
      </c>
      <c r="GD162">
        <f t="shared" ca="1" si="426"/>
        <v>0</v>
      </c>
      <c r="GE162">
        <f t="shared" ca="1" si="427"/>
        <v>0</v>
      </c>
      <c r="GF162">
        <f t="shared" ca="1" si="428"/>
        <v>0</v>
      </c>
      <c r="GG162">
        <f t="shared" ca="1" si="429"/>
        <v>0</v>
      </c>
      <c r="GH162">
        <f t="shared" ca="1" si="430"/>
        <v>0</v>
      </c>
      <c r="GI162">
        <f t="shared" ca="1" si="431"/>
        <v>0</v>
      </c>
      <c r="GJ162">
        <f ca="1">IF(GC162&gt;1200000,GC162-1200000-IF(F162="YES",50000,0)-GH162,0)</f>
        <v>0</v>
      </c>
      <c r="GK162">
        <f t="shared" ca="1" si="432"/>
        <v>0</v>
      </c>
      <c r="GL162">
        <f t="shared" ca="1" si="433"/>
        <v>0</v>
      </c>
      <c r="GM162">
        <f t="shared" ca="1" si="434"/>
        <v>0</v>
      </c>
      <c r="GN162">
        <f t="shared" ca="1" si="435"/>
        <v>364268</v>
      </c>
      <c r="GO162">
        <f t="shared" ca="1" si="436"/>
        <v>18213.400000000001</v>
      </c>
      <c r="GP162">
        <f t="shared" ca="1" si="437"/>
        <v>18213</v>
      </c>
      <c r="GQ162">
        <f t="shared" ca="1" si="438"/>
        <v>0</v>
      </c>
      <c r="GR162">
        <f t="shared" ca="1" si="439"/>
        <v>0</v>
      </c>
      <c r="GS162">
        <f t="shared" ca="1" si="440"/>
        <v>18213</v>
      </c>
      <c r="GT162">
        <f t="shared" ca="1" si="441"/>
        <v>0</v>
      </c>
      <c r="GU162" t="b">
        <f t="shared" ca="1" si="442"/>
        <v>0</v>
      </c>
      <c r="GV162">
        <f t="shared" ca="1" si="443"/>
        <v>0</v>
      </c>
      <c r="GW162">
        <f t="shared" ca="1" si="444"/>
        <v>18213</v>
      </c>
      <c r="GX162">
        <f t="shared" ca="1" si="445"/>
        <v>0</v>
      </c>
      <c r="GY162">
        <f t="shared" ca="1" si="446"/>
        <v>0</v>
      </c>
      <c r="GZ162">
        <f t="shared" ca="1" si="447"/>
        <v>0</v>
      </c>
    </row>
    <row r="163" spans="1:208" x14ac:dyDescent="0.25">
      <c r="A163">
        <f>_xlfn.AGGREGATE(3,5,$B$2:B163)</f>
        <v>162</v>
      </c>
      <c r="B163" t="s">
        <v>432</v>
      </c>
      <c r="C163" t="s">
        <v>433</v>
      </c>
      <c r="D163" t="s">
        <v>794</v>
      </c>
      <c r="E163" t="s">
        <v>831</v>
      </c>
      <c r="F163" t="s">
        <v>957</v>
      </c>
      <c r="G163" t="s">
        <v>878</v>
      </c>
      <c r="H163">
        <f t="shared" si="449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364"/>
        <v>4830.0000000000009</v>
      </c>
      <c r="L163">
        <f t="shared" si="365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>IF(J163&gt;0,SUM(J163:N163),0)</f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448"/>
        <v>200</v>
      </c>
      <c r="S163">
        <f t="shared" si="357"/>
        <v>39770</v>
      </c>
      <c r="T163">
        <f>_xlfn.XLOOKUP(B163,'[2]april-2025'!$A:$A,'[2]april-2025'!$C:$C,0,0)</f>
        <v>34500</v>
      </c>
      <c r="U163">
        <f t="shared" si="366"/>
        <v>6210</v>
      </c>
      <c r="V163">
        <f t="shared" si="367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358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368"/>
        <v>200</v>
      </c>
      <c r="AC163">
        <f t="shared" si="369"/>
        <v>41150</v>
      </c>
      <c r="AD163">
        <f>_xlfn.XLOOKUP(B163,'[3]may-2025'!$A:$A,'[3]may-2025'!$C:$C,0,0)</f>
        <v>34500</v>
      </c>
      <c r="AE163">
        <f t="shared" si="370"/>
        <v>6210</v>
      </c>
      <c r="AF163">
        <f t="shared" si="371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359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372"/>
        <v>200</v>
      </c>
      <c r="AM163">
        <f t="shared" si="373"/>
        <v>41150</v>
      </c>
      <c r="AN163">
        <f>_xlfn.XLOOKUP(B163,'[4]june-2025'!$A:$A,'[4]june-2025'!$C:$C,0,0)</f>
        <v>34500</v>
      </c>
      <c r="AO163">
        <f t="shared" si="374"/>
        <v>6210</v>
      </c>
      <c r="AP163">
        <f t="shared" si="375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360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376"/>
        <v>200</v>
      </c>
      <c r="AW163">
        <f t="shared" si="377"/>
        <v>41150</v>
      </c>
      <c r="AX163">
        <f>_xlfn.XLOOKUP(B163,'[5]july-2025'!$A:$A,'[5]july-2025'!$C:$C,0,0)</f>
        <v>35500</v>
      </c>
      <c r="AY163">
        <f t="shared" si="378"/>
        <v>6390</v>
      </c>
      <c r="AZ163">
        <v>0</v>
      </c>
      <c r="BA163">
        <f t="shared" si="379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>IF(AX163&gt;0,SUM(AX163:BC163),0)</f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380"/>
        <v>200</v>
      </c>
      <c r="BH163">
        <f t="shared" si="381"/>
        <v>42450</v>
      </c>
      <c r="BI163">
        <f>_xlfn.XLOOKUP(B163,'[6]august-2025'!$A:$A,'[6]august-2025'!$C:$C,0,0)</f>
        <v>35500</v>
      </c>
      <c r="BJ163">
        <f t="shared" si="382"/>
        <v>6390</v>
      </c>
      <c r="BK163">
        <f t="shared" si="383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384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>IF($F163="YES",0,IF(BN163&gt;40000,200,IF(BN163&gt;25000,150,IF(BN163&gt;15000,130,IF(BN163&gt;10000,110,0)))))</f>
        <v>200</v>
      </c>
      <c r="BR163">
        <f>BN163-BO163-BP163-BQ163</f>
        <v>42450</v>
      </c>
      <c r="BS163">
        <f>_xlfn.XLOOKUP(B163,'[7]september-2025'!$A:$A,'[7]september-2025'!$C:$C,0,0)</f>
        <v>35500</v>
      </c>
      <c r="BT163">
        <f t="shared" si="385"/>
        <v>6390</v>
      </c>
      <c r="BU163">
        <f t="shared" si="386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>IF(BS163&gt;0,SUM(BS163:BW163),0)</f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387"/>
        <v>200</v>
      </c>
      <c r="CB163">
        <f t="shared" si="388"/>
        <v>42450</v>
      </c>
      <c r="CC163">
        <f>_xlfn.XLOOKUP(B163,'[8]october-2025'!$A:$A,'[8]october-2025'!$C:$C,0,0)</f>
        <v>35500</v>
      </c>
      <c r="CD163">
        <f t="shared" si="389"/>
        <v>6390</v>
      </c>
      <c r="CE163">
        <f t="shared" si="390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>IF(CC163&gt;0,SUM(CC163:CG163),0)</f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391"/>
        <v>200</v>
      </c>
      <c r="CL163">
        <f t="shared" si="392"/>
        <v>42450</v>
      </c>
      <c r="CM163">
        <f>_xlfn.XLOOKUP(B163,'[9]november-2025'!$A:$A,'[9]november-2025'!$C:$C,0,0)</f>
        <v>35500</v>
      </c>
      <c r="CN163">
        <f t="shared" si="393"/>
        <v>6390</v>
      </c>
      <c r="CO163">
        <f t="shared" si="394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>IF(CM163&gt;0,SUM(CM163:CQ163),0)</f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395"/>
        <v>200</v>
      </c>
      <c r="CV163">
        <f t="shared" si="396"/>
        <v>42450</v>
      </c>
      <c r="CW163">
        <f>_xlfn.XLOOKUP(B163,'[10]december-2025'!$A:$A,'[10]december-2025'!$C:$C,0,0)</f>
        <v>35500</v>
      </c>
      <c r="CX163">
        <f t="shared" si="397"/>
        <v>6390</v>
      </c>
      <c r="CY163">
        <f t="shared" si="398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>IF(CW163&gt;0,SUM(CW163:DA163),0)</f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399"/>
        <v>200</v>
      </c>
      <c r="DF163">
        <f t="shared" si="400"/>
        <v>42450</v>
      </c>
      <c r="DG163">
        <f>_xlfn.XLOOKUP(B163,'[11]january-2026'!$A:$A,'[11]january-2026'!$C:$C,0,0)</f>
        <v>35500</v>
      </c>
      <c r="DH163">
        <f t="shared" si="401"/>
        <v>6390</v>
      </c>
      <c r="DI163">
        <f t="shared" si="402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>IF(DG163&gt;0,SUM(DG163:DK163),0)</f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03"/>
        <v>200</v>
      </c>
      <c r="DP163">
        <f t="shared" si="404"/>
        <v>42450</v>
      </c>
      <c r="DQ163">
        <f>_xlfn.XLOOKUP(B163,'[12]february-2026'!$A:$A,'[12]february-2026'!$C:$C,0,0)</f>
        <v>35500</v>
      </c>
      <c r="DR163">
        <f t="shared" si="405"/>
        <v>6390</v>
      </c>
      <c r="DS163">
        <f t="shared" si="406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>IF(DQ163&gt;0,SUM(DQ163:DU163),0)</f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07"/>
        <v>200</v>
      </c>
      <c r="DZ163">
        <f t="shared" si="408"/>
        <v>42450</v>
      </c>
      <c r="EA163">
        <f>_xlfn.XLOOKUP(B163,'[1]march-2025'!$A:$A,'[1]march-2025'!$J:$J,0,0)</f>
        <v>0</v>
      </c>
      <c r="EB163">
        <f>_xlfn.XLOOKUP(B163,'[2]april-2025'!$A:$A,'[2]april-2025'!$J:$J,0,0)</f>
        <v>0</v>
      </c>
      <c r="EC163">
        <f>_xlfn.XLOOKUP(B163,'[3]may-2025'!$A:$A,'[3]may-2025'!$J:$J,0,0)</f>
        <v>0</v>
      </c>
      <c r="ED163">
        <f>_xlfn.XLOOKUP(B163,'[4]june-2025'!$A:$A,'[4]june-2025'!$J:$J,0,0)</f>
        <v>0</v>
      </c>
      <c r="EE163">
        <f>_xlfn.XLOOKUP(B163,'[5]july-2025'!$A:$A,'[5]july-2025'!$J:$J,0,0)</f>
        <v>0</v>
      </c>
      <c r="EF163">
        <f>_xlfn.XLOOKUP(B163,'[6]august-2025'!$A:$A,'[6]august-2025'!$J:$J,0,0)</f>
        <v>0</v>
      </c>
      <c r="EG163">
        <f>_xlfn.XLOOKUP(B163,'[7]september-2025'!$A:$A,'[7]september-2025'!$J:$J,0,0)</f>
        <v>0</v>
      </c>
      <c r="EH163">
        <f>_xlfn.XLOOKUP(B163,'[8]october-2025'!$A:$A,'[8]october-2025'!$J:$J,0,0)</f>
        <v>0</v>
      </c>
      <c r="EI163">
        <f>_xlfn.XLOOKUP(C163,'[9]november-2025'!$A:$A,'[9]november-2025'!$J:$J,0,0)</f>
        <v>0</v>
      </c>
      <c r="EJ163">
        <f>_xlfn.XLOOKUP(B163,'[10]december-2025'!$A:$A,'[10]december-2025'!$J:$J,0,0)</f>
        <v>0</v>
      </c>
      <c r="EK163">
        <f>_xlfn.XLOOKUP(B163,'[11]january-2026'!$A:$A,'[11]january-2026'!$J:$J,0,0)</f>
        <v>0</v>
      </c>
      <c r="EL163">
        <f>_xlfn.XLOOKUP(B163,'[12]february-2026'!$A:$A,'[12]february-2026'!$J:$J,0,0)</f>
        <v>0</v>
      </c>
      <c r="EM163">
        <f t="shared" si="361"/>
        <v>0</v>
      </c>
      <c r="EN163">
        <f>DV163+DL163+DB163+CR163+CH163+BX163+BN163+BD163+AS163+AI163+Y163+O163+H163+I163</f>
        <v>560020</v>
      </c>
      <c r="EO163">
        <f>DY163+DO163+DE163+CU163+CK163+CA163+BQ163+BG163+AV163+AL163+AB163+R163</f>
        <v>2400</v>
      </c>
      <c r="EP163">
        <f t="shared" si="409"/>
        <v>50000</v>
      </c>
      <c r="EQ163">
        <v>0</v>
      </c>
      <c r="ER163">
        <f t="shared" si="362"/>
        <v>507620</v>
      </c>
      <c r="ES163">
        <f>DW163+DM163+DC163+CS163+CI163+BY163+BO163+BE163+AT163+AJ163+Z163+P163</f>
        <v>48000</v>
      </c>
      <c r="ET163">
        <f>DX163+DN163+DD163+CT163+CJ163+BZ163+BP163+BF163+AU163+AK163+AA163+Q163</f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410"/>
        <v>48000</v>
      </c>
      <c r="FF163">
        <f t="shared" si="411"/>
        <v>48000</v>
      </c>
      <c r="FG163">
        <f t="shared" si="412"/>
        <v>459620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>SUM(FH163:FN163)+(IF(F163="YES",50000,0))</f>
        <v>0</v>
      </c>
      <c r="FP163">
        <f t="shared" si="413"/>
        <v>459620</v>
      </c>
      <c r="FQ163">
        <f t="shared" si="414"/>
        <v>10481</v>
      </c>
      <c r="FR163">
        <f t="shared" si="415"/>
        <v>0</v>
      </c>
      <c r="FS163">
        <f t="shared" si="416"/>
        <v>10481</v>
      </c>
      <c r="FT163">
        <f t="shared" si="417"/>
        <v>0</v>
      </c>
      <c r="FU163">
        <f t="shared" si="418"/>
        <v>0</v>
      </c>
      <c r="FV163">
        <f t="shared" si="419"/>
        <v>0</v>
      </c>
      <c r="FW163">
        <v>0</v>
      </c>
      <c r="FX163">
        <f t="shared" si="420"/>
        <v>0</v>
      </c>
      <c r="FY163" t="b">
        <f t="shared" si="421"/>
        <v>1</v>
      </c>
      <c r="FZ163">
        <f t="shared" ca="1" si="422"/>
        <v>529</v>
      </c>
      <c r="GA163">
        <f t="shared" ca="1" si="423"/>
        <v>560549</v>
      </c>
      <c r="GB163">
        <f t="shared" si="424"/>
        <v>75000</v>
      </c>
      <c r="GC163">
        <f t="shared" ca="1" si="425"/>
        <v>485549</v>
      </c>
      <c r="GD163">
        <f t="shared" ca="1" si="426"/>
        <v>0</v>
      </c>
      <c r="GE163">
        <f t="shared" ca="1" si="427"/>
        <v>0</v>
      </c>
      <c r="GF163">
        <f t="shared" ca="1" si="428"/>
        <v>0</v>
      </c>
      <c r="GG163">
        <f t="shared" ca="1" si="429"/>
        <v>0</v>
      </c>
      <c r="GH163">
        <f t="shared" ca="1" si="430"/>
        <v>0</v>
      </c>
      <c r="GI163">
        <f t="shared" ca="1" si="431"/>
        <v>0</v>
      </c>
      <c r="GJ163">
        <f ca="1">IF(GC163&gt;1200000,GC163-1200000-IF(F163="YES",50000,0)-GH163,0)</f>
        <v>0</v>
      </c>
      <c r="GK163">
        <f t="shared" ca="1" si="432"/>
        <v>0</v>
      </c>
      <c r="GL163">
        <f t="shared" ca="1" si="433"/>
        <v>0</v>
      </c>
      <c r="GM163">
        <f t="shared" ca="1" si="434"/>
        <v>0</v>
      </c>
      <c r="GN163">
        <f t="shared" ca="1" si="435"/>
        <v>85549</v>
      </c>
      <c r="GO163">
        <f t="shared" ca="1" si="436"/>
        <v>4277.45</v>
      </c>
      <c r="GP163">
        <f t="shared" ca="1" si="437"/>
        <v>4277</v>
      </c>
      <c r="GQ163">
        <f t="shared" ca="1" si="438"/>
        <v>0</v>
      </c>
      <c r="GR163">
        <f t="shared" ca="1" si="439"/>
        <v>0</v>
      </c>
      <c r="GS163">
        <f t="shared" ca="1" si="440"/>
        <v>4277</v>
      </c>
      <c r="GT163">
        <f t="shared" ca="1" si="441"/>
        <v>0</v>
      </c>
      <c r="GU163" t="b">
        <f t="shared" ca="1" si="442"/>
        <v>0</v>
      </c>
      <c r="GV163">
        <f t="shared" ca="1" si="443"/>
        <v>0</v>
      </c>
      <c r="GW163">
        <f t="shared" ca="1" si="444"/>
        <v>4277</v>
      </c>
      <c r="GX163">
        <f t="shared" ca="1" si="445"/>
        <v>0</v>
      </c>
      <c r="GY163">
        <f t="shared" ca="1" si="446"/>
        <v>0</v>
      </c>
      <c r="GZ163">
        <f t="shared" ca="1" si="447"/>
        <v>0</v>
      </c>
    </row>
    <row r="164" spans="1:208" x14ac:dyDescent="0.25">
      <c r="A164">
        <f>_xlfn.AGGREGATE(3,5,$B$2:B164)</f>
        <v>163</v>
      </c>
      <c r="B164" t="s">
        <v>434</v>
      </c>
      <c r="C164" t="s">
        <v>435</v>
      </c>
      <c r="D164" t="s">
        <v>794</v>
      </c>
      <c r="E164" t="s">
        <v>831</v>
      </c>
      <c r="F164" t="s">
        <v>957</v>
      </c>
      <c r="G164" t="s">
        <v>878</v>
      </c>
      <c r="H164">
        <f t="shared" si="449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364"/>
        <v>4830.0000000000009</v>
      </c>
      <c r="L164">
        <f t="shared" si="365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>IF(J164&gt;0,SUM(J164:N164),0)</f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448"/>
        <v>200</v>
      </c>
      <c r="S164">
        <f t="shared" si="357"/>
        <v>39770</v>
      </c>
      <c r="T164">
        <f>_xlfn.XLOOKUP(B164,'[2]april-2025'!$A:$A,'[2]april-2025'!$C:$C,0,0)</f>
        <v>34500</v>
      </c>
      <c r="U164">
        <f t="shared" si="366"/>
        <v>6210</v>
      </c>
      <c r="V164">
        <f t="shared" si="367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358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368"/>
        <v>200</v>
      </c>
      <c r="AC164">
        <f t="shared" si="369"/>
        <v>41150</v>
      </c>
      <c r="AD164">
        <f>_xlfn.XLOOKUP(B164,'[3]may-2025'!$A:$A,'[3]may-2025'!$C:$C,0,0)</f>
        <v>34500</v>
      </c>
      <c r="AE164">
        <f t="shared" si="370"/>
        <v>6210</v>
      </c>
      <c r="AF164">
        <f t="shared" si="371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359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372"/>
        <v>200</v>
      </c>
      <c r="AM164">
        <f t="shared" si="373"/>
        <v>41150</v>
      </c>
      <c r="AN164">
        <f>_xlfn.XLOOKUP(B164,'[4]june-2025'!$A:$A,'[4]june-2025'!$C:$C,0,0)</f>
        <v>34500</v>
      </c>
      <c r="AO164">
        <f t="shared" si="374"/>
        <v>6210</v>
      </c>
      <c r="AP164">
        <f t="shared" si="375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360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376"/>
        <v>200</v>
      </c>
      <c r="AW164">
        <f t="shared" si="377"/>
        <v>41150</v>
      </c>
      <c r="AX164">
        <f>_xlfn.XLOOKUP(B164,'[5]july-2025'!$A:$A,'[5]july-2025'!$C:$C,0,0)</f>
        <v>35500</v>
      </c>
      <c r="AY164">
        <f t="shared" si="378"/>
        <v>6390</v>
      </c>
      <c r="AZ164">
        <v>0</v>
      </c>
      <c r="BA164">
        <f t="shared" si="379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>IF(AX164&gt;0,SUM(AX164:BC164),0)</f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380"/>
        <v>200</v>
      </c>
      <c r="BH164">
        <f t="shared" si="381"/>
        <v>42450</v>
      </c>
      <c r="BI164">
        <f>_xlfn.XLOOKUP(B164,'[6]august-2025'!$A:$A,'[6]august-2025'!$C:$C,0,0)</f>
        <v>35500</v>
      </c>
      <c r="BJ164">
        <f t="shared" si="382"/>
        <v>6390</v>
      </c>
      <c r="BK164">
        <f t="shared" si="383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384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>IF($F164="YES",0,IF(BN164&gt;40000,200,IF(BN164&gt;25000,150,IF(BN164&gt;15000,130,IF(BN164&gt;10000,110,0)))))</f>
        <v>200</v>
      </c>
      <c r="BR164">
        <f>BN164-BO164-BP164-BQ164</f>
        <v>42450</v>
      </c>
      <c r="BS164">
        <f>_xlfn.XLOOKUP(B164,'[7]september-2025'!$A:$A,'[7]september-2025'!$C:$C,0,0)</f>
        <v>35500</v>
      </c>
      <c r="BT164">
        <f t="shared" si="385"/>
        <v>6390</v>
      </c>
      <c r="BU164">
        <f t="shared" si="386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>IF(BS164&gt;0,SUM(BS164:BW164),0)</f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387"/>
        <v>200</v>
      </c>
      <c r="CB164">
        <f t="shared" si="388"/>
        <v>42450</v>
      </c>
      <c r="CC164">
        <f>_xlfn.XLOOKUP(B164,'[8]october-2025'!$A:$A,'[8]october-2025'!$C:$C,0,0)</f>
        <v>35500</v>
      </c>
      <c r="CD164">
        <f t="shared" si="389"/>
        <v>6390</v>
      </c>
      <c r="CE164">
        <f t="shared" si="390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>IF(CC164&gt;0,SUM(CC164:CG164),0)</f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391"/>
        <v>200</v>
      </c>
      <c r="CL164">
        <f t="shared" si="392"/>
        <v>42450</v>
      </c>
      <c r="CM164">
        <f>_xlfn.XLOOKUP(B164,'[9]november-2025'!$A:$A,'[9]november-2025'!$C:$C,0,0)</f>
        <v>35500</v>
      </c>
      <c r="CN164">
        <f t="shared" si="393"/>
        <v>6390</v>
      </c>
      <c r="CO164">
        <f t="shared" si="394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>IF(CM164&gt;0,SUM(CM164:CQ164),0)</f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395"/>
        <v>200</v>
      </c>
      <c r="CV164">
        <f t="shared" si="396"/>
        <v>42450</v>
      </c>
      <c r="CW164">
        <f>_xlfn.XLOOKUP(B164,'[10]december-2025'!$A:$A,'[10]december-2025'!$C:$C,0,0)</f>
        <v>35500</v>
      </c>
      <c r="CX164">
        <f t="shared" si="397"/>
        <v>6390</v>
      </c>
      <c r="CY164">
        <f t="shared" si="398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>IF(CW164&gt;0,SUM(CW164:DA164),0)</f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399"/>
        <v>200</v>
      </c>
      <c r="DF164">
        <f t="shared" si="400"/>
        <v>42450</v>
      </c>
      <c r="DG164">
        <f>_xlfn.XLOOKUP(B164,'[11]january-2026'!$A:$A,'[11]january-2026'!$C:$C,0,0)</f>
        <v>35500</v>
      </c>
      <c r="DH164">
        <f t="shared" si="401"/>
        <v>6390</v>
      </c>
      <c r="DI164">
        <f t="shared" si="402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>IF(DG164&gt;0,SUM(DG164:DK164),0)</f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03"/>
        <v>200</v>
      </c>
      <c r="DP164">
        <f t="shared" si="404"/>
        <v>42450</v>
      </c>
      <c r="DQ164">
        <f>_xlfn.XLOOKUP(B164,'[12]february-2026'!$A:$A,'[12]february-2026'!$C:$C,0,0)</f>
        <v>35500</v>
      </c>
      <c r="DR164">
        <f t="shared" si="405"/>
        <v>6390</v>
      </c>
      <c r="DS164">
        <f t="shared" si="406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>IF(DQ164&gt;0,SUM(DQ164:DU164),0)</f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07"/>
        <v>200</v>
      </c>
      <c r="DZ164">
        <f t="shared" si="408"/>
        <v>42450</v>
      </c>
      <c r="EA164">
        <f>_xlfn.XLOOKUP(B164,'[1]march-2025'!$A:$A,'[1]march-2025'!$J:$J,0,0)</f>
        <v>0</v>
      </c>
      <c r="EB164">
        <f>_xlfn.XLOOKUP(B164,'[2]april-2025'!$A:$A,'[2]april-2025'!$J:$J,0,0)</f>
        <v>0</v>
      </c>
      <c r="EC164">
        <f>_xlfn.XLOOKUP(B164,'[3]may-2025'!$A:$A,'[3]may-2025'!$J:$J,0,0)</f>
        <v>0</v>
      </c>
      <c r="ED164">
        <f>_xlfn.XLOOKUP(B164,'[4]june-2025'!$A:$A,'[4]june-2025'!$J:$J,0,0)</f>
        <v>0</v>
      </c>
      <c r="EE164">
        <f>_xlfn.XLOOKUP(B164,'[5]july-2025'!$A:$A,'[5]july-2025'!$J:$J,0,0)</f>
        <v>0</v>
      </c>
      <c r="EF164">
        <f>_xlfn.XLOOKUP(B164,'[6]august-2025'!$A:$A,'[6]august-2025'!$J:$J,0,0)</f>
        <v>0</v>
      </c>
      <c r="EG164">
        <f>_xlfn.XLOOKUP(B164,'[7]september-2025'!$A:$A,'[7]september-2025'!$J:$J,0,0)</f>
        <v>0</v>
      </c>
      <c r="EH164">
        <f>_xlfn.XLOOKUP(B164,'[8]october-2025'!$A:$A,'[8]october-2025'!$J:$J,0,0)</f>
        <v>0</v>
      </c>
      <c r="EI164">
        <f>_xlfn.XLOOKUP(C164,'[9]november-2025'!$A:$A,'[9]november-2025'!$J:$J,0,0)</f>
        <v>0</v>
      </c>
      <c r="EJ164">
        <f>_xlfn.XLOOKUP(B164,'[10]december-2025'!$A:$A,'[10]december-2025'!$J:$J,0,0)</f>
        <v>0</v>
      </c>
      <c r="EK164">
        <f>_xlfn.XLOOKUP(B164,'[11]january-2026'!$A:$A,'[11]january-2026'!$J:$J,0,0)</f>
        <v>0</v>
      </c>
      <c r="EL164">
        <f>_xlfn.XLOOKUP(B164,'[12]february-2026'!$A:$A,'[12]february-2026'!$J:$J,0,0)</f>
        <v>0</v>
      </c>
      <c r="EM164">
        <f t="shared" si="361"/>
        <v>0</v>
      </c>
      <c r="EN164">
        <f>DV164+DL164+DB164+CR164+CH164+BX164+BN164+BD164+AS164+AI164+Y164+O164+H164+I164</f>
        <v>560020</v>
      </c>
      <c r="EO164">
        <f>DY164+DO164+DE164+CU164+CK164+CA164+BQ164+BG164+AV164+AL164+AB164+R164</f>
        <v>2400</v>
      </c>
      <c r="EP164">
        <f t="shared" si="409"/>
        <v>50000</v>
      </c>
      <c r="EQ164">
        <v>0</v>
      </c>
      <c r="ER164">
        <f t="shared" si="362"/>
        <v>507620</v>
      </c>
      <c r="ES164">
        <f>DW164+DM164+DC164+CS164+CI164+BY164+BO164+BE164+AT164+AJ164+Z164+P164</f>
        <v>48000</v>
      </c>
      <c r="ET164">
        <f>DX164+DN164+DD164+CT164+CJ164+BZ164+BP164+BF164+AU164+AK164+AA164+Q164</f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410"/>
        <v>48000</v>
      </c>
      <c r="FF164">
        <f t="shared" si="411"/>
        <v>48000</v>
      </c>
      <c r="FG164">
        <f t="shared" si="412"/>
        <v>459620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>SUM(FH164:FN164)+(IF(F164="YES",50000,0))</f>
        <v>0</v>
      </c>
      <c r="FP164">
        <f t="shared" si="413"/>
        <v>459620</v>
      </c>
      <c r="FQ164">
        <f t="shared" si="414"/>
        <v>10481</v>
      </c>
      <c r="FR164">
        <f t="shared" si="415"/>
        <v>0</v>
      </c>
      <c r="FS164">
        <f t="shared" si="416"/>
        <v>10481</v>
      </c>
      <c r="FT164">
        <f t="shared" si="417"/>
        <v>0</v>
      </c>
      <c r="FU164">
        <f t="shared" si="418"/>
        <v>0</v>
      </c>
      <c r="FV164">
        <f t="shared" si="419"/>
        <v>0</v>
      </c>
      <c r="FW164">
        <v>0</v>
      </c>
      <c r="FX164">
        <f t="shared" si="420"/>
        <v>0</v>
      </c>
      <c r="FY164" t="b">
        <f t="shared" si="421"/>
        <v>1</v>
      </c>
      <c r="FZ164">
        <f t="shared" ca="1" si="422"/>
        <v>695</v>
      </c>
      <c r="GA164">
        <f t="shared" ca="1" si="423"/>
        <v>560715</v>
      </c>
      <c r="GB164">
        <f t="shared" si="424"/>
        <v>75000</v>
      </c>
      <c r="GC164">
        <f t="shared" ca="1" si="425"/>
        <v>485715</v>
      </c>
      <c r="GD164">
        <f t="shared" ca="1" si="426"/>
        <v>0</v>
      </c>
      <c r="GE164">
        <f t="shared" ca="1" si="427"/>
        <v>0</v>
      </c>
      <c r="GF164">
        <f t="shared" ca="1" si="428"/>
        <v>0</v>
      </c>
      <c r="GG164">
        <f t="shared" ca="1" si="429"/>
        <v>0</v>
      </c>
      <c r="GH164">
        <f t="shared" ca="1" si="430"/>
        <v>0</v>
      </c>
      <c r="GI164">
        <f t="shared" ca="1" si="431"/>
        <v>0</v>
      </c>
      <c r="GJ164">
        <f ca="1">IF(GC164&gt;1200000,GC164-1200000-IF(F164="YES",50000,0)-GH164,0)</f>
        <v>0</v>
      </c>
      <c r="GK164">
        <f t="shared" ca="1" si="432"/>
        <v>0</v>
      </c>
      <c r="GL164">
        <f t="shared" ca="1" si="433"/>
        <v>0</v>
      </c>
      <c r="GM164">
        <f t="shared" ca="1" si="434"/>
        <v>0</v>
      </c>
      <c r="GN164">
        <f t="shared" ca="1" si="435"/>
        <v>85715</v>
      </c>
      <c r="GO164">
        <f t="shared" ca="1" si="436"/>
        <v>4285.75</v>
      </c>
      <c r="GP164">
        <f t="shared" ca="1" si="437"/>
        <v>4286</v>
      </c>
      <c r="GQ164">
        <f t="shared" ca="1" si="438"/>
        <v>0</v>
      </c>
      <c r="GR164">
        <f t="shared" ca="1" si="439"/>
        <v>0</v>
      </c>
      <c r="GS164">
        <f t="shared" ca="1" si="440"/>
        <v>4286</v>
      </c>
      <c r="GT164">
        <f t="shared" ca="1" si="441"/>
        <v>0</v>
      </c>
      <c r="GU164" t="b">
        <f t="shared" ca="1" si="442"/>
        <v>0</v>
      </c>
      <c r="GV164">
        <f t="shared" ca="1" si="443"/>
        <v>0</v>
      </c>
      <c r="GW164">
        <f t="shared" ca="1" si="444"/>
        <v>4286</v>
      </c>
      <c r="GX164">
        <f t="shared" ca="1" si="445"/>
        <v>0</v>
      </c>
      <c r="GY164">
        <f t="shared" ca="1" si="446"/>
        <v>0</v>
      </c>
      <c r="GZ164">
        <f t="shared" ca="1" si="447"/>
        <v>0</v>
      </c>
    </row>
    <row r="165" spans="1:208" x14ac:dyDescent="0.25">
      <c r="A165">
        <f>_xlfn.AGGREGATE(3,5,$B$2:B165)</f>
        <v>164</v>
      </c>
      <c r="B165" t="s">
        <v>436</v>
      </c>
      <c r="C165" t="s">
        <v>437</v>
      </c>
      <c r="D165" t="s">
        <v>794</v>
      </c>
      <c r="E165" t="s">
        <v>831</v>
      </c>
      <c r="F165" t="s">
        <v>957</v>
      </c>
      <c r="G165" t="s">
        <v>878</v>
      </c>
      <c r="H165">
        <f t="shared" si="449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364"/>
        <v>4830.0000000000009</v>
      </c>
      <c r="L165">
        <f t="shared" si="365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>IF(J165&gt;0,SUM(J165:N165),0)</f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448"/>
        <v>200</v>
      </c>
      <c r="S165">
        <f t="shared" si="357"/>
        <v>39770</v>
      </c>
      <c r="T165">
        <f>_xlfn.XLOOKUP(B165,'[2]april-2025'!$A:$A,'[2]april-2025'!$C:$C,0,0)</f>
        <v>34500</v>
      </c>
      <c r="U165">
        <f t="shared" si="366"/>
        <v>6210</v>
      </c>
      <c r="V165">
        <f t="shared" si="367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358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368"/>
        <v>200</v>
      </c>
      <c r="AC165">
        <f t="shared" si="369"/>
        <v>41150</v>
      </c>
      <c r="AD165">
        <f>_xlfn.XLOOKUP(B165,'[3]may-2025'!$A:$A,'[3]may-2025'!$C:$C,0,0)</f>
        <v>34500</v>
      </c>
      <c r="AE165">
        <f t="shared" si="370"/>
        <v>6210</v>
      </c>
      <c r="AF165">
        <f t="shared" si="371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359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372"/>
        <v>200</v>
      </c>
      <c r="AM165">
        <f t="shared" si="373"/>
        <v>41150</v>
      </c>
      <c r="AN165">
        <f>_xlfn.XLOOKUP(B165,'[4]june-2025'!$A:$A,'[4]june-2025'!$C:$C,0,0)</f>
        <v>34500</v>
      </c>
      <c r="AO165">
        <f t="shared" si="374"/>
        <v>6210</v>
      </c>
      <c r="AP165">
        <f t="shared" si="375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360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376"/>
        <v>200</v>
      </c>
      <c r="AW165">
        <f t="shared" si="377"/>
        <v>41150</v>
      </c>
      <c r="AX165">
        <f>_xlfn.XLOOKUP(B165,'[5]july-2025'!$A:$A,'[5]july-2025'!$C:$C,0,0)</f>
        <v>35500</v>
      </c>
      <c r="AY165">
        <f t="shared" si="378"/>
        <v>6390</v>
      </c>
      <c r="AZ165">
        <v>0</v>
      </c>
      <c r="BA165">
        <f t="shared" si="379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>IF(AX165&gt;0,SUM(AX165:BC165),0)</f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380"/>
        <v>200</v>
      </c>
      <c r="BH165">
        <f t="shared" si="381"/>
        <v>42450</v>
      </c>
      <c r="BI165">
        <f>_xlfn.XLOOKUP(B165,'[6]august-2025'!$A:$A,'[6]august-2025'!$C:$C,0,0)</f>
        <v>35500</v>
      </c>
      <c r="BJ165">
        <f t="shared" si="382"/>
        <v>6390</v>
      </c>
      <c r="BK165">
        <f t="shared" si="383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384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>IF($F165="YES",0,IF(BN165&gt;40000,200,IF(BN165&gt;25000,150,IF(BN165&gt;15000,130,IF(BN165&gt;10000,110,0)))))</f>
        <v>200</v>
      </c>
      <c r="BR165">
        <f>BN165-BO165-BP165-BQ165</f>
        <v>42450</v>
      </c>
      <c r="BS165">
        <f>_xlfn.XLOOKUP(B165,'[7]september-2025'!$A:$A,'[7]september-2025'!$C:$C,0,0)</f>
        <v>35500</v>
      </c>
      <c r="BT165">
        <f t="shared" si="385"/>
        <v>6390</v>
      </c>
      <c r="BU165">
        <f t="shared" si="386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>IF(BS165&gt;0,SUM(BS165:BW165),0)</f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387"/>
        <v>200</v>
      </c>
      <c r="CB165">
        <f t="shared" si="388"/>
        <v>42450</v>
      </c>
      <c r="CC165">
        <f>_xlfn.XLOOKUP(B165,'[8]october-2025'!$A:$A,'[8]october-2025'!$C:$C,0,0)</f>
        <v>35500</v>
      </c>
      <c r="CD165">
        <f t="shared" si="389"/>
        <v>6390</v>
      </c>
      <c r="CE165">
        <f t="shared" si="390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>IF(CC165&gt;0,SUM(CC165:CG165),0)</f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391"/>
        <v>200</v>
      </c>
      <c r="CL165">
        <f t="shared" si="392"/>
        <v>42450</v>
      </c>
      <c r="CM165">
        <f>_xlfn.XLOOKUP(B165,'[9]november-2025'!$A:$A,'[9]november-2025'!$C:$C,0,0)</f>
        <v>35500</v>
      </c>
      <c r="CN165">
        <f t="shared" si="393"/>
        <v>6390</v>
      </c>
      <c r="CO165">
        <f t="shared" si="394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>IF(CM165&gt;0,SUM(CM165:CQ165),0)</f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395"/>
        <v>200</v>
      </c>
      <c r="CV165">
        <f t="shared" si="396"/>
        <v>42450</v>
      </c>
      <c r="CW165">
        <f>_xlfn.XLOOKUP(B165,'[10]december-2025'!$A:$A,'[10]december-2025'!$C:$C,0,0)</f>
        <v>35500</v>
      </c>
      <c r="CX165">
        <f t="shared" si="397"/>
        <v>6390</v>
      </c>
      <c r="CY165">
        <f t="shared" si="398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>IF(CW165&gt;0,SUM(CW165:DA165),0)</f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399"/>
        <v>200</v>
      </c>
      <c r="DF165">
        <f t="shared" si="400"/>
        <v>42450</v>
      </c>
      <c r="DG165">
        <f>_xlfn.XLOOKUP(B165,'[11]january-2026'!$A:$A,'[11]january-2026'!$C:$C,0,0)</f>
        <v>35500</v>
      </c>
      <c r="DH165">
        <f t="shared" si="401"/>
        <v>6390</v>
      </c>
      <c r="DI165">
        <f t="shared" si="402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>IF(DG165&gt;0,SUM(DG165:DK165),0)</f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03"/>
        <v>200</v>
      </c>
      <c r="DP165">
        <f t="shared" si="404"/>
        <v>42450</v>
      </c>
      <c r="DQ165">
        <f>_xlfn.XLOOKUP(B165,'[12]february-2026'!$A:$A,'[12]february-2026'!$C:$C,0,0)</f>
        <v>35500</v>
      </c>
      <c r="DR165">
        <f t="shared" si="405"/>
        <v>6390</v>
      </c>
      <c r="DS165">
        <f t="shared" si="406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>IF(DQ165&gt;0,SUM(DQ165:DU165),0)</f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07"/>
        <v>200</v>
      </c>
      <c r="DZ165">
        <f t="shared" si="408"/>
        <v>42450</v>
      </c>
      <c r="EA165">
        <f>_xlfn.XLOOKUP(B165,'[1]march-2025'!$A:$A,'[1]march-2025'!$J:$J,0,0)</f>
        <v>0</v>
      </c>
      <c r="EB165">
        <f>_xlfn.XLOOKUP(B165,'[2]april-2025'!$A:$A,'[2]april-2025'!$J:$J,0,0)</f>
        <v>0</v>
      </c>
      <c r="EC165">
        <f>_xlfn.XLOOKUP(B165,'[3]may-2025'!$A:$A,'[3]may-2025'!$J:$J,0,0)</f>
        <v>0</v>
      </c>
      <c r="ED165">
        <f>_xlfn.XLOOKUP(B165,'[4]june-2025'!$A:$A,'[4]june-2025'!$J:$J,0,0)</f>
        <v>0</v>
      </c>
      <c r="EE165">
        <f>_xlfn.XLOOKUP(B165,'[5]july-2025'!$A:$A,'[5]july-2025'!$J:$J,0,0)</f>
        <v>0</v>
      </c>
      <c r="EF165">
        <f>_xlfn.XLOOKUP(B165,'[6]august-2025'!$A:$A,'[6]august-2025'!$J:$J,0,0)</f>
        <v>0</v>
      </c>
      <c r="EG165">
        <f>_xlfn.XLOOKUP(B165,'[7]september-2025'!$A:$A,'[7]september-2025'!$J:$J,0,0)</f>
        <v>0</v>
      </c>
      <c r="EH165">
        <f>_xlfn.XLOOKUP(B165,'[8]october-2025'!$A:$A,'[8]october-2025'!$J:$J,0,0)</f>
        <v>0</v>
      </c>
      <c r="EI165">
        <f>_xlfn.XLOOKUP(C165,'[9]november-2025'!$A:$A,'[9]november-2025'!$J:$J,0,0)</f>
        <v>0</v>
      </c>
      <c r="EJ165">
        <f>_xlfn.XLOOKUP(B165,'[10]december-2025'!$A:$A,'[10]december-2025'!$J:$J,0,0)</f>
        <v>0</v>
      </c>
      <c r="EK165">
        <f>_xlfn.XLOOKUP(B165,'[11]january-2026'!$A:$A,'[11]january-2026'!$J:$J,0,0)</f>
        <v>0</v>
      </c>
      <c r="EL165">
        <f>_xlfn.XLOOKUP(B165,'[12]february-2026'!$A:$A,'[12]february-2026'!$J:$J,0,0)</f>
        <v>0</v>
      </c>
      <c r="EM165">
        <f t="shared" si="361"/>
        <v>0</v>
      </c>
      <c r="EN165">
        <f>DV165+DL165+DB165+CR165+CH165+BX165+BN165+BD165+AS165+AI165+Y165+O165+H165+I165</f>
        <v>560020</v>
      </c>
      <c r="EO165">
        <f>DY165+DO165+DE165+CU165+CK165+CA165+BQ165+BG165+AV165+AL165+AB165+R165</f>
        <v>2400</v>
      </c>
      <c r="EP165">
        <f t="shared" si="409"/>
        <v>50000</v>
      </c>
      <c r="EQ165">
        <v>0</v>
      </c>
      <c r="ER165">
        <f t="shared" si="362"/>
        <v>507620</v>
      </c>
      <c r="ES165">
        <f>DW165+DM165+DC165+CS165+CI165+BY165+BO165+BE165+AT165+AJ165+Z165+P165</f>
        <v>48000</v>
      </c>
      <c r="ET165">
        <f>DX165+DN165+DD165+CT165+CJ165+BZ165+BP165+BF165+AU165+AK165+AA165+Q165</f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410"/>
        <v>48000</v>
      </c>
      <c r="FF165">
        <f t="shared" si="411"/>
        <v>48000</v>
      </c>
      <c r="FG165">
        <f t="shared" si="412"/>
        <v>459620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>SUM(FH165:FN165)+(IF(F165="YES",50000,0))</f>
        <v>0</v>
      </c>
      <c r="FP165">
        <f t="shared" si="413"/>
        <v>459620</v>
      </c>
      <c r="FQ165">
        <f t="shared" si="414"/>
        <v>10481</v>
      </c>
      <c r="FR165">
        <f t="shared" si="415"/>
        <v>0</v>
      </c>
      <c r="FS165">
        <f t="shared" si="416"/>
        <v>10481</v>
      </c>
      <c r="FT165">
        <f t="shared" si="417"/>
        <v>0</v>
      </c>
      <c r="FU165">
        <f t="shared" si="418"/>
        <v>0</v>
      </c>
      <c r="FV165">
        <f t="shared" si="419"/>
        <v>0</v>
      </c>
      <c r="FW165">
        <v>0</v>
      </c>
      <c r="FX165">
        <f t="shared" si="420"/>
        <v>0</v>
      </c>
      <c r="FY165" t="b">
        <f t="shared" si="421"/>
        <v>1</v>
      </c>
      <c r="FZ165">
        <f t="shared" ca="1" si="422"/>
        <v>812</v>
      </c>
      <c r="GA165">
        <f t="shared" ca="1" si="423"/>
        <v>560832</v>
      </c>
      <c r="GB165">
        <f t="shared" si="424"/>
        <v>75000</v>
      </c>
      <c r="GC165">
        <f t="shared" ca="1" si="425"/>
        <v>485832</v>
      </c>
      <c r="GD165">
        <f t="shared" ca="1" si="426"/>
        <v>0</v>
      </c>
      <c r="GE165">
        <f t="shared" ca="1" si="427"/>
        <v>0</v>
      </c>
      <c r="GF165">
        <f t="shared" ca="1" si="428"/>
        <v>0</v>
      </c>
      <c r="GG165">
        <f t="shared" ca="1" si="429"/>
        <v>0</v>
      </c>
      <c r="GH165">
        <f t="shared" ca="1" si="430"/>
        <v>0</v>
      </c>
      <c r="GI165">
        <f t="shared" ca="1" si="431"/>
        <v>0</v>
      </c>
      <c r="GJ165">
        <f ca="1">IF(GC165&gt;1200000,GC165-1200000-IF(F165="YES",50000,0)-GH165,0)</f>
        <v>0</v>
      </c>
      <c r="GK165">
        <f t="shared" ca="1" si="432"/>
        <v>0</v>
      </c>
      <c r="GL165">
        <f t="shared" ca="1" si="433"/>
        <v>0</v>
      </c>
      <c r="GM165">
        <f t="shared" ca="1" si="434"/>
        <v>0</v>
      </c>
      <c r="GN165">
        <f t="shared" ca="1" si="435"/>
        <v>85832</v>
      </c>
      <c r="GO165">
        <f t="shared" ca="1" si="436"/>
        <v>4291.6000000000004</v>
      </c>
      <c r="GP165">
        <f t="shared" ca="1" si="437"/>
        <v>4292</v>
      </c>
      <c r="GQ165">
        <f t="shared" ca="1" si="438"/>
        <v>0</v>
      </c>
      <c r="GR165">
        <f t="shared" ca="1" si="439"/>
        <v>0</v>
      </c>
      <c r="GS165">
        <f t="shared" ca="1" si="440"/>
        <v>4292</v>
      </c>
      <c r="GT165">
        <f t="shared" ca="1" si="441"/>
        <v>0</v>
      </c>
      <c r="GU165" t="b">
        <f t="shared" ca="1" si="442"/>
        <v>0</v>
      </c>
      <c r="GV165">
        <f t="shared" ca="1" si="443"/>
        <v>0</v>
      </c>
      <c r="GW165">
        <f t="shared" ca="1" si="444"/>
        <v>4292</v>
      </c>
      <c r="GX165">
        <f t="shared" ca="1" si="445"/>
        <v>0</v>
      </c>
      <c r="GY165">
        <f t="shared" ca="1" si="446"/>
        <v>0</v>
      </c>
      <c r="GZ165">
        <f t="shared" ca="1" si="447"/>
        <v>0</v>
      </c>
    </row>
    <row r="166" spans="1:208" x14ac:dyDescent="0.25">
      <c r="A166">
        <f>_xlfn.AGGREGATE(3,5,$B$2:B166)</f>
        <v>165</v>
      </c>
      <c r="B166" t="s">
        <v>438</v>
      </c>
      <c r="C166" t="s">
        <v>439</v>
      </c>
      <c r="D166" t="s">
        <v>794</v>
      </c>
      <c r="E166" t="s">
        <v>831</v>
      </c>
      <c r="F166" t="s">
        <v>957</v>
      </c>
      <c r="G166" t="s">
        <v>878</v>
      </c>
      <c r="H166">
        <f t="shared" si="449"/>
        <v>6800</v>
      </c>
      <c r="I166">
        <f>_xlfn.XLOOKUP(B166,'[1]march-2025'!$A:$A,'[1]march-2025'!$J:$J,0,0)</f>
        <v>0</v>
      </c>
      <c r="J166">
        <f>_xlfn.XLOOKUP(B166,'[1]march-2025'!$A:$A,'[1]march-2025'!$C:$C,0,0)</f>
        <v>34500</v>
      </c>
      <c r="K166">
        <f t="shared" si="364"/>
        <v>4830.0000000000009</v>
      </c>
      <c r="L166">
        <f t="shared" si="365"/>
        <v>4140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>IF(J166&gt;0,SUM(J166:N166),0)</f>
        <v>43970</v>
      </c>
      <c r="P166">
        <f>_xlfn.XLOOKUP(B166,'[1]march-2025'!$A:$A,'[1]march-2025'!$H:$H,0,0)</f>
        <v>4000</v>
      </c>
      <c r="Q166">
        <f>_xlfn.XLOOKUP(B166,'[1]march-2025'!$A:$A,'[1]march-2025'!$I:$I,0,0)</f>
        <v>0</v>
      </c>
      <c r="R166">
        <f t="shared" si="448"/>
        <v>200</v>
      </c>
      <c r="S166">
        <f t="shared" si="357"/>
        <v>39770</v>
      </c>
      <c r="T166">
        <f>_xlfn.XLOOKUP(B166,'[2]april-2025'!$A:$A,'[2]april-2025'!$C:$C,0,0)</f>
        <v>34500</v>
      </c>
      <c r="U166">
        <f t="shared" si="366"/>
        <v>6210</v>
      </c>
      <c r="V166">
        <f t="shared" si="367"/>
        <v>4140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358"/>
        <v>45350</v>
      </c>
      <c r="Z166">
        <f>_xlfn.XLOOKUP(B166,'[2]april-2025'!$A:$A,'[2]april-2025'!$H:$H,0,0)</f>
        <v>4000</v>
      </c>
      <c r="AA166">
        <f>_xlfn.XLOOKUP(B166,'[2]april-2025'!$A:$A,'[2]april-2025'!$I:$I,0,0)</f>
        <v>0</v>
      </c>
      <c r="AB166">
        <f t="shared" si="368"/>
        <v>200</v>
      </c>
      <c r="AC166">
        <f t="shared" si="369"/>
        <v>41150</v>
      </c>
      <c r="AD166">
        <f>_xlfn.XLOOKUP(B166,'[3]may-2025'!$A:$A,'[3]may-2025'!$C:$C,0,0)</f>
        <v>34500</v>
      </c>
      <c r="AE166">
        <f t="shared" si="370"/>
        <v>6210</v>
      </c>
      <c r="AF166">
        <f t="shared" si="371"/>
        <v>4140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359"/>
        <v>45350</v>
      </c>
      <c r="AJ166">
        <f>_xlfn.XLOOKUP(B166,'[3]may-2025'!$A:$A,'[3]may-2025'!$H:$H,0,0)</f>
        <v>4000</v>
      </c>
      <c r="AK166">
        <f>_xlfn.XLOOKUP(B166,'[3]may-2025'!$A:$A,'[3]may-2025'!$I:$I,0,0)</f>
        <v>0</v>
      </c>
      <c r="AL166">
        <f t="shared" si="372"/>
        <v>200</v>
      </c>
      <c r="AM166">
        <f t="shared" si="373"/>
        <v>41150</v>
      </c>
      <c r="AN166">
        <f>_xlfn.XLOOKUP(B166,'[4]june-2025'!$A:$A,'[4]june-2025'!$C:$C,0,0)</f>
        <v>34500</v>
      </c>
      <c r="AO166">
        <f t="shared" si="374"/>
        <v>6210</v>
      </c>
      <c r="AP166">
        <f t="shared" si="375"/>
        <v>4140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360"/>
        <v>45350</v>
      </c>
      <c r="AT166">
        <f>_xlfn.XLOOKUP(B166,'[4]june-2025'!$A:$A,'[4]june-2025'!$H:$H,0,0)</f>
        <v>4000</v>
      </c>
      <c r="AU166">
        <f>_xlfn.XLOOKUP(B166,'[4]june-2025'!$A:$A,'[4]june-2025'!$I:$I,0,0)</f>
        <v>0</v>
      </c>
      <c r="AV166">
        <f t="shared" si="376"/>
        <v>200</v>
      </c>
      <c r="AW166">
        <f t="shared" si="377"/>
        <v>41150</v>
      </c>
      <c r="AX166">
        <f>_xlfn.XLOOKUP(B166,'[5]july-2025'!$A:$A,'[5]july-2025'!$C:$C,0,0)</f>
        <v>35500</v>
      </c>
      <c r="AY166">
        <f t="shared" si="378"/>
        <v>6390</v>
      </c>
      <c r="AZ166">
        <v>0</v>
      </c>
      <c r="BA166">
        <f t="shared" si="379"/>
        <v>4260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>IF(AX166&gt;0,SUM(AX166:BC166),0)</f>
        <v>46650</v>
      </c>
      <c r="BE166">
        <f>_xlfn.XLOOKUP(B166,'[5]july-2025'!$A:$A,'[5]july-2025'!$H:$H,0,0)</f>
        <v>4000</v>
      </c>
      <c r="BF166">
        <f>_xlfn.XLOOKUP(B166,'[5]july-2025'!$A:$A,'[5]july-2025'!$I:$I,0,0)</f>
        <v>0</v>
      </c>
      <c r="BG166">
        <f t="shared" si="380"/>
        <v>200</v>
      </c>
      <c r="BH166">
        <f t="shared" si="381"/>
        <v>42450</v>
      </c>
      <c r="BI166">
        <f>_xlfn.XLOOKUP(B166,'[6]august-2025'!$A:$A,'[6]august-2025'!$C:$C,0,0)</f>
        <v>35500</v>
      </c>
      <c r="BJ166">
        <f t="shared" si="382"/>
        <v>6390</v>
      </c>
      <c r="BK166">
        <f t="shared" si="383"/>
        <v>4260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384"/>
        <v>46650</v>
      </c>
      <c r="BO166">
        <f>_xlfn.XLOOKUP(B166,'[6]august-2025'!$A:$A,'[6]august-2025'!$H:$H,0,0)</f>
        <v>4000</v>
      </c>
      <c r="BP166">
        <f>_xlfn.XLOOKUP(B166,'[6]august-2025'!$A:$A,'[6]august-2025'!$I:$I,0,0)</f>
        <v>0</v>
      </c>
      <c r="BQ166">
        <f>IF($F166="YES",0,IF(BN166&gt;40000,200,IF(BN166&gt;25000,150,IF(BN166&gt;15000,130,IF(BN166&gt;10000,110,0)))))</f>
        <v>200</v>
      </c>
      <c r="BR166">
        <f>BN166-BO166-BP166-BQ166</f>
        <v>42450</v>
      </c>
      <c r="BS166">
        <f>_xlfn.XLOOKUP(B166,'[7]september-2025'!$A:$A,'[7]september-2025'!$C:$C,0,0)</f>
        <v>35500</v>
      </c>
      <c r="BT166">
        <f t="shared" si="385"/>
        <v>6390</v>
      </c>
      <c r="BU166">
        <f t="shared" si="386"/>
        <v>4260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>IF(BS166&gt;0,SUM(BS166:BW166),0)</f>
        <v>46650</v>
      </c>
      <c r="BY166">
        <f>_xlfn.XLOOKUP(B166,'[7]september-2025'!$A:$A,'[7]september-2025'!$H:$H,0,0)</f>
        <v>4000</v>
      </c>
      <c r="BZ166">
        <f>_xlfn.XLOOKUP(B166,'[7]september-2025'!$A:$A,'[7]september-2025'!$I:$I,0,0)</f>
        <v>0</v>
      </c>
      <c r="CA166">
        <f t="shared" si="387"/>
        <v>200</v>
      </c>
      <c r="CB166">
        <f t="shared" si="388"/>
        <v>42450</v>
      </c>
      <c r="CC166">
        <f>_xlfn.XLOOKUP(B166,'[8]october-2025'!$A:$A,'[8]october-2025'!$C:$C,0,0)</f>
        <v>35500</v>
      </c>
      <c r="CD166">
        <f t="shared" si="389"/>
        <v>6390</v>
      </c>
      <c r="CE166">
        <f t="shared" si="390"/>
        <v>4260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>IF(CC166&gt;0,SUM(CC166:CG166),0)</f>
        <v>46650</v>
      </c>
      <c r="CI166">
        <f>_xlfn.XLOOKUP(B166,'[8]october-2025'!$A:$A,'[8]october-2025'!$H:$H,0,0)</f>
        <v>4000</v>
      </c>
      <c r="CJ166">
        <f>_xlfn.XLOOKUP(B166,'[8]october-2025'!$A:$A,'[8]october-2025'!$I:$I,0,0)</f>
        <v>0</v>
      </c>
      <c r="CK166">
        <f t="shared" si="391"/>
        <v>200</v>
      </c>
      <c r="CL166">
        <f t="shared" si="392"/>
        <v>42450</v>
      </c>
      <c r="CM166">
        <f>_xlfn.XLOOKUP(B166,'[9]november-2025'!$A:$A,'[9]november-2025'!$C:$C,0,0)</f>
        <v>35500</v>
      </c>
      <c r="CN166">
        <f t="shared" si="393"/>
        <v>6390</v>
      </c>
      <c r="CO166">
        <f t="shared" si="394"/>
        <v>4260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>IF(CM166&gt;0,SUM(CM166:CQ166),0)</f>
        <v>46650</v>
      </c>
      <c r="CS166">
        <f>_xlfn.XLOOKUP(B166,'[9]november-2025'!$A:$A,'[9]november-2025'!$H:$H,0,0)</f>
        <v>4000</v>
      </c>
      <c r="CT166">
        <f>_xlfn.XLOOKUP(B166,'[9]november-2025'!$A:$A,'[9]november-2025'!$I:$I,0,0)</f>
        <v>0</v>
      </c>
      <c r="CU166">
        <f t="shared" si="395"/>
        <v>200</v>
      </c>
      <c r="CV166">
        <f t="shared" si="396"/>
        <v>42450</v>
      </c>
      <c r="CW166">
        <f>_xlfn.XLOOKUP(B166,'[10]december-2025'!$A:$A,'[10]december-2025'!$C:$C,0,0)</f>
        <v>35500</v>
      </c>
      <c r="CX166">
        <f t="shared" si="397"/>
        <v>6390</v>
      </c>
      <c r="CY166">
        <f t="shared" si="398"/>
        <v>4260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>IF(CW166&gt;0,SUM(CW166:DA166),0)</f>
        <v>46650</v>
      </c>
      <c r="DC166">
        <f>_xlfn.XLOOKUP(B166,'[10]december-2025'!$A:$A,'[10]december-2025'!$H:$H,0,0)</f>
        <v>4000</v>
      </c>
      <c r="DD166">
        <f>_xlfn.XLOOKUP(B166,'[10]december-2025'!$A:$A,'[10]december-2025'!$I:$I,0,0)</f>
        <v>0</v>
      </c>
      <c r="DE166">
        <f t="shared" si="399"/>
        <v>200</v>
      </c>
      <c r="DF166">
        <f t="shared" si="400"/>
        <v>42450</v>
      </c>
      <c r="DG166">
        <f>_xlfn.XLOOKUP(B166,'[11]january-2026'!$A:$A,'[11]january-2026'!$C:$C,0,0)</f>
        <v>35500</v>
      </c>
      <c r="DH166">
        <f t="shared" si="401"/>
        <v>6390</v>
      </c>
      <c r="DI166">
        <f t="shared" si="402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>IF(DG166&gt;0,SUM(DG166:DK166),0)</f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03"/>
        <v>200</v>
      </c>
      <c r="DP166">
        <f t="shared" si="404"/>
        <v>42450</v>
      </c>
      <c r="DQ166">
        <f>_xlfn.XLOOKUP(B166,'[12]february-2026'!$A:$A,'[12]february-2026'!$C:$C,0,0)</f>
        <v>35500</v>
      </c>
      <c r="DR166">
        <f t="shared" si="405"/>
        <v>6390</v>
      </c>
      <c r="DS166">
        <f t="shared" si="406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>IF(DQ166&gt;0,SUM(DQ166:DU166),0)</f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07"/>
        <v>200</v>
      </c>
      <c r="DZ166">
        <f t="shared" si="408"/>
        <v>42450</v>
      </c>
      <c r="EA166">
        <f>_xlfn.XLOOKUP(B166,'[1]march-2025'!$A:$A,'[1]march-2025'!$J:$J,0,0)</f>
        <v>0</v>
      </c>
      <c r="EB166">
        <f>_xlfn.XLOOKUP(B166,'[2]april-2025'!$A:$A,'[2]april-2025'!$J:$J,0,0)</f>
        <v>0</v>
      </c>
      <c r="EC166">
        <f>_xlfn.XLOOKUP(B166,'[3]may-2025'!$A:$A,'[3]may-2025'!$J:$J,0,0)</f>
        <v>0</v>
      </c>
      <c r="ED166">
        <f>_xlfn.XLOOKUP(B166,'[4]june-2025'!$A:$A,'[4]june-2025'!$J:$J,0,0)</f>
        <v>0</v>
      </c>
      <c r="EE166">
        <f>_xlfn.XLOOKUP(B166,'[5]july-2025'!$A:$A,'[5]july-2025'!$J:$J,0,0)</f>
        <v>0</v>
      </c>
      <c r="EF166">
        <f>_xlfn.XLOOKUP(B166,'[6]august-2025'!$A:$A,'[6]august-2025'!$J:$J,0,0)</f>
        <v>0</v>
      </c>
      <c r="EG166">
        <f>_xlfn.XLOOKUP(B166,'[7]september-2025'!$A:$A,'[7]september-2025'!$J:$J,0,0)</f>
        <v>0</v>
      </c>
      <c r="EH166">
        <f>_xlfn.XLOOKUP(B166,'[8]october-2025'!$A:$A,'[8]october-2025'!$J:$J,0,0)</f>
        <v>0</v>
      </c>
      <c r="EI166">
        <f>_xlfn.XLOOKUP(C166,'[9]november-2025'!$A:$A,'[9]november-2025'!$J:$J,0,0)</f>
        <v>0</v>
      </c>
      <c r="EJ166">
        <f>_xlfn.XLOOKUP(B166,'[10]december-2025'!$A:$A,'[10]december-2025'!$J:$J,0,0)</f>
        <v>0</v>
      </c>
      <c r="EK166">
        <f>_xlfn.XLOOKUP(B166,'[11]january-2026'!$A:$A,'[11]january-2026'!$J:$J,0,0)</f>
        <v>0</v>
      </c>
      <c r="EL166">
        <f>_xlfn.XLOOKUP(B166,'[12]february-2026'!$A:$A,'[12]february-2026'!$J:$J,0,0)</f>
        <v>0</v>
      </c>
      <c r="EM166">
        <f t="shared" si="361"/>
        <v>0</v>
      </c>
      <c r="EN166">
        <f>DV166+DL166+DB166+CR166+CH166+BX166+BN166+BD166+AS166+AI166+Y166+O166+H166+I166</f>
        <v>560020</v>
      </c>
      <c r="EO166">
        <f>DY166+DO166+DE166+CU166+CK166+CA166+BQ166+BG166+AV166+AL166+AB166+R166</f>
        <v>2400</v>
      </c>
      <c r="EP166">
        <f t="shared" si="409"/>
        <v>50000</v>
      </c>
      <c r="EQ166">
        <v>0</v>
      </c>
      <c r="ER166">
        <f t="shared" si="362"/>
        <v>507620</v>
      </c>
      <c r="ES166">
        <f>DW166+DM166+DC166+CS166+CI166+BY166+BO166+BE166+AT166+AJ166+Z166+P166</f>
        <v>48000</v>
      </c>
      <c r="ET166">
        <f>DX166+DN166+DD166+CT166+CJ166+BZ166+BP166+BF166+AU166+AK166+AA166+Q166</f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410"/>
        <v>48000</v>
      </c>
      <c r="FF166">
        <f t="shared" si="411"/>
        <v>48000</v>
      </c>
      <c r="FG166">
        <f t="shared" si="412"/>
        <v>459620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>SUM(FH166:FN166)+(IF(F166="YES",50000,0))</f>
        <v>0</v>
      </c>
      <c r="FP166">
        <f t="shared" si="413"/>
        <v>459620</v>
      </c>
      <c r="FQ166">
        <f t="shared" si="414"/>
        <v>10481</v>
      </c>
      <c r="FR166">
        <f t="shared" si="415"/>
        <v>0</v>
      </c>
      <c r="FS166">
        <f t="shared" si="416"/>
        <v>10481</v>
      </c>
      <c r="FT166">
        <f t="shared" si="417"/>
        <v>0</v>
      </c>
      <c r="FU166">
        <f t="shared" si="418"/>
        <v>0</v>
      </c>
      <c r="FV166">
        <f t="shared" si="419"/>
        <v>0</v>
      </c>
      <c r="FW166">
        <v>0</v>
      </c>
      <c r="FX166">
        <f t="shared" si="420"/>
        <v>0</v>
      </c>
      <c r="FY166" t="b">
        <f t="shared" si="421"/>
        <v>1</v>
      </c>
      <c r="FZ166">
        <f t="shared" ca="1" si="422"/>
        <v>808</v>
      </c>
      <c r="GA166">
        <f t="shared" ca="1" si="423"/>
        <v>560828</v>
      </c>
      <c r="GB166">
        <f t="shared" si="424"/>
        <v>75000</v>
      </c>
      <c r="GC166">
        <f t="shared" ca="1" si="425"/>
        <v>485828</v>
      </c>
      <c r="GD166">
        <f t="shared" ca="1" si="426"/>
        <v>0</v>
      </c>
      <c r="GE166">
        <f t="shared" ca="1" si="427"/>
        <v>0</v>
      </c>
      <c r="GF166">
        <f t="shared" ca="1" si="428"/>
        <v>0</v>
      </c>
      <c r="GG166">
        <f t="shared" ca="1" si="429"/>
        <v>0</v>
      </c>
      <c r="GH166">
        <f t="shared" ca="1" si="430"/>
        <v>0</v>
      </c>
      <c r="GI166">
        <f t="shared" ca="1" si="431"/>
        <v>0</v>
      </c>
      <c r="GJ166">
        <f ca="1">IF(GC166&gt;1200000,GC166-1200000-IF(F166="YES",50000,0)-GH166,0)</f>
        <v>0</v>
      </c>
      <c r="GK166">
        <f t="shared" ca="1" si="432"/>
        <v>0</v>
      </c>
      <c r="GL166">
        <f t="shared" ca="1" si="433"/>
        <v>0</v>
      </c>
      <c r="GM166">
        <f t="shared" ca="1" si="434"/>
        <v>0</v>
      </c>
      <c r="GN166">
        <f t="shared" ca="1" si="435"/>
        <v>85828</v>
      </c>
      <c r="GO166">
        <f t="shared" ca="1" si="436"/>
        <v>4291.4000000000005</v>
      </c>
      <c r="GP166">
        <f t="shared" ca="1" si="437"/>
        <v>4291</v>
      </c>
      <c r="GQ166">
        <f t="shared" ca="1" si="438"/>
        <v>0</v>
      </c>
      <c r="GR166">
        <f t="shared" ca="1" si="439"/>
        <v>0</v>
      </c>
      <c r="GS166">
        <f t="shared" ca="1" si="440"/>
        <v>4291</v>
      </c>
      <c r="GT166">
        <f t="shared" ca="1" si="441"/>
        <v>0</v>
      </c>
      <c r="GU166" t="b">
        <f t="shared" ca="1" si="442"/>
        <v>0</v>
      </c>
      <c r="GV166">
        <f t="shared" ca="1" si="443"/>
        <v>0</v>
      </c>
      <c r="GW166">
        <f t="shared" ca="1" si="444"/>
        <v>4291</v>
      </c>
      <c r="GX166">
        <f t="shared" ca="1" si="445"/>
        <v>0</v>
      </c>
      <c r="GY166">
        <f t="shared" ca="1" si="446"/>
        <v>0</v>
      </c>
      <c r="GZ166">
        <f t="shared" ca="1" si="447"/>
        <v>0</v>
      </c>
    </row>
    <row r="167" spans="1:208" x14ac:dyDescent="0.25">
      <c r="A167">
        <f>_xlfn.AGGREGATE(3,5,$B$2:B167)</f>
        <v>166</v>
      </c>
      <c r="B167" t="s">
        <v>440</v>
      </c>
      <c r="C167" t="s">
        <v>441</v>
      </c>
      <c r="D167" t="s">
        <v>794</v>
      </c>
      <c r="E167" t="s">
        <v>831</v>
      </c>
      <c r="F167" t="s">
        <v>957</v>
      </c>
      <c r="G167" t="s">
        <v>886</v>
      </c>
      <c r="H167">
        <f t="shared" ref="H167:H198" si="450"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33500</v>
      </c>
      <c r="K167">
        <f t="shared" si="364"/>
        <v>4690</v>
      </c>
      <c r="L167">
        <f t="shared" si="365"/>
        <v>4020</v>
      </c>
      <c r="M167">
        <f>_xlfn.XLOOKUP(B167,'[1]march-2025'!$A:$A,'[1]march-2025'!$D:$D,0,0)</f>
        <v>0</v>
      </c>
      <c r="N167">
        <f>_xlfn.XLOOKUP(B167,'[1]march-2025'!$A:$A,'[1]march-2025'!$G:$G,0,0)</f>
        <v>500</v>
      </c>
      <c r="O167">
        <f>IF(J167&gt;0,SUM(J167:N167),0)</f>
        <v>42710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448"/>
        <v>200</v>
      </c>
      <c r="S167">
        <f t="shared" si="357"/>
        <v>39510</v>
      </c>
      <c r="T167">
        <f>_xlfn.XLOOKUP(B167,'[2]april-2025'!$A:$A,'[2]april-2025'!$C:$C,0,0)</f>
        <v>33500</v>
      </c>
      <c r="U167">
        <f t="shared" si="366"/>
        <v>6030</v>
      </c>
      <c r="V167">
        <f t="shared" si="367"/>
        <v>4020</v>
      </c>
      <c r="W167">
        <f>_xlfn.XLOOKUP(B167,'[2]april-2025'!$A:$A,'[2]april-2025'!$D:$D,0,0)</f>
        <v>0</v>
      </c>
      <c r="X167">
        <f>_xlfn.XLOOKUP(B167,'[2]april-2025'!$A:$A,'[2]april-2025'!$G:$G,0,0)</f>
        <v>500</v>
      </c>
      <c r="Y167">
        <f t="shared" si="358"/>
        <v>44050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368"/>
        <v>200</v>
      </c>
      <c r="AC167">
        <f t="shared" si="369"/>
        <v>40850</v>
      </c>
      <c r="AD167">
        <f>_xlfn.XLOOKUP(B167,'[3]may-2025'!$A:$A,'[3]may-2025'!$C:$C,0,0)</f>
        <v>33500</v>
      </c>
      <c r="AE167">
        <f t="shared" si="370"/>
        <v>6030</v>
      </c>
      <c r="AF167">
        <f t="shared" si="371"/>
        <v>4020</v>
      </c>
      <c r="AG167">
        <f>_xlfn.XLOOKUP(B167,'[3]may-2025'!$A:$A,'[3]may-2025'!$D:$D,0,0)</f>
        <v>0</v>
      </c>
      <c r="AH167">
        <f>_xlfn.XLOOKUP(B167,'[3]may-2025'!$A:$A,'[3]may-2025'!$G:$G,0,0)</f>
        <v>500</v>
      </c>
      <c r="AI167">
        <f t="shared" si="359"/>
        <v>44050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372"/>
        <v>200</v>
      </c>
      <c r="AM167">
        <f t="shared" si="373"/>
        <v>40850</v>
      </c>
      <c r="AN167">
        <f>_xlfn.XLOOKUP(B167,'[4]june-2025'!$A:$A,'[4]june-2025'!$C:$C,0,0)</f>
        <v>33500</v>
      </c>
      <c r="AO167">
        <f t="shared" si="374"/>
        <v>6030</v>
      </c>
      <c r="AP167">
        <f t="shared" si="375"/>
        <v>4020</v>
      </c>
      <c r="AQ167">
        <f>_xlfn.XLOOKUP(B167,'[4]june-2025'!$A:$A,'[4]june-2025'!$D:$D,0,0)</f>
        <v>0</v>
      </c>
      <c r="AR167">
        <f>_xlfn.XLOOKUP(B167,'[4]june-2025'!$A:$A,'[4]june-2025'!$G:$G,0,0)</f>
        <v>500</v>
      </c>
      <c r="AS167">
        <f t="shared" si="360"/>
        <v>44050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376"/>
        <v>200</v>
      </c>
      <c r="AW167">
        <f t="shared" si="377"/>
        <v>40850</v>
      </c>
      <c r="AX167">
        <f>_xlfn.XLOOKUP(B167,'[5]july-2025'!$A:$A,'[5]july-2025'!$C:$C,0,0)</f>
        <v>34500</v>
      </c>
      <c r="AY167">
        <f t="shared" si="378"/>
        <v>6210</v>
      </c>
      <c r="AZ167">
        <v>0</v>
      </c>
      <c r="BA167">
        <f t="shared" si="379"/>
        <v>4140</v>
      </c>
      <c r="BB167">
        <f>_xlfn.XLOOKUP(B167,'[5]july-2025'!$A:$A,'[5]july-2025'!$D:$D,0,0)</f>
        <v>0</v>
      </c>
      <c r="BC167">
        <f>_xlfn.XLOOKUP(B167,'[5]july-2025'!$A:$A,'[5]july-2025'!$G:$G,0,0)</f>
        <v>500</v>
      </c>
      <c r="BD167">
        <f>IF(AX167&gt;0,SUM(AX167:BC167),0)</f>
        <v>45350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380"/>
        <v>200</v>
      </c>
      <c r="BH167">
        <f t="shared" si="381"/>
        <v>42150</v>
      </c>
      <c r="BI167">
        <f>_xlfn.XLOOKUP(B167,'[6]august-2025'!$A:$A,'[6]august-2025'!$C:$C,0,0)</f>
        <v>34500</v>
      </c>
      <c r="BJ167">
        <f t="shared" si="382"/>
        <v>6210</v>
      </c>
      <c r="BK167">
        <f t="shared" si="383"/>
        <v>4140</v>
      </c>
      <c r="BL167">
        <f>_xlfn.XLOOKUP(B167,'[6]august-2025'!$A:$A,'[6]august-2025'!$D:$D,0,0)</f>
        <v>0</v>
      </c>
      <c r="BM167">
        <f>_xlfn.XLOOKUP(B167,'[6]august-2025'!$A:$A,'[6]august-2025'!$G:$G,0,0)</f>
        <v>500</v>
      </c>
      <c r="BN167">
        <f t="shared" si="384"/>
        <v>45350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>IF($F167="YES",0,IF(BN167&gt;40000,200,IF(BN167&gt;25000,150,IF(BN167&gt;15000,130,IF(BN167&gt;10000,110,0)))))</f>
        <v>200</v>
      </c>
      <c r="BR167">
        <f>BN167-BO167-BP167-BQ167</f>
        <v>42150</v>
      </c>
      <c r="BS167">
        <f>_xlfn.XLOOKUP(B167,'[7]september-2025'!$A:$A,'[7]september-2025'!$C:$C,0,0)</f>
        <v>34500</v>
      </c>
      <c r="BT167">
        <f t="shared" si="385"/>
        <v>6210</v>
      </c>
      <c r="BU167">
        <f t="shared" si="386"/>
        <v>4140</v>
      </c>
      <c r="BV167">
        <f>_xlfn.XLOOKUP(B167,'[7]september-2025'!$A:$A,'[7]september-2025'!$D:$D,0,0)</f>
        <v>0</v>
      </c>
      <c r="BW167">
        <f>_xlfn.XLOOKUP(B167,'[7]september-2025'!$A:$A,'[7]september-2025'!$G:$G,0,0)</f>
        <v>500</v>
      </c>
      <c r="BX167">
        <f>IF(BS167&gt;0,SUM(BS167:BW167),0)</f>
        <v>45350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387"/>
        <v>200</v>
      </c>
      <c r="CB167">
        <f t="shared" si="388"/>
        <v>42150</v>
      </c>
      <c r="CC167">
        <f>_xlfn.XLOOKUP(B167,'[8]october-2025'!$A:$A,'[8]october-2025'!$C:$C,0,0)</f>
        <v>34500</v>
      </c>
      <c r="CD167">
        <f t="shared" si="389"/>
        <v>6210</v>
      </c>
      <c r="CE167">
        <f t="shared" si="390"/>
        <v>4140</v>
      </c>
      <c r="CF167">
        <f>_xlfn.XLOOKUP(B167,'[8]october-2025'!$A:$A,'[8]october-2025'!$D:$D,0,0)</f>
        <v>0</v>
      </c>
      <c r="CG167">
        <f>_xlfn.XLOOKUP(B167,'[8]october-2025'!$A:$A,'[8]october-2025'!$G:$G,0,0)</f>
        <v>500</v>
      </c>
      <c r="CH167">
        <f>IF(CC167&gt;0,SUM(CC167:CG167),0)</f>
        <v>45350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391"/>
        <v>200</v>
      </c>
      <c r="CL167">
        <f t="shared" si="392"/>
        <v>42150</v>
      </c>
      <c r="CM167">
        <f>_xlfn.XLOOKUP(B167,'[9]november-2025'!$A:$A,'[9]november-2025'!$C:$C,0,0)</f>
        <v>34500</v>
      </c>
      <c r="CN167">
        <f t="shared" si="393"/>
        <v>6210</v>
      </c>
      <c r="CO167">
        <f t="shared" si="394"/>
        <v>4140</v>
      </c>
      <c r="CP167">
        <f>_xlfn.XLOOKUP(B167,'[9]november-2025'!$A:$A,'[9]november-2025'!$D:$D,0,0)</f>
        <v>0</v>
      </c>
      <c r="CQ167">
        <f>_xlfn.XLOOKUP(B167,'[9]november-2025'!$A:$A,'[9]november-2025'!$G:$G,0,0)</f>
        <v>500</v>
      </c>
      <c r="CR167">
        <f>IF(CM167&gt;0,SUM(CM167:CQ167),0)</f>
        <v>45350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395"/>
        <v>200</v>
      </c>
      <c r="CV167">
        <f t="shared" si="396"/>
        <v>42150</v>
      </c>
      <c r="CW167">
        <f>_xlfn.XLOOKUP(B167,'[10]december-2025'!$A:$A,'[10]december-2025'!$C:$C,0,0)</f>
        <v>34500</v>
      </c>
      <c r="CX167">
        <f t="shared" si="397"/>
        <v>6210</v>
      </c>
      <c r="CY167">
        <f t="shared" si="398"/>
        <v>4140</v>
      </c>
      <c r="CZ167">
        <f>_xlfn.XLOOKUP(B167,'[10]december-2025'!$A:$A,'[10]december-2025'!$D:$D,0,0)</f>
        <v>0</v>
      </c>
      <c r="DA167">
        <f>_xlfn.XLOOKUP(B167,'[10]december-2025'!$A:$A,'[10]december-2025'!$G:$G,0,0)</f>
        <v>500</v>
      </c>
      <c r="DB167">
        <f>IF(CW167&gt;0,SUM(CW167:DA167),0)</f>
        <v>45350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399"/>
        <v>200</v>
      </c>
      <c r="DF167">
        <f t="shared" si="400"/>
        <v>42150</v>
      </c>
      <c r="DG167">
        <f>_xlfn.XLOOKUP(B167,'[11]january-2026'!$A:$A,'[11]january-2026'!$C:$C,0,0)</f>
        <v>34500</v>
      </c>
      <c r="DH167">
        <f t="shared" si="401"/>
        <v>6210</v>
      </c>
      <c r="DI167">
        <f t="shared" si="402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>IF(DG167&gt;0,SUM(DG167:DK167),0)</f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03"/>
        <v>200</v>
      </c>
      <c r="DP167">
        <f t="shared" si="404"/>
        <v>42150</v>
      </c>
      <c r="DQ167">
        <f>_xlfn.XLOOKUP(B167,'[12]february-2026'!$A:$A,'[12]february-2026'!$C:$C,0,0)</f>
        <v>34500</v>
      </c>
      <c r="DR167">
        <f t="shared" si="405"/>
        <v>6210</v>
      </c>
      <c r="DS167">
        <f t="shared" si="406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>IF(DQ167&gt;0,SUM(DQ167:DU167),0)</f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07"/>
        <v>200</v>
      </c>
      <c r="DZ167">
        <f t="shared" si="408"/>
        <v>42150</v>
      </c>
      <c r="EA167">
        <f>_xlfn.XLOOKUP(B167,'[1]march-2025'!$A:$A,'[1]march-2025'!$J:$J,0,0)</f>
        <v>0</v>
      </c>
      <c r="EB167">
        <f>_xlfn.XLOOKUP(B167,'[2]april-2025'!$A:$A,'[2]april-2025'!$J:$J,0,0)</f>
        <v>0</v>
      </c>
      <c r="EC167">
        <f>_xlfn.XLOOKUP(B167,'[3]may-2025'!$A:$A,'[3]may-2025'!$J:$J,0,0)</f>
        <v>0</v>
      </c>
      <c r="ED167">
        <f>_xlfn.XLOOKUP(B167,'[4]june-2025'!$A:$A,'[4]june-2025'!$J:$J,0,0)</f>
        <v>0</v>
      </c>
      <c r="EE167">
        <f>_xlfn.XLOOKUP(B167,'[5]july-2025'!$A:$A,'[5]july-2025'!$J:$J,0,0)</f>
        <v>0</v>
      </c>
      <c r="EF167">
        <f>_xlfn.XLOOKUP(B167,'[6]august-2025'!$A:$A,'[6]august-2025'!$J:$J,0,0)</f>
        <v>0</v>
      </c>
      <c r="EG167">
        <f>_xlfn.XLOOKUP(B167,'[7]september-2025'!$A:$A,'[7]september-2025'!$J:$J,0,0)</f>
        <v>0</v>
      </c>
      <c r="EH167">
        <f>_xlfn.XLOOKUP(B167,'[8]october-2025'!$A:$A,'[8]october-2025'!$J:$J,0,0)</f>
        <v>0</v>
      </c>
      <c r="EI167">
        <f>_xlfn.XLOOKUP(C167,'[9]november-2025'!$A:$A,'[9]november-2025'!$J:$J,0,0)</f>
        <v>0</v>
      </c>
      <c r="EJ167">
        <f>_xlfn.XLOOKUP(B167,'[10]december-2025'!$A:$A,'[10]december-2025'!$J:$J,0,0)</f>
        <v>0</v>
      </c>
      <c r="EK167">
        <f>_xlfn.XLOOKUP(B167,'[11]january-2026'!$A:$A,'[11]january-2026'!$J:$J,0,0)</f>
        <v>0</v>
      </c>
      <c r="EL167">
        <f>_xlfn.XLOOKUP(B167,'[12]february-2026'!$A:$A,'[12]february-2026'!$J:$J,0,0)</f>
        <v>0</v>
      </c>
      <c r="EM167">
        <f t="shared" si="361"/>
        <v>0</v>
      </c>
      <c r="EN167">
        <f>DV167+DL167+DB167+CR167+CH167+BX167+BN167+BD167+AS167+AI167+Y167+O167+H167+I167</f>
        <v>544460</v>
      </c>
      <c r="EO167">
        <f>DY167+DO167+DE167+CU167+CK167+CA167+BQ167+BG167+AV167+AL167+AB167+R167</f>
        <v>2400</v>
      </c>
      <c r="EP167">
        <f t="shared" si="409"/>
        <v>50000</v>
      </c>
      <c r="EQ167">
        <v>0</v>
      </c>
      <c r="ER167">
        <f t="shared" si="362"/>
        <v>492060</v>
      </c>
      <c r="ES167">
        <f>DW167+DM167+DC167+CS167+CI167+BY167+BO167+BE167+AT167+AJ167+Z167+P167</f>
        <v>36000</v>
      </c>
      <c r="ET167">
        <f>DX167+DN167+DD167+CT167+CJ167+BZ167+BP167+BF167+AU167+AK167+AA167+Q167</f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410"/>
        <v>36000</v>
      </c>
      <c r="FF167">
        <f t="shared" si="411"/>
        <v>36000</v>
      </c>
      <c r="FG167">
        <f t="shared" si="412"/>
        <v>456060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>SUM(FH167:FN167)+(IF(F167="YES",50000,0))</f>
        <v>0</v>
      </c>
      <c r="FP167">
        <f t="shared" si="413"/>
        <v>456060</v>
      </c>
      <c r="FQ167">
        <f t="shared" si="414"/>
        <v>10303</v>
      </c>
      <c r="FR167">
        <f t="shared" si="415"/>
        <v>0</v>
      </c>
      <c r="FS167">
        <f t="shared" si="416"/>
        <v>10303</v>
      </c>
      <c r="FT167">
        <f t="shared" si="417"/>
        <v>0</v>
      </c>
      <c r="FU167">
        <f t="shared" si="418"/>
        <v>0</v>
      </c>
      <c r="FV167">
        <f t="shared" si="419"/>
        <v>0</v>
      </c>
      <c r="FW167">
        <v>0</v>
      </c>
      <c r="FX167">
        <f t="shared" si="420"/>
        <v>0</v>
      </c>
      <c r="FY167" t="b">
        <f t="shared" si="421"/>
        <v>1</v>
      </c>
      <c r="FZ167">
        <f t="shared" ca="1" si="422"/>
        <v>507</v>
      </c>
      <c r="GA167">
        <f t="shared" ca="1" si="423"/>
        <v>544967</v>
      </c>
      <c r="GB167">
        <f t="shared" si="424"/>
        <v>75000</v>
      </c>
      <c r="GC167">
        <f t="shared" ca="1" si="425"/>
        <v>469967</v>
      </c>
      <c r="GD167">
        <f t="shared" ca="1" si="426"/>
        <v>0</v>
      </c>
      <c r="GE167">
        <f t="shared" ca="1" si="427"/>
        <v>0</v>
      </c>
      <c r="GF167">
        <f t="shared" ca="1" si="428"/>
        <v>0</v>
      </c>
      <c r="GG167">
        <f t="shared" ca="1" si="429"/>
        <v>0</v>
      </c>
      <c r="GH167">
        <f t="shared" ca="1" si="430"/>
        <v>0</v>
      </c>
      <c r="GI167">
        <f t="shared" ca="1" si="431"/>
        <v>0</v>
      </c>
      <c r="GJ167">
        <f ca="1">IF(GC167&gt;1200000,GC167-1200000-IF(F167="YES",50000,0)-GH167,0)</f>
        <v>0</v>
      </c>
      <c r="GK167">
        <f t="shared" ca="1" si="432"/>
        <v>0</v>
      </c>
      <c r="GL167">
        <f t="shared" ca="1" si="433"/>
        <v>0</v>
      </c>
      <c r="GM167">
        <f t="shared" ca="1" si="434"/>
        <v>0</v>
      </c>
      <c r="GN167">
        <f t="shared" ca="1" si="435"/>
        <v>69967</v>
      </c>
      <c r="GO167">
        <f t="shared" ca="1" si="436"/>
        <v>3498.3500000000004</v>
      </c>
      <c r="GP167">
        <f t="shared" ca="1" si="437"/>
        <v>3498</v>
      </c>
      <c r="GQ167">
        <f t="shared" ca="1" si="438"/>
        <v>0</v>
      </c>
      <c r="GR167">
        <f t="shared" ca="1" si="439"/>
        <v>0</v>
      </c>
      <c r="GS167">
        <f t="shared" ca="1" si="440"/>
        <v>3498</v>
      </c>
      <c r="GT167">
        <f t="shared" ca="1" si="441"/>
        <v>0</v>
      </c>
      <c r="GU167" t="b">
        <f t="shared" ca="1" si="442"/>
        <v>0</v>
      </c>
      <c r="GV167">
        <f t="shared" ca="1" si="443"/>
        <v>0</v>
      </c>
      <c r="GW167">
        <f t="shared" ca="1" si="444"/>
        <v>3498</v>
      </c>
      <c r="GX167">
        <f t="shared" ca="1" si="445"/>
        <v>0</v>
      </c>
      <c r="GY167">
        <f t="shared" ca="1" si="446"/>
        <v>0</v>
      </c>
      <c r="GZ167">
        <f t="shared" ca="1" si="447"/>
        <v>0</v>
      </c>
    </row>
    <row r="168" spans="1:208" x14ac:dyDescent="0.25">
      <c r="A168">
        <f>_xlfn.AGGREGATE(3,5,$B$2:B168)</f>
        <v>167</v>
      </c>
      <c r="B168" t="s">
        <v>442</v>
      </c>
      <c r="C168" t="s">
        <v>443</v>
      </c>
      <c r="D168" t="s">
        <v>795</v>
      </c>
      <c r="E168" t="s">
        <v>831</v>
      </c>
      <c r="F168" t="s">
        <v>957</v>
      </c>
      <c r="G168" t="s">
        <v>876</v>
      </c>
      <c r="H168">
        <f t="shared" si="450"/>
        <v>6800</v>
      </c>
      <c r="I168">
        <f>_xlfn.XLOOKUP(B168,'[1]march-2025'!$A:$A,'[1]march-2025'!$J:$J,0,0)</f>
        <v>0</v>
      </c>
      <c r="J168">
        <f>_xlfn.XLOOKUP(B168,'[1]march-2025'!$A:$A,'[1]march-2025'!$C:$C,0,0)</f>
        <v>47300</v>
      </c>
      <c r="K168">
        <f t="shared" si="364"/>
        <v>6622.0000000000009</v>
      </c>
      <c r="L168">
        <f t="shared" si="365"/>
        <v>5676</v>
      </c>
      <c r="M168">
        <f>_xlfn.XLOOKUP(B168,'[1]march-2025'!$A:$A,'[1]march-2025'!$D:$D,0,0)</f>
        <v>400</v>
      </c>
      <c r="N168">
        <f>_xlfn.XLOOKUP(B168,'[1]march-2025'!$A:$A,'[1]march-2025'!$G:$G,0,0)</f>
        <v>0</v>
      </c>
      <c r="O168">
        <f>IF(J168&gt;0,SUM(J168:N168),0)</f>
        <v>59998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448"/>
        <v>200</v>
      </c>
      <c r="S168">
        <f t="shared" si="357"/>
        <v>56798</v>
      </c>
      <c r="T168">
        <f>_xlfn.XLOOKUP(B168,'[2]april-2025'!$A:$A,'[2]april-2025'!$C:$C,0,0)</f>
        <v>47300</v>
      </c>
      <c r="U168">
        <f t="shared" si="366"/>
        <v>8514</v>
      </c>
      <c r="V168">
        <f t="shared" si="367"/>
        <v>5676</v>
      </c>
      <c r="W168">
        <f>_xlfn.XLOOKUP(B168,'[2]april-2025'!$A:$A,'[2]april-2025'!$D:$D,0,0)</f>
        <v>400</v>
      </c>
      <c r="X168">
        <f>_xlfn.XLOOKUP(B168,'[2]april-2025'!$A:$A,'[2]april-2025'!$G:$G,0,0)</f>
        <v>0</v>
      </c>
      <c r="Y168">
        <f t="shared" si="358"/>
        <v>61890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368"/>
        <v>200</v>
      </c>
      <c r="AC168">
        <f t="shared" si="369"/>
        <v>58690</v>
      </c>
      <c r="AD168">
        <f>_xlfn.XLOOKUP(B168,'[3]may-2025'!$A:$A,'[3]may-2025'!$C:$C,0,0)</f>
        <v>47300</v>
      </c>
      <c r="AE168">
        <f t="shared" si="370"/>
        <v>8514</v>
      </c>
      <c r="AF168">
        <f t="shared" si="371"/>
        <v>5676</v>
      </c>
      <c r="AG168">
        <f>_xlfn.XLOOKUP(B168,'[3]may-2025'!$A:$A,'[3]may-2025'!$D:$D,0,0)</f>
        <v>400</v>
      </c>
      <c r="AH168">
        <f>_xlfn.XLOOKUP(B168,'[3]may-2025'!$A:$A,'[3]may-2025'!$G:$G,0,0)</f>
        <v>0</v>
      </c>
      <c r="AI168">
        <f t="shared" si="359"/>
        <v>61890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372"/>
        <v>200</v>
      </c>
      <c r="AM168">
        <f t="shared" si="373"/>
        <v>58690</v>
      </c>
      <c r="AN168">
        <f>_xlfn.XLOOKUP(B168,'[4]june-2025'!$A:$A,'[4]june-2025'!$C:$C,0,0)</f>
        <v>47300</v>
      </c>
      <c r="AO168">
        <f t="shared" si="374"/>
        <v>8514</v>
      </c>
      <c r="AP168">
        <f t="shared" si="375"/>
        <v>5676</v>
      </c>
      <c r="AQ168">
        <f>_xlfn.XLOOKUP(B168,'[4]june-2025'!$A:$A,'[4]june-2025'!$D:$D,0,0)</f>
        <v>400</v>
      </c>
      <c r="AR168">
        <f>_xlfn.XLOOKUP(B168,'[4]june-2025'!$A:$A,'[4]june-2025'!$G:$G,0,0)</f>
        <v>0</v>
      </c>
      <c r="AS168">
        <f t="shared" si="360"/>
        <v>61890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376"/>
        <v>200</v>
      </c>
      <c r="AW168">
        <f t="shared" si="377"/>
        <v>58690</v>
      </c>
      <c r="AX168">
        <f>_xlfn.XLOOKUP(B168,'[5]july-2025'!$A:$A,'[5]july-2025'!$C:$C,0,0)</f>
        <v>48700</v>
      </c>
      <c r="AY168">
        <f t="shared" si="378"/>
        <v>8766</v>
      </c>
      <c r="AZ168">
        <v>0</v>
      </c>
      <c r="BA168">
        <f t="shared" si="379"/>
        <v>5844</v>
      </c>
      <c r="BB168">
        <f>_xlfn.XLOOKUP(B168,'[5]july-2025'!$A:$A,'[5]july-2025'!$D:$D,0,0)</f>
        <v>400</v>
      </c>
      <c r="BC168">
        <f>_xlfn.XLOOKUP(B168,'[5]july-2025'!$A:$A,'[5]july-2025'!$G:$G,0,0)</f>
        <v>0</v>
      </c>
      <c r="BD168">
        <f>IF(AX168&gt;0,SUM(AX168:BC168),0)</f>
        <v>63710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380"/>
        <v>200</v>
      </c>
      <c r="BH168">
        <f t="shared" si="381"/>
        <v>60510</v>
      </c>
      <c r="BI168">
        <f>_xlfn.XLOOKUP(B168,'[6]august-2025'!$A:$A,'[6]august-2025'!$C:$C,0,0)</f>
        <v>48700</v>
      </c>
      <c r="BJ168">
        <f t="shared" si="382"/>
        <v>8766</v>
      </c>
      <c r="BK168">
        <f t="shared" si="383"/>
        <v>5844</v>
      </c>
      <c r="BL168">
        <f>_xlfn.XLOOKUP(B168,'[6]august-2025'!$A:$A,'[6]august-2025'!$D:$D,0,0)</f>
        <v>400</v>
      </c>
      <c r="BM168">
        <f>_xlfn.XLOOKUP(B168,'[6]august-2025'!$A:$A,'[6]august-2025'!$G:$G,0,0)</f>
        <v>0</v>
      </c>
      <c r="BN168">
        <f t="shared" si="384"/>
        <v>63710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>IF($F168="YES",0,IF(BN168&gt;40000,200,IF(BN168&gt;25000,150,IF(BN168&gt;15000,130,IF(BN168&gt;10000,110,0)))))</f>
        <v>200</v>
      </c>
      <c r="BR168">
        <f>BN168-BO168-BP168-BQ168</f>
        <v>60510</v>
      </c>
      <c r="BS168">
        <f>_xlfn.XLOOKUP(B168,'[7]september-2025'!$A:$A,'[7]september-2025'!$C:$C,0,0)</f>
        <v>48700</v>
      </c>
      <c r="BT168">
        <f t="shared" si="385"/>
        <v>8766</v>
      </c>
      <c r="BU168">
        <f t="shared" si="386"/>
        <v>5844</v>
      </c>
      <c r="BV168">
        <f>_xlfn.XLOOKUP(B168,'[7]september-2025'!$A:$A,'[7]september-2025'!$D:$D,0,0)</f>
        <v>400</v>
      </c>
      <c r="BW168">
        <f>_xlfn.XLOOKUP(B168,'[7]september-2025'!$A:$A,'[7]september-2025'!$G:$G,0,0)</f>
        <v>0</v>
      </c>
      <c r="BX168">
        <f>IF(BS168&gt;0,SUM(BS168:BW168),0)</f>
        <v>63710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387"/>
        <v>200</v>
      </c>
      <c r="CB168">
        <f t="shared" si="388"/>
        <v>60510</v>
      </c>
      <c r="CC168">
        <f>_xlfn.XLOOKUP(B168,'[8]october-2025'!$A:$A,'[8]october-2025'!$C:$C,0,0)</f>
        <v>48700</v>
      </c>
      <c r="CD168">
        <f t="shared" si="389"/>
        <v>8766</v>
      </c>
      <c r="CE168">
        <f t="shared" si="390"/>
        <v>5844</v>
      </c>
      <c r="CF168">
        <f>_xlfn.XLOOKUP(B168,'[8]october-2025'!$A:$A,'[8]october-2025'!$D:$D,0,0)</f>
        <v>400</v>
      </c>
      <c r="CG168">
        <f>_xlfn.XLOOKUP(B168,'[8]october-2025'!$A:$A,'[8]october-2025'!$G:$G,0,0)</f>
        <v>0</v>
      </c>
      <c r="CH168">
        <f>IF(CC168&gt;0,SUM(CC168:CG168),0)</f>
        <v>63710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391"/>
        <v>200</v>
      </c>
      <c r="CL168">
        <f t="shared" si="392"/>
        <v>60510</v>
      </c>
      <c r="CM168">
        <f>_xlfn.XLOOKUP(B168,'[9]november-2025'!$A:$A,'[9]november-2025'!$C:$C,0,0)</f>
        <v>48700</v>
      </c>
      <c r="CN168">
        <f t="shared" si="393"/>
        <v>8766</v>
      </c>
      <c r="CO168">
        <f t="shared" si="394"/>
        <v>5844</v>
      </c>
      <c r="CP168">
        <f>_xlfn.XLOOKUP(B168,'[9]november-2025'!$A:$A,'[9]november-2025'!$D:$D,0,0)</f>
        <v>400</v>
      </c>
      <c r="CQ168">
        <f>_xlfn.XLOOKUP(B168,'[9]november-2025'!$A:$A,'[9]november-2025'!$G:$G,0,0)</f>
        <v>0</v>
      </c>
      <c r="CR168">
        <f>IF(CM168&gt;0,SUM(CM168:CQ168),0)</f>
        <v>63710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395"/>
        <v>200</v>
      </c>
      <c r="CV168">
        <f t="shared" si="396"/>
        <v>60510</v>
      </c>
      <c r="CW168">
        <f>_xlfn.XLOOKUP(B168,'[10]december-2025'!$A:$A,'[10]december-2025'!$C:$C,0,0)</f>
        <v>48700</v>
      </c>
      <c r="CX168">
        <f t="shared" si="397"/>
        <v>8766</v>
      </c>
      <c r="CY168">
        <f t="shared" si="398"/>
        <v>5844</v>
      </c>
      <c r="CZ168">
        <f>_xlfn.XLOOKUP(B168,'[10]december-2025'!$A:$A,'[10]december-2025'!$D:$D,0,0)</f>
        <v>400</v>
      </c>
      <c r="DA168">
        <f>_xlfn.XLOOKUP(B168,'[10]december-2025'!$A:$A,'[10]december-2025'!$G:$G,0,0)</f>
        <v>0</v>
      </c>
      <c r="DB168">
        <f>IF(CW168&gt;0,SUM(CW168:DA168),0)</f>
        <v>63710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399"/>
        <v>200</v>
      </c>
      <c r="DF168">
        <f t="shared" si="400"/>
        <v>60510</v>
      </c>
      <c r="DG168">
        <f>_xlfn.XLOOKUP(B168,'[11]january-2026'!$A:$A,'[11]january-2026'!$C:$C,0,0)</f>
        <v>48700</v>
      </c>
      <c r="DH168">
        <f t="shared" si="401"/>
        <v>8766</v>
      </c>
      <c r="DI168">
        <f t="shared" si="402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>IF(DG168&gt;0,SUM(DG168:DK168),0)</f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03"/>
        <v>200</v>
      </c>
      <c r="DP168">
        <f t="shared" si="404"/>
        <v>60510</v>
      </c>
      <c r="DQ168">
        <f>_xlfn.XLOOKUP(B168,'[12]february-2026'!$A:$A,'[12]february-2026'!$C:$C,0,0)</f>
        <v>48700</v>
      </c>
      <c r="DR168">
        <f t="shared" si="405"/>
        <v>8766</v>
      </c>
      <c r="DS168">
        <f t="shared" si="406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>IF(DQ168&gt;0,SUM(DQ168:DU168),0)</f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07"/>
        <v>200</v>
      </c>
      <c r="DZ168">
        <f t="shared" si="408"/>
        <v>60510</v>
      </c>
      <c r="EA168">
        <f>_xlfn.XLOOKUP(B168,'[1]march-2025'!$A:$A,'[1]march-2025'!$J:$J,0,0)</f>
        <v>0</v>
      </c>
      <c r="EB168">
        <f>_xlfn.XLOOKUP(B168,'[2]april-2025'!$A:$A,'[2]april-2025'!$J:$J,0,0)</f>
        <v>0</v>
      </c>
      <c r="EC168">
        <f>_xlfn.XLOOKUP(B168,'[3]may-2025'!$A:$A,'[3]may-2025'!$J:$J,0,0)</f>
        <v>0</v>
      </c>
      <c r="ED168">
        <f>_xlfn.XLOOKUP(B168,'[4]june-2025'!$A:$A,'[4]june-2025'!$J:$J,0,0)</f>
        <v>0</v>
      </c>
      <c r="EE168">
        <f>_xlfn.XLOOKUP(B168,'[5]july-2025'!$A:$A,'[5]july-2025'!$J:$J,0,0)</f>
        <v>0</v>
      </c>
      <c r="EF168">
        <f>_xlfn.XLOOKUP(B168,'[6]august-2025'!$A:$A,'[6]august-2025'!$J:$J,0,0)</f>
        <v>0</v>
      </c>
      <c r="EG168">
        <f>_xlfn.XLOOKUP(B168,'[7]september-2025'!$A:$A,'[7]september-2025'!$J:$J,0,0)</f>
        <v>0</v>
      </c>
      <c r="EH168">
        <f>_xlfn.XLOOKUP(B168,'[8]october-2025'!$A:$A,'[8]october-2025'!$J:$J,0,0)</f>
        <v>0</v>
      </c>
      <c r="EI168">
        <f>_xlfn.XLOOKUP(C168,'[9]november-2025'!$A:$A,'[9]november-2025'!$J:$J,0,0)</f>
        <v>0</v>
      </c>
      <c r="EJ168">
        <f>_xlfn.XLOOKUP(B168,'[10]december-2025'!$A:$A,'[10]december-2025'!$J:$J,0,0)</f>
        <v>0</v>
      </c>
      <c r="EK168">
        <f>_xlfn.XLOOKUP(B168,'[11]january-2026'!$A:$A,'[11]january-2026'!$J:$J,0,0)</f>
        <v>0</v>
      </c>
      <c r="EL168">
        <f>_xlfn.XLOOKUP(B168,'[12]february-2026'!$A:$A,'[12]february-2026'!$J:$J,0,0)</f>
        <v>0</v>
      </c>
      <c r="EM168">
        <f t="shared" si="361"/>
        <v>0</v>
      </c>
      <c r="EN168">
        <f>DV168+DL168+DB168+CR168+CH168+BX168+BN168+BD168+AS168+AI168+Y168+O168+H168+I168</f>
        <v>762148</v>
      </c>
      <c r="EO168">
        <f>DY168+DO168+DE168+CU168+CK168+CA168+BQ168+BG168+AV168+AL168+AB168+R168</f>
        <v>2400</v>
      </c>
      <c r="EP168">
        <f t="shared" si="409"/>
        <v>50000</v>
      </c>
      <c r="EQ168">
        <v>0</v>
      </c>
      <c r="ER168">
        <f t="shared" si="362"/>
        <v>709748</v>
      </c>
      <c r="ES168">
        <f>DW168+DM168+DC168+CS168+CI168+BY168+BO168+BE168+AT168+AJ168+Z168+P168</f>
        <v>36000</v>
      </c>
      <c r="ET168">
        <f>DX168+DN168+DD168+CT168+CJ168+BZ168+BP168+BF168+AU168+AK168+AA168+Q168</f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410"/>
        <v>36000</v>
      </c>
      <c r="FF168">
        <f t="shared" si="411"/>
        <v>36000</v>
      </c>
      <c r="FG168">
        <f t="shared" si="412"/>
        <v>673748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>SUM(FH168:FN168)+(IF(F168="YES",50000,0))</f>
        <v>0</v>
      </c>
      <c r="FP168">
        <f t="shared" si="413"/>
        <v>673748</v>
      </c>
      <c r="FQ168">
        <f t="shared" si="414"/>
        <v>12500</v>
      </c>
      <c r="FR168">
        <f t="shared" si="415"/>
        <v>34750</v>
      </c>
      <c r="FS168">
        <f t="shared" si="416"/>
        <v>47250</v>
      </c>
      <c r="FT168">
        <f t="shared" si="417"/>
        <v>47250</v>
      </c>
      <c r="FU168">
        <f t="shared" si="418"/>
        <v>1890</v>
      </c>
      <c r="FV168">
        <f t="shared" si="419"/>
        <v>49140</v>
      </c>
      <c r="FW168">
        <v>0</v>
      </c>
      <c r="FX168">
        <f t="shared" si="420"/>
        <v>49140</v>
      </c>
      <c r="FY168" t="b">
        <f t="shared" si="421"/>
        <v>1</v>
      </c>
      <c r="FZ168">
        <f t="shared" ca="1" si="422"/>
        <v>906</v>
      </c>
      <c r="GA168">
        <f t="shared" ca="1" si="423"/>
        <v>763054</v>
      </c>
      <c r="GB168">
        <f t="shared" si="424"/>
        <v>75000</v>
      </c>
      <c r="GC168">
        <f t="shared" ca="1" si="425"/>
        <v>688054</v>
      </c>
      <c r="GD168">
        <f t="shared" ca="1" si="426"/>
        <v>0</v>
      </c>
      <c r="GE168">
        <f t="shared" ca="1" si="427"/>
        <v>0</v>
      </c>
      <c r="GF168">
        <f t="shared" ca="1" si="428"/>
        <v>0</v>
      </c>
      <c r="GG168">
        <f t="shared" ca="1" si="429"/>
        <v>0</v>
      </c>
      <c r="GH168">
        <f t="shared" ca="1" si="430"/>
        <v>0</v>
      </c>
      <c r="GI168">
        <f t="shared" ca="1" si="431"/>
        <v>0</v>
      </c>
      <c r="GJ168">
        <f ca="1">IF(GC168&gt;1200000,GC168-1200000-IF(F168="YES",50000,0)-GH168,0)</f>
        <v>0</v>
      </c>
      <c r="GK168">
        <f t="shared" ca="1" si="432"/>
        <v>0</v>
      </c>
      <c r="GL168">
        <f t="shared" ca="1" si="433"/>
        <v>0</v>
      </c>
      <c r="GM168">
        <f t="shared" ca="1" si="434"/>
        <v>0</v>
      </c>
      <c r="GN168">
        <f t="shared" ca="1" si="435"/>
        <v>288054</v>
      </c>
      <c r="GO168">
        <f t="shared" ca="1" si="436"/>
        <v>14402.7</v>
      </c>
      <c r="GP168">
        <f t="shared" ca="1" si="437"/>
        <v>14403</v>
      </c>
      <c r="GQ168">
        <f t="shared" ca="1" si="438"/>
        <v>0</v>
      </c>
      <c r="GR168">
        <f t="shared" ca="1" si="439"/>
        <v>0</v>
      </c>
      <c r="GS168">
        <f t="shared" ca="1" si="440"/>
        <v>14403</v>
      </c>
      <c r="GT168">
        <f t="shared" ca="1" si="441"/>
        <v>0</v>
      </c>
      <c r="GU168" t="b">
        <f t="shared" ca="1" si="442"/>
        <v>0</v>
      </c>
      <c r="GV168">
        <f t="shared" ca="1" si="443"/>
        <v>0</v>
      </c>
      <c r="GW168">
        <f t="shared" ca="1" si="444"/>
        <v>14403</v>
      </c>
      <c r="GX168">
        <f t="shared" ca="1" si="445"/>
        <v>0</v>
      </c>
      <c r="GY168">
        <f t="shared" ca="1" si="446"/>
        <v>0</v>
      </c>
      <c r="GZ168">
        <f t="shared" ca="1" si="447"/>
        <v>0</v>
      </c>
    </row>
    <row r="169" spans="1:208" x14ac:dyDescent="0.25">
      <c r="A169">
        <f>_xlfn.AGGREGATE(3,5,$B$2:B169)</f>
        <v>168</v>
      </c>
      <c r="B169" t="s">
        <v>444</v>
      </c>
      <c r="C169" t="s">
        <v>445</v>
      </c>
      <c r="D169" t="s">
        <v>795</v>
      </c>
      <c r="E169" t="s">
        <v>831</v>
      </c>
      <c r="F169" t="s">
        <v>957</v>
      </c>
      <c r="G169" t="s">
        <v>878</v>
      </c>
      <c r="H169">
        <f t="shared" si="450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364"/>
        <v>4830.0000000000009</v>
      </c>
      <c r="L169">
        <f t="shared" si="365"/>
        <v>4140</v>
      </c>
      <c r="M169">
        <f>_xlfn.XLOOKUP(B169,'[1]march-2025'!$A:$A,'[1]march-2025'!$D:$D,0,0)</f>
        <v>0</v>
      </c>
      <c r="N169">
        <f>_xlfn.XLOOKUP(B169,'[1]march-2025'!$A:$A,'[1]march-2025'!$G:$G,0,0)</f>
        <v>0</v>
      </c>
      <c r="O169">
        <f>IF(J169&gt;0,SUM(J169:N169),0)</f>
        <v>43470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448"/>
        <v>200</v>
      </c>
      <c r="S169">
        <f t="shared" si="357"/>
        <v>40270</v>
      </c>
      <c r="T169">
        <f>_xlfn.XLOOKUP(B169,'[2]april-2025'!$A:$A,'[2]april-2025'!$C:$C,0,0)</f>
        <v>34500</v>
      </c>
      <c r="U169">
        <f t="shared" si="366"/>
        <v>6210</v>
      </c>
      <c r="V169">
        <f t="shared" si="367"/>
        <v>4140</v>
      </c>
      <c r="W169">
        <f>_xlfn.XLOOKUP(B169,'[2]april-2025'!$A:$A,'[2]april-2025'!$D:$D,0,0)</f>
        <v>0</v>
      </c>
      <c r="X169">
        <f>_xlfn.XLOOKUP(B169,'[2]april-2025'!$A:$A,'[2]april-2025'!$G:$G,0,0)</f>
        <v>0</v>
      </c>
      <c r="Y169">
        <f t="shared" si="358"/>
        <v>44850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368"/>
        <v>200</v>
      </c>
      <c r="AC169">
        <f t="shared" si="369"/>
        <v>41650</v>
      </c>
      <c r="AD169">
        <f>_xlfn.XLOOKUP(B169,'[3]may-2025'!$A:$A,'[3]may-2025'!$C:$C,0,0)</f>
        <v>34500</v>
      </c>
      <c r="AE169">
        <f t="shared" si="370"/>
        <v>6210</v>
      </c>
      <c r="AF169">
        <f t="shared" si="371"/>
        <v>4140</v>
      </c>
      <c r="AG169">
        <f>_xlfn.XLOOKUP(B169,'[3]may-2025'!$A:$A,'[3]may-2025'!$D:$D,0,0)</f>
        <v>0</v>
      </c>
      <c r="AH169">
        <f>_xlfn.XLOOKUP(B169,'[3]may-2025'!$A:$A,'[3]may-2025'!$G:$G,0,0)</f>
        <v>0</v>
      </c>
      <c r="AI169">
        <f t="shared" si="359"/>
        <v>44850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372"/>
        <v>200</v>
      </c>
      <c r="AM169">
        <f t="shared" si="373"/>
        <v>41650</v>
      </c>
      <c r="AN169">
        <f>_xlfn.XLOOKUP(B169,'[4]june-2025'!$A:$A,'[4]june-2025'!$C:$C,0,0)</f>
        <v>34500</v>
      </c>
      <c r="AO169">
        <f t="shared" si="374"/>
        <v>6210</v>
      </c>
      <c r="AP169">
        <f t="shared" si="375"/>
        <v>4140</v>
      </c>
      <c r="AQ169">
        <f>_xlfn.XLOOKUP(B169,'[4]june-2025'!$A:$A,'[4]june-2025'!$D:$D,0,0)</f>
        <v>0</v>
      </c>
      <c r="AR169">
        <f>_xlfn.XLOOKUP(B169,'[4]june-2025'!$A:$A,'[4]june-2025'!$G:$G,0,0)</f>
        <v>0</v>
      </c>
      <c r="AS169">
        <f t="shared" si="360"/>
        <v>44850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376"/>
        <v>200</v>
      </c>
      <c r="AW169">
        <f t="shared" si="377"/>
        <v>41650</v>
      </c>
      <c r="AX169">
        <f>_xlfn.XLOOKUP(B169,'[5]july-2025'!$A:$A,'[5]july-2025'!$C:$C,0,0)</f>
        <v>35500</v>
      </c>
      <c r="AY169">
        <f t="shared" si="378"/>
        <v>6390</v>
      </c>
      <c r="AZ169">
        <v>0</v>
      </c>
      <c r="BA169">
        <f t="shared" si="379"/>
        <v>4260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>IF(AX169&gt;0,SUM(AX169:BC169),0)</f>
        <v>46150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380"/>
        <v>200</v>
      </c>
      <c r="BH169">
        <f t="shared" si="381"/>
        <v>42950</v>
      </c>
      <c r="BI169">
        <f>_xlfn.XLOOKUP(B169,'[6]august-2025'!$A:$A,'[6]august-2025'!$C:$C,0,0)</f>
        <v>35500</v>
      </c>
      <c r="BJ169">
        <f t="shared" si="382"/>
        <v>6390</v>
      </c>
      <c r="BK169">
        <f t="shared" si="383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384"/>
        <v>46150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>IF($F169="YES",0,IF(BN169&gt;40000,200,IF(BN169&gt;25000,150,IF(BN169&gt;15000,130,IF(BN169&gt;10000,110,0)))))</f>
        <v>200</v>
      </c>
      <c r="BR169">
        <f>BN169-BO169-BP169-BQ169</f>
        <v>42950</v>
      </c>
      <c r="BS169">
        <f>_xlfn.XLOOKUP(B169,'[7]september-2025'!$A:$A,'[7]september-2025'!$C:$C,0,0)</f>
        <v>35500</v>
      </c>
      <c r="BT169">
        <f t="shared" si="385"/>
        <v>6390</v>
      </c>
      <c r="BU169">
        <f t="shared" si="386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>IF(BS169&gt;0,SUM(BS169:BW169),0)</f>
        <v>46150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387"/>
        <v>200</v>
      </c>
      <c r="CB169">
        <f t="shared" si="388"/>
        <v>42950</v>
      </c>
      <c r="CC169">
        <f>_xlfn.XLOOKUP(B169,'[8]october-2025'!$A:$A,'[8]october-2025'!$C:$C,0,0)</f>
        <v>35500</v>
      </c>
      <c r="CD169">
        <f t="shared" si="389"/>
        <v>6390</v>
      </c>
      <c r="CE169">
        <f t="shared" si="390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>IF(CC169&gt;0,SUM(CC169:CG169),0)</f>
        <v>46150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391"/>
        <v>200</v>
      </c>
      <c r="CL169">
        <f t="shared" si="392"/>
        <v>42950</v>
      </c>
      <c r="CM169">
        <f>_xlfn.XLOOKUP(B169,'[9]november-2025'!$A:$A,'[9]november-2025'!$C:$C,0,0)</f>
        <v>35500</v>
      </c>
      <c r="CN169">
        <f t="shared" si="393"/>
        <v>6390</v>
      </c>
      <c r="CO169">
        <f t="shared" si="394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>IF(CM169&gt;0,SUM(CM169:CQ169),0)</f>
        <v>46150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395"/>
        <v>200</v>
      </c>
      <c r="CV169">
        <f t="shared" si="396"/>
        <v>42950</v>
      </c>
      <c r="CW169">
        <f>_xlfn.XLOOKUP(B169,'[10]december-2025'!$A:$A,'[10]december-2025'!$C:$C,0,0)</f>
        <v>35500</v>
      </c>
      <c r="CX169">
        <f t="shared" si="397"/>
        <v>6390</v>
      </c>
      <c r="CY169">
        <f t="shared" si="398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>IF(CW169&gt;0,SUM(CW169:DA169),0)</f>
        <v>46150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399"/>
        <v>200</v>
      </c>
      <c r="DF169">
        <f t="shared" si="400"/>
        <v>42950</v>
      </c>
      <c r="DG169">
        <f>_xlfn.XLOOKUP(B169,'[11]january-2026'!$A:$A,'[11]january-2026'!$C:$C,0,0)</f>
        <v>35500</v>
      </c>
      <c r="DH169">
        <f t="shared" si="401"/>
        <v>6390</v>
      </c>
      <c r="DI169">
        <f t="shared" si="402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>IF(DG169&gt;0,SUM(DG169:DK169),0)</f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03"/>
        <v>200</v>
      </c>
      <c r="DP169">
        <f t="shared" si="404"/>
        <v>42950</v>
      </c>
      <c r="DQ169">
        <f>_xlfn.XLOOKUP(B169,'[12]february-2026'!$A:$A,'[12]february-2026'!$C:$C,0,0)</f>
        <v>35500</v>
      </c>
      <c r="DR169">
        <f t="shared" si="405"/>
        <v>6390</v>
      </c>
      <c r="DS169">
        <f t="shared" si="406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>IF(DQ169&gt;0,SUM(DQ169:DU169),0)</f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07"/>
        <v>200</v>
      </c>
      <c r="DZ169">
        <f t="shared" si="408"/>
        <v>42950</v>
      </c>
      <c r="EA169">
        <f>_xlfn.XLOOKUP(B169,'[1]march-2025'!$A:$A,'[1]march-2025'!$J:$J,0,0)</f>
        <v>0</v>
      </c>
      <c r="EB169">
        <f>_xlfn.XLOOKUP(B169,'[2]april-2025'!$A:$A,'[2]april-2025'!$J:$J,0,0)</f>
        <v>0</v>
      </c>
      <c r="EC169">
        <f>_xlfn.XLOOKUP(B169,'[3]may-2025'!$A:$A,'[3]may-2025'!$J:$J,0,0)</f>
        <v>0</v>
      </c>
      <c r="ED169">
        <f>_xlfn.XLOOKUP(B169,'[4]june-2025'!$A:$A,'[4]june-2025'!$J:$J,0,0)</f>
        <v>0</v>
      </c>
      <c r="EE169">
        <f>_xlfn.XLOOKUP(B169,'[5]july-2025'!$A:$A,'[5]july-2025'!$J:$J,0,0)</f>
        <v>0</v>
      </c>
      <c r="EF169">
        <f>_xlfn.XLOOKUP(B169,'[6]august-2025'!$A:$A,'[6]august-2025'!$J:$J,0,0)</f>
        <v>0</v>
      </c>
      <c r="EG169">
        <f>_xlfn.XLOOKUP(B169,'[7]september-2025'!$A:$A,'[7]september-2025'!$J:$J,0,0)</f>
        <v>0</v>
      </c>
      <c r="EH169">
        <f>_xlfn.XLOOKUP(B169,'[8]october-2025'!$A:$A,'[8]october-2025'!$J:$J,0,0)</f>
        <v>0</v>
      </c>
      <c r="EI169">
        <f>_xlfn.XLOOKUP(C169,'[9]november-2025'!$A:$A,'[9]november-2025'!$J:$J,0,0)</f>
        <v>0</v>
      </c>
      <c r="EJ169">
        <f>_xlfn.XLOOKUP(B169,'[10]december-2025'!$A:$A,'[10]december-2025'!$J:$J,0,0)</f>
        <v>0</v>
      </c>
      <c r="EK169">
        <f>_xlfn.XLOOKUP(B169,'[11]january-2026'!$A:$A,'[11]january-2026'!$J:$J,0,0)</f>
        <v>0</v>
      </c>
      <c r="EL169">
        <f>_xlfn.XLOOKUP(B169,'[12]february-2026'!$A:$A,'[12]february-2026'!$J:$J,0,0)</f>
        <v>0</v>
      </c>
      <c r="EM169">
        <f t="shared" si="361"/>
        <v>0</v>
      </c>
      <c r="EN169">
        <f>DV169+DL169+DB169+CR169+CH169+BX169+BN169+BD169+AS169+AI169+Y169+O169+H169+I169</f>
        <v>554020</v>
      </c>
      <c r="EO169">
        <f>DY169+DO169+DE169+CU169+CK169+CA169+BQ169+BG169+AV169+AL169+AB169+R169</f>
        <v>2400</v>
      </c>
      <c r="EP169">
        <f t="shared" si="409"/>
        <v>50000</v>
      </c>
      <c r="EQ169">
        <v>0</v>
      </c>
      <c r="ER169">
        <f t="shared" si="362"/>
        <v>501620</v>
      </c>
      <c r="ES169">
        <f>DW169+DM169+DC169+CS169+CI169+BY169+BO169+BE169+AT169+AJ169+Z169+P169</f>
        <v>36000</v>
      </c>
      <c r="ET169">
        <f>DX169+DN169+DD169+CT169+CJ169+BZ169+BP169+BF169+AU169+AK169+AA169+Q169</f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410"/>
        <v>36000</v>
      </c>
      <c r="FF169">
        <f t="shared" si="411"/>
        <v>36000</v>
      </c>
      <c r="FG169">
        <f t="shared" si="412"/>
        <v>465620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>SUM(FH169:FN169)+(IF(F169="YES",50000,0))</f>
        <v>0</v>
      </c>
      <c r="FP169">
        <f t="shared" si="413"/>
        <v>465620</v>
      </c>
      <c r="FQ169">
        <f t="shared" si="414"/>
        <v>10781</v>
      </c>
      <c r="FR169">
        <f t="shared" si="415"/>
        <v>0</v>
      </c>
      <c r="FS169">
        <f t="shared" si="416"/>
        <v>10781</v>
      </c>
      <c r="FT169">
        <f t="shared" si="417"/>
        <v>0</v>
      </c>
      <c r="FU169">
        <f t="shared" si="418"/>
        <v>0</v>
      </c>
      <c r="FV169">
        <f t="shared" si="419"/>
        <v>0</v>
      </c>
      <c r="FW169">
        <v>0</v>
      </c>
      <c r="FX169">
        <f t="shared" si="420"/>
        <v>0</v>
      </c>
      <c r="FY169" t="b">
        <f t="shared" si="421"/>
        <v>1</v>
      </c>
      <c r="FZ169">
        <f t="shared" ca="1" si="422"/>
        <v>926</v>
      </c>
      <c r="GA169">
        <f t="shared" ca="1" si="423"/>
        <v>554946</v>
      </c>
      <c r="GB169">
        <f t="shared" si="424"/>
        <v>75000</v>
      </c>
      <c r="GC169">
        <f t="shared" ca="1" si="425"/>
        <v>479946</v>
      </c>
      <c r="GD169">
        <f t="shared" ca="1" si="426"/>
        <v>0</v>
      </c>
      <c r="GE169">
        <f t="shared" ca="1" si="427"/>
        <v>0</v>
      </c>
      <c r="GF169">
        <f t="shared" ca="1" si="428"/>
        <v>0</v>
      </c>
      <c r="GG169">
        <f t="shared" ca="1" si="429"/>
        <v>0</v>
      </c>
      <c r="GH169">
        <f t="shared" ca="1" si="430"/>
        <v>0</v>
      </c>
      <c r="GI169">
        <f t="shared" ca="1" si="431"/>
        <v>0</v>
      </c>
      <c r="GJ169">
        <f ca="1">IF(GC169&gt;1200000,GC169-1200000-IF(F169="YES",50000,0)-GH169,0)</f>
        <v>0</v>
      </c>
      <c r="GK169">
        <f t="shared" ca="1" si="432"/>
        <v>0</v>
      </c>
      <c r="GL169">
        <f t="shared" ca="1" si="433"/>
        <v>0</v>
      </c>
      <c r="GM169">
        <f t="shared" ca="1" si="434"/>
        <v>0</v>
      </c>
      <c r="GN169">
        <f t="shared" ca="1" si="435"/>
        <v>79946</v>
      </c>
      <c r="GO169">
        <f t="shared" ca="1" si="436"/>
        <v>3997.3</v>
      </c>
      <c r="GP169">
        <f t="shared" ca="1" si="437"/>
        <v>3997</v>
      </c>
      <c r="GQ169">
        <f t="shared" ca="1" si="438"/>
        <v>0</v>
      </c>
      <c r="GR169">
        <f t="shared" ca="1" si="439"/>
        <v>0</v>
      </c>
      <c r="GS169">
        <f t="shared" ca="1" si="440"/>
        <v>3997</v>
      </c>
      <c r="GT169">
        <f t="shared" ca="1" si="441"/>
        <v>0</v>
      </c>
      <c r="GU169" t="b">
        <f t="shared" ca="1" si="442"/>
        <v>0</v>
      </c>
      <c r="GV169">
        <f t="shared" ca="1" si="443"/>
        <v>0</v>
      </c>
      <c r="GW169">
        <f t="shared" ca="1" si="444"/>
        <v>3997</v>
      </c>
      <c r="GX169">
        <f t="shared" ca="1" si="445"/>
        <v>0</v>
      </c>
      <c r="GY169">
        <f t="shared" ca="1" si="446"/>
        <v>0</v>
      </c>
      <c r="GZ169">
        <f t="shared" ca="1" si="447"/>
        <v>0</v>
      </c>
    </row>
    <row r="170" spans="1:208" x14ac:dyDescent="0.25">
      <c r="A170">
        <f>_xlfn.AGGREGATE(3,5,$B$2:B170)</f>
        <v>169</v>
      </c>
      <c r="B170" t="s">
        <v>446</v>
      </c>
      <c r="C170" t="s">
        <v>447</v>
      </c>
      <c r="D170" t="s">
        <v>795</v>
      </c>
      <c r="E170" t="s">
        <v>831</v>
      </c>
      <c r="F170" t="s">
        <v>957</v>
      </c>
      <c r="G170" t="s">
        <v>893</v>
      </c>
      <c r="H170">
        <f t="shared" si="450"/>
        <v>6800</v>
      </c>
      <c r="I170">
        <f>_xlfn.XLOOKUP(B170,'[1]march-2025'!$A:$A,'[1]march-2025'!$J:$J,0,0)</f>
        <v>0</v>
      </c>
      <c r="J170">
        <f>_xlfn.XLOOKUP(B170,'[1]march-2025'!$A:$A,'[1]march-2025'!$C:$C,0,0)</f>
        <v>34500</v>
      </c>
      <c r="K170">
        <f t="shared" si="364"/>
        <v>4830.0000000000009</v>
      </c>
      <c r="L170">
        <f t="shared" si="365"/>
        <v>4140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>IF(J170&gt;0,SUM(J170:N170),0)</f>
        <v>43970</v>
      </c>
      <c r="P170">
        <f>_xlfn.XLOOKUP(B170,'[1]march-2025'!$A:$A,'[1]march-2025'!$H:$H,0,0)</f>
        <v>3000</v>
      </c>
      <c r="Q170">
        <f>_xlfn.XLOOKUP(B170,'[1]march-2025'!$A:$A,'[1]march-2025'!$I:$I,0,0)</f>
        <v>0</v>
      </c>
      <c r="R170">
        <f t="shared" si="448"/>
        <v>200</v>
      </c>
      <c r="S170">
        <f t="shared" si="357"/>
        <v>40770</v>
      </c>
      <c r="T170">
        <f>_xlfn.XLOOKUP(B170,'[2]april-2025'!$A:$A,'[2]april-2025'!$C:$C,0,0)</f>
        <v>34500</v>
      </c>
      <c r="U170">
        <f t="shared" si="366"/>
        <v>6210</v>
      </c>
      <c r="V170">
        <f t="shared" si="367"/>
        <v>4140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358"/>
        <v>45350</v>
      </c>
      <c r="Z170">
        <f>_xlfn.XLOOKUP(B170,'[2]april-2025'!$A:$A,'[2]april-2025'!$H:$H,0,0)</f>
        <v>3000</v>
      </c>
      <c r="AA170">
        <f>_xlfn.XLOOKUP(B170,'[2]april-2025'!$A:$A,'[2]april-2025'!$I:$I,0,0)</f>
        <v>0</v>
      </c>
      <c r="AB170">
        <f t="shared" si="368"/>
        <v>200</v>
      </c>
      <c r="AC170">
        <f t="shared" si="369"/>
        <v>42150</v>
      </c>
      <c r="AD170">
        <f>_xlfn.XLOOKUP(B170,'[3]may-2025'!$A:$A,'[3]may-2025'!$C:$C,0,0)</f>
        <v>34500</v>
      </c>
      <c r="AE170">
        <f t="shared" si="370"/>
        <v>6210</v>
      </c>
      <c r="AF170">
        <f t="shared" si="371"/>
        <v>4140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359"/>
        <v>45350</v>
      </c>
      <c r="AJ170">
        <f>_xlfn.XLOOKUP(B170,'[3]may-2025'!$A:$A,'[3]may-2025'!$H:$H,0,0)</f>
        <v>3000</v>
      </c>
      <c r="AK170">
        <f>_xlfn.XLOOKUP(B170,'[3]may-2025'!$A:$A,'[3]may-2025'!$I:$I,0,0)</f>
        <v>0</v>
      </c>
      <c r="AL170">
        <f t="shared" si="372"/>
        <v>200</v>
      </c>
      <c r="AM170">
        <f t="shared" si="373"/>
        <v>42150</v>
      </c>
      <c r="AN170">
        <f>_xlfn.XLOOKUP(B170,'[4]june-2025'!$A:$A,'[4]june-2025'!$C:$C,0,0)</f>
        <v>34500</v>
      </c>
      <c r="AO170">
        <f t="shared" si="374"/>
        <v>6210</v>
      </c>
      <c r="AP170">
        <f t="shared" si="375"/>
        <v>4140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360"/>
        <v>45350</v>
      </c>
      <c r="AT170">
        <f>_xlfn.XLOOKUP(B170,'[4]june-2025'!$A:$A,'[4]june-2025'!$H:$H,0,0)</f>
        <v>3000</v>
      </c>
      <c r="AU170">
        <f>_xlfn.XLOOKUP(B170,'[4]june-2025'!$A:$A,'[4]june-2025'!$I:$I,0,0)</f>
        <v>0</v>
      </c>
      <c r="AV170">
        <f t="shared" si="376"/>
        <v>200</v>
      </c>
      <c r="AW170">
        <f t="shared" si="377"/>
        <v>42150</v>
      </c>
      <c r="AX170">
        <f>_xlfn.XLOOKUP(B170,'[5]july-2025'!$A:$A,'[5]july-2025'!$C:$C,0,0)</f>
        <v>35500</v>
      </c>
      <c r="AY170">
        <f t="shared" si="378"/>
        <v>6390</v>
      </c>
      <c r="AZ170">
        <v>0</v>
      </c>
      <c r="BA170">
        <f t="shared" si="379"/>
        <v>4260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>IF(AX170&gt;0,SUM(AX170:BC170),0)</f>
        <v>46650</v>
      </c>
      <c r="BE170">
        <f>_xlfn.XLOOKUP(B170,'[5]july-2025'!$A:$A,'[5]july-2025'!$H:$H,0,0)</f>
        <v>3000</v>
      </c>
      <c r="BF170">
        <f>_xlfn.XLOOKUP(B170,'[5]july-2025'!$A:$A,'[5]july-2025'!$I:$I,0,0)</f>
        <v>0</v>
      </c>
      <c r="BG170">
        <f t="shared" si="380"/>
        <v>200</v>
      </c>
      <c r="BH170">
        <f t="shared" si="381"/>
        <v>43450</v>
      </c>
      <c r="BI170">
        <f>_xlfn.XLOOKUP(B170,'[6]august-2025'!$A:$A,'[6]august-2025'!$C:$C,0,0)</f>
        <v>35500</v>
      </c>
      <c r="BJ170">
        <f t="shared" si="382"/>
        <v>6390</v>
      </c>
      <c r="BK170">
        <f t="shared" si="383"/>
        <v>4260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384"/>
        <v>46650</v>
      </c>
      <c r="BO170">
        <f>_xlfn.XLOOKUP(B170,'[6]august-2025'!$A:$A,'[6]august-2025'!$H:$H,0,0)</f>
        <v>3000</v>
      </c>
      <c r="BP170">
        <f>_xlfn.XLOOKUP(B170,'[6]august-2025'!$A:$A,'[6]august-2025'!$I:$I,0,0)</f>
        <v>0</v>
      </c>
      <c r="BQ170">
        <f>IF($F170="YES",0,IF(BN170&gt;40000,200,IF(BN170&gt;25000,150,IF(BN170&gt;15000,130,IF(BN170&gt;10000,110,0)))))</f>
        <v>200</v>
      </c>
      <c r="BR170">
        <f>BN170-BO170-BP170-BQ170</f>
        <v>43450</v>
      </c>
      <c r="BS170">
        <f>_xlfn.XLOOKUP(B170,'[7]september-2025'!$A:$A,'[7]september-2025'!$C:$C,0,0)</f>
        <v>35500</v>
      </c>
      <c r="BT170">
        <f t="shared" si="385"/>
        <v>6390</v>
      </c>
      <c r="BU170">
        <f t="shared" si="386"/>
        <v>4260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>IF(BS170&gt;0,SUM(BS170:BW170),0)</f>
        <v>46650</v>
      </c>
      <c r="BY170">
        <f>_xlfn.XLOOKUP(B170,'[7]september-2025'!$A:$A,'[7]september-2025'!$H:$H,0,0)</f>
        <v>3000</v>
      </c>
      <c r="BZ170">
        <f>_xlfn.XLOOKUP(B170,'[7]september-2025'!$A:$A,'[7]september-2025'!$I:$I,0,0)</f>
        <v>0</v>
      </c>
      <c r="CA170">
        <f t="shared" si="387"/>
        <v>200</v>
      </c>
      <c r="CB170">
        <f t="shared" si="388"/>
        <v>43450</v>
      </c>
      <c r="CC170">
        <f>_xlfn.XLOOKUP(B170,'[8]october-2025'!$A:$A,'[8]october-2025'!$C:$C,0,0)</f>
        <v>35500</v>
      </c>
      <c r="CD170">
        <f t="shared" si="389"/>
        <v>6390</v>
      </c>
      <c r="CE170">
        <f t="shared" si="390"/>
        <v>4260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>IF(CC170&gt;0,SUM(CC170:CG170),0)</f>
        <v>46650</v>
      </c>
      <c r="CI170">
        <f>_xlfn.XLOOKUP(B170,'[8]october-2025'!$A:$A,'[8]october-2025'!$H:$H,0,0)</f>
        <v>3000</v>
      </c>
      <c r="CJ170">
        <f>_xlfn.XLOOKUP(B170,'[8]october-2025'!$A:$A,'[8]october-2025'!$I:$I,0,0)</f>
        <v>0</v>
      </c>
      <c r="CK170">
        <f t="shared" si="391"/>
        <v>200</v>
      </c>
      <c r="CL170">
        <f t="shared" si="392"/>
        <v>43450</v>
      </c>
      <c r="CM170">
        <f>_xlfn.XLOOKUP(B170,'[9]november-2025'!$A:$A,'[9]november-2025'!$C:$C,0,0)</f>
        <v>35500</v>
      </c>
      <c r="CN170">
        <f t="shared" si="393"/>
        <v>6390</v>
      </c>
      <c r="CO170">
        <f t="shared" si="394"/>
        <v>4260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>IF(CM170&gt;0,SUM(CM170:CQ170),0)</f>
        <v>46650</v>
      </c>
      <c r="CS170">
        <f>_xlfn.XLOOKUP(B170,'[9]november-2025'!$A:$A,'[9]november-2025'!$H:$H,0,0)</f>
        <v>3000</v>
      </c>
      <c r="CT170">
        <f>_xlfn.XLOOKUP(B170,'[9]november-2025'!$A:$A,'[9]november-2025'!$I:$I,0,0)</f>
        <v>0</v>
      </c>
      <c r="CU170">
        <f t="shared" si="395"/>
        <v>200</v>
      </c>
      <c r="CV170">
        <f t="shared" si="396"/>
        <v>43450</v>
      </c>
      <c r="CW170">
        <f>_xlfn.XLOOKUP(B170,'[10]december-2025'!$A:$A,'[10]december-2025'!$C:$C,0,0)</f>
        <v>35500</v>
      </c>
      <c r="CX170">
        <f t="shared" si="397"/>
        <v>6390</v>
      </c>
      <c r="CY170">
        <f t="shared" si="398"/>
        <v>4260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>IF(CW170&gt;0,SUM(CW170:DA170),0)</f>
        <v>46650</v>
      </c>
      <c r="DC170">
        <f>_xlfn.XLOOKUP(B170,'[10]december-2025'!$A:$A,'[10]december-2025'!$H:$H,0,0)</f>
        <v>3000</v>
      </c>
      <c r="DD170">
        <f>_xlfn.XLOOKUP(B170,'[10]december-2025'!$A:$A,'[10]december-2025'!$I:$I,0,0)</f>
        <v>0</v>
      </c>
      <c r="DE170">
        <f t="shared" si="399"/>
        <v>200</v>
      </c>
      <c r="DF170">
        <f t="shared" si="400"/>
        <v>43450</v>
      </c>
      <c r="DG170">
        <f>_xlfn.XLOOKUP(B170,'[11]january-2026'!$A:$A,'[11]january-2026'!$C:$C,0,0)</f>
        <v>35500</v>
      </c>
      <c r="DH170">
        <f t="shared" si="401"/>
        <v>6390</v>
      </c>
      <c r="DI170">
        <f t="shared" si="402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>IF(DG170&gt;0,SUM(DG170:DK170),0)</f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03"/>
        <v>200</v>
      </c>
      <c r="DP170">
        <f t="shared" si="404"/>
        <v>43450</v>
      </c>
      <c r="DQ170">
        <f>_xlfn.XLOOKUP(B170,'[12]february-2026'!$A:$A,'[12]february-2026'!$C:$C,0,0)</f>
        <v>35500</v>
      </c>
      <c r="DR170">
        <f t="shared" si="405"/>
        <v>6390</v>
      </c>
      <c r="DS170">
        <f t="shared" si="406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>IF(DQ170&gt;0,SUM(DQ170:DU170),0)</f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07"/>
        <v>200</v>
      </c>
      <c r="DZ170">
        <f t="shared" si="408"/>
        <v>43450</v>
      </c>
      <c r="EA170">
        <f>_xlfn.XLOOKUP(B170,'[1]march-2025'!$A:$A,'[1]march-2025'!$J:$J,0,0)</f>
        <v>0</v>
      </c>
      <c r="EB170">
        <f>_xlfn.XLOOKUP(B170,'[2]april-2025'!$A:$A,'[2]april-2025'!$J:$J,0,0)</f>
        <v>0</v>
      </c>
      <c r="EC170">
        <f>_xlfn.XLOOKUP(B170,'[3]may-2025'!$A:$A,'[3]may-2025'!$J:$J,0,0)</f>
        <v>0</v>
      </c>
      <c r="ED170">
        <f>_xlfn.XLOOKUP(B170,'[4]june-2025'!$A:$A,'[4]june-2025'!$J:$J,0,0)</f>
        <v>0</v>
      </c>
      <c r="EE170">
        <f>_xlfn.XLOOKUP(B170,'[5]july-2025'!$A:$A,'[5]july-2025'!$J:$J,0,0)</f>
        <v>0</v>
      </c>
      <c r="EF170">
        <f>_xlfn.XLOOKUP(B170,'[6]august-2025'!$A:$A,'[6]august-2025'!$J:$J,0,0)</f>
        <v>0</v>
      </c>
      <c r="EG170">
        <f>_xlfn.XLOOKUP(B170,'[7]september-2025'!$A:$A,'[7]september-2025'!$J:$J,0,0)</f>
        <v>0</v>
      </c>
      <c r="EH170">
        <f>_xlfn.XLOOKUP(B170,'[8]october-2025'!$A:$A,'[8]october-2025'!$J:$J,0,0)</f>
        <v>0</v>
      </c>
      <c r="EI170">
        <f>_xlfn.XLOOKUP(C170,'[9]november-2025'!$A:$A,'[9]november-2025'!$J:$J,0,0)</f>
        <v>0</v>
      </c>
      <c r="EJ170">
        <f>_xlfn.XLOOKUP(B170,'[10]december-2025'!$A:$A,'[10]december-2025'!$J:$J,0,0)</f>
        <v>0</v>
      </c>
      <c r="EK170">
        <f>_xlfn.XLOOKUP(B170,'[11]january-2026'!$A:$A,'[11]january-2026'!$J:$J,0,0)</f>
        <v>0</v>
      </c>
      <c r="EL170">
        <f>_xlfn.XLOOKUP(B170,'[12]february-2026'!$A:$A,'[12]february-2026'!$J:$J,0,0)</f>
        <v>0</v>
      </c>
      <c r="EM170">
        <f t="shared" si="361"/>
        <v>0</v>
      </c>
      <c r="EN170">
        <f>DV170+DL170+DB170+CR170+CH170+BX170+BN170+BD170+AS170+AI170+Y170+O170+H170+I170</f>
        <v>560020</v>
      </c>
      <c r="EO170">
        <f>DY170+DO170+DE170+CU170+CK170+CA170+BQ170+BG170+AV170+AL170+AB170+R170</f>
        <v>2400</v>
      </c>
      <c r="EP170">
        <f t="shared" si="409"/>
        <v>50000</v>
      </c>
      <c r="EQ170">
        <v>0</v>
      </c>
      <c r="ER170">
        <f t="shared" si="362"/>
        <v>507620</v>
      </c>
      <c r="ES170">
        <f>DW170+DM170+DC170+CS170+CI170+BY170+BO170+BE170+AT170+AJ170+Z170+P170</f>
        <v>36000</v>
      </c>
      <c r="ET170">
        <f>DX170+DN170+DD170+CT170+CJ170+BZ170+BP170+BF170+AU170+AK170+AA170+Q170</f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410"/>
        <v>36000</v>
      </c>
      <c r="FF170">
        <f t="shared" si="411"/>
        <v>36000</v>
      </c>
      <c r="FG170">
        <f t="shared" si="412"/>
        <v>471620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>SUM(FH170:FN170)+(IF(F170="YES",50000,0))</f>
        <v>0</v>
      </c>
      <c r="FP170">
        <f t="shared" si="413"/>
        <v>471620</v>
      </c>
      <c r="FQ170">
        <f t="shared" si="414"/>
        <v>11081</v>
      </c>
      <c r="FR170">
        <f t="shared" si="415"/>
        <v>0</v>
      </c>
      <c r="FS170">
        <f t="shared" si="416"/>
        <v>11081</v>
      </c>
      <c r="FT170">
        <f t="shared" si="417"/>
        <v>0</v>
      </c>
      <c r="FU170">
        <f t="shared" si="418"/>
        <v>0</v>
      </c>
      <c r="FV170">
        <f t="shared" si="419"/>
        <v>0</v>
      </c>
      <c r="FW170">
        <v>0</v>
      </c>
      <c r="FX170">
        <f t="shared" si="420"/>
        <v>0</v>
      </c>
      <c r="FY170" t="b">
        <f t="shared" si="421"/>
        <v>1</v>
      </c>
      <c r="FZ170">
        <f t="shared" ca="1" si="422"/>
        <v>727</v>
      </c>
      <c r="GA170">
        <f t="shared" ca="1" si="423"/>
        <v>560747</v>
      </c>
      <c r="GB170">
        <f t="shared" si="424"/>
        <v>75000</v>
      </c>
      <c r="GC170">
        <f t="shared" ca="1" si="425"/>
        <v>485747</v>
      </c>
      <c r="GD170">
        <f t="shared" ca="1" si="426"/>
        <v>0</v>
      </c>
      <c r="GE170">
        <f t="shared" ca="1" si="427"/>
        <v>0</v>
      </c>
      <c r="GF170">
        <f t="shared" ca="1" si="428"/>
        <v>0</v>
      </c>
      <c r="GG170">
        <f t="shared" ca="1" si="429"/>
        <v>0</v>
      </c>
      <c r="GH170">
        <f t="shared" ca="1" si="430"/>
        <v>0</v>
      </c>
      <c r="GI170">
        <f t="shared" ca="1" si="431"/>
        <v>0</v>
      </c>
      <c r="GJ170">
        <f ca="1">IF(GC170&gt;1200000,GC170-1200000-IF(F170="YES",50000,0)-GH170,0)</f>
        <v>0</v>
      </c>
      <c r="GK170">
        <f t="shared" ca="1" si="432"/>
        <v>0</v>
      </c>
      <c r="GL170">
        <f t="shared" ca="1" si="433"/>
        <v>0</v>
      </c>
      <c r="GM170">
        <f t="shared" ca="1" si="434"/>
        <v>0</v>
      </c>
      <c r="GN170">
        <f t="shared" ca="1" si="435"/>
        <v>85747</v>
      </c>
      <c r="GO170">
        <f t="shared" ca="1" si="436"/>
        <v>4287.3500000000004</v>
      </c>
      <c r="GP170">
        <f t="shared" ca="1" si="437"/>
        <v>4287</v>
      </c>
      <c r="GQ170">
        <f t="shared" ca="1" si="438"/>
        <v>0</v>
      </c>
      <c r="GR170">
        <f t="shared" ca="1" si="439"/>
        <v>0</v>
      </c>
      <c r="GS170">
        <f t="shared" ca="1" si="440"/>
        <v>4287</v>
      </c>
      <c r="GT170">
        <f t="shared" ca="1" si="441"/>
        <v>0</v>
      </c>
      <c r="GU170" t="b">
        <f t="shared" ca="1" si="442"/>
        <v>0</v>
      </c>
      <c r="GV170">
        <f t="shared" ca="1" si="443"/>
        <v>0</v>
      </c>
      <c r="GW170">
        <f t="shared" ca="1" si="444"/>
        <v>4287</v>
      </c>
      <c r="GX170">
        <f t="shared" ca="1" si="445"/>
        <v>0</v>
      </c>
      <c r="GY170">
        <f t="shared" ca="1" si="446"/>
        <v>0</v>
      </c>
      <c r="GZ170">
        <f t="shared" ca="1" si="447"/>
        <v>0</v>
      </c>
    </row>
    <row r="171" spans="1:208" x14ac:dyDescent="0.25">
      <c r="A171">
        <f>_xlfn.AGGREGATE(3,5,$B$2:B171)</f>
        <v>170</v>
      </c>
      <c r="B171" t="s">
        <v>448</v>
      </c>
      <c r="C171" t="s">
        <v>449</v>
      </c>
      <c r="D171" t="s">
        <v>795</v>
      </c>
      <c r="E171" t="s">
        <v>831</v>
      </c>
      <c r="F171" t="s">
        <v>957</v>
      </c>
      <c r="G171" t="s">
        <v>879</v>
      </c>
      <c r="H171">
        <f t="shared" si="450"/>
        <v>6800</v>
      </c>
      <c r="I171">
        <f>_xlfn.XLOOKUP(B171,'[1]march-2025'!$A:$A,'[1]march-2025'!$J:$J,0,0)</f>
        <v>0</v>
      </c>
      <c r="J171">
        <f>_xlfn.XLOOKUP(B171,'[1]march-2025'!$A:$A,'[1]march-2025'!$C:$C,0,0)</f>
        <v>27000</v>
      </c>
      <c r="K171">
        <f t="shared" si="364"/>
        <v>3780.0000000000005</v>
      </c>
      <c r="L171">
        <f t="shared" si="365"/>
        <v>3240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>IF(J171&gt;0,SUM(J171:N171),0)</f>
        <v>34520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448"/>
        <v>150</v>
      </c>
      <c r="S171">
        <f t="shared" si="357"/>
        <v>32370</v>
      </c>
      <c r="T171">
        <f>_xlfn.XLOOKUP(B171,'[2]april-2025'!$A:$A,'[2]april-2025'!$C:$C,0,0)</f>
        <v>27000</v>
      </c>
      <c r="U171">
        <f t="shared" si="366"/>
        <v>4860</v>
      </c>
      <c r="V171">
        <f t="shared" si="367"/>
        <v>3240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358"/>
        <v>35600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368"/>
        <v>150</v>
      </c>
      <c r="AC171">
        <f t="shared" si="369"/>
        <v>33450</v>
      </c>
      <c r="AD171">
        <f>_xlfn.XLOOKUP(B171,'[3]may-2025'!$A:$A,'[3]may-2025'!$C:$C,0,0)</f>
        <v>27000</v>
      </c>
      <c r="AE171">
        <f t="shared" si="370"/>
        <v>4860</v>
      </c>
      <c r="AF171">
        <f t="shared" si="371"/>
        <v>3240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359"/>
        <v>35600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372"/>
        <v>150</v>
      </c>
      <c r="AM171">
        <f t="shared" si="373"/>
        <v>33450</v>
      </c>
      <c r="AN171">
        <f>_xlfn.XLOOKUP(B171,'[4]june-2025'!$A:$A,'[4]june-2025'!$C:$C,0,0)</f>
        <v>27000</v>
      </c>
      <c r="AO171">
        <f t="shared" si="374"/>
        <v>4860</v>
      </c>
      <c r="AP171">
        <f t="shared" si="375"/>
        <v>3240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360"/>
        <v>35600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376"/>
        <v>150</v>
      </c>
      <c r="AW171">
        <f t="shared" si="377"/>
        <v>33450</v>
      </c>
      <c r="AX171">
        <f>_xlfn.XLOOKUP(B171,'[5]july-2025'!$A:$A,'[5]july-2025'!$C:$C,0,0)</f>
        <v>0</v>
      </c>
      <c r="AY171">
        <f t="shared" si="378"/>
        <v>0</v>
      </c>
      <c r="AZ171">
        <v>0</v>
      </c>
      <c r="BA171">
        <f t="shared" si="379"/>
        <v>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>IF(AX171&gt;0,SUM(AX171:BC171),0)</f>
        <v>0</v>
      </c>
      <c r="BE171">
        <f>_xlfn.XLOOKUP(B171,'[5]july-2025'!$A:$A,'[5]july-2025'!$H:$H,0,0)</f>
        <v>0</v>
      </c>
      <c r="BF171">
        <f>_xlfn.XLOOKUP(B171,'[5]july-2025'!$A:$A,'[5]july-2025'!$I:$I,0,0)</f>
        <v>0</v>
      </c>
      <c r="BG171">
        <f t="shared" si="380"/>
        <v>0</v>
      </c>
      <c r="BH171">
        <f t="shared" si="381"/>
        <v>0</v>
      </c>
      <c r="BI171">
        <f>_xlfn.XLOOKUP(B171,'[6]august-2025'!$A:$A,'[6]august-2025'!$C:$C,0,0)</f>
        <v>0</v>
      </c>
      <c r="BJ171">
        <f t="shared" si="382"/>
        <v>0</v>
      </c>
      <c r="BK171">
        <f t="shared" si="383"/>
        <v>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384"/>
        <v>0</v>
      </c>
      <c r="BO171">
        <f>_xlfn.XLOOKUP(B171,'[6]august-2025'!$A:$A,'[6]august-2025'!$H:$H,0,0)</f>
        <v>0</v>
      </c>
      <c r="BP171">
        <f>_xlfn.XLOOKUP(B171,'[6]august-2025'!$A:$A,'[6]august-2025'!$I:$I,0,0)</f>
        <v>0</v>
      </c>
      <c r="BQ171">
        <f>IF($F171="YES",0,IF(BN171&gt;40000,200,IF(BN171&gt;25000,150,IF(BN171&gt;15000,130,IF(BN171&gt;10000,110,0)))))</f>
        <v>0</v>
      </c>
      <c r="BR171">
        <f>BN171-BO171-BP171-BQ171</f>
        <v>0</v>
      </c>
      <c r="BS171">
        <f>_xlfn.XLOOKUP(B171,'[7]september-2025'!$A:$A,'[7]september-2025'!$C:$C,0,0)</f>
        <v>0</v>
      </c>
      <c r="BT171">
        <f t="shared" si="385"/>
        <v>0</v>
      </c>
      <c r="BU171">
        <f t="shared" si="386"/>
        <v>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>IF(BS171&gt;0,SUM(BS171:BW171),0)</f>
        <v>0</v>
      </c>
      <c r="BY171">
        <f>_xlfn.XLOOKUP(B171,'[7]september-2025'!$A:$A,'[7]september-2025'!$H:$H,0,0)</f>
        <v>0</v>
      </c>
      <c r="BZ171">
        <f>_xlfn.XLOOKUP(B171,'[7]september-2025'!$A:$A,'[7]september-2025'!$I:$I,0,0)</f>
        <v>0</v>
      </c>
      <c r="CA171">
        <f t="shared" si="387"/>
        <v>0</v>
      </c>
      <c r="CB171">
        <f t="shared" si="388"/>
        <v>0</v>
      </c>
      <c r="CC171">
        <f>_xlfn.XLOOKUP(B171,'[8]october-2025'!$A:$A,'[8]october-2025'!$C:$C,0,0)</f>
        <v>0</v>
      </c>
      <c r="CD171">
        <f t="shared" si="389"/>
        <v>0</v>
      </c>
      <c r="CE171">
        <f t="shared" si="390"/>
        <v>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>IF(CC171&gt;0,SUM(CC171:CG171),0)</f>
        <v>0</v>
      </c>
      <c r="CI171">
        <f>_xlfn.XLOOKUP(B171,'[8]october-2025'!$A:$A,'[8]october-2025'!$H:$H,0,0)</f>
        <v>0</v>
      </c>
      <c r="CJ171">
        <f>_xlfn.XLOOKUP(B171,'[8]october-2025'!$A:$A,'[8]october-2025'!$I:$I,0,0)</f>
        <v>0</v>
      </c>
      <c r="CK171">
        <f t="shared" si="391"/>
        <v>0</v>
      </c>
      <c r="CL171">
        <f t="shared" si="392"/>
        <v>0</v>
      </c>
      <c r="CM171">
        <f>_xlfn.XLOOKUP(B171,'[9]november-2025'!$A:$A,'[9]november-2025'!$C:$C,0,0)</f>
        <v>0</v>
      </c>
      <c r="CN171">
        <f t="shared" si="393"/>
        <v>0</v>
      </c>
      <c r="CO171">
        <f t="shared" si="394"/>
        <v>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>IF(CM171&gt;0,SUM(CM171:CQ171),0)</f>
        <v>0</v>
      </c>
      <c r="CS171">
        <f>_xlfn.XLOOKUP(B171,'[9]november-2025'!$A:$A,'[9]november-2025'!$H:$H,0,0)</f>
        <v>0</v>
      </c>
      <c r="CT171">
        <f>_xlfn.XLOOKUP(B171,'[9]november-2025'!$A:$A,'[9]november-2025'!$I:$I,0,0)</f>
        <v>0</v>
      </c>
      <c r="CU171">
        <f t="shared" si="395"/>
        <v>0</v>
      </c>
      <c r="CV171">
        <f t="shared" si="396"/>
        <v>0</v>
      </c>
      <c r="CW171">
        <f>_xlfn.XLOOKUP(B171,'[10]december-2025'!$A:$A,'[10]december-2025'!$C:$C,0,0)</f>
        <v>0</v>
      </c>
      <c r="CX171">
        <f t="shared" si="397"/>
        <v>0</v>
      </c>
      <c r="CY171">
        <f t="shared" si="398"/>
        <v>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>IF(CW171&gt;0,SUM(CW171:DA171),0)</f>
        <v>0</v>
      </c>
      <c r="DC171">
        <f>_xlfn.XLOOKUP(B171,'[10]december-2025'!$A:$A,'[10]december-2025'!$H:$H,0,0)</f>
        <v>0</v>
      </c>
      <c r="DD171">
        <f>_xlfn.XLOOKUP(B171,'[10]december-2025'!$A:$A,'[10]december-2025'!$I:$I,0,0)</f>
        <v>0</v>
      </c>
      <c r="DE171">
        <f t="shared" si="399"/>
        <v>0</v>
      </c>
      <c r="DF171">
        <f t="shared" si="400"/>
        <v>0</v>
      </c>
      <c r="DG171">
        <f>_xlfn.XLOOKUP(B171,'[11]january-2026'!$A:$A,'[11]january-2026'!$C:$C,0,0)</f>
        <v>0</v>
      </c>
      <c r="DH171">
        <f t="shared" si="401"/>
        <v>0</v>
      </c>
      <c r="DI171">
        <f t="shared" si="402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>IF(DG171&gt;0,SUM(DG171:DK171),0)</f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03"/>
        <v>0</v>
      </c>
      <c r="DP171">
        <f t="shared" si="404"/>
        <v>0</v>
      </c>
      <c r="DQ171">
        <f>_xlfn.XLOOKUP(B171,'[12]february-2026'!$A:$A,'[12]february-2026'!$C:$C,0,0)</f>
        <v>0</v>
      </c>
      <c r="DR171">
        <f t="shared" si="405"/>
        <v>0</v>
      </c>
      <c r="DS171">
        <f t="shared" si="406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>IF(DQ171&gt;0,SUM(DQ171:DU171),0)</f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07"/>
        <v>0</v>
      </c>
      <c r="DZ171">
        <f t="shared" si="408"/>
        <v>0</v>
      </c>
      <c r="EA171">
        <f>_xlfn.XLOOKUP(B171,'[1]march-2025'!$A:$A,'[1]march-2025'!$J:$J,0,0)</f>
        <v>0</v>
      </c>
      <c r="EB171">
        <f>_xlfn.XLOOKUP(B171,'[2]april-2025'!$A:$A,'[2]april-2025'!$J:$J,0,0)</f>
        <v>0</v>
      </c>
      <c r="EC171">
        <f>_xlfn.XLOOKUP(B171,'[3]may-2025'!$A:$A,'[3]may-2025'!$J:$J,0,0)</f>
        <v>0</v>
      </c>
      <c r="ED171">
        <f>_xlfn.XLOOKUP(B171,'[4]june-2025'!$A:$A,'[4]june-2025'!$J:$J,0,0)</f>
        <v>0</v>
      </c>
      <c r="EE171">
        <f>_xlfn.XLOOKUP(B171,'[5]july-2025'!$A:$A,'[5]july-2025'!$J:$J,0,0)</f>
        <v>0</v>
      </c>
      <c r="EF171">
        <f>_xlfn.XLOOKUP(B171,'[6]august-2025'!$A:$A,'[6]august-2025'!$J:$J,0,0)</f>
        <v>0</v>
      </c>
      <c r="EG171">
        <f>_xlfn.XLOOKUP(B171,'[7]september-2025'!$A:$A,'[7]september-2025'!$J:$J,0,0)</f>
        <v>0</v>
      </c>
      <c r="EH171">
        <f>_xlfn.XLOOKUP(B171,'[8]october-2025'!$A:$A,'[8]october-2025'!$J:$J,0,0)</f>
        <v>0</v>
      </c>
      <c r="EI171">
        <f>_xlfn.XLOOKUP(C171,'[9]november-2025'!$A:$A,'[9]november-2025'!$J:$J,0,0)</f>
        <v>0</v>
      </c>
      <c r="EJ171">
        <f>_xlfn.XLOOKUP(B171,'[10]december-2025'!$A:$A,'[10]december-2025'!$J:$J,0,0)</f>
        <v>0</v>
      </c>
      <c r="EK171">
        <f>_xlfn.XLOOKUP(B171,'[11]january-2026'!$A:$A,'[11]january-2026'!$J:$J,0,0)</f>
        <v>0</v>
      </c>
      <c r="EL171">
        <f>_xlfn.XLOOKUP(B171,'[12]february-2026'!$A:$A,'[12]february-2026'!$J:$J,0,0)</f>
        <v>0</v>
      </c>
      <c r="EM171">
        <f t="shared" si="361"/>
        <v>0</v>
      </c>
      <c r="EN171">
        <f>DV171+DL171+DB171+CR171+CH171+BX171+BN171+BD171+AS171+AI171+Y171+O171+H171+I171</f>
        <v>148120</v>
      </c>
      <c r="EO171">
        <f>DY171+DO171+DE171+CU171+CK171+CA171+BQ171+BG171+AV171+AL171+AB171+R171</f>
        <v>600</v>
      </c>
      <c r="EP171">
        <f t="shared" si="409"/>
        <v>50000</v>
      </c>
      <c r="EQ171">
        <v>0</v>
      </c>
      <c r="ER171">
        <f t="shared" si="362"/>
        <v>97520</v>
      </c>
      <c r="ES171">
        <f>DW171+DM171+DC171+CS171+CI171+BY171+BO171+BE171+AT171+AJ171+Z171+P171</f>
        <v>8000</v>
      </c>
      <c r="ET171">
        <f>DX171+DN171+DD171+CT171+CJ171+BZ171+BP171+BF171+AU171+AK171+AA171+Q171</f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si="410"/>
        <v>8000</v>
      </c>
      <c r="FF171">
        <f t="shared" si="411"/>
        <v>8000</v>
      </c>
      <c r="FG171">
        <f t="shared" si="412"/>
        <v>89520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>SUM(FH171:FN171)+(IF(F171="YES",50000,0))</f>
        <v>0</v>
      </c>
      <c r="FP171">
        <f t="shared" si="413"/>
        <v>89520</v>
      </c>
      <c r="FQ171">
        <f t="shared" si="414"/>
        <v>-8024</v>
      </c>
      <c r="FR171">
        <f t="shared" si="415"/>
        <v>0</v>
      </c>
      <c r="FS171">
        <f t="shared" si="416"/>
        <v>-8024</v>
      </c>
      <c r="FT171">
        <f t="shared" si="417"/>
        <v>0</v>
      </c>
      <c r="FU171">
        <f t="shared" si="418"/>
        <v>0</v>
      </c>
      <c r="FV171">
        <f t="shared" si="419"/>
        <v>0</v>
      </c>
      <c r="FW171">
        <v>0</v>
      </c>
      <c r="FX171">
        <f t="shared" si="420"/>
        <v>0</v>
      </c>
      <c r="FY171" t="b">
        <f t="shared" si="421"/>
        <v>0</v>
      </c>
      <c r="FZ171">
        <f t="shared" ca="1" si="422"/>
        <v>1884</v>
      </c>
      <c r="GA171">
        <f t="shared" ca="1" si="423"/>
        <v>150004</v>
      </c>
      <c r="GB171">
        <f t="shared" si="424"/>
        <v>75000</v>
      </c>
      <c r="GC171">
        <f t="shared" ca="1" si="425"/>
        <v>75004</v>
      </c>
      <c r="GD171">
        <f t="shared" ca="1" si="426"/>
        <v>0</v>
      </c>
      <c r="GE171">
        <f t="shared" ca="1" si="427"/>
        <v>0</v>
      </c>
      <c r="GF171">
        <f t="shared" ca="1" si="428"/>
        <v>0</v>
      </c>
      <c r="GG171">
        <f t="shared" ca="1" si="429"/>
        <v>0</v>
      </c>
      <c r="GH171">
        <f t="shared" ca="1" si="430"/>
        <v>0</v>
      </c>
      <c r="GI171">
        <f t="shared" ca="1" si="431"/>
        <v>0</v>
      </c>
      <c r="GJ171">
        <f ca="1">IF(GC171&gt;1200000,GC171-1200000-IF(F171="YES",50000,0)-GH171,0)</f>
        <v>0</v>
      </c>
      <c r="GK171">
        <f t="shared" ca="1" si="432"/>
        <v>0</v>
      </c>
      <c r="GL171">
        <f t="shared" ca="1" si="433"/>
        <v>0</v>
      </c>
      <c r="GM171">
        <f t="shared" ca="1" si="434"/>
        <v>0</v>
      </c>
      <c r="GN171">
        <f t="shared" ca="1" si="435"/>
        <v>0</v>
      </c>
      <c r="GO171">
        <f t="shared" ca="1" si="436"/>
        <v>0</v>
      </c>
      <c r="GP171">
        <f t="shared" ca="1" si="437"/>
        <v>0</v>
      </c>
      <c r="GQ171">
        <f t="shared" ca="1" si="438"/>
        <v>0</v>
      </c>
      <c r="GR171">
        <f t="shared" ca="1" si="439"/>
        <v>0</v>
      </c>
      <c r="GS171">
        <f t="shared" ca="1" si="440"/>
        <v>0</v>
      </c>
      <c r="GT171">
        <f t="shared" ca="1" si="441"/>
        <v>0</v>
      </c>
      <c r="GU171" t="b">
        <f t="shared" ca="1" si="442"/>
        <v>0</v>
      </c>
      <c r="GV171">
        <f t="shared" ca="1" si="443"/>
        <v>0</v>
      </c>
      <c r="GW171">
        <f t="shared" ca="1" si="444"/>
        <v>0</v>
      </c>
      <c r="GX171">
        <f t="shared" ca="1" si="445"/>
        <v>0</v>
      </c>
      <c r="GY171">
        <f t="shared" ca="1" si="446"/>
        <v>0</v>
      </c>
      <c r="GZ171">
        <f t="shared" ca="1" si="447"/>
        <v>0</v>
      </c>
    </row>
    <row r="172" spans="1:208" x14ac:dyDescent="0.25">
      <c r="A172">
        <f>_xlfn.AGGREGATE(3,5,$B$2:B172)</f>
        <v>171</v>
      </c>
      <c r="B172" t="s">
        <v>450</v>
      </c>
      <c r="C172" t="s">
        <v>451</v>
      </c>
      <c r="D172" t="s">
        <v>795</v>
      </c>
      <c r="E172" t="s">
        <v>831</v>
      </c>
      <c r="F172" t="s">
        <v>957</v>
      </c>
      <c r="G172" t="s">
        <v>879</v>
      </c>
      <c r="H172">
        <f t="shared" si="450"/>
        <v>6800</v>
      </c>
      <c r="I172">
        <f>_xlfn.XLOOKUP(B172,'[1]march-2025'!$A:$A,'[1]march-2025'!$J:$J,0,0)</f>
        <v>0</v>
      </c>
      <c r="J172">
        <f>_xlfn.XLOOKUP(B172,'[1]march-2025'!$A:$A,'[1]march-2025'!$C:$C,0,0)</f>
        <v>31600</v>
      </c>
      <c r="K172">
        <f t="shared" si="364"/>
        <v>4424</v>
      </c>
      <c r="L172">
        <f t="shared" si="365"/>
        <v>3792</v>
      </c>
      <c r="M172">
        <f>_xlfn.XLOOKUP(B172,'[1]march-2025'!$A:$A,'[1]march-2025'!$D:$D,0,0)</f>
        <v>0</v>
      </c>
      <c r="N172">
        <f>_xlfn.XLOOKUP(B172,'[1]march-2025'!$A:$A,'[1]march-2025'!$G:$G,0,0)</f>
        <v>500</v>
      </c>
      <c r="O172">
        <f>IF(J172&gt;0,SUM(J172:N172),0)</f>
        <v>40316</v>
      </c>
      <c r="P172">
        <f>_xlfn.XLOOKUP(B172,'[1]march-2025'!$A:$A,'[1]march-2025'!$H:$H,0,0)</f>
        <v>2000</v>
      </c>
      <c r="Q172">
        <f>_xlfn.XLOOKUP(B172,'[1]march-2025'!$A:$A,'[1]march-2025'!$I:$I,0,0)</f>
        <v>0</v>
      </c>
      <c r="R172">
        <f t="shared" si="448"/>
        <v>200</v>
      </c>
      <c r="S172">
        <f t="shared" si="357"/>
        <v>38116</v>
      </c>
      <c r="T172">
        <f>_xlfn.XLOOKUP(B172,'[2]april-2025'!$A:$A,'[2]april-2025'!$C:$C,0,0)</f>
        <v>31600</v>
      </c>
      <c r="U172">
        <f t="shared" si="366"/>
        <v>5688</v>
      </c>
      <c r="V172">
        <f t="shared" si="367"/>
        <v>3792</v>
      </c>
      <c r="W172">
        <f>_xlfn.XLOOKUP(B172,'[2]april-2025'!$A:$A,'[2]april-2025'!$D:$D,0,0)</f>
        <v>0</v>
      </c>
      <c r="X172">
        <f>_xlfn.XLOOKUP(B172,'[2]april-2025'!$A:$A,'[2]april-2025'!$G:$G,0,0)</f>
        <v>500</v>
      </c>
      <c r="Y172">
        <f t="shared" si="358"/>
        <v>41580</v>
      </c>
      <c r="Z172">
        <f>_xlfn.XLOOKUP(B172,'[2]april-2025'!$A:$A,'[2]april-2025'!$H:$H,0,0)</f>
        <v>2000</v>
      </c>
      <c r="AA172">
        <f>_xlfn.XLOOKUP(B172,'[2]april-2025'!$A:$A,'[2]april-2025'!$I:$I,0,0)</f>
        <v>0</v>
      </c>
      <c r="AB172">
        <f t="shared" si="368"/>
        <v>200</v>
      </c>
      <c r="AC172">
        <f t="shared" si="369"/>
        <v>39380</v>
      </c>
      <c r="AD172">
        <f>_xlfn.XLOOKUP(B172,'[3]may-2025'!$A:$A,'[3]may-2025'!$C:$C,0,0)</f>
        <v>31600</v>
      </c>
      <c r="AE172">
        <f t="shared" si="370"/>
        <v>5688</v>
      </c>
      <c r="AF172">
        <f t="shared" si="371"/>
        <v>3792</v>
      </c>
      <c r="AG172">
        <f>_xlfn.XLOOKUP(B172,'[3]may-2025'!$A:$A,'[3]may-2025'!$D:$D,0,0)</f>
        <v>0</v>
      </c>
      <c r="AH172">
        <f>_xlfn.XLOOKUP(B172,'[3]may-2025'!$A:$A,'[3]may-2025'!$G:$G,0,0)</f>
        <v>500</v>
      </c>
      <c r="AI172">
        <f t="shared" si="359"/>
        <v>41580</v>
      </c>
      <c r="AJ172">
        <f>_xlfn.XLOOKUP(B172,'[3]may-2025'!$A:$A,'[3]may-2025'!$H:$H,0,0)</f>
        <v>2000</v>
      </c>
      <c r="AK172">
        <f>_xlfn.XLOOKUP(B172,'[3]may-2025'!$A:$A,'[3]may-2025'!$I:$I,0,0)</f>
        <v>0</v>
      </c>
      <c r="AL172">
        <f t="shared" si="372"/>
        <v>200</v>
      </c>
      <c r="AM172">
        <f t="shared" si="373"/>
        <v>39380</v>
      </c>
      <c r="AN172">
        <f>_xlfn.XLOOKUP(B172,'[4]june-2025'!$A:$A,'[4]june-2025'!$C:$C,0,0)</f>
        <v>31600</v>
      </c>
      <c r="AO172">
        <f t="shared" si="374"/>
        <v>5688</v>
      </c>
      <c r="AP172">
        <f t="shared" si="375"/>
        <v>3792</v>
      </c>
      <c r="AQ172">
        <f>_xlfn.XLOOKUP(B172,'[4]june-2025'!$A:$A,'[4]june-2025'!$D:$D,0,0)</f>
        <v>0</v>
      </c>
      <c r="AR172">
        <f>_xlfn.XLOOKUP(B172,'[4]june-2025'!$A:$A,'[4]june-2025'!$G:$G,0,0)</f>
        <v>500</v>
      </c>
      <c r="AS172">
        <f t="shared" si="360"/>
        <v>41580</v>
      </c>
      <c r="AT172">
        <f>_xlfn.XLOOKUP(B172,'[4]june-2025'!$A:$A,'[4]june-2025'!$H:$H,0,0)</f>
        <v>2000</v>
      </c>
      <c r="AU172">
        <f>_xlfn.XLOOKUP(B172,'[4]june-2025'!$A:$A,'[4]june-2025'!$I:$I,0,0)</f>
        <v>0</v>
      </c>
      <c r="AV172">
        <f t="shared" si="376"/>
        <v>200</v>
      </c>
      <c r="AW172">
        <f t="shared" si="377"/>
        <v>39380</v>
      </c>
      <c r="AX172">
        <f>_xlfn.XLOOKUP(B172,'[5]july-2025'!$A:$A,'[5]july-2025'!$C:$C,0,0)</f>
        <v>32500</v>
      </c>
      <c r="AY172">
        <f t="shared" si="378"/>
        <v>5850</v>
      </c>
      <c r="AZ172">
        <v>0</v>
      </c>
      <c r="BA172">
        <f t="shared" si="379"/>
        <v>3900</v>
      </c>
      <c r="BB172">
        <f>_xlfn.XLOOKUP(B172,'[5]july-2025'!$A:$A,'[5]july-2025'!$D:$D,0,0)</f>
        <v>0</v>
      </c>
      <c r="BC172">
        <f>_xlfn.XLOOKUP(B172,'[5]july-2025'!$A:$A,'[5]july-2025'!$G:$G,0,0)</f>
        <v>500</v>
      </c>
      <c r="BD172">
        <f>IF(AX172&gt;0,SUM(AX172:BC172),0)</f>
        <v>42750</v>
      </c>
      <c r="BE172">
        <f>_xlfn.XLOOKUP(B172,'[5]july-2025'!$A:$A,'[5]july-2025'!$H:$H,0,0)</f>
        <v>2000</v>
      </c>
      <c r="BF172">
        <f>_xlfn.XLOOKUP(B172,'[5]july-2025'!$A:$A,'[5]july-2025'!$I:$I,0,0)</f>
        <v>0</v>
      </c>
      <c r="BG172">
        <f t="shared" si="380"/>
        <v>200</v>
      </c>
      <c r="BH172">
        <f t="shared" si="381"/>
        <v>40550</v>
      </c>
      <c r="BI172">
        <f>_xlfn.XLOOKUP(B172,'[6]august-2025'!$A:$A,'[6]august-2025'!$C:$C,0,0)</f>
        <v>32500</v>
      </c>
      <c r="BJ172">
        <f t="shared" si="382"/>
        <v>5850</v>
      </c>
      <c r="BK172">
        <f t="shared" si="383"/>
        <v>3900</v>
      </c>
      <c r="BL172">
        <f>_xlfn.XLOOKUP(B172,'[6]august-2025'!$A:$A,'[6]august-2025'!$D:$D,0,0)</f>
        <v>0</v>
      </c>
      <c r="BM172">
        <f>_xlfn.XLOOKUP(B172,'[6]august-2025'!$A:$A,'[6]august-2025'!$G:$G,0,0)</f>
        <v>500</v>
      </c>
      <c r="BN172">
        <f t="shared" si="384"/>
        <v>42750</v>
      </c>
      <c r="BO172">
        <f>_xlfn.XLOOKUP(B172,'[6]august-2025'!$A:$A,'[6]august-2025'!$H:$H,0,0)</f>
        <v>2000</v>
      </c>
      <c r="BP172">
        <f>_xlfn.XLOOKUP(B172,'[6]august-2025'!$A:$A,'[6]august-2025'!$I:$I,0,0)</f>
        <v>0</v>
      </c>
      <c r="BQ172">
        <f>IF($F172="YES",0,IF(BN172&gt;40000,200,IF(BN172&gt;25000,150,IF(BN172&gt;15000,130,IF(BN172&gt;10000,110,0)))))</f>
        <v>200</v>
      </c>
      <c r="BR172">
        <f>BN172-BO172-BP172-BQ172</f>
        <v>40550</v>
      </c>
      <c r="BS172">
        <f>_xlfn.XLOOKUP(B172,'[7]september-2025'!$A:$A,'[7]september-2025'!$C:$C,0,0)</f>
        <v>32500</v>
      </c>
      <c r="BT172">
        <f t="shared" si="385"/>
        <v>5850</v>
      </c>
      <c r="BU172">
        <f t="shared" si="386"/>
        <v>3900</v>
      </c>
      <c r="BV172">
        <f>_xlfn.XLOOKUP(B172,'[7]september-2025'!$A:$A,'[7]september-2025'!$D:$D,0,0)</f>
        <v>0</v>
      </c>
      <c r="BW172">
        <f>_xlfn.XLOOKUP(B172,'[7]september-2025'!$A:$A,'[7]september-2025'!$G:$G,0,0)</f>
        <v>500</v>
      </c>
      <c r="BX172">
        <f>IF(BS172&gt;0,SUM(BS172:BW172),0)</f>
        <v>42750</v>
      </c>
      <c r="BY172">
        <f>_xlfn.XLOOKUP(B172,'[7]september-2025'!$A:$A,'[7]september-2025'!$H:$H,0,0)</f>
        <v>2000</v>
      </c>
      <c r="BZ172">
        <f>_xlfn.XLOOKUP(B172,'[7]september-2025'!$A:$A,'[7]september-2025'!$I:$I,0,0)</f>
        <v>0</v>
      </c>
      <c r="CA172">
        <f t="shared" si="387"/>
        <v>200</v>
      </c>
      <c r="CB172">
        <f t="shared" si="388"/>
        <v>40550</v>
      </c>
      <c r="CC172">
        <f>_xlfn.XLOOKUP(B172,'[8]october-2025'!$A:$A,'[8]october-2025'!$C:$C,0,0)</f>
        <v>32500</v>
      </c>
      <c r="CD172">
        <f t="shared" si="389"/>
        <v>5850</v>
      </c>
      <c r="CE172">
        <f t="shared" si="390"/>
        <v>3900</v>
      </c>
      <c r="CF172">
        <f>_xlfn.XLOOKUP(B172,'[8]october-2025'!$A:$A,'[8]october-2025'!$D:$D,0,0)</f>
        <v>0</v>
      </c>
      <c r="CG172">
        <f>_xlfn.XLOOKUP(B172,'[8]october-2025'!$A:$A,'[8]october-2025'!$G:$G,0,0)</f>
        <v>500</v>
      </c>
      <c r="CH172">
        <f>IF(CC172&gt;0,SUM(CC172:CG172),0)</f>
        <v>42750</v>
      </c>
      <c r="CI172">
        <f>_xlfn.XLOOKUP(B172,'[8]october-2025'!$A:$A,'[8]october-2025'!$H:$H,0,0)</f>
        <v>2000</v>
      </c>
      <c r="CJ172">
        <f>_xlfn.XLOOKUP(B172,'[8]october-2025'!$A:$A,'[8]october-2025'!$I:$I,0,0)</f>
        <v>0</v>
      </c>
      <c r="CK172">
        <f t="shared" si="391"/>
        <v>200</v>
      </c>
      <c r="CL172">
        <f t="shared" si="392"/>
        <v>40550</v>
      </c>
      <c r="CM172">
        <f>_xlfn.XLOOKUP(B172,'[9]november-2025'!$A:$A,'[9]november-2025'!$C:$C,0,0)</f>
        <v>32500</v>
      </c>
      <c r="CN172">
        <f t="shared" si="393"/>
        <v>5850</v>
      </c>
      <c r="CO172">
        <f t="shared" si="394"/>
        <v>3900</v>
      </c>
      <c r="CP172">
        <f>_xlfn.XLOOKUP(B172,'[9]november-2025'!$A:$A,'[9]november-2025'!$D:$D,0,0)</f>
        <v>0</v>
      </c>
      <c r="CQ172">
        <f>_xlfn.XLOOKUP(B172,'[9]november-2025'!$A:$A,'[9]november-2025'!$G:$G,0,0)</f>
        <v>500</v>
      </c>
      <c r="CR172">
        <f>IF(CM172&gt;0,SUM(CM172:CQ172),0)</f>
        <v>42750</v>
      </c>
      <c r="CS172">
        <f>_xlfn.XLOOKUP(B172,'[9]november-2025'!$A:$A,'[9]november-2025'!$H:$H,0,0)</f>
        <v>2000</v>
      </c>
      <c r="CT172">
        <f>_xlfn.XLOOKUP(B172,'[9]november-2025'!$A:$A,'[9]november-2025'!$I:$I,0,0)</f>
        <v>0</v>
      </c>
      <c r="CU172">
        <f t="shared" si="395"/>
        <v>200</v>
      </c>
      <c r="CV172">
        <f t="shared" si="396"/>
        <v>40550</v>
      </c>
      <c r="CW172">
        <f>_xlfn.XLOOKUP(B172,'[10]december-2025'!$A:$A,'[10]december-2025'!$C:$C,0,0)</f>
        <v>32500</v>
      </c>
      <c r="CX172">
        <f t="shared" si="397"/>
        <v>5850</v>
      </c>
      <c r="CY172">
        <f t="shared" si="398"/>
        <v>3900</v>
      </c>
      <c r="CZ172">
        <f>_xlfn.XLOOKUP(B172,'[10]december-2025'!$A:$A,'[10]december-2025'!$D:$D,0,0)</f>
        <v>0</v>
      </c>
      <c r="DA172">
        <f>_xlfn.XLOOKUP(B172,'[10]december-2025'!$A:$A,'[10]december-2025'!$G:$G,0,0)</f>
        <v>500</v>
      </c>
      <c r="DB172">
        <f>IF(CW172&gt;0,SUM(CW172:DA172),0)</f>
        <v>42750</v>
      </c>
      <c r="DC172">
        <f>_xlfn.XLOOKUP(B172,'[10]december-2025'!$A:$A,'[10]december-2025'!$H:$H,0,0)</f>
        <v>2000</v>
      </c>
      <c r="DD172">
        <f>_xlfn.XLOOKUP(B172,'[10]december-2025'!$A:$A,'[10]december-2025'!$I:$I,0,0)</f>
        <v>0</v>
      </c>
      <c r="DE172">
        <f t="shared" si="399"/>
        <v>200</v>
      </c>
      <c r="DF172">
        <f t="shared" si="400"/>
        <v>40550</v>
      </c>
      <c r="DG172">
        <f>_xlfn.XLOOKUP(B172,'[11]january-2026'!$A:$A,'[11]january-2026'!$C:$C,0,0)</f>
        <v>32500</v>
      </c>
      <c r="DH172">
        <f t="shared" si="401"/>
        <v>5850</v>
      </c>
      <c r="DI172">
        <f t="shared" si="402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>IF(DG172&gt;0,SUM(DG172:DK172),0)</f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03"/>
        <v>200</v>
      </c>
      <c r="DP172">
        <f t="shared" si="404"/>
        <v>40550</v>
      </c>
      <c r="DQ172">
        <f>_xlfn.XLOOKUP(B172,'[12]february-2026'!$A:$A,'[12]february-2026'!$C:$C,0,0)</f>
        <v>32500</v>
      </c>
      <c r="DR172">
        <f t="shared" si="405"/>
        <v>5850</v>
      </c>
      <c r="DS172">
        <f t="shared" si="406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>IF(DQ172&gt;0,SUM(DQ172:DU172),0)</f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07"/>
        <v>200</v>
      </c>
      <c r="DZ172">
        <f t="shared" si="408"/>
        <v>40550</v>
      </c>
      <c r="EA172">
        <f>_xlfn.XLOOKUP(B172,'[1]march-2025'!$A:$A,'[1]march-2025'!$J:$J,0,0)</f>
        <v>0</v>
      </c>
      <c r="EB172">
        <f>_xlfn.XLOOKUP(B172,'[2]april-2025'!$A:$A,'[2]april-2025'!$J:$J,0,0)</f>
        <v>0</v>
      </c>
      <c r="EC172">
        <f>_xlfn.XLOOKUP(B172,'[3]may-2025'!$A:$A,'[3]may-2025'!$J:$J,0,0)</f>
        <v>0</v>
      </c>
      <c r="ED172">
        <f>_xlfn.XLOOKUP(B172,'[4]june-2025'!$A:$A,'[4]june-2025'!$J:$J,0,0)</f>
        <v>0</v>
      </c>
      <c r="EE172">
        <f>_xlfn.XLOOKUP(B172,'[5]july-2025'!$A:$A,'[5]july-2025'!$J:$J,0,0)</f>
        <v>0</v>
      </c>
      <c r="EF172">
        <f>_xlfn.XLOOKUP(B172,'[6]august-2025'!$A:$A,'[6]august-2025'!$J:$J,0,0)</f>
        <v>0</v>
      </c>
      <c r="EG172">
        <f>_xlfn.XLOOKUP(B172,'[7]september-2025'!$A:$A,'[7]september-2025'!$J:$J,0,0)</f>
        <v>0</v>
      </c>
      <c r="EH172">
        <f>_xlfn.XLOOKUP(B172,'[8]october-2025'!$A:$A,'[8]october-2025'!$J:$J,0,0)</f>
        <v>0</v>
      </c>
      <c r="EI172">
        <f>_xlfn.XLOOKUP(C172,'[9]november-2025'!$A:$A,'[9]november-2025'!$J:$J,0,0)</f>
        <v>0</v>
      </c>
      <c r="EJ172">
        <f>_xlfn.XLOOKUP(B172,'[10]december-2025'!$A:$A,'[10]december-2025'!$J:$J,0,0)</f>
        <v>0</v>
      </c>
      <c r="EK172">
        <f>_xlfn.XLOOKUP(B172,'[11]january-2026'!$A:$A,'[11]january-2026'!$J:$J,0,0)</f>
        <v>0</v>
      </c>
      <c r="EL172">
        <f>_xlfn.XLOOKUP(B172,'[12]february-2026'!$A:$A,'[12]february-2026'!$J:$J,0,0)</f>
        <v>0</v>
      </c>
      <c r="EM172">
        <f t="shared" si="361"/>
        <v>0</v>
      </c>
      <c r="EN172">
        <f>DV172+DL172+DB172+CR172+CH172+BX172+BN172+BD172+AS172+AI172+Y172+O172+H172+I172</f>
        <v>513856</v>
      </c>
      <c r="EO172">
        <f>DY172+DO172+DE172+CU172+CK172+CA172+BQ172+BG172+AV172+AL172+AB172+R172</f>
        <v>2400</v>
      </c>
      <c r="EP172">
        <f t="shared" si="409"/>
        <v>50000</v>
      </c>
      <c r="EQ172">
        <v>0</v>
      </c>
      <c r="ER172">
        <f t="shared" si="362"/>
        <v>461456</v>
      </c>
      <c r="ES172">
        <f>DW172+DM172+DC172+CS172+CI172+BY172+BO172+BE172+AT172+AJ172+Z172+P172</f>
        <v>24000</v>
      </c>
      <c r="ET172">
        <f>DX172+DN172+DD172+CT172+CJ172+BZ172+BP172+BF172+AU172+AK172+AA172+Q172</f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410"/>
        <v>24000</v>
      </c>
      <c r="FF172">
        <f t="shared" si="411"/>
        <v>24000</v>
      </c>
      <c r="FG172">
        <f t="shared" si="412"/>
        <v>437456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>SUM(FH172:FN172)+(IF(F172="YES",50000,0))</f>
        <v>0</v>
      </c>
      <c r="FP172">
        <f t="shared" si="413"/>
        <v>437456</v>
      </c>
      <c r="FQ172">
        <f t="shared" si="414"/>
        <v>9373</v>
      </c>
      <c r="FR172">
        <f t="shared" si="415"/>
        <v>0</v>
      </c>
      <c r="FS172">
        <f t="shared" si="416"/>
        <v>9373</v>
      </c>
      <c r="FT172">
        <f t="shared" si="417"/>
        <v>0</v>
      </c>
      <c r="FU172">
        <f t="shared" si="418"/>
        <v>0</v>
      </c>
      <c r="FV172">
        <f t="shared" si="419"/>
        <v>0</v>
      </c>
      <c r="FW172">
        <v>0</v>
      </c>
      <c r="FX172">
        <f t="shared" si="420"/>
        <v>0</v>
      </c>
      <c r="FY172" t="b">
        <f t="shared" si="421"/>
        <v>1</v>
      </c>
      <c r="FZ172">
        <f t="shared" ca="1" si="422"/>
        <v>690</v>
      </c>
      <c r="GA172">
        <f t="shared" ca="1" si="423"/>
        <v>514546</v>
      </c>
      <c r="GB172">
        <f t="shared" si="424"/>
        <v>75000</v>
      </c>
      <c r="GC172">
        <f t="shared" ca="1" si="425"/>
        <v>439546</v>
      </c>
      <c r="GD172">
        <f t="shared" ca="1" si="426"/>
        <v>0</v>
      </c>
      <c r="GE172">
        <f t="shared" ca="1" si="427"/>
        <v>0</v>
      </c>
      <c r="GF172">
        <f t="shared" ca="1" si="428"/>
        <v>0</v>
      </c>
      <c r="GG172">
        <f t="shared" ca="1" si="429"/>
        <v>0</v>
      </c>
      <c r="GH172">
        <f t="shared" ca="1" si="430"/>
        <v>0</v>
      </c>
      <c r="GI172">
        <f t="shared" ca="1" si="431"/>
        <v>0</v>
      </c>
      <c r="GJ172">
        <f ca="1">IF(GC172&gt;1200000,GC172-1200000-IF(F172="YES",50000,0)-GH172,0)</f>
        <v>0</v>
      </c>
      <c r="GK172">
        <f t="shared" ca="1" si="432"/>
        <v>0</v>
      </c>
      <c r="GL172">
        <f t="shared" ca="1" si="433"/>
        <v>0</v>
      </c>
      <c r="GM172">
        <f t="shared" ca="1" si="434"/>
        <v>0</v>
      </c>
      <c r="GN172">
        <f t="shared" ca="1" si="435"/>
        <v>39546</v>
      </c>
      <c r="GO172">
        <f t="shared" ca="1" si="436"/>
        <v>1977.3000000000002</v>
      </c>
      <c r="GP172">
        <f t="shared" ca="1" si="437"/>
        <v>1977</v>
      </c>
      <c r="GQ172">
        <f t="shared" ca="1" si="438"/>
        <v>0</v>
      </c>
      <c r="GR172">
        <f t="shared" ca="1" si="439"/>
        <v>0</v>
      </c>
      <c r="GS172">
        <f t="shared" ca="1" si="440"/>
        <v>1977</v>
      </c>
      <c r="GT172">
        <f t="shared" ca="1" si="441"/>
        <v>0</v>
      </c>
      <c r="GU172" t="b">
        <f t="shared" ca="1" si="442"/>
        <v>0</v>
      </c>
      <c r="GV172">
        <f t="shared" ca="1" si="443"/>
        <v>0</v>
      </c>
      <c r="GW172">
        <f t="shared" ca="1" si="444"/>
        <v>1977</v>
      </c>
      <c r="GX172">
        <f t="shared" ca="1" si="445"/>
        <v>0</v>
      </c>
      <c r="GY172">
        <f t="shared" ca="1" si="446"/>
        <v>0</v>
      </c>
      <c r="GZ172">
        <f t="shared" ca="1" si="447"/>
        <v>0</v>
      </c>
    </row>
    <row r="173" spans="1:208" x14ac:dyDescent="0.25">
      <c r="A173">
        <f>_xlfn.AGGREGATE(3,5,$B$2:B173)</f>
        <v>172</v>
      </c>
      <c r="B173" t="s">
        <v>452</v>
      </c>
      <c r="C173" t="s">
        <v>453</v>
      </c>
      <c r="D173" t="s">
        <v>795</v>
      </c>
      <c r="E173" t="s">
        <v>831</v>
      </c>
      <c r="F173" t="s">
        <v>957</v>
      </c>
      <c r="G173" t="s">
        <v>893</v>
      </c>
      <c r="H173">
        <f t="shared" si="450"/>
        <v>6800</v>
      </c>
      <c r="I173">
        <f>_xlfn.XLOOKUP(B173,'[1]march-2025'!$A:$A,'[1]march-2025'!$J:$J,0,0)</f>
        <v>0</v>
      </c>
      <c r="J173">
        <f>_xlfn.XLOOKUP(B173,'[1]march-2025'!$A:$A,'[1]march-2025'!$C:$C,0,0)</f>
        <v>34500</v>
      </c>
      <c r="K173">
        <f t="shared" si="364"/>
        <v>4830.0000000000009</v>
      </c>
      <c r="L173">
        <f t="shared" si="365"/>
        <v>4140</v>
      </c>
      <c r="M173">
        <f>_xlfn.XLOOKUP(B173,'[1]march-2025'!$A:$A,'[1]march-2025'!$D:$D,0,0)</f>
        <v>0</v>
      </c>
      <c r="N173">
        <f>_xlfn.XLOOKUP(B173,'[1]march-2025'!$A:$A,'[1]march-2025'!$G:$G,0,0)</f>
        <v>0</v>
      </c>
      <c r="O173">
        <f>IF(J173&gt;0,SUM(J173:N173),0)</f>
        <v>43470</v>
      </c>
      <c r="P173">
        <f>_xlfn.XLOOKUP(B173,'[1]march-2025'!$A:$A,'[1]march-2025'!$H:$H,0,0)</f>
        <v>3000</v>
      </c>
      <c r="Q173">
        <f>_xlfn.XLOOKUP(B173,'[1]march-2025'!$A:$A,'[1]march-2025'!$I:$I,0,0)</f>
        <v>0</v>
      </c>
      <c r="R173">
        <f t="shared" si="448"/>
        <v>200</v>
      </c>
      <c r="S173">
        <f t="shared" si="357"/>
        <v>40270</v>
      </c>
      <c r="T173">
        <f>_xlfn.XLOOKUP(B173,'[2]april-2025'!$A:$A,'[2]april-2025'!$C:$C,0,0)</f>
        <v>34500</v>
      </c>
      <c r="U173">
        <f t="shared" si="366"/>
        <v>6210</v>
      </c>
      <c r="V173">
        <f t="shared" si="367"/>
        <v>4140</v>
      </c>
      <c r="W173">
        <f>_xlfn.XLOOKUP(B173,'[2]april-2025'!$A:$A,'[2]april-2025'!$D:$D,0,0)</f>
        <v>0</v>
      </c>
      <c r="X173">
        <f>_xlfn.XLOOKUP(B173,'[2]april-2025'!$A:$A,'[2]april-2025'!$G:$G,0,0)</f>
        <v>0</v>
      </c>
      <c r="Y173">
        <f t="shared" si="358"/>
        <v>44850</v>
      </c>
      <c r="Z173">
        <f>_xlfn.XLOOKUP(B173,'[2]april-2025'!$A:$A,'[2]april-2025'!$H:$H,0,0)</f>
        <v>3000</v>
      </c>
      <c r="AA173">
        <f>_xlfn.XLOOKUP(B173,'[2]april-2025'!$A:$A,'[2]april-2025'!$I:$I,0,0)</f>
        <v>0</v>
      </c>
      <c r="AB173">
        <f t="shared" si="368"/>
        <v>200</v>
      </c>
      <c r="AC173">
        <f t="shared" si="369"/>
        <v>41650</v>
      </c>
      <c r="AD173">
        <f>_xlfn.XLOOKUP(B173,'[3]may-2025'!$A:$A,'[3]may-2025'!$C:$C,0,0)</f>
        <v>34500</v>
      </c>
      <c r="AE173">
        <f t="shared" si="370"/>
        <v>6210</v>
      </c>
      <c r="AF173">
        <f t="shared" si="371"/>
        <v>4140</v>
      </c>
      <c r="AG173">
        <f>_xlfn.XLOOKUP(B173,'[3]may-2025'!$A:$A,'[3]may-2025'!$D:$D,0,0)</f>
        <v>0</v>
      </c>
      <c r="AH173">
        <f>_xlfn.XLOOKUP(B173,'[3]may-2025'!$A:$A,'[3]may-2025'!$G:$G,0,0)</f>
        <v>0</v>
      </c>
      <c r="AI173">
        <f t="shared" si="359"/>
        <v>44850</v>
      </c>
      <c r="AJ173">
        <f>_xlfn.XLOOKUP(B173,'[3]may-2025'!$A:$A,'[3]may-2025'!$H:$H,0,0)</f>
        <v>3000</v>
      </c>
      <c r="AK173">
        <f>_xlfn.XLOOKUP(B173,'[3]may-2025'!$A:$A,'[3]may-2025'!$I:$I,0,0)</f>
        <v>0</v>
      </c>
      <c r="AL173">
        <f t="shared" si="372"/>
        <v>200</v>
      </c>
      <c r="AM173">
        <f t="shared" si="373"/>
        <v>41650</v>
      </c>
      <c r="AN173">
        <f>_xlfn.XLOOKUP(B173,'[4]june-2025'!$A:$A,'[4]june-2025'!$C:$C,0,0)</f>
        <v>34500</v>
      </c>
      <c r="AO173">
        <f t="shared" si="374"/>
        <v>6210</v>
      </c>
      <c r="AP173">
        <f t="shared" si="375"/>
        <v>4140</v>
      </c>
      <c r="AQ173">
        <f>_xlfn.XLOOKUP(B173,'[4]june-2025'!$A:$A,'[4]june-2025'!$D:$D,0,0)</f>
        <v>0</v>
      </c>
      <c r="AR173">
        <f>_xlfn.XLOOKUP(B173,'[4]june-2025'!$A:$A,'[4]june-2025'!$G:$G,0,0)</f>
        <v>0</v>
      </c>
      <c r="AS173">
        <f t="shared" si="360"/>
        <v>44850</v>
      </c>
      <c r="AT173">
        <f>_xlfn.XLOOKUP(B173,'[4]june-2025'!$A:$A,'[4]june-2025'!$H:$H,0,0)</f>
        <v>3000</v>
      </c>
      <c r="AU173">
        <f>_xlfn.XLOOKUP(B173,'[4]june-2025'!$A:$A,'[4]june-2025'!$I:$I,0,0)</f>
        <v>0</v>
      </c>
      <c r="AV173">
        <f t="shared" si="376"/>
        <v>200</v>
      </c>
      <c r="AW173">
        <f t="shared" si="377"/>
        <v>41650</v>
      </c>
      <c r="AX173">
        <f>_xlfn.XLOOKUP(B173,'[5]july-2025'!$A:$A,'[5]july-2025'!$C:$C,0,0)</f>
        <v>35500</v>
      </c>
      <c r="AY173">
        <f t="shared" si="378"/>
        <v>6390</v>
      </c>
      <c r="AZ173">
        <v>0</v>
      </c>
      <c r="BA173">
        <f t="shared" si="379"/>
        <v>4260</v>
      </c>
      <c r="BB173">
        <f>_xlfn.XLOOKUP(B173,'[5]july-2025'!$A:$A,'[5]july-2025'!$D:$D,0,0)</f>
        <v>0</v>
      </c>
      <c r="BC173">
        <f>_xlfn.XLOOKUP(B173,'[5]july-2025'!$A:$A,'[5]july-2025'!$G:$G,0,0)</f>
        <v>0</v>
      </c>
      <c r="BD173">
        <f>IF(AX173&gt;0,SUM(AX173:BC173),0)</f>
        <v>46150</v>
      </c>
      <c r="BE173">
        <f>_xlfn.XLOOKUP(B173,'[5]july-2025'!$A:$A,'[5]july-2025'!$H:$H,0,0)</f>
        <v>3000</v>
      </c>
      <c r="BF173">
        <f>_xlfn.XLOOKUP(B173,'[5]july-2025'!$A:$A,'[5]july-2025'!$I:$I,0,0)</f>
        <v>0</v>
      </c>
      <c r="BG173">
        <f t="shared" si="380"/>
        <v>200</v>
      </c>
      <c r="BH173">
        <f t="shared" si="381"/>
        <v>42950</v>
      </c>
      <c r="BI173">
        <f>_xlfn.XLOOKUP(B173,'[6]august-2025'!$A:$A,'[6]august-2025'!$C:$C,0,0)</f>
        <v>35500</v>
      </c>
      <c r="BJ173">
        <f t="shared" si="382"/>
        <v>6390</v>
      </c>
      <c r="BK173">
        <f t="shared" si="383"/>
        <v>4260</v>
      </c>
      <c r="BL173">
        <f>_xlfn.XLOOKUP(B173,'[6]august-2025'!$A:$A,'[6]august-2025'!$D:$D,0,0)</f>
        <v>0</v>
      </c>
      <c r="BM173">
        <f>_xlfn.XLOOKUP(B173,'[6]august-2025'!$A:$A,'[6]august-2025'!$G:$G,0,0)</f>
        <v>0</v>
      </c>
      <c r="BN173">
        <f t="shared" si="384"/>
        <v>46150</v>
      </c>
      <c r="BO173">
        <f>_xlfn.XLOOKUP(B173,'[6]august-2025'!$A:$A,'[6]august-2025'!$H:$H,0,0)</f>
        <v>3000</v>
      </c>
      <c r="BP173">
        <f>_xlfn.XLOOKUP(B173,'[6]august-2025'!$A:$A,'[6]august-2025'!$I:$I,0,0)</f>
        <v>0</v>
      </c>
      <c r="BQ173">
        <f>IF($F173="YES",0,IF(BN173&gt;40000,200,IF(BN173&gt;25000,150,IF(BN173&gt;15000,130,IF(BN173&gt;10000,110,0)))))</f>
        <v>200</v>
      </c>
      <c r="BR173">
        <f>BN173-BO173-BP173-BQ173</f>
        <v>42950</v>
      </c>
      <c r="BS173">
        <f>_xlfn.XLOOKUP(B173,'[7]september-2025'!$A:$A,'[7]september-2025'!$C:$C,0,0)</f>
        <v>35500</v>
      </c>
      <c r="BT173">
        <f t="shared" si="385"/>
        <v>6390</v>
      </c>
      <c r="BU173">
        <f t="shared" si="386"/>
        <v>4260</v>
      </c>
      <c r="BV173">
        <f>_xlfn.XLOOKUP(B173,'[7]september-2025'!$A:$A,'[7]september-2025'!$D:$D,0,0)</f>
        <v>0</v>
      </c>
      <c r="BW173">
        <f>_xlfn.XLOOKUP(B173,'[7]september-2025'!$A:$A,'[7]september-2025'!$G:$G,0,0)</f>
        <v>0</v>
      </c>
      <c r="BX173">
        <f>IF(BS173&gt;0,SUM(BS173:BW173),0)</f>
        <v>46150</v>
      </c>
      <c r="BY173">
        <f>_xlfn.XLOOKUP(B173,'[7]september-2025'!$A:$A,'[7]september-2025'!$H:$H,0,0)</f>
        <v>3000</v>
      </c>
      <c r="BZ173">
        <f>_xlfn.XLOOKUP(B173,'[7]september-2025'!$A:$A,'[7]september-2025'!$I:$I,0,0)</f>
        <v>0</v>
      </c>
      <c r="CA173">
        <f t="shared" si="387"/>
        <v>200</v>
      </c>
      <c r="CB173">
        <f t="shared" si="388"/>
        <v>42950</v>
      </c>
      <c r="CC173">
        <f>_xlfn.XLOOKUP(B173,'[8]october-2025'!$A:$A,'[8]october-2025'!$C:$C,0,0)</f>
        <v>35500</v>
      </c>
      <c r="CD173">
        <f t="shared" si="389"/>
        <v>6390</v>
      </c>
      <c r="CE173">
        <f t="shared" si="390"/>
        <v>4260</v>
      </c>
      <c r="CF173">
        <f>_xlfn.XLOOKUP(B173,'[8]october-2025'!$A:$A,'[8]october-2025'!$D:$D,0,0)</f>
        <v>0</v>
      </c>
      <c r="CG173">
        <f>_xlfn.XLOOKUP(B173,'[8]october-2025'!$A:$A,'[8]october-2025'!$G:$G,0,0)</f>
        <v>0</v>
      </c>
      <c r="CH173">
        <f>IF(CC173&gt;0,SUM(CC173:CG173),0)</f>
        <v>46150</v>
      </c>
      <c r="CI173">
        <f>_xlfn.XLOOKUP(B173,'[8]october-2025'!$A:$A,'[8]october-2025'!$H:$H,0,0)</f>
        <v>3000</v>
      </c>
      <c r="CJ173">
        <f>_xlfn.XLOOKUP(B173,'[8]october-2025'!$A:$A,'[8]october-2025'!$I:$I,0,0)</f>
        <v>0</v>
      </c>
      <c r="CK173">
        <f t="shared" si="391"/>
        <v>200</v>
      </c>
      <c r="CL173">
        <f t="shared" si="392"/>
        <v>42950</v>
      </c>
      <c r="CM173">
        <f>_xlfn.XLOOKUP(B173,'[9]november-2025'!$A:$A,'[9]november-2025'!$C:$C,0,0)</f>
        <v>35500</v>
      </c>
      <c r="CN173">
        <f t="shared" si="393"/>
        <v>6390</v>
      </c>
      <c r="CO173">
        <f t="shared" si="394"/>
        <v>4260</v>
      </c>
      <c r="CP173">
        <f>_xlfn.XLOOKUP(B173,'[9]november-2025'!$A:$A,'[9]november-2025'!$D:$D,0,0)</f>
        <v>0</v>
      </c>
      <c r="CQ173">
        <f>_xlfn.XLOOKUP(B173,'[9]november-2025'!$A:$A,'[9]november-2025'!$G:$G,0,0)</f>
        <v>0</v>
      </c>
      <c r="CR173">
        <f>IF(CM173&gt;0,SUM(CM173:CQ173),0)</f>
        <v>46150</v>
      </c>
      <c r="CS173">
        <f>_xlfn.XLOOKUP(B173,'[9]november-2025'!$A:$A,'[9]november-2025'!$H:$H,0,0)</f>
        <v>3000</v>
      </c>
      <c r="CT173">
        <f>_xlfn.XLOOKUP(B173,'[9]november-2025'!$A:$A,'[9]november-2025'!$I:$I,0,0)</f>
        <v>0</v>
      </c>
      <c r="CU173">
        <f t="shared" si="395"/>
        <v>200</v>
      </c>
      <c r="CV173">
        <f t="shared" si="396"/>
        <v>42950</v>
      </c>
      <c r="CW173">
        <f>_xlfn.XLOOKUP(B173,'[10]december-2025'!$A:$A,'[10]december-2025'!$C:$C,0,0)</f>
        <v>35500</v>
      </c>
      <c r="CX173">
        <f t="shared" si="397"/>
        <v>6390</v>
      </c>
      <c r="CY173">
        <f t="shared" si="398"/>
        <v>4260</v>
      </c>
      <c r="CZ173">
        <f>_xlfn.XLOOKUP(B173,'[10]december-2025'!$A:$A,'[10]december-2025'!$D:$D,0,0)</f>
        <v>0</v>
      </c>
      <c r="DA173">
        <f>_xlfn.XLOOKUP(B173,'[10]december-2025'!$A:$A,'[10]december-2025'!$G:$G,0,0)</f>
        <v>0</v>
      </c>
      <c r="DB173">
        <f>IF(CW173&gt;0,SUM(CW173:DA173),0)</f>
        <v>46150</v>
      </c>
      <c r="DC173">
        <f>_xlfn.XLOOKUP(B173,'[10]december-2025'!$A:$A,'[10]december-2025'!$H:$H,0,0)</f>
        <v>3000</v>
      </c>
      <c r="DD173">
        <f>_xlfn.XLOOKUP(B173,'[10]december-2025'!$A:$A,'[10]december-2025'!$I:$I,0,0)</f>
        <v>0</v>
      </c>
      <c r="DE173">
        <f t="shared" si="399"/>
        <v>200</v>
      </c>
      <c r="DF173">
        <f t="shared" si="400"/>
        <v>42950</v>
      </c>
      <c r="DG173">
        <f>_xlfn.XLOOKUP(B173,'[11]january-2026'!$A:$A,'[11]january-2026'!$C:$C,0,0)</f>
        <v>35500</v>
      </c>
      <c r="DH173">
        <f t="shared" si="401"/>
        <v>6390</v>
      </c>
      <c r="DI173">
        <f t="shared" si="402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>IF(DG173&gt;0,SUM(DG173:DK173),0)</f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03"/>
        <v>200</v>
      </c>
      <c r="DP173">
        <f t="shared" si="404"/>
        <v>42950</v>
      </c>
      <c r="DQ173">
        <f>_xlfn.XLOOKUP(B173,'[12]february-2026'!$A:$A,'[12]february-2026'!$C:$C,0,0)</f>
        <v>35500</v>
      </c>
      <c r="DR173">
        <f t="shared" si="405"/>
        <v>6390</v>
      </c>
      <c r="DS173">
        <f t="shared" si="406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>IF(DQ173&gt;0,SUM(DQ173:DU173),0)</f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07"/>
        <v>200</v>
      </c>
      <c r="DZ173">
        <f t="shared" si="408"/>
        <v>42950</v>
      </c>
      <c r="EA173">
        <f>_xlfn.XLOOKUP(B173,'[1]march-2025'!$A:$A,'[1]march-2025'!$J:$J,0,0)</f>
        <v>0</v>
      </c>
      <c r="EB173">
        <f>_xlfn.XLOOKUP(B173,'[2]april-2025'!$A:$A,'[2]april-2025'!$J:$J,0,0)</f>
        <v>0</v>
      </c>
      <c r="EC173">
        <f>_xlfn.XLOOKUP(B173,'[3]may-2025'!$A:$A,'[3]may-2025'!$J:$J,0,0)</f>
        <v>0</v>
      </c>
      <c r="ED173">
        <f>_xlfn.XLOOKUP(B173,'[4]june-2025'!$A:$A,'[4]june-2025'!$J:$J,0,0)</f>
        <v>0</v>
      </c>
      <c r="EE173">
        <f>_xlfn.XLOOKUP(B173,'[5]july-2025'!$A:$A,'[5]july-2025'!$J:$J,0,0)</f>
        <v>0</v>
      </c>
      <c r="EF173">
        <f>_xlfn.XLOOKUP(B173,'[6]august-2025'!$A:$A,'[6]august-2025'!$J:$J,0,0)</f>
        <v>0</v>
      </c>
      <c r="EG173">
        <f>_xlfn.XLOOKUP(B173,'[7]september-2025'!$A:$A,'[7]september-2025'!$J:$J,0,0)</f>
        <v>0</v>
      </c>
      <c r="EH173">
        <f>_xlfn.XLOOKUP(B173,'[8]october-2025'!$A:$A,'[8]october-2025'!$J:$J,0,0)</f>
        <v>0</v>
      </c>
      <c r="EI173">
        <f>_xlfn.XLOOKUP(C173,'[9]november-2025'!$A:$A,'[9]november-2025'!$J:$J,0,0)</f>
        <v>0</v>
      </c>
      <c r="EJ173">
        <f>_xlfn.XLOOKUP(B173,'[10]december-2025'!$A:$A,'[10]december-2025'!$J:$J,0,0)</f>
        <v>0</v>
      </c>
      <c r="EK173">
        <f>_xlfn.XLOOKUP(B173,'[11]january-2026'!$A:$A,'[11]january-2026'!$J:$J,0,0)</f>
        <v>0</v>
      </c>
      <c r="EL173">
        <f>_xlfn.XLOOKUP(B173,'[12]february-2026'!$A:$A,'[12]february-2026'!$J:$J,0,0)</f>
        <v>0</v>
      </c>
      <c r="EM173">
        <f t="shared" si="361"/>
        <v>0</v>
      </c>
      <c r="EN173">
        <f>DV173+DL173+DB173+CR173+CH173+BX173+BN173+BD173+AS173+AI173+Y173+O173+H173+I173</f>
        <v>554020</v>
      </c>
      <c r="EO173">
        <f>DY173+DO173+DE173+CU173+CK173+CA173+BQ173+BG173+AV173+AL173+AB173+R173</f>
        <v>2400</v>
      </c>
      <c r="EP173">
        <f t="shared" si="409"/>
        <v>50000</v>
      </c>
      <c r="EQ173">
        <v>0</v>
      </c>
      <c r="ER173">
        <f t="shared" si="362"/>
        <v>501620</v>
      </c>
      <c r="ES173">
        <f>DW173+DM173+DC173+CS173+CI173+BY173+BO173+BE173+AT173+AJ173+Z173+P173</f>
        <v>36000</v>
      </c>
      <c r="ET173">
        <f>DX173+DN173+DD173+CT173+CJ173+BZ173+BP173+BF173+AU173+AK173+AA173+Q173</f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410"/>
        <v>36000</v>
      </c>
      <c r="FF173">
        <f t="shared" si="411"/>
        <v>36000</v>
      </c>
      <c r="FG173">
        <f t="shared" si="412"/>
        <v>465620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>SUM(FH173:FN173)+(IF(F173="YES",50000,0))</f>
        <v>0</v>
      </c>
      <c r="FP173">
        <f t="shared" si="413"/>
        <v>465620</v>
      </c>
      <c r="FQ173">
        <f t="shared" si="414"/>
        <v>10781</v>
      </c>
      <c r="FR173">
        <f t="shared" si="415"/>
        <v>0</v>
      </c>
      <c r="FS173">
        <f t="shared" si="416"/>
        <v>10781</v>
      </c>
      <c r="FT173">
        <f t="shared" si="417"/>
        <v>0</v>
      </c>
      <c r="FU173">
        <f t="shared" si="418"/>
        <v>0</v>
      </c>
      <c r="FV173">
        <f t="shared" si="419"/>
        <v>0</v>
      </c>
      <c r="FW173">
        <v>0</v>
      </c>
      <c r="FX173">
        <f t="shared" si="420"/>
        <v>0</v>
      </c>
      <c r="FY173" t="b">
        <f t="shared" si="421"/>
        <v>1</v>
      </c>
      <c r="FZ173">
        <f t="shared" ca="1" si="422"/>
        <v>732</v>
      </c>
      <c r="GA173">
        <f t="shared" ca="1" si="423"/>
        <v>554752</v>
      </c>
      <c r="GB173">
        <f t="shared" si="424"/>
        <v>75000</v>
      </c>
      <c r="GC173">
        <f t="shared" ca="1" si="425"/>
        <v>479752</v>
      </c>
      <c r="GD173">
        <f t="shared" ca="1" si="426"/>
        <v>0</v>
      </c>
      <c r="GE173">
        <f t="shared" ca="1" si="427"/>
        <v>0</v>
      </c>
      <c r="GF173">
        <f t="shared" ca="1" si="428"/>
        <v>0</v>
      </c>
      <c r="GG173">
        <f t="shared" ca="1" si="429"/>
        <v>0</v>
      </c>
      <c r="GH173">
        <f t="shared" ca="1" si="430"/>
        <v>0</v>
      </c>
      <c r="GI173">
        <f t="shared" ca="1" si="431"/>
        <v>0</v>
      </c>
      <c r="GJ173">
        <f ca="1">IF(GC173&gt;1200000,GC173-1200000-IF(F173="YES",50000,0)-GH173,0)</f>
        <v>0</v>
      </c>
      <c r="GK173">
        <f t="shared" ca="1" si="432"/>
        <v>0</v>
      </c>
      <c r="GL173">
        <f t="shared" ca="1" si="433"/>
        <v>0</v>
      </c>
      <c r="GM173">
        <f t="shared" ca="1" si="434"/>
        <v>0</v>
      </c>
      <c r="GN173">
        <f t="shared" ca="1" si="435"/>
        <v>79752</v>
      </c>
      <c r="GO173">
        <f t="shared" ca="1" si="436"/>
        <v>3987.6000000000004</v>
      </c>
      <c r="GP173">
        <f t="shared" ca="1" si="437"/>
        <v>3988</v>
      </c>
      <c r="GQ173">
        <f t="shared" ca="1" si="438"/>
        <v>0</v>
      </c>
      <c r="GR173">
        <f t="shared" ca="1" si="439"/>
        <v>0</v>
      </c>
      <c r="GS173">
        <f t="shared" ca="1" si="440"/>
        <v>3988</v>
      </c>
      <c r="GT173">
        <f t="shared" ca="1" si="441"/>
        <v>0</v>
      </c>
      <c r="GU173" t="b">
        <f t="shared" ca="1" si="442"/>
        <v>0</v>
      </c>
      <c r="GV173">
        <f t="shared" ca="1" si="443"/>
        <v>0</v>
      </c>
      <c r="GW173">
        <f t="shared" ca="1" si="444"/>
        <v>3988</v>
      </c>
      <c r="GX173">
        <f t="shared" ca="1" si="445"/>
        <v>0</v>
      </c>
      <c r="GY173">
        <f t="shared" ca="1" si="446"/>
        <v>0</v>
      </c>
      <c r="GZ173">
        <f t="shared" ca="1" si="447"/>
        <v>0</v>
      </c>
    </row>
    <row r="174" spans="1:208" x14ac:dyDescent="0.25">
      <c r="A174">
        <f>_xlfn.AGGREGATE(3,5,$B$2:B174)</f>
        <v>173</v>
      </c>
      <c r="B174" t="s">
        <v>454</v>
      </c>
      <c r="C174" t="s">
        <v>455</v>
      </c>
      <c r="D174" t="s">
        <v>796</v>
      </c>
      <c r="E174" t="s">
        <v>831</v>
      </c>
      <c r="F174" t="s">
        <v>957</v>
      </c>
      <c r="G174" t="s">
        <v>924</v>
      </c>
      <c r="H174">
        <f t="shared" si="450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364"/>
        <v>4690</v>
      </c>
      <c r="L174">
        <f t="shared" si="365"/>
        <v>4020</v>
      </c>
      <c r="M174">
        <f>_xlfn.XLOOKUP(B174,'[1]march-2025'!$A:$A,'[1]march-2025'!$D:$D,0,0)</f>
        <v>400</v>
      </c>
      <c r="N174">
        <f>_xlfn.XLOOKUP(B174,'[1]march-2025'!$A:$A,'[1]march-2025'!$G:$G,0,0)</f>
        <v>500</v>
      </c>
      <c r="O174">
        <f>IF(J174&gt;0,SUM(J174:N174),0)</f>
        <v>43110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448"/>
        <v>200</v>
      </c>
      <c r="S174">
        <f t="shared" si="357"/>
        <v>40410</v>
      </c>
      <c r="T174">
        <f>_xlfn.XLOOKUP(B174,'[2]april-2025'!$A:$A,'[2]april-2025'!$C:$C,0,0)</f>
        <v>33500</v>
      </c>
      <c r="U174">
        <f t="shared" si="366"/>
        <v>6030</v>
      </c>
      <c r="V174">
        <f t="shared" si="367"/>
        <v>4020</v>
      </c>
      <c r="W174">
        <f>_xlfn.XLOOKUP(B174,'[2]april-2025'!$A:$A,'[2]april-2025'!$D:$D,0,0)</f>
        <v>400</v>
      </c>
      <c r="X174">
        <f>_xlfn.XLOOKUP(B174,'[2]april-2025'!$A:$A,'[2]april-2025'!$G:$G,0,0)</f>
        <v>500</v>
      </c>
      <c r="Y174">
        <f t="shared" si="358"/>
        <v>44450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368"/>
        <v>200</v>
      </c>
      <c r="AC174">
        <f t="shared" si="369"/>
        <v>41750</v>
      </c>
      <c r="AD174">
        <f>_xlfn.XLOOKUP(B174,'[3]may-2025'!$A:$A,'[3]may-2025'!$C:$C,0,0)</f>
        <v>33500</v>
      </c>
      <c r="AE174">
        <f t="shared" si="370"/>
        <v>6030</v>
      </c>
      <c r="AF174">
        <f t="shared" si="371"/>
        <v>4020</v>
      </c>
      <c r="AG174">
        <f>_xlfn.XLOOKUP(B174,'[3]may-2025'!$A:$A,'[3]may-2025'!$D:$D,0,0)</f>
        <v>400</v>
      </c>
      <c r="AH174">
        <f>_xlfn.XLOOKUP(B174,'[3]may-2025'!$A:$A,'[3]may-2025'!$G:$G,0,0)</f>
        <v>500</v>
      </c>
      <c r="AI174">
        <f t="shared" si="359"/>
        <v>44450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372"/>
        <v>200</v>
      </c>
      <c r="AM174">
        <f t="shared" si="373"/>
        <v>41750</v>
      </c>
      <c r="AN174">
        <f>_xlfn.XLOOKUP(B174,'[4]june-2025'!$A:$A,'[4]june-2025'!$C:$C,0,0)</f>
        <v>33500</v>
      </c>
      <c r="AO174">
        <f t="shared" si="374"/>
        <v>6030</v>
      </c>
      <c r="AP174">
        <f t="shared" si="375"/>
        <v>4020</v>
      </c>
      <c r="AQ174">
        <f>_xlfn.XLOOKUP(B174,'[4]june-2025'!$A:$A,'[4]june-2025'!$D:$D,0,0)</f>
        <v>400</v>
      </c>
      <c r="AR174">
        <f>_xlfn.XLOOKUP(B174,'[4]june-2025'!$A:$A,'[4]june-2025'!$G:$G,0,0)</f>
        <v>500</v>
      </c>
      <c r="AS174">
        <f t="shared" si="360"/>
        <v>44450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376"/>
        <v>200</v>
      </c>
      <c r="AW174">
        <f t="shared" si="377"/>
        <v>41750</v>
      </c>
      <c r="AX174">
        <f>_xlfn.XLOOKUP(B174,'[5]july-2025'!$A:$A,'[5]july-2025'!$C:$C,0,0)</f>
        <v>34500</v>
      </c>
      <c r="AY174">
        <f t="shared" si="378"/>
        <v>6210</v>
      </c>
      <c r="AZ174">
        <v>0</v>
      </c>
      <c r="BA174">
        <f t="shared" si="379"/>
        <v>4140</v>
      </c>
      <c r="BB174">
        <f>_xlfn.XLOOKUP(B174,'[5]july-2025'!$A:$A,'[5]july-2025'!$D:$D,0,0)</f>
        <v>400</v>
      </c>
      <c r="BC174">
        <f>_xlfn.XLOOKUP(B174,'[5]july-2025'!$A:$A,'[5]july-2025'!$G:$G,0,0)</f>
        <v>500</v>
      </c>
      <c r="BD174">
        <f>IF(AX174&gt;0,SUM(AX174:BC174),0)</f>
        <v>45750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380"/>
        <v>200</v>
      </c>
      <c r="BH174">
        <f t="shared" si="381"/>
        <v>43050</v>
      </c>
      <c r="BI174">
        <f>_xlfn.XLOOKUP(B174,'[6]august-2025'!$A:$A,'[6]august-2025'!$C:$C,0,0)</f>
        <v>34500</v>
      </c>
      <c r="BJ174">
        <f t="shared" si="382"/>
        <v>6210</v>
      </c>
      <c r="BK174">
        <f t="shared" si="383"/>
        <v>4140</v>
      </c>
      <c r="BL174">
        <f>_xlfn.XLOOKUP(B174,'[6]august-2025'!$A:$A,'[6]august-2025'!$D:$D,0,0)</f>
        <v>400</v>
      </c>
      <c r="BM174">
        <f>_xlfn.XLOOKUP(B174,'[6]august-2025'!$A:$A,'[6]august-2025'!$G:$G,0,0)</f>
        <v>500</v>
      </c>
      <c r="BN174">
        <f t="shared" si="384"/>
        <v>45750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>IF($F174="YES",0,IF(BN174&gt;40000,200,IF(BN174&gt;25000,150,IF(BN174&gt;15000,130,IF(BN174&gt;10000,110,0)))))</f>
        <v>200</v>
      </c>
      <c r="BR174">
        <f>BN174-BO174-BP174-BQ174</f>
        <v>43050</v>
      </c>
      <c r="BS174">
        <f>_xlfn.XLOOKUP(B174,'[7]september-2025'!$A:$A,'[7]september-2025'!$C:$C,0,0)</f>
        <v>34500</v>
      </c>
      <c r="BT174">
        <f t="shared" si="385"/>
        <v>6210</v>
      </c>
      <c r="BU174">
        <f t="shared" si="386"/>
        <v>4140</v>
      </c>
      <c r="BV174">
        <f>_xlfn.XLOOKUP(B174,'[7]september-2025'!$A:$A,'[7]september-2025'!$D:$D,0,0)</f>
        <v>400</v>
      </c>
      <c r="BW174">
        <f>_xlfn.XLOOKUP(B174,'[7]september-2025'!$A:$A,'[7]september-2025'!$G:$G,0,0)</f>
        <v>500</v>
      </c>
      <c r="BX174">
        <f>IF(BS174&gt;0,SUM(BS174:BW174),0)</f>
        <v>45750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387"/>
        <v>200</v>
      </c>
      <c r="CB174">
        <f t="shared" si="388"/>
        <v>43050</v>
      </c>
      <c r="CC174">
        <f>_xlfn.XLOOKUP(B174,'[8]october-2025'!$A:$A,'[8]october-2025'!$C:$C,0,0)</f>
        <v>34500</v>
      </c>
      <c r="CD174">
        <f t="shared" si="389"/>
        <v>6210</v>
      </c>
      <c r="CE174">
        <f t="shared" si="390"/>
        <v>4140</v>
      </c>
      <c r="CF174">
        <f>_xlfn.XLOOKUP(B174,'[8]october-2025'!$A:$A,'[8]october-2025'!$D:$D,0,0)</f>
        <v>400</v>
      </c>
      <c r="CG174">
        <f>_xlfn.XLOOKUP(B174,'[8]october-2025'!$A:$A,'[8]october-2025'!$G:$G,0,0)</f>
        <v>500</v>
      </c>
      <c r="CH174">
        <f>IF(CC174&gt;0,SUM(CC174:CG174),0)</f>
        <v>45750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391"/>
        <v>200</v>
      </c>
      <c r="CL174">
        <f t="shared" si="392"/>
        <v>43050</v>
      </c>
      <c r="CM174">
        <f>_xlfn.XLOOKUP(B174,'[9]november-2025'!$A:$A,'[9]november-2025'!$C:$C,0,0)</f>
        <v>34500</v>
      </c>
      <c r="CN174">
        <f t="shared" si="393"/>
        <v>6210</v>
      </c>
      <c r="CO174">
        <f t="shared" si="394"/>
        <v>4140</v>
      </c>
      <c r="CP174">
        <f>_xlfn.XLOOKUP(B174,'[9]november-2025'!$A:$A,'[9]november-2025'!$D:$D,0,0)</f>
        <v>400</v>
      </c>
      <c r="CQ174">
        <f>_xlfn.XLOOKUP(B174,'[9]november-2025'!$A:$A,'[9]november-2025'!$G:$G,0,0)</f>
        <v>500</v>
      </c>
      <c r="CR174">
        <f>IF(CM174&gt;0,SUM(CM174:CQ174),0)</f>
        <v>45750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395"/>
        <v>200</v>
      </c>
      <c r="CV174">
        <f t="shared" si="396"/>
        <v>43050</v>
      </c>
      <c r="CW174">
        <f>_xlfn.XLOOKUP(B174,'[10]december-2025'!$A:$A,'[10]december-2025'!$C:$C,0,0)</f>
        <v>34500</v>
      </c>
      <c r="CX174">
        <f t="shared" si="397"/>
        <v>6210</v>
      </c>
      <c r="CY174">
        <f t="shared" si="398"/>
        <v>4140</v>
      </c>
      <c r="CZ174">
        <f>_xlfn.XLOOKUP(B174,'[10]december-2025'!$A:$A,'[10]december-2025'!$D:$D,0,0)</f>
        <v>400</v>
      </c>
      <c r="DA174">
        <f>_xlfn.XLOOKUP(B174,'[10]december-2025'!$A:$A,'[10]december-2025'!$G:$G,0,0)</f>
        <v>500</v>
      </c>
      <c r="DB174">
        <f>IF(CW174&gt;0,SUM(CW174:DA174),0)</f>
        <v>45750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399"/>
        <v>200</v>
      </c>
      <c r="DF174">
        <f t="shared" si="400"/>
        <v>43050</v>
      </c>
      <c r="DG174">
        <f>_xlfn.XLOOKUP(B174,'[11]january-2026'!$A:$A,'[11]january-2026'!$C:$C,0,0)</f>
        <v>34500</v>
      </c>
      <c r="DH174">
        <f t="shared" si="401"/>
        <v>6210</v>
      </c>
      <c r="DI174">
        <f t="shared" si="402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>IF(DG174&gt;0,SUM(DG174:DK174),0)</f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03"/>
        <v>200</v>
      </c>
      <c r="DP174">
        <f t="shared" si="404"/>
        <v>43050</v>
      </c>
      <c r="DQ174">
        <f>_xlfn.XLOOKUP(B174,'[12]february-2026'!$A:$A,'[12]february-2026'!$C:$C,0,0)</f>
        <v>34500</v>
      </c>
      <c r="DR174">
        <f t="shared" si="405"/>
        <v>6210</v>
      </c>
      <c r="DS174">
        <f t="shared" si="406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>IF(DQ174&gt;0,SUM(DQ174:DU174),0)</f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07"/>
        <v>200</v>
      </c>
      <c r="DZ174">
        <f t="shared" si="408"/>
        <v>43050</v>
      </c>
      <c r="EA174">
        <f>_xlfn.XLOOKUP(B174,'[1]march-2025'!$A:$A,'[1]march-2025'!$J:$J,0,0)</f>
        <v>0</v>
      </c>
      <c r="EB174">
        <f>_xlfn.XLOOKUP(B174,'[2]april-2025'!$A:$A,'[2]april-2025'!$J:$J,0,0)</f>
        <v>0</v>
      </c>
      <c r="EC174">
        <f>_xlfn.XLOOKUP(B174,'[3]may-2025'!$A:$A,'[3]may-2025'!$J:$J,0,0)</f>
        <v>0</v>
      </c>
      <c r="ED174">
        <f>_xlfn.XLOOKUP(B174,'[4]june-2025'!$A:$A,'[4]june-2025'!$J:$J,0,0)</f>
        <v>0</v>
      </c>
      <c r="EE174">
        <f>_xlfn.XLOOKUP(B174,'[5]july-2025'!$A:$A,'[5]july-2025'!$J:$J,0,0)</f>
        <v>0</v>
      </c>
      <c r="EF174">
        <f>_xlfn.XLOOKUP(B174,'[6]august-2025'!$A:$A,'[6]august-2025'!$J:$J,0,0)</f>
        <v>0</v>
      </c>
      <c r="EG174">
        <f>_xlfn.XLOOKUP(B174,'[7]september-2025'!$A:$A,'[7]september-2025'!$J:$J,0,0)</f>
        <v>0</v>
      </c>
      <c r="EH174">
        <f>_xlfn.XLOOKUP(B174,'[8]october-2025'!$A:$A,'[8]october-2025'!$J:$J,0,0)</f>
        <v>0</v>
      </c>
      <c r="EI174">
        <f>_xlfn.XLOOKUP(C174,'[9]november-2025'!$A:$A,'[9]november-2025'!$J:$J,0,0)</f>
        <v>0</v>
      </c>
      <c r="EJ174">
        <f>_xlfn.XLOOKUP(B174,'[10]december-2025'!$A:$A,'[10]december-2025'!$J:$J,0,0)</f>
        <v>0</v>
      </c>
      <c r="EK174">
        <f>_xlfn.XLOOKUP(B174,'[11]january-2026'!$A:$A,'[11]january-2026'!$J:$J,0,0)</f>
        <v>0</v>
      </c>
      <c r="EL174">
        <f>_xlfn.XLOOKUP(B174,'[12]february-2026'!$A:$A,'[12]february-2026'!$J:$J,0,0)</f>
        <v>0</v>
      </c>
      <c r="EM174">
        <f t="shared" si="361"/>
        <v>0</v>
      </c>
      <c r="EN174">
        <f>DV174+DL174+DB174+CR174+CH174+BX174+BN174+BD174+AS174+AI174+Y174+O174+H174+I174</f>
        <v>549260</v>
      </c>
      <c r="EO174">
        <f>DY174+DO174+DE174+CU174+CK174+CA174+BQ174+BG174+AV174+AL174+AB174+R174</f>
        <v>2400</v>
      </c>
      <c r="EP174">
        <f t="shared" si="409"/>
        <v>50000</v>
      </c>
      <c r="EQ174">
        <v>0</v>
      </c>
      <c r="ER174">
        <f t="shared" si="362"/>
        <v>496860</v>
      </c>
      <c r="ES174">
        <f>DW174+DM174+DC174+CS174+CI174+BY174+BO174+BE174+AT174+AJ174+Z174+P174</f>
        <v>30000</v>
      </c>
      <c r="ET174">
        <f>DX174+DN174+DD174+CT174+CJ174+BZ174+BP174+BF174+AU174+AK174+AA174+Q174</f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410"/>
        <v>30000</v>
      </c>
      <c r="FF174">
        <f t="shared" si="411"/>
        <v>30000</v>
      </c>
      <c r="FG174">
        <f t="shared" si="412"/>
        <v>466860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>SUM(FH174:FN174)+(IF(F174="YES",50000,0))</f>
        <v>0</v>
      </c>
      <c r="FP174">
        <f t="shared" si="413"/>
        <v>466860</v>
      </c>
      <c r="FQ174">
        <f t="shared" si="414"/>
        <v>10843</v>
      </c>
      <c r="FR174">
        <f t="shared" si="415"/>
        <v>0</v>
      </c>
      <c r="FS174">
        <f t="shared" si="416"/>
        <v>10843</v>
      </c>
      <c r="FT174">
        <f t="shared" si="417"/>
        <v>0</v>
      </c>
      <c r="FU174">
        <f t="shared" si="418"/>
        <v>0</v>
      </c>
      <c r="FV174">
        <f t="shared" si="419"/>
        <v>0</v>
      </c>
      <c r="FW174">
        <v>0</v>
      </c>
      <c r="FX174">
        <f t="shared" si="420"/>
        <v>0</v>
      </c>
      <c r="FY174" t="b">
        <f t="shared" si="421"/>
        <v>1</v>
      </c>
      <c r="FZ174">
        <f t="shared" ca="1" si="422"/>
        <v>874</v>
      </c>
      <c r="GA174">
        <f t="shared" ca="1" si="423"/>
        <v>550134</v>
      </c>
      <c r="GB174">
        <f t="shared" si="424"/>
        <v>75000</v>
      </c>
      <c r="GC174">
        <f t="shared" ca="1" si="425"/>
        <v>475134</v>
      </c>
      <c r="GD174">
        <f t="shared" ca="1" si="426"/>
        <v>0</v>
      </c>
      <c r="GE174">
        <f t="shared" ca="1" si="427"/>
        <v>0</v>
      </c>
      <c r="GF174">
        <f t="shared" ca="1" si="428"/>
        <v>0</v>
      </c>
      <c r="GG174">
        <f t="shared" ca="1" si="429"/>
        <v>0</v>
      </c>
      <c r="GH174">
        <f t="shared" ca="1" si="430"/>
        <v>0</v>
      </c>
      <c r="GI174">
        <f t="shared" ca="1" si="431"/>
        <v>0</v>
      </c>
      <c r="GJ174">
        <f ca="1">IF(GC174&gt;1200000,GC174-1200000-IF(F174="YES",50000,0)-GH174,0)</f>
        <v>0</v>
      </c>
      <c r="GK174">
        <f t="shared" ca="1" si="432"/>
        <v>0</v>
      </c>
      <c r="GL174">
        <f t="shared" ca="1" si="433"/>
        <v>0</v>
      </c>
      <c r="GM174">
        <f t="shared" ca="1" si="434"/>
        <v>0</v>
      </c>
      <c r="GN174">
        <f t="shared" ca="1" si="435"/>
        <v>75134</v>
      </c>
      <c r="GO174">
        <f t="shared" ca="1" si="436"/>
        <v>3756.7000000000003</v>
      </c>
      <c r="GP174">
        <f t="shared" ca="1" si="437"/>
        <v>3757</v>
      </c>
      <c r="GQ174">
        <f t="shared" ca="1" si="438"/>
        <v>0</v>
      </c>
      <c r="GR174">
        <f t="shared" ca="1" si="439"/>
        <v>0</v>
      </c>
      <c r="GS174">
        <f t="shared" ca="1" si="440"/>
        <v>3757</v>
      </c>
      <c r="GT174">
        <f t="shared" ca="1" si="441"/>
        <v>0</v>
      </c>
      <c r="GU174" t="b">
        <f t="shared" ca="1" si="442"/>
        <v>0</v>
      </c>
      <c r="GV174">
        <f t="shared" ca="1" si="443"/>
        <v>0</v>
      </c>
      <c r="GW174">
        <f t="shared" ca="1" si="444"/>
        <v>3757</v>
      </c>
      <c r="GX174">
        <f t="shared" ca="1" si="445"/>
        <v>0</v>
      </c>
      <c r="GY174">
        <f t="shared" ca="1" si="446"/>
        <v>0</v>
      </c>
      <c r="GZ174">
        <f t="shared" ca="1" si="447"/>
        <v>0</v>
      </c>
    </row>
    <row r="175" spans="1:208" x14ac:dyDescent="0.25">
      <c r="A175">
        <f>_xlfn.AGGREGATE(3,5,$B$2:B175)</f>
        <v>174</v>
      </c>
      <c r="B175" t="s">
        <v>456</v>
      </c>
      <c r="C175" t="s">
        <v>457</v>
      </c>
      <c r="D175" t="s">
        <v>796</v>
      </c>
      <c r="E175" t="s">
        <v>831</v>
      </c>
      <c r="F175" t="s">
        <v>957</v>
      </c>
      <c r="G175" t="s">
        <v>880</v>
      </c>
      <c r="H175">
        <f t="shared" si="450"/>
        <v>6800</v>
      </c>
      <c r="I175">
        <f>_xlfn.XLOOKUP(B175,'[1]march-2025'!$A:$A,'[1]march-2025'!$J:$J,0,0)</f>
        <v>0</v>
      </c>
      <c r="J175">
        <f>_xlfn.XLOOKUP(B175,'[1]march-2025'!$A:$A,'[1]march-2025'!$C:$C,0,0)</f>
        <v>50200</v>
      </c>
      <c r="K175">
        <f t="shared" si="364"/>
        <v>7028.0000000000009</v>
      </c>
      <c r="L175">
        <f t="shared" si="365"/>
        <v>6024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>IF(J175&gt;0,SUM(J175:N175),0)</f>
        <v>63752</v>
      </c>
      <c r="P175">
        <f>_xlfn.XLOOKUP(B175,'[1]march-2025'!$A:$A,'[1]march-2025'!$H:$H,0,0)</f>
        <v>15000</v>
      </c>
      <c r="Q175">
        <f>_xlfn.XLOOKUP(B175,'[1]march-2025'!$A:$A,'[1]march-2025'!$I:$I,0,0)</f>
        <v>0</v>
      </c>
      <c r="R175">
        <f t="shared" si="448"/>
        <v>200</v>
      </c>
      <c r="S175">
        <f t="shared" si="357"/>
        <v>48552</v>
      </c>
      <c r="T175">
        <f>_xlfn.XLOOKUP(B175,'[2]april-2025'!$A:$A,'[2]april-2025'!$C:$C,0,0)</f>
        <v>50200</v>
      </c>
      <c r="U175">
        <f t="shared" si="366"/>
        <v>9036</v>
      </c>
      <c r="V175">
        <f t="shared" si="367"/>
        <v>6024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358"/>
        <v>65760</v>
      </c>
      <c r="Z175">
        <f>_xlfn.XLOOKUP(B175,'[2]april-2025'!$A:$A,'[2]april-2025'!$H:$H,0,0)</f>
        <v>15000</v>
      </c>
      <c r="AA175">
        <f>_xlfn.XLOOKUP(B175,'[2]april-2025'!$A:$A,'[2]april-2025'!$I:$I,0,0)</f>
        <v>0</v>
      </c>
      <c r="AB175">
        <f t="shared" si="368"/>
        <v>200</v>
      </c>
      <c r="AC175">
        <f t="shared" si="369"/>
        <v>50560</v>
      </c>
      <c r="AD175">
        <f>_xlfn.XLOOKUP(B175,'[3]may-2025'!$A:$A,'[3]may-2025'!$C:$C,0,0)</f>
        <v>50200</v>
      </c>
      <c r="AE175">
        <f t="shared" si="370"/>
        <v>9036</v>
      </c>
      <c r="AF175">
        <f t="shared" si="371"/>
        <v>6024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359"/>
        <v>65760</v>
      </c>
      <c r="AJ175">
        <f>_xlfn.XLOOKUP(B175,'[3]may-2025'!$A:$A,'[3]may-2025'!$H:$H,0,0)</f>
        <v>15000</v>
      </c>
      <c r="AK175">
        <f>_xlfn.XLOOKUP(B175,'[3]may-2025'!$A:$A,'[3]may-2025'!$I:$I,0,0)</f>
        <v>0</v>
      </c>
      <c r="AL175">
        <f t="shared" si="372"/>
        <v>200</v>
      </c>
      <c r="AM175">
        <f t="shared" si="373"/>
        <v>50560</v>
      </c>
      <c r="AN175">
        <f>_xlfn.XLOOKUP(B175,'[4]june-2025'!$A:$A,'[4]june-2025'!$C:$C,0,0)</f>
        <v>50200</v>
      </c>
      <c r="AO175">
        <f t="shared" si="374"/>
        <v>9036</v>
      </c>
      <c r="AP175">
        <f t="shared" si="375"/>
        <v>6024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360"/>
        <v>65760</v>
      </c>
      <c r="AT175">
        <f>_xlfn.XLOOKUP(B175,'[4]june-2025'!$A:$A,'[4]june-2025'!$H:$H,0,0)</f>
        <v>15000</v>
      </c>
      <c r="AU175">
        <f>_xlfn.XLOOKUP(B175,'[4]june-2025'!$A:$A,'[4]june-2025'!$I:$I,0,0)</f>
        <v>0</v>
      </c>
      <c r="AV175">
        <f t="shared" si="376"/>
        <v>200</v>
      </c>
      <c r="AW175">
        <f t="shared" si="377"/>
        <v>50560</v>
      </c>
      <c r="AX175">
        <f>_xlfn.XLOOKUP(B175,'[5]july-2025'!$A:$A,'[5]july-2025'!$C:$C,0,0)</f>
        <v>51700</v>
      </c>
      <c r="AY175">
        <f t="shared" si="378"/>
        <v>9306</v>
      </c>
      <c r="AZ175">
        <v>0</v>
      </c>
      <c r="BA175">
        <f t="shared" si="379"/>
        <v>6204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>IF(AX175&gt;0,SUM(AX175:BC175),0)</f>
        <v>67710</v>
      </c>
      <c r="BE175">
        <f>_xlfn.XLOOKUP(B175,'[5]july-2025'!$A:$A,'[5]july-2025'!$H:$H,0,0)</f>
        <v>15000</v>
      </c>
      <c r="BF175">
        <f>_xlfn.XLOOKUP(B175,'[5]july-2025'!$A:$A,'[5]july-2025'!$I:$I,0,0)</f>
        <v>0</v>
      </c>
      <c r="BG175">
        <f t="shared" si="380"/>
        <v>200</v>
      </c>
      <c r="BH175">
        <f t="shared" si="381"/>
        <v>52510</v>
      </c>
      <c r="BI175">
        <f>_xlfn.XLOOKUP(B175,'[6]august-2025'!$A:$A,'[6]august-2025'!$C:$C,0,0)</f>
        <v>51700</v>
      </c>
      <c r="BJ175">
        <f t="shared" si="382"/>
        <v>9306</v>
      </c>
      <c r="BK175">
        <f t="shared" si="383"/>
        <v>6204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384"/>
        <v>67710</v>
      </c>
      <c r="BO175">
        <f>_xlfn.XLOOKUP(B175,'[6]august-2025'!$A:$A,'[6]august-2025'!$H:$H,0,0)</f>
        <v>15000</v>
      </c>
      <c r="BP175">
        <f>_xlfn.XLOOKUP(B175,'[6]august-2025'!$A:$A,'[6]august-2025'!$I:$I,0,0)</f>
        <v>0</v>
      </c>
      <c r="BQ175">
        <f>IF($F175="YES",0,IF(BN175&gt;40000,200,IF(BN175&gt;25000,150,IF(BN175&gt;15000,130,IF(BN175&gt;10000,110,0)))))</f>
        <v>200</v>
      </c>
      <c r="BR175">
        <f>BN175-BO175-BP175-BQ175</f>
        <v>52510</v>
      </c>
      <c r="BS175">
        <f>_xlfn.XLOOKUP(B175,'[7]september-2025'!$A:$A,'[7]september-2025'!$C:$C,0,0)</f>
        <v>51700</v>
      </c>
      <c r="BT175">
        <f t="shared" si="385"/>
        <v>9306</v>
      </c>
      <c r="BU175">
        <f t="shared" si="386"/>
        <v>6204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>IF(BS175&gt;0,SUM(BS175:BW175),0)</f>
        <v>67710</v>
      </c>
      <c r="BY175">
        <f>_xlfn.XLOOKUP(B175,'[7]september-2025'!$A:$A,'[7]september-2025'!$H:$H,0,0)</f>
        <v>15000</v>
      </c>
      <c r="BZ175">
        <f>_xlfn.XLOOKUP(B175,'[7]september-2025'!$A:$A,'[7]september-2025'!$I:$I,0,0)</f>
        <v>0</v>
      </c>
      <c r="CA175">
        <f t="shared" si="387"/>
        <v>200</v>
      </c>
      <c r="CB175">
        <f t="shared" si="388"/>
        <v>52510</v>
      </c>
      <c r="CC175">
        <f>_xlfn.XLOOKUP(B175,'[8]october-2025'!$A:$A,'[8]october-2025'!$C:$C,0,0)</f>
        <v>51700</v>
      </c>
      <c r="CD175">
        <f t="shared" si="389"/>
        <v>9306</v>
      </c>
      <c r="CE175">
        <f t="shared" si="390"/>
        <v>6204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>IF(CC175&gt;0,SUM(CC175:CG175),0)</f>
        <v>67710</v>
      </c>
      <c r="CI175">
        <f>_xlfn.XLOOKUP(B175,'[8]october-2025'!$A:$A,'[8]october-2025'!$H:$H,0,0)</f>
        <v>15000</v>
      </c>
      <c r="CJ175">
        <f>_xlfn.XLOOKUP(B175,'[8]october-2025'!$A:$A,'[8]october-2025'!$I:$I,0,0)</f>
        <v>0</v>
      </c>
      <c r="CK175">
        <f t="shared" si="391"/>
        <v>200</v>
      </c>
      <c r="CL175">
        <f t="shared" si="392"/>
        <v>52510</v>
      </c>
      <c r="CM175">
        <f>_xlfn.XLOOKUP(B175,'[9]november-2025'!$A:$A,'[9]november-2025'!$C:$C,0,0)</f>
        <v>51700</v>
      </c>
      <c r="CN175">
        <f t="shared" si="393"/>
        <v>9306</v>
      </c>
      <c r="CO175">
        <f t="shared" si="394"/>
        <v>6204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>IF(CM175&gt;0,SUM(CM175:CQ175),0)</f>
        <v>67710</v>
      </c>
      <c r="CS175">
        <f>_xlfn.XLOOKUP(B175,'[9]november-2025'!$A:$A,'[9]november-2025'!$H:$H,0,0)</f>
        <v>15000</v>
      </c>
      <c r="CT175">
        <f>_xlfn.XLOOKUP(B175,'[9]november-2025'!$A:$A,'[9]november-2025'!$I:$I,0,0)</f>
        <v>0</v>
      </c>
      <c r="CU175">
        <f t="shared" si="395"/>
        <v>200</v>
      </c>
      <c r="CV175">
        <f t="shared" si="396"/>
        <v>52510</v>
      </c>
      <c r="CW175">
        <f>_xlfn.XLOOKUP(B175,'[10]december-2025'!$A:$A,'[10]december-2025'!$C:$C,0,0)</f>
        <v>51700</v>
      </c>
      <c r="CX175">
        <f t="shared" si="397"/>
        <v>9306</v>
      </c>
      <c r="CY175">
        <f t="shared" si="398"/>
        <v>6204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>IF(CW175&gt;0,SUM(CW175:DA175),0)</f>
        <v>67710</v>
      </c>
      <c r="DC175">
        <f>_xlfn.XLOOKUP(B175,'[10]december-2025'!$A:$A,'[10]december-2025'!$H:$H,0,0)</f>
        <v>15000</v>
      </c>
      <c r="DD175">
        <f>_xlfn.XLOOKUP(B175,'[10]december-2025'!$A:$A,'[10]december-2025'!$I:$I,0,0)</f>
        <v>0</v>
      </c>
      <c r="DE175">
        <f t="shared" si="399"/>
        <v>200</v>
      </c>
      <c r="DF175">
        <f t="shared" si="400"/>
        <v>52510</v>
      </c>
      <c r="DG175">
        <f>_xlfn.XLOOKUP(B175,'[11]january-2026'!$A:$A,'[11]january-2026'!$C:$C,0,0)</f>
        <v>51700</v>
      </c>
      <c r="DH175">
        <f t="shared" si="401"/>
        <v>9306</v>
      </c>
      <c r="DI175">
        <f t="shared" si="402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>IF(DG175&gt;0,SUM(DG175:DK175),0)</f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03"/>
        <v>200</v>
      </c>
      <c r="DP175">
        <f t="shared" si="404"/>
        <v>52510</v>
      </c>
      <c r="DQ175">
        <f>_xlfn.XLOOKUP(B175,'[12]february-2026'!$A:$A,'[12]february-2026'!$C:$C,0,0)</f>
        <v>51700</v>
      </c>
      <c r="DR175">
        <f t="shared" si="405"/>
        <v>9306</v>
      </c>
      <c r="DS175">
        <f t="shared" si="406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>IF(DQ175&gt;0,SUM(DQ175:DU175),0)</f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07"/>
        <v>200</v>
      </c>
      <c r="DZ175">
        <f t="shared" si="408"/>
        <v>52510</v>
      </c>
      <c r="EA175">
        <f>_xlfn.XLOOKUP(B175,'[1]march-2025'!$A:$A,'[1]march-2025'!$J:$J,0,0)</f>
        <v>0</v>
      </c>
      <c r="EB175">
        <f>_xlfn.XLOOKUP(B175,'[2]april-2025'!$A:$A,'[2]april-2025'!$J:$J,0,0)</f>
        <v>0</v>
      </c>
      <c r="EC175">
        <f>_xlfn.XLOOKUP(B175,'[3]may-2025'!$A:$A,'[3]may-2025'!$J:$J,0,0)</f>
        <v>0</v>
      </c>
      <c r="ED175">
        <f>_xlfn.XLOOKUP(B175,'[4]june-2025'!$A:$A,'[4]june-2025'!$J:$J,0,0)</f>
        <v>0</v>
      </c>
      <c r="EE175">
        <f>_xlfn.XLOOKUP(B175,'[5]july-2025'!$A:$A,'[5]july-2025'!$J:$J,0,0)</f>
        <v>0</v>
      </c>
      <c r="EF175">
        <f>_xlfn.XLOOKUP(B175,'[6]august-2025'!$A:$A,'[6]august-2025'!$J:$J,0,0)</f>
        <v>0</v>
      </c>
      <c r="EG175">
        <f>_xlfn.XLOOKUP(B175,'[7]september-2025'!$A:$A,'[7]september-2025'!$J:$J,0,0)</f>
        <v>0</v>
      </c>
      <c r="EH175">
        <f>_xlfn.XLOOKUP(B175,'[8]october-2025'!$A:$A,'[8]october-2025'!$J:$J,0,0)</f>
        <v>0</v>
      </c>
      <c r="EI175">
        <f>_xlfn.XLOOKUP(C175,'[9]november-2025'!$A:$A,'[9]november-2025'!$J:$J,0,0)</f>
        <v>0</v>
      </c>
      <c r="EJ175">
        <f>_xlfn.XLOOKUP(B175,'[10]december-2025'!$A:$A,'[10]december-2025'!$J:$J,0,0)</f>
        <v>0</v>
      </c>
      <c r="EK175">
        <f>_xlfn.XLOOKUP(B175,'[11]january-2026'!$A:$A,'[11]january-2026'!$J:$J,0,0)</f>
        <v>0</v>
      </c>
      <c r="EL175">
        <f>_xlfn.XLOOKUP(B175,'[12]february-2026'!$A:$A,'[12]february-2026'!$J:$J,0,0)</f>
        <v>0</v>
      </c>
      <c r="EM175">
        <f t="shared" si="361"/>
        <v>0</v>
      </c>
      <c r="EN175">
        <f>DV175+DL175+DB175+CR175+CH175+BX175+BN175+BD175+AS175+AI175+Y175+O175+H175+I175</f>
        <v>809512</v>
      </c>
      <c r="EO175">
        <f>DY175+DO175+DE175+CU175+CK175+CA175+BQ175+BG175+AV175+AL175+AB175+R175</f>
        <v>2400</v>
      </c>
      <c r="EP175">
        <f t="shared" si="409"/>
        <v>50000</v>
      </c>
      <c r="EQ175">
        <v>0</v>
      </c>
      <c r="ER175">
        <f t="shared" si="362"/>
        <v>757112</v>
      </c>
      <c r="ES175">
        <f>DW175+DM175+DC175+CS175+CI175+BY175+BO175+BE175+AT175+AJ175+Z175+P175</f>
        <v>180000</v>
      </c>
      <c r="ET175">
        <f>DX175+DN175+DD175+CT175+CJ175+BZ175+BP175+BF175+AU175+AK175+AA175+Q175</f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410"/>
        <v>180000</v>
      </c>
      <c r="FF175">
        <f t="shared" si="411"/>
        <v>150000</v>
      </c>
      <c r="FG175">
        <f t="shared" si="412"/>
        <v>607112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>SUM(FH175:FN175)+(IF(F175="YES",50000,0))</f>
        <v>0</v>
      </c>
      <c r="FP175">
        <f t="shared" si="413"/>
        <v>607112</v>
      </c>
      <c r="FQ175">
        <f t="shared" si="414"/>
        <v>12500</v>
      </c>
      <c r="FR175">
        <f t="shared" si="415"/>
        <v>21422</v>
      </c>
      <c r="FS175">
        <f t="shared" si="416"/>
        <v>33922</v>
      </c>
      <c r="FT175">
        <f t="shared" si="417"/>
        <v>33922</v>
      </c>
      <c r="FU175">
        <f t="shared" si="418"/>
        <v>1356.88</v>
      </c>
      <c r="FV175">
        <f t="shared" si="419"/>
        <v>35279</v>
      </c>
      <c r="FW175">
        <v>0</v>
      </c>
      <c r="FX175">
        <f t="shared" si="420"/>
        <v>35279</v>
      </c>
      <c r="FY175" t="b">
        <f t="shared" si="421"/>
        <v>1</v>
      </c>
      <c r="FZ175">
        <f t="shared" ca="1" si="422"/>
        <v>964</v>
      </c>
      <c r="GA175">
        <f t="shared" ca="1" si="423"/>
        <v>810476</v>
      </c>
      <c r="GB175">
        <f t="shared" si="424"/>
        <v>75000</v>
      </c>
      <c r="GC175">
        <f t="shared" ca="1" si="425"/>
        <v>735476</v>
      </c>
      <c r="GD175">
        <f t="shared" ca="1" si="426"/>
        <v>0</v>
      </c>
      <c r="GE175">
        <f t="shared" ca="1" si="427"/>
        <v>0</v>
      </c>
      <c r="GF175">
        <f t="shared" ca="1" si="428"/>
        <v>0</v>
      </c>
      <c r="GG175">
        <f t="shared" ca="1" si="429"/>
        <v>0</v>
      </c>
      <c r="GH175">
        <f t="shared" ca="1" si="430"/>
        <v>0</v>
      </c>
      <c r="GI175">
        <f t="shared" ca="1" si="431"/>
        <v>0</v>
      </c>
      <c r="GJ175">
        <f ca="1">IF(GC175&gt;1200000,GC175-1200000-IF(F175="YES",50000,0)-GH175,0)</f>
        <v>0</v>
      </c>
      <c r="GK175">
        <f t="shared" ca="1" si="432"/>
        <v>0</v>
      </c>
      <c r="GL175">
        <f t="shared" ca="1" si="433"/>
        <v>0</v>
      </c>
      <c r="GM175">
        <f t="shared" ca="1" si="434"/>
        <v>0</v>
      </c>
      <c r="GN175">
        <f t="shared" ca="1" si="435"/>
        <v>335476</v>
      </c>
      <c r="GO175">
        <f t="shared" ca="1" si="436"/>
        <v>16773.8</v>
      </c>
      <c r="GP175">
        <f t="shared" ca="1" si="437"/>
        <v>16774</v>
      </c>
      <c r="GQ175">
        <f t="shared" ca="1" si="438"/>
        <v>0</v>
      </c>
      <c r="GR175">
        <f t="shared" ca="1" si="439"/>
        <v>0</v>
      </c>
      <c r="GS175">
        <f t="shared" ca="1" si="440"/>
        <v>16774</v>
      </c>
      <c r="GT175">
        <f t="shared" ca="1" si="441"/>
        <v>0</v>
      </c>
      <c r="GU175" t="b">
        <f t="shared" ca="1" si="442"/>
        <v>0</v>
      </c>
      <c r="GV175">
        <f t="shared" ca="1" si="443"/>
        <v>0</v>
      </c>
      <c r="GW175">
        <f t="shared" ca="1" si="444"/>
        <v>16774</v>
      </c>
      <c r="GX175">
        <f t="shared" ca="1" si="445"/>
        <v>0</v>
      </c>
      <c r="GY175">
        <f t="shared" ca="1" si="446"/>
        <v>0</v>
      </c>
      <c r="GZ175">
        <f t="shared" ca="1" si="447"/>
        <v>0</v>
      </c>
    </row>
    <row r="176" spans="1:208" x14ac:dyDescent="0.25">
      <c r="A176">
        <f>_xlfn.AGGREGATE(3,5,$B$2:B176)</f>
        <v>175</v>
      </c>
      <c r="B176" t="s">
        <v>458</v>
      </c>
      <c r="C176" t="s">
        <v>459</v>
      </c>
      <c r="D176" t="s">
        <v>796</v>
      </c>
      <c r="E176" t="s">
        <v>831</v>
      </c>
      <c r="F176" t="s">
        <v>957</v>
      </c>
      <c r="G176" t="s">
        <v>924</v>
      </c>
      <c r="H176">
        <f t="shared" si="450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364"/>
        <v>4690</v>
      </c>
      <c r="L176">
        <f t="shared" si="365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>IF(J176&gt;0,SUM(J176:N176),0)</f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448"/>
        <v>200</v>
      </c>
      <c r="S176">
        <f t="shared" si="357"/>
        <v>40010</v>
      </c>
      <c r="T176">
        <f>_xlfn.XLOOKUP(B176,'[2]april-2025'!$A:$A,'[2]april-2025'!$C:$C,0,0)</f>
        <v>33500</v>
      </c>
      <c r="U176">
        <f t="shared" si="366"/>
        <v>6030</v>
      </c>
      <c r="V176">
        <f t="shared" si="367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358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368"/>
        <v>200</v>
      </c>
      <c r="AC176">
        <f t="shared" si="369"/>
        <v>41350</v>
      </c>
      <c r="AD176">
        <f>_xlfn.XLOOKUP(B176,'[3]may-2025'!$A:$A,'[3]may-2025'!$C:$C,0,0)</f>
        <v>33500</v>
      </c>
      <c r="AE176">
        <f t="shared" si="370"/>
        <v>6030</v>
      </c>
      <c r="AF176">
        <f t="shared" si="371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359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372"/>
        <v>200</v>
      </c>
      <c r="AM176">
        <f t="shared" si="373"/>
        <v>41350</v>
      </c>
      <c r="AN176">
        <f>_xlfn.XLOOKUP(B176,'[4]june-2025'!$A:$A,'[4]june-2025'!$C:$C,0,0)</f>
        <v>33500</v>
      </c>
      <c r="AO176">
        <f t="shared" si="374"/>
        <v>6030</v>
      </c>
      <c r="AP176">
        <f t="shared" si="375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360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376"/>
        <v>200</v>
      </c>
      <c r="AW176">
        <f t="shared" si="377"/>
        <v>41350</v>
      </c>
      <c r="AX176">
        <f>_xlfn.XLOOKUP(B176,'[5]july-2025'!$A:$A,'[5]july-2025'!$C:$C,0,0)</f>
        <v>34500</v>
      </c>
      <c r="AY176">
        <f t="shared" si="378"/>
        <v>6210</v>
      </c>
      <c r="AZ176">
        <v>0</v>
      </c>
      <c r="BA176">
        <f t="shared" si="379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>IF(AX176&gt;0,SUM(AX176:BC176),0)</f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380"/>
        <v>200</v>
      </c>
      <c r="BH176">
        <f t="shared" si="381"/>
        <v>42650</v>
      </c>
      <c r="BI176">
        <f>_xlfn.XLOOKUP(B176,'[6]august-2025'!$A:$A,'[6]august-2025'!$C:$C,0,0)</f>
        <v>34500</v>
      </c>
      <c r="BJ176">
        <f t="shared" si="382"/>
        <v>6210</v>
      </c>
      <c r="BK176">
        <f t="shared" si="383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384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>IF($F176="YES",0,IF(BN176&gt;40000,200,IF(BN176&gt;25000,150,IF(BN176&gt;15000,130,IF(BN176&gt;10000,110,0)))))</f>
        <v>200</v>
      </c>
      <c r="BR176">
        <f>BN176-BO176-BP176-BQ176</f>
        <v>42650</v>
      </c>
      <c r="BS176">
        <f>_xlfn.XLOOKUP(B176,'[7]september-2025'!$A:$A,'[7]september-2025'!$C:$C,0,0)</f>
        <v>34500</v>
      </c>
      <c r="BT176">
        <f t="shared" si="385"/>
        <v>6210</v>
      </c>
      <c r="BU176">
        <f t="shared" si="386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>IF(BS176&gt;0,SUM(BS176:BW176),0)</f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387"/>
        <v>200</v>
      </c>
      <c r="CB176">
        <f t="shared" si="388"/>
        <v>42650</v>
      </c>
      <c r="CC176">
        <f>_xlfn.XLOOKUP(B176,'[8]october-2025'!$A:$A,'[8]october-2025'!$C:$C,0,0)</f>
        <v>34500</v>
      </c>
      <c r="CD176">
        <f t="shared" si="389"/>
        <v>6210</v>
      </c>
      <c r="CE176">
        <f t="shared" si="390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>IF(CC176&gt;0,SUM(CC176:CG176),0)</f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391"/>
        <v>200</v>
      </c>
      <c r="CL176">
        <f t="shared" si="392"/>
        <v>42650</v>
      </c>
      <c r="CM176">
        <f>_xlfn.XLOOKUP(B176,'[9]november-2025'!$A:$A,'[9]november-2025'!$C:$C,0,0)</f>
        <v>34500</v>
      </c>
      <c r="CN176">
        <f t="shared" si="393"/>
        <v>6210</v>
      </c>
      <c r="CO176">
        <f t="shared" si="394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>IF(CM176&gt;0,SUM(CM176:CQ176),0)</f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395"/>
        <v>200</v>
      </c>
      <c r="CV176">
        <f t="shared" si="396"/>
        <v>42650</v>
      </c>
      <c r="CW176">
        <f>_xlfn.XLOOKUP(B176,'[10]december-2025'!$A:$A,'[10]december-2025'!$C:$C,0,0)</f>
        <v>34500</v>
      </c>
      <c r="CX176">
        <f t="shared" si="397"/>
        <v>6210</v>
      </c>
      <c r="CY176">
        <f t="shared" si="398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>IF(CW176&gt;0,SUM(CW176:DA176),0)</f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399"/>
        <v>200</v>
      </c>
      <c r="DF176">
        <f t="shared" si="400"/>
        <v>42650</v>
      </c>
      <c r="DG176">
        <f>_xlfn.XLOOKUP(B176,'[11]january-2026'!$A:$A,'[11]january-2026'!$C:$C,0,0)</f>
        <v>34500</v>
      </c>
      <c r="DH176">
        <f t="shared" si="401"/>
        <v>6210</v>
      </c>
      <c r="DI176">
        <f t="shared" si="402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>IF(DG176&gt;0,SUM(DG176:DK176),0)</f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03"/>
        <v>200</v>
      </c>
      <c r="DP176">
        <f t="shared" si="404"/>
        <v>42650</v>
      </c>
      <c r="DQ176">
        <f>_xlfn.XLOOKUP(B176,'[12]february-2026'!$A:$A,'[12]february-2026'!$C:$C,0,0)</f>
        <v>34500</v>
      </c>
      <c r="DR176">
        <f t="shared" si="405"/>
        <v>6210</v>
      </c>
      <c r="DS176">
        <f t="shared" si="406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>IF(DQ176&gt;0,SUM(DQ176:DU176),0)</f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07"/>
        <v>200</v>
      </c>
      <c r="DZ176">
        <f t="shared" si="408"/>
        <v>42650</v>
      </c>
      <c r="EA176">
        <f>_xlfn.XLOOKUP(B176,'[1]march-2025'!$A:$A,'[1]march-2025'!$J:$J,0,0)</f>
        <v>0</v>
      </c>
      <c r="EB176">
        <f>_xlfn.XLOOKUP(B176,'[2]april-2025'!$A:$A,'[2]april-2025'!$J:$J,0,0)</f>
        <v>0</v>
      </c>
      <c r="EC176">
        <f>_xlfn.XLOOKUP(B176,'[3]may-2025'!$A:$A,'[3]may-2025'!$J:$J,0,0)</f>
        <v>0</v>
      </c>
      <c r="ED176">
        <f>_xlfn.XLOOKUP(B176,'[4]june-2025'!$A:$A,'[4]june-2025'!$J:$J,0,0)</f>
        <v>0</v>
      </c>
      <c r="EE176">
        <f>_xlfn.XLOOKUP(B176,'[5]july-2025'!$A:$A,'[5]july-2025'!$J:$J,0,0)</f>
        <v>0</v>
      </c>
      <c r="EF176">
        <f>_xlfn.XLOOKUP(B176,'[6]august-2025'!$A:$A,'[6]august-2025'!$J:$J,0,0)</f>
        <v>0</v>
      </c>
      <c r="EG176">
        <f>_xlfn.XLOOKUP(B176,'[7]september-2025'!$A:$A,'[7]september-2025'!$J:$J,0,0)</f>
        <v>0</v>
      </c>
      <c r="EH176">
        <f>_xlfn.XLOOKUP(B176,'[8]october-2025'!$A:$A,'[8]october-2025'!$J:$J,0,0)</f>
        <v>0</v>
      </c>
      <c r="EI176">
        <f>_xlfn.XLOOKUP(C176,'[9]november-2025'!$A:$A,'[9]november-2025'!$J:$J,0,0)</f>
        <v>0</v>
      </c>
      <c r="EJ176">
        <f>_xlfn.XLOOKUP(B176,'[10]december-2025'!$A:$A,'[10]december-2025'!$J:$J,0,0)</f>
        <v>0</v>
      </c>
      <c r="EK176">
        <f>_xlfn.XLOOKUP(B176,'[11]january-2026'!$A:$A,'[11]january-2026'!$J:$J,0,0)</f>
        <v>0</v>
      </c>
      <c r="EL176">
        <f>_xlfn.XLOOKUP(B176,'[12]february-2026'!$A:$A,'[12]february-2026'!$J:$J,0,0)</f>
        <v>0</v>
      </c>
      <c r="EM176">
        <f t="shared" si="361"/>
        <v>0</v>
      </c>
      <c r="EN176">
        <f>DV176+DL176+DB176+CR176+CH176+BX176+BN176+BD176+AS176+AI176+Y176+O176+H176+I176</f>
        <v>544460</v>
      </c>
      <c r="EO176">
        <f>DY176+DO176+DE176+CU176+CK176+CA176+BQ176+BG176+AV176+AL176+AB176+R176</f>
        <v>2400</v>
      </c>
      <c r="EP176">
        <f t="shared" si="409"/>
        <v>50000</v>
      </c>
      <c r="EQ176">
        <v>0</v>
      </c>
      <c r="ER176">
        <f t="shared" si="362"/>
        <v>492060</v>
      </c>
      <c r="ES176">
        <f>DW176+DM176+DC176+CS176+CI176+BY176+BO176+BE176+AT176+AJ176+Z176+P176</f>
        <v>30000</v>
      </c>
      <c r="ET176">
        <f>DX176+DN176+DD176+CT176+CJ176+BZ176+BP176+BF176+AU176+AK176+AA176+Q176</f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410"/>
        <v>30000</v>
      </c>
      <c r="FF176">
        <f t="shared" si="411"/>
        <v>30000</v>
      </c>
      <c r="FG176">
        <f t="shared" si="412"/>
        <v>462060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>SUM(FH176:FN176)+(IF(F176="YES",50000,0))</f>
        <v>0</v>
      </c>
      <c r="FP176">
        <f t="shared" si="413"/>
        <v>462060</v>
      </c>
      <c r="FQ176">
        <f t="shared" si="414"/>
        <v>10603</v>
      </c>
      <c r="FR176">
        <f t="shared" si="415"/>
        <v>0</v>
      </c>
      <c r="FS176">
        <f t="shared" si="416"/>
        <v>10603</v>
      </c>
      <c r="FT176">
        <f t="shared" si="417"/>
        <v>0</v>
      </c>
      <c r="FU176">
        <f t="shared" si="418"/>
        <v>0</v>
      </c>
      <c r="FV176">
        <f t="shared" si="419"/>
        <v>0</v>
      </c>
      <c r="FW176">
        <v>0</v>
      </c>
      <c r="FX176">
        <f t="shared" si="420"/>
        <v>0</v>
      </c>
      <c r="FY176" t="b">
        <f t="shared" si="421"/>
        <v>1</v>
      </c>
      <c r="FZ176">
        <f t="shared" ca="1" si="422"/>
        <v>867</v>
      </c>
      <c r="GA176">
        <f t="shared" ca="1" si="423"/>
        <v>545327</v>
      </c>
      <c r="GB176">
        <f t="shared" si="424"/>
        <v>75000</v>
      </c>
      <c r="GC176">
        <f t="shared" ca="1" si="425"/>
        <v>470327</v>
      </c>
      <c r="GD176">
        <f t="shared" ca="1" si="426"/>
        <v>0</v>
      </c>
      <c r="GE176">
        <f t="shared" ca="1" si="427"/>
        <v>0</v>
      </c>
      <c r="GF176">
        <f t="shared" ca="1" si="428"/>
        <v>0</v>
      </c>
      <c r="GG176">
        <f t="shared" ca="1" si="429"/>
        <v>0</v>
      </c>
      <c r="GH176">
        <f t="shared" ca="1" si="430"/>
        <v>0</v>
      </c>
      <c r="GI176">
        <f t="shared" ca="1" si="431"/>
        <v>0</v>
      </c>
      <c r="GJ176">
        <f ca="1">IF(GC176&gt;1200000,GC176-1200000-IF(F176="YES",50000,0)-GH176,0)</f>
        <v>0</v>
      </c>
      <c r="GK176">
        <f t="shared" ca="1" si="432"/>
        <v>0</v>
      </c>
      <c r="GL176">
        <f t="shared" ca="1" si="433"/>
        <v>0</v>
      </c>
      <c r="GM176">
        <f t="shared" ca="1" si="434"/>
        <v>0</v>
      </c>
      <c r="GN176">
        <f t="shared" ca="1" si="435"/>
        <v>70327</v>
      </c>
      <c r="GO176">
        <f t="shared" ca="1" si="436"/>
        <v>3516.3500000000004</v>
      </c>
      <c r="GP176">
        <f t="shared" ca="1" si="437"/>
        <v>3516</v>
      </c>
      <c r="GQ176">
        <f t="shared" ca="1" si="438"/>
        <v>0</v>
      </c>
      <c r="GR176">
        <f t="shared" ca="1" si="439"/>
        <v>0</v>
      </c>
      <c r="GS176">
        <f t="shared" ca="1" si="440"/>
        <v>3516</v>
      </c>
      <c r="GT176">
        <f t="shared" ca="1" si="441"/>
        <v>0</v>
      </c>
      <c r="GU176" t="b">
        <f t="shared" ca="1" si="442"/>
        <v>0</v>
      </c>
      <c r="GV176">
        <f t="shared" ca="1" si="443"/>
        <v>0</v>
      </c>
      <c r="GW176">
        <f t="shared" ca="1" si="444"/>
        <v>3516</v>
      </c>
      <c r="GX176">
        <f t="shared" ca="1" si="445"/>
        <v>0</v>
      </c>
      <c r="GY176">
        <f t="shared" ca="1" si="446"/>
        <v>0</v>
      </c>
      <c r="GZ176">
        <f t="shared" ca="1" si="447"/>
        <v>0</v>
      </c>
    </row>
    <row r="177" spans="1:208" x14ac:dyDescent="0.25">
      <c r="A177">
        <f>_xlfn.AGGREGATE(3,5,$B$2:B177)</f>
        <v>176</v>
      </c>
      <c r="B177" t="s">
        <v>460</v>
      </c>
      <c r="C177" t="s">
        <v>461</v>
      </c>
      <c r="D177" t="s">
        <v>796</v>
      </c>
      <c r="E177" t="s">
        <v>831</v>
      </c>
      <c r="F177" t="s">
        <v>957</v>
      </c>
      <c r="G177" t="s">
        <v>924</v>
      </c>
      <c r="H177">
        <f t="shared" si="450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364"/>
        <v>4690</v>
      </c>
      <c r="L177">
        <f t="shared" si="365"/>
        <v>4020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>IF(J177&gt;0,SUM(J177:N177),0)</f>
        <v>42710</v>
      </c>
      <c r="P177">
        <f>_xlfn.XLOOKUP(B177,'[1]march-2025'!$A:$A,'[1]march-2025'!$H:$H,0,0)</f>
        <v>2500</v>
      </c>
      <c r="Q177">
        <f>_xlfn.XLOOKUP(B177,'[1]march-2025'!$A:$A,'[1]march-2025'!$I:$I,0,0)</f>
        <v>0</v>
      </c>
      <c r="R177">
        <f t="shared" si="448"/>
        <v>200</v>
      </c>
      <c r="S177">
        <f t="shared" si="357"/>
        <v>40010</v>
      </c>
      <c r="T177">
        <f>_xlfn.XLOOKUP(B177,'[2]april-2025'!$A:$A,'[2]april-2025'!$C:$C,0,0)</f>
        <v>33500</v>
      </c>
      <c r="U177">
        <f t="shared" si="366"/>
        <v>6030</v>
      </c>
      <c r="V177">
        <f t="shared" si="367"/>
        <v>4020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358"/>
        <v>44050</v>
      </c>
      <c r="Z177">
        <f>_xlfn.XLOOKUP(B177,'[2]april-2025'!$A:$A,'[2]april-2025'!$H:$H,0,0)</f>
        <v>2500</v>
      </c>
      <c r="AA177">
        <f>_xlfn.XLOOKUP(B177,'[2]april-2025'!$A:$A,'[2]april-2025'!$I:$I,0,0)</f>
        <v>0</v>
      </c>
      <c r="AB177">
        <f t="shared" si="368"/>
        <v>200</v>
      </c>
      <c r="AC177">
        <f t="shared" si="369"/>
        <v>41350</v>
      </c>
      <c r="AD177">
        <f>_xlfn.XLOOKUP(B177,'[3]may-2025'!$A:$A,'[3]may-2025'!$C:$C,0,0)</f>
        <v>33500</v>
      </c>
      <c r="AE177">
        <f t="shared" si="370"/>
        <v>6030</v>
      </c>
      <c r="AF177">
        <f t="shared" si="371"/>
        <v>4020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359"/>
        <v>44050</v>
      </c>
      <c r="AJ177">
        <f>_xlfn.XLOOKUP(B177,'[3]may-2025'!$A:$A,'[3]may-2025'!$H:$H,0,0)</f>
        <v>2500</v>
      </c>
      <c r="AK177">
        <f>_xlfn.XLOOKUP(B177,'[3]may-2025'!$A:$A,'[3]may-2025'!$I:$I,0,0)</f>
        <v>0</v>
      </c>
      <c r="AL177">
        <f t="shared" si="372"/>
        <v>200</v>
      </c>
      <c r="AM177">
        <f t="shared" si="373"/>
        <v>41350</v>
      </c>
      <c r="AN177">
        <f>_xlfn.XLOOKUP(B177,'[4]june-2025'!$A:$A,'[4]june-2025'!$C:$C,0,0)</f>
        <v>33500</v>
      </c>
      <c r="AO177">
        <f t="shared" si="374"/>
        <v>6030</v>
      </c>
      <c r="AP177">
        <f t="shared" si="375"/>
        <v>4020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360"/>
        <v>44050</v>
      </c>
      <c r="AT177">
        <f>_xlfn.XLOOKUP(B177,'[4]june-2025'!$A:$A,'[4]june-2025'!$H:$H,0,0)</f>
        <v>2500</v>
      </c>
      <c r="AU177">
        <f>_xlfn.XLOOKUP(B177,'[4]june-2025'!$A:$A,'[4]june-2025'!$I:$I,0,0)</f>
        <v>0</v>
      </c>
      <c r="AV177">
        <f t="shared" si="376"/>
        <v>200</v>
      </c>
      <c r="AW177">
        <f t="shared" si="377"/>
        <v>41350</v>
      </c>
      <c r="AX177">
        <f>_xlfn.XLOOKUP(B177,'[5]july-2025'!$A:$A,'[5]july-2025'!$C:$C,0,0)</f>
        <v>34500</v>
      </c>
      <c r="AY177">
        <f t="shared" si="378"/>
        <v>6210</v>
      </c>
      <c r="AZ177">
        <v>0</v>
      </c>
      <c r="BA177">
        <f t="shared" si="379"/>
        <v>4140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>IF(AX177&gt;0,SUM(AX177:BC177),0)</f>
        <v>45350</v>
      </c>
      <c r="BE177">
        <f>_xlfn.XLOOKUP(B177,'[5]july-2025'!$A:$A,'[5]july-2025'!$H:$H,0,0)</f>
        <v>2500</v>
      </c>
      <c r="BF177">
        <f>_xlfn.XLOOKUP(B177,'[5]july-2025'!$A:$A,'[5]july-2025'!$I:$I,0,0)</f>
        <v>0</v>
      </c>
      <c r="BG177">
        <f t="shared" si="380"/>
        <v>200</v>
      </c>
      <c r="BH177">
        <f t="shared" si="381"/>
        <v>42650</v>
      </c>
      <c r="BI177">
        <f>_xlfn.XLOOKUP(B177,'[6]august-2025'!$A:$A,'[6]august-2025'!$C:$C,0,0)</f>
        <v>34500</v>
      </c>
      <c r="BJ177">
        <f t="shared" si="382"/>
        <v>6210</v>
      </c>
      <c r="BK177">
        <f t="shared" si="383"/>
        <v>4140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384"/>
        <v>45350</v>
      </c>
      <c r="BO177">
        <f>_xlfn.XLOOKUP(B177,'[6]august-2025'!$A:$A,'[6]august-2025'!$H:$H,0,0)</f>
        <v>2500</v>
      </c>
      <c r="BP177">
        <f>_xlfn.XLOOKUP(B177,'[6]august-2025'!$A:$A,'[6]august-2025'!$I:$I,0,0)</f>
        <v>0</v>
      </c>
      <c r="BQ177">
        <f>IF($F177="YES",0,IF(BN177&gt;40000,200,IF(BN177&gt;25000,150,IF(BN177&gt;15000,130,IF(BN177&gt;10000,110,0)))))</f>
        <v>200</v>
      </c>
      <c r="BR177">
        <f>BN177-BO177-BP177-BQ177</f>
        <v>42650</v>
      </c>
      <c r="BS177">
        <f>_xlfn.XLOOKUP(B177,'[7]september-2025'!$A:$A,'[7]september-2025'!$C:$C,0,0)</f>
        <v>34500</v>
      </c>
      <c r="BT177">
        <f t="shared" si="385"/>
        <v>6210</v>
      </c>
      <c r="BU177">
        <f t="shared" si="386"/>
        <v>4140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>IF(BS177&gt;0,SUM(BS177:BW177),0)</f>
        <v>45350</v>
      </c>
      <c r="BY177">
        <f>_xlfn.XLOOKUP(B177,'[7]september-2025'!$A:$A,'[7]september-2025'!$H:$H,0,0)</f>
        <v>2500</v>
      </c>
      <c r="BZ177">
        <f>_xlfn.XLOOKUP(B177,'[7]september-2025'!$A:$A,'[7]september-2025'!$I:$I,0,0)</f>
        <v>0</v>
      </c>
      <c r="CA177">
        <f t="shared" si="387"/>
        <v>200</v>
      </c>
      <c r="CB177">
        <f t="shared" si="388"/>
        <v>42650</v>
      </c>
      <c r="CC177">
        <f>_xlfn.XLOOKUP(B177,'[8]october-2025'!$A:$A,'[8]october-2025'!$C:$C,0,0)</f>
        <v>34500</v>
      </c>
      <c r="CD177">
        <f t="shared" si="389"/>
        <v>6210</v>
      </c>
      <c r="CE177">
        <f t="shared" si="390"/>
        <v>4140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>IF(CC177&gt;0,SUM(CC177:CG177),0)</f>
        <v>45350</v>
      </c>
      <c r="CI177">
        <f>_xlfn.XLOOKUP(B177,'[8]october-2025'!$A:$A,'[8]october-2025'!$H:$H,0,0)</f>
        <v>2500</v>
      </c>
      <c r="CJ177">
        <f>_xlfn.XLOOKUP(B177,'[8]october-2025'!$A:$A,'[8]october-2025'!$I:$I,0,0)</f>
        <v>0</v>
      </c>
      <c r="CK177">
        <f t="shared" si="391"/>
        <v>200</v>
      </c>
      <c r="CL177">
        <f t="shared" si="392"/>
        <v>42650</v>
      </c>
      <c r="CM177">
        <f>_xlfn.XLOOKUP(B177,'[9]november-2025'!$A:$A,'[9]november-2025'!$C:$C,0,0)</f>
        <v>34500</v>
      </c>
      <c r="CN177">
        <f t="shared" si="393"/>
        <v>6210</v>
      </c>
      <c r="CO177">
        <f t="shared" si="394"/>
        <v>4140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>IF(CM177&gt;0,SUM(CM177:CQ177),0)</f>
        <v>45350</v>
      </c>
      <c r="CS177">
        <f>_xlfn.XLOOKUP(B177,'[9]november-2025'!$A:$A,'[9]november-2025'!$H:$H,0,0)</f>
        <v>2500</v>
      </c>
      <c r="CT177">
        <f>_xlfn.XLOOKUP(B177,'[9]november-2025'!$A:$A,'[9]november-2025'!$I:$I,0,0)</f>
        <v>0</v>
      </c>
      <c r="CU177">
        <f t="shared" si="395"/>
        <v>200</v>
      </c>
      <c r="CV177">
        <f t="shared" si="396"/>
        <v>42650</v>
      </c>
      <c r="CW177">
        <f>_xlfn.XLOOKUP(B177,'[10]december-2025'!$A:$A,'[10]december-2025'!$C:$C,0,0)</f>
        <v>34500</v>
      </c>
      <c r="CX177">
        <f t="shared" si="397"/>
        <v>6210</v>
      </c>
      <c r="CY177">
        <f t="shared" si="398"/>
        <v>4140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>IF(CW177&gt;0,SUM(CW177:DA177),0)</f>
        <v>45350</v>
      </c>
      <c r="DC177">
        <f>_xlfn.XLOOKUP(B177,'[10]december-2025'!$A:$A,'[10]december-2025'!$H:$H,0,0)</f>
        <v>2500</v>
      </c>
      <c r="DD177">
        <f>_xlfn.XLOOKUP(B177,'[10]december-2025'!$A:$A,'[10]december-2025'!$I:$I,0,0)</f>
        <v>0</v>
      </c>
      <c r="DE177">
        <f t="shared" si="399"/>
        <v>200</v>
      </c>
      <c r="DF177">
        <f t="shared" si="400"/>
        <v>42650</v>
      </c>
      <c r="DG177">
        <f>_xlfn.XLOOKUP(B177,'[11]january-2026'!$A:$A,'[11]january-2026'!$C:$C,0,0)</f>
        <v>34500</v>
      </c>
      <c r="DH177">
        <f t="shared" si="401"/>
        <v>6210</v>
      </c>
      <c r="DI177">
        <f t="shared" si="402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>IF(DG177&gt;0,SUM(DG177:DK177),0)</f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03"/>
        <v>200</v>
      </c>
      <c r="DP177">
        <f t="shared" si="404"/>
        <v>42650</v>
      </c>
      <c r="DQ177">
        <f>_xlfn.XLOOKUP(B177,'[12]february-2026'!$A:$A,'[12]february-2026'!$C:$C,0,0)</f>
        <v>34500</v>
      </c>
      <c r="DR177">
        <f t="shared" si="405"/>
        <v>6210</v>
      </c>
      <c r="DS177">
        <f t="shared" si="406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>IF(DQ177&gt;0,SUM(DQ177:DU177),0)</f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07"/>
        <v>200</v>
      </c>
      <c r="DZ177">
        <f t="shared" si="408"/>
        <v>42650</v>
      </c>
      <c r="EA177">
        <f>_xlfn.XLOOKUP(B177,'[1]march-2025'!$A:$A,'[1]march-2025'!$J:$J,0,0)</f>
        <v>0</v>
      </c>
      <c r="EB177">
        <f>_xlfn.XLOOKUP(B177,'[2]april-2025'!$A:$A,'[2]april-2025'!$J:$J,0,0)</f>
        <v>0</v>
      </c>
      <c r="EC177">
        <f>_xlfn.XLOOKUP(B177,'[3]may-2025'!$A:$A,'[3]may-2025'!$J:$J,0,0)</f>
        <v>0</v>
      </c>
      <c r="ED177">
        <f>_xlfn.XLOOKUP(B177,'[4]june-2025'!$A:$A,'[4]june-2025'!$J:$J,0,0)</f>
        <v>0</v>
      </c>
      <c r="EE177">
        <f>_xlfn.XLOOKUP(B177,'[5]july-2025'!$A:$A,'[5]july-2025'!$J:$J,0,0)</f>
        <v>0</v>
      </c>
      <c r="EF177">
        <f>_xlfn.XLOOKUP(B177,'[6]august-2025'!$A:$A,'[6]august-2025'!$J:$J,0,0)</f>
        <v>0</v>
      </c>
      <c r="EG177">
        <f>_xlfn.XLOOKUP(B177,'[7]september-2025'!$A:$A,'[7]september-2025'!$J:$J,0,0)</f>
        <v>0</v>
      </c>
      <c r="EH177">
        <f>_xlfn.XLOOKUP(B177,'[8]october-2025'!$A:$A,'[8]october-2025'!$J:$J,0,0)</f>
        <v>0</v>
      </c>
      <c r="EI177">
        <f>_xlfn.XLOOKUP(C177,'[9]november-2025'!$A:$A,'[9]november-2025'!$J:$J,0,0)</f>
        <v>0</v>
      </c>
      <c r="EJ177">
        <f>_xlfn.XLOOKUP(B177,'[10]december-2025'!$A:$A,'[10]december-2025'!$J:$J,0,0)</f>
        <v>0</v>
      </c>
      <c r="EK177">
        <f>_xlfn.XLOOKUP(B177,'[11]january-2026'!$A:$A,'[11]january-2026'!$J:$J,0,0)</f>
        <v>0</v>
      </c>
      <c r="EL177">
        <f>_xlfn.XLOOKUP(B177,'[12]february-2026'!$A:$A,'[12]february-2026'!$J:$J,0,0)</f>
        <v>0</v>
      </c>
      <c r="EM177">
        <f t="shared" si="361"/>
        <v>0</v>
      </c>
      <c r="EN177">
        <f>DV177+DL177+DB177+CR177+CH177+BX177+BN177+BD177+AS177+AI177+Y177+O177+H177+I177</f>
        <v>544460</v>
      </c>
      <c r="EO177">
        <f>DY177+DO177+DE177+CU177+CK177+CA177+BQ177+BG177+AV177+AL177+AB177+R177</f>
        <v>2400</v>
      </c>
      <c r="EP177">
        <f t="shared" si="409"/>
        <v>50000</v>
      </c>
      <c r="EQ177">
        <v>0</v>
      </c>
      <c r="ER177">
        <f t="shared" si="362"/>
        <v>492060</v>
      </c>
      <c r="ES177">
        <f>DW177+DM177+DC177+CS177+CI177+BY177+BO177+BE177+AT177+AJ177+Z177+P177</f>
        <v>30000</v>
      </c>
      <c r="ET177">
        <f>DX177+DN177+DD177+CT177+CJ177+BZ177+BP177+BF177+AU177+AK177+AA177+Q177</f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410"/>
        <v>30000</v>
      </c>
      <c r="FF177">
        <f t="shared" si="411"/>
        <v>30000</v>
      </c>
      <c r="FG177">
        <f t="shared" si="412"/>
        <v>462060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>SUM(FH177:FN177)+(IF(F177="YES",50000,0))</f>
        <v>0</v>
      </c>
      <c r="FP177">
        <f t="shared" si="413"/>
        <v>462060</v>
      </c>
      <c r="FQ177">
        <f t="shared" si="414"/>
        <v>10603</v>
      </c>
      <c r="FR177">
        <f t="shared" si="415"/>
        <v>0</v>
      </c>
      <c r="FS177">
        <f t="shared" si="416"/>
        <v>10603</v>
      </c>
      <c r="FT177">
        <f t="shared" si="417"/>
        <v>0</v>
      </c>
      <c r="FU177">
        <f t="shared" si="418"/>
        <v>0</v>
      </c>
      <c r="FV177">
        <f t="shared" si="419"/>
        <v>0</v>
      </c>
      <c r="FW177">
        <v>0</v>
      </c>
      <c r="FX177">
        <f t="shared" si="420"/>
        <v>0</v>
      </c>
      <c r="FY177" t="b">
        <f t="shared" si="421"/>
        <v>1</v>
      </c>
      <c r="FZ177">
        <f t="shared" ca="1" si="422"/>
        <v>946</v>
      </c>
      <c r="GA177">
        <f t="shared" ca="1" si="423"/>
        <v>545406</v>
      </c>
      <c r="GB177">
        <f t="shared" si="424"/>
        <v>75000</v>
      </c>
      <c r="GC177">
        <f t="shared" ca="1" si="425"/>
        <v>470406</v>
      </c>
      <c r="GD177">
        <f t="shared" ca="1" si="426"/>
        <v>0</v>
      </c>
      <c r="GE177">
        <f t="shared" ca="1" si="427"/>
        <v>0</v>
      </c>
      <c r="GF177">
        <f t="shared" ca="1" si="428"/>
        <v>0</v>
      </c>
      <c r="GG177">
        <f t="shared" ca="1" si="429"/>
        <v>0</v>
      </c>
      <c r="GH177">
        <f t="shared" ca="1" si="430"/>
        <v>0</v>
      </c>
      <c r="GI177">
        <f t="shared" ca="1" si="431"/>
        <v>0</v>
      </c>
      <c r="GJ177">
        <f ca="1">IF(GC177&gt;1200000,GC177-1200000-IF(F177="YES",50000,0)-GH177,0)</f>
        <v>0</v>
      </c>
      <c r="GK177">
        <f t="shared" ca="1" si="432"/>
        <v>0</v>
      </c>
      <c r="GL177">
        <f t="shared" ca="1" si="433"/>
        <v>0</v>
      </c>
      <c r="GM177">
        <f t="shared" ca="1" si="434"/>
        <v>0</v>
      </c>
      <c r="GN177">
        <f t="shared" ca="1" si="435"/>
        <v>70406</v>
      </c>
      <c r="GO177">
        <f t="shared" ca="1" si="436"/>
        <v>3520.3</v>
      </c>
      <c r="GP177">
        <f t="shared" ca="1" si="437"/>
        <v>3520</v>
      </c>
      <c r="GQ177">
        <f t="shared" ca="1" si="438"/>
        <v>0</v>
      </c>
      <c r="GR177">
        <f t="shared" ca="1" si="439"/>
        <v>0</v>
      </c>
      <c r="GS177">
        <f t="shared" ca="1" si="440"/>
        <v>3520</v>
      </c>
      <c r="GT177">
        <f t="shared" ca="1" si="441"/>
        <v>0</v>
      </c>
      <c r="GU177" t="b">
        <f t="shared" ca="1" si="442"/>
        <v>0</v>
      </c>
      <c r="GV177">
        <f t="shared" ca="1" si="443"/>
        <v>0</v>
      </c>
      <c r="GW177">
        <f t="shared" ca="1" si="444"/>
        <v>3520</v>
      </c>
      <c r="GX177">
        <f t="shared" ca="1" si="445"/>
        <v>0</v>
      </c>
      <c r="GY177">
        <f t="shared" ca="1" si="446"/>
        <v>0</v>
      </c>
      <c r="GZ177">
        <f t="shared" ca="1" si="447"/>
        <v>0</v>
      </c>
    </row>
    <row r="178" spans="1:208" x14ac:dyDescent="0.25">
      <c r="A178">
        <f>_xlfn.AGGREGATE(3,5,$B$2:B178)</f>
        <v>177</v>
      </c>
      <c r="B178" t="s">
        <v>462</v>
      </c>
      <c r="C178" t="s">
        <v>463</v>
      </c>
      <c r="D178" t="s">
        <v>797</v>
      </c>
      <c r="E178" t="s">
        <v>831</v>
      </c>
      <c r="F178" t="s">
        <v>957</v>
      </c>
      <c r="G178" t="s">
        <v>933</v>
      </c>
      <c r="H178">
        <f t="shared" si="450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364"/>
        <v>4690</v>
      </c>
      <c r="L178">
        <f t="shared" si="365"/>
        <v>4020</v>
      </c>
      <c r="M178">
        <f>_xlfn.XLOOKUP(B178,'[1]march-2025'!$A:$A,'[1]march-2025'!$D:$D,0,0)</f>
        <v>400</v>
      </c>
      <c r="N178">
        <f>_xlfn.XLOOKUP(B178,'[1]march-2025'!$A:$A,'[1]march-2025'!$G:$G,0,0)</f>
        <v>500</v>
      </c>
      <c r="O178">
        <f>IF(J178&gt;0,SUM(J178:N178),0)</f>
        <v>43110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448"/>
        <v>200</v>
      </c>
      <c r="S178">
        <f t="shared" si="357"/>
        <v>39910</v>
      </c>
      <c r="T178">
        <f>_xlfn.XLOOKUP(B178,'[2]april-2025'!$A:$A,'[2]april-2025'!$C:$C,0,0)</f>
        <v>33500</v>
      </c>
      <c r="U178">
        <f t="shared" si="366"/>
        <v>6030</v>
      </c>
      <c r="V178">
        <f t="shared" si="367"/>
        <v>4020</v>
      </c>
      <c r="W178">
        <f>_xlfn.XLOOKUP(B178,'[2]april-2025'!$A:$A,'[2]april-2025'!$D:$D,0,0)</f>
        <v>400</v>
      </c>
      <c r="X178">
        <f>_xlfn.XLOOKUP(B178,'[2]april-2025'!$A:$A,'[2]april-2025'!$G:$G,0,0)</f>
        <v>500</v>
      </c>
      <c r="Y178">
        <f t="shared" si="358"/>
        <v>44450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368"/>
        <v>200</v>
      </c>
      <c r="AC178">
        <f t="shared" si="369"/>
        <v>41250</v>
      </c>
      <c r="AD178">
        <f>_xlfn.XLOOKUP(B178,'[3]may-2025'!$A:$A,'[3]may-2025'!$C:$C,0,0)</f>
        <v>33500</v>
      </c>
      <c r="AE178">
        <f t="shared" si="370"/>
        <v>6030</v>
      </c>
      <c r="AF178">
        <f t="shared" si="371"/>
        <v>4020</v>
      </c>
      <c r="AG178">
        <f>_xlfn.XLOOKUP(B178,'[3]may-2025'!$A:$A,'[3]may-2025'!$D:$D,0,0)</f>
        <v>400</v>
      </c>
      <c r="AH178">
        <f>_xlfn.XLOOKUP(B178,'[3]may-2025'!$A:$A,'[3]may-2025'!$G:$G,0,0)</f>
        <v>500</v>
      </c>
      <c r="AI178">
        <f t="shared" si="359"/>
        <v>44450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372"/>
        <v>200</v>
      </c>
      <c r="AM178">
        <f t="shared" si="373"/>
        <v>41250</v>
      </c>
      <c r="AN178">
        <f>_xlfn.XLOOKUP(B178,'[4]june-2025'!$A:$A,'[4]june-2025'!$C:$C,0,0)</f>
        <v>33500</v>
      </c>
      <c r="AO178">
        <f t="shared" si="374"/>
        <v>6030</v>
      </c>
      <c r="AP178">
        <f t="shared" si="375"/>
        <v>4020</v>
      </c>
      <c r="AQ178">
        <f>_xlfn.XLOOKUP(B178,'[4]june-2025'!$A:$A,'[4]june-2025'!$D:$D,0,0)</f>
        <v>400</v>
      </c>
      <c r="AR178">
        <f>_xlfn.XLOOKUP(B178,'[4]june-2025'!$A:$A,'[4]june-2025'!$G:$G,0,0)</f>
        <v>500</v>
      </c>
      <c r="AS178">
        <f t="shared" si="360"/>
        <v>44450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376"/>
        <v>200</v>
      </c>
      <c r="AW178">
        <f t="shared" si="377"/>
        <v>41250</v>
      </c>
      <c r="AX178">
        <f>_xlfn.XLOOKUP(B178,'[5]july-2025'!$A:$A,'[5]july-2025'!$C:$C,0,0)</f>
        <v>34500</v>
      </c>
      <c r="AY178">
        <f t="shared" si="378"/>
        <v>6210</v>
      </c>
      <c r="AZ178">
        <v>0</v>
      </c>
      <c r="BA178">
        <f t="shared" si="379"/>
        <v>4140</v>
      </c>
      <c r="BB178">
        <f>_xlfn.XLOOKUP(B178,'[5]july-2025'!$A:$A,'[5]july-2025'!$D:$D,0,0)</f>
        <v>400</v>
      </c>
      <c r="BC178">
        <f>_xlfn.XLOOKUP(B178,'[5]july-2025'!$A:$A,'[5]july-2025'!$G:$G,0,0)</f>
        <v>500</v>
      </c>
      <c r="BD178">
        <f>IF(AX178&gt;0,SUM(AX178:BC178),0)</f>
        <v>45750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380"/>
        <v>200</v>
      </c>
      <c r="BH178">
        <f t="shared" si="381"/>
        <v>42550</v>
      </c>
      <c r="BI178">
        <f>_xlfn.XLOOKUP(B178,'[6]august-2025'!$A:$A,'[6]august-2025'!$C:$C,0,0)</f>
        <v>34500</v>
      </c>
      <c r="BJ178">
        <f t="shared" si="382"/>
        <v>6210</v>
      </c>
      <c r="BK178">
        <f t="shared" si="383"/>
        <v>4140</v>
      </c>
      <c r="BL178">
        <f>_xlfn.XLOOKUP(B178,'[6]august-2025'!$A:$A,'[6]august-2025'!$D:$D,0,0)</f>
        <v>400</v>
      </c>
      <c r="BM178">
        <f>_xlfn.XLOOKUP(B178,'[6]august-2025'!$A:$A,'[6]august-2025'!$G:$G,0,0)</f>
        <v>500</v>
      </c>
      <c r="BN178">
        <f t="shared" si="384"/>
        <v>45750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>IF($F178="YES",0,IF(BN178&gt;40000,200,IF(BN178&gt;25000,150,IF(BN178&gt;15000,130,IF(BN178&gt;10000,110,0)))))</f>
        <v>200</v>
      </c>
      <c r="BR178">
        <f>BN178-BO178-BP178-BQ178</f>
        <v>42550</v>
      </c>
      <c r="BS178">
        <f>_xlfn.XLOOKUP(B178,'[7]september-2025'!$A:$A,'[7]september-2025'!$C:$C,0,0)</f>
        <v>34500</v>
      </c>
      <c r="BT178">
        <f t="shared" si="385"/>
        <v>6210</v>
      </c>
      <c r="BU178">
        <f t="shared" si="386"/>
        <v>4140</v>
      </c>
      <c r="BV178">
        <f>_xlfn.XLOOKUP(B178,'[7]september-2025'!$A:$A,'[7]september-2025'!$D:$D,0,0)</f>
        <v>400</v>
      </c>
      <c r="BW178">
        <f>_xlfn.XLOOKUP(B178,'[7]september-2025'!$A:$A,'[7]september-2025'!$G:$G,0,0)</f>
        <v>500</v>
      </c>
      <c r="BX178">
        <f>IF(BS178&gt;0,SUM(BS178:BW178),0)</f>
        <v>45750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387"/>
        <v>200</v>
      </c>
      <c r="CB178">
        <f t="shared" si="388"/>
        <v>42550</v>
      </c>
      <c r="CC178">
        <f>_xlfn.XLOOKUP(B178,'[8]october-2025'!$A:$A,'[8]october-2025'!$C:$C,0,0)</f>
        <v>34500</v>
      </c>
      <c r="CD178">
        <f t="shared" si="389"/>
        <v>6210</v>
      </c>
      <c r="CE178">
        <f t="shared" si="390"/>
        <v>4140</v>
      </c>
      <c r="CF178">
        <f>_xlfn.XLOOKUP(B178,'[8]october-2025'!$A:$A,'[8]october-2025'!$D:$D,0,0)</f>
        <v>400</v>
      </c>
      <c r="CG178">
        <f>_xlfn.XLOOKUP(B178,'[8]october-2025'!$A:$A,'[8]october-2025'!$G:$G,0,0)</f>
        <v>500</v>
      </c>
      <c r="CH178">
        <f>IF(CC178&gt;0,SUM(CC178:CG178),0)</f>
        <v>45750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391"/>
        <v>200</v>
      </c>
      <c r="CL178">
        <f t="shared" si="392"/>
        <v>42550</v>
      </c>
      <c r="CM178">
        <f>_xlfn.XLOOKUP(B178,'[9]november-2025'!$A:$A,'[9]november-2025'!$C:$C,0,0)</f>
        <v>34500</v>
      </c>
      <c r="CN178">
        <f t="shared" si="393"/>
        <v>6210</v>
      </c>
      <c r="CO178">
        <f t="shared" si="394"/>
        <v>4140</v>
      </c>
      <c r="CP178">
        <f>_xlfn.XLOOKUP(B178,'[9]november-2025'!$A:$A,'[9]november-2025'!$D:$D,0,0)</f>
        <v>400</v>
      </c>
      <c r="CQ178">
        <f>_xlfn.XLOOKUP(B178,'[9]november-2025'!$A:$A,'[9]november-2025'!$G:$G,0,0)</f>
        <v>500</v>
      </c>
      <c r="CR178">
        <f>IF(CM178&gt;0,SUM(CM178:CQ178),0)</f>
        <v>45750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395"/>
        <v>200</v>
      </c>
      <c r="CV178">
        <f t="shared" si="396"/>
        <v>42550</v>
      </c>
      <c r="CW178">
        <f>_xlfn.XLOOKUP(B178,'[10]december-2025'!$A:$A,'[10]december-2025'!$C:$C,0,0)</f>
        <v>34500</v>
      </c>
      <c r="CX178">
        <f t="shared" si="397"/>
        <v>6210</v>
      </c>
      <c r="CY178">
        <f t="shared" si="398"/>
        <v>4140</v>
      </c>
      <c r="CZ178">
        <f>_xlfn.XLOOKUP(B178,'[10]december-2025'!$A:$A,'[10]december-2025'!$D:$D,0,0)</f>
        <v>400</v>
      </c>
      <c r="DA178">
        <f>_xlfn.XLOOKUP(B178,'[10]december-2025'!$A:$A,'[10]december-2025'!$G:$G,0,0)</f>
        <v>500</v>
      </c>
      <c r="DB178">
        <f>IF(CW178&gt;0,SUM(CW178:DA178),0)</f>
        <v>45750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399"/>
        <v>200</v>
      </c>
      <c r="DF178">
        <f t="shared" si="400"/>
        <v>42550</v>
      </c>
      <c r="DG178">
        <f>_xlfn.XLOOKUP(B178,'[11]january-2026'!$A:$A,'[11]january-2026'!$C:$C,0,0)</f>
        <v>34500</v>
      </c>
      <c r="DH178">
        <f t="shared" si="401"/>
        <v>6210</v>
      </c>
      <c r="DI178">
        <f t="shared" si="402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>IF(DG178&gt;0,SUM(DG178:DK178),0)</f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03"/>
        <v>200</v>
      </c>
      <c r="DP178">
        <f t="shared" si="404"/>
        <v>42550</v>
      </c>
      <c r="DQ178">
        <f>_xlfn.XLOOKUP(B178,'[12]february-2026'!$A:$A,'[12]february-2026'!$C:$C,0,0)</f>
        <v>34500</v>
      </c>
      <c r="DR178">
        <f t="shared" si="405"/>
        <v>6210</v>
      </c>
      <c r="DS178">
        <f t="shared" si="406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>IF(DQ178&gt;0,SUM(DQ178:DU178),0)</f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07"/>
        <v>200</v>
      </c>
      <c r="DZ178">
        <f t="shared" si="408"/>
        <v>42550</v>
      </c>
      <c r="EA178">
        <f>_xlfn.XLOOKUP(B178,'[1]march-2025'!$A:$A,'[1]march-2025'!$J:$J,0,0)</f>
        <v>0</v>
      </c>
      <c r="EB178">
        <f>_xlfn.XLOOKUP(B178,'[2]april-2025'!$A:$A,'[2]april-2025'!$J:$J,0,0)</f>
        <v>0</v>
      </c>
      <c r="EC178">
        <f>_xlfn.XLOOKUP(B178,'[3]may-2025'!$A:$A,'[3]may-2025'!$J:$J,0,0)</f>
        <v>0</v>
      </c>
      <c r="ED178">
        <f>_xlfn.XLOOKUP(B178,'[4]june-2025'!$A:$A,'[4]june-2025'!$J:$J,0,0)</f>
        <v>0</v>
      </c>
      <c r="EE178">
        <f>_xlfn.XLOOKUP(B178,'[5]july-2025'!$A:$A,'[5]july-2025'!$J:$J,0,0)</f>
        <v>0</v>
      </c>
      <c r="EF178">
        <f>_xlfn.XLOOKUP(B178,'[6]august-2025'!$A:$A,'[6]august-2025'!$J:$J,0,0)</f>
        <v>0</v>
      </c>
      <c r="EG178">
        <f>_xlfn.XLOOKUP(B178,'[7]september-2025'!$A:$A,'[7]september-2025'!$J:$J,0,0)</f>
        <v>0</v>
      </c>
      <c r="EH178">
        <f>_xlfn.XLOOKUP(B178,'[8]october-2025'!$A:$A,'[8]october-2025'!$J:$J,0,0)</f>
        <v>0</v>
      </c>
      <c r="EI178">
        <f>_xlfn.XLOOKUP(C178,'[9]november-2025'!$A:$A,'[9]november-2025'!$J:$J,0,0)</f>
        <v>0</v>
      </c>
      <c r="EJ178">
        <f>_xlfn.XLOOKUP(B178,'[10]december-2025'!$A:$A,'[10]december-2025'!$J:$J,0,0)</f>
        <v>0</v>
      </c>
      <c r="EK178">
        <f>_xlfn.XLOOKUP(B178,'[11]january-2026'!$A:$A,'[11]january-2026'!$J:$J,0,0)</f>
        <v>0</v>
      </c>
      <c r="EL178">
        <f>_xlfn.XLOOKUP(B178,'[12]february-2026'!$A:$A,'[12]february-2026'!$J:$J,0,0)</f>
        <v>0</v>
      </c>
      <c r="EM178">
        <f t="shared" si="361"/>
        <v>0</v>
      </c>
      <c r="EN178">
        <f>DV178+DL178+DB178+CR178+CH178+BX178+BN178+BD178+AS178+AI178+Y178+O178+H178+I178</f>
        <v>549260</v>
      </c>
      <c r="EO178">
        <f>DY178+DO178+DE178+CU178+CK178+CA178+BQ178+BG178+AV178+AL178+AB178+R178</f>
        <v>2400</v>
      </c>
      <c r="EP178">
        <f t="shared" si="409"/>
        <v>50000</v>
      </c>
      <c r="EQ178">
        <v>0</v>
      </c>
      <c r="ER178">
        <f t="shared" si="362"/>
        <v>496860</v>
      </c>
      <c r="ES178">
        <f>DW178+DM178+DC178+CS178+CI178+BY178+BO178+BE178+AT178+AJ178+Z178+P178</f>
        <v>36000</v>
      </c>
      <c r="ET178">
        <f>DX178+DN178+DD178+CT178+CJ178+BZ178+BP178+BF178+AU178+AK178+AA178+Q178</f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410"/>
        <v>36000</v>
      </c>
      <c r="FF178">
        <f t="shared" si="411"/>
        <v>36000</v>
      </c>
      <c r="FG178">
        <f t="shared" si="412"/>
        <v>460860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>SUM(FH178:FN178)+(IF(F178="YES",50000,0))</f>
        <v>0</v>
      </c>
      <c r="FP178">
        <f t="shared" si="413"/>
        <v>460860</v>
      </c>
      <c r="FQ178">
        <f t="shared" si="414"/>
        <v>10543</v>
      </c>
      <c r="FR178">
        <f t="shared" si="415"/>
        <v>0</v>
      </c>
      <c r="FS178">
        <f t="shared" si="416"/>
        <v>10543</v>
      </c>
      <c r="FT178">
        <f t="shared" si="417"/>
        <v>0</v>
      </c>
      <c r="FU178">
        <f t="shared" si="418"/>
        <v>0</v>
      </c>
      <c r="FV178">
        <f t="shared" si="419"/>
        <v>0</v>
      </c>
      <c r="FW178">
        <v>0</v>
      </c>
      <c r="FX178">
        <f t="shared" si="420"/>
        <v>0</v>
      </c>
      <c r="FY178" t="b">
        <f t="shared" si="421"/>
        <v>1</v>
      </c>
      <c r="FZ178">
        <f t="shared" ca="1" si="422"/>
        <v>551</v>
      </c>
      <c r="GA178">
        <f t="shared" ca="1" si="423"/>
        <v>549811</v>
      </c>
      <c r="GB178">
        <f t="shared" si="424"/>
        <v>75000</v>
      </c>
      <c r="GC178">
        <f t="shared" ca="1" si="425"/>
        <v>474811</v>
      </c>
      <c r="GD178">
        <f t="shared" ca="1" si="426"/>
        <v>0</v>
      </c>
      <c r="GE178">
        <f t="shared" ca="1" si="427"/>
        <v>0</v>
      </c>
      <c r="GF178">
        <f t="shared" ca="1" si="428"/>
        <v>0</v>
      </c>
      <c r="GG178">
        <f t="shared" ca="1" si="429"/>
        <v>0</v>
      </c>
      <c r="GH178">
        <f t="shared" ca="1" si="430"/>
        <v>0</v>
      </c>
      <c r="GI178">
        <f t="shared" ca="1" si="431"/>
        <v>0</v>
      </c>
      <c r="GJ178">
        <f ca="1">IF(GC178&gt;1200000,GC178-1200000-IF(F178="YES",50000,0)-GH178,0)</f>
        <v>0</v>
      </c>
      <c r="GK178">
        <f t="shared" ca="1" si="432"/>
        <v>0</v>
      </c>
      <c r="GL178">
        <f t="shared" ca="1" si="433"/>
        <v>0</v>
      </c>
      <c r="GM178">
        <f t="shared" ca="1" si="434"/>
        <v>0</v>
      </c>
      <c r="GN178">
        <f t="shared" ca="1" si="435"/>
        <v>74811</v>
      </c>
      <c r="GO178">
        <f t="shared" ca="1" si="436"/>
        <v>3740.55</v>
      </c>
      <c r="GP178">
        <f t="shared" ca="1" si="437"/>
        <v>3741</v>
      </c>
      <c r="GQ178">
        <f t="shared" ca="1" si="438"/>
        <v>0</v>
      </c>
      <c r="GR178">
        <f t="shared" ca="1" si="439"/>
        <v>0</v>
      </c>
      <c r="GS178">
        <f t="shared" ca="1" si="440"/>
        <v>3741</v>
      </c>
      <c r="GT178">
        <f t="shared" ca="1" si="441"/>
        <v>0</v>
      </c>
      <c r="GU178" t="b">
        <f t="shared" ca="1" si="442"/>
        <v>0</v>
      </c>
      <c r="GV178">
        <f t="shared" ca="1" si="443"/>
        <v>0</v>
      </c>
      <c r="GW178">
        <f t="shared" ca="1" si="444"/>
        <v>3741</v>
      </c>
      <c r="GX178">
        <f t="shared" ca="1" si="445"/>
        <v>0</v>
      </c>
      <c r="GY178">
        <f t="shared" ca="1" si="446"/>
        <v>0</v>
      </c>
      <c r="GZ178">
        <f t="shared" ca="1" si="447"/>
        <v>0</v>
      </c>
    </row>
    <row r="179" spans="1:208" x14ac:dyDescent="0.25">
      <c r="A179">
        <f>_xlfn.AGGREGATE(3,5,$B$2:B179)</f>
        <v>178</v>
      </c>
      <c r="B179" t="s">
        <v>464</v>
      </c>
      <c r="C179" t="s">
        <v>465</v>
      </c>
      <c r="D179" t="s">
        <v>797</v>
      </c>
      <c r="E179" t="s">
        <v>831</v>
      </c>
      <c r="F179" t="s">
        <v>957</v>
      </c>
      <c r="G179" t="s">
        <v>878</v>
      </c>
      <c r="H179">
        <f t="shared" si="450"/>
        <v>6800</v>
      </c>
      <c r="I179">
        <f>_xlfn.XLOOKUP(B179,'[1]march-2025'!$A:$A,'[1]march-2025'!$J:$J,0,0)</f>
        <v>0</v>
      </c>
      <c r="J179">
        <f>_xlfn.XLOOKUP(B179,'[1]march-2025'!$A:$A,'[1]march-2025'!$C:$C,0,0)</f>
        <v>34500</v>
      </c>
      <c r="K179">
        <f t="shared" si="364"/>
        <v>4830.0000000000009</v>
      </c>
      <c r="L179">
        <f t="shared" si="365"/>
        <v>4140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>IF(J179&gt;0,SUM(J179:N179),0)</f>
        <v>43970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448"/>
        <v>200</v>
      </c>
      <c r="S179">
        <f t="shared" si="357"/>
        <v>40770</v>
      </c>
      <c r="T179">
        <f>_xlfn.XLOOKUP(B179,'[2]april-2025'!$A:$A,'[2]april-2025'!$C:$C,0,0)</f>
        <v>34500</v>
      </c>
      <c r="U179">
        <f t="shared" si="366"/>
        <v>6210</v>
      </c>
      <c r="V179">
        <f t="shared" si="367"/>
        <v>4140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358"/>
        <v>45350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368"/>
        <v>200</v>
      </c>
      <c r="AC179">
        <f t="shared" si="369"/>
        <v>42150</v>
      </c>
      <c r="AD179">
        <f>_xlfn.XLOOKUP(B179,'[3]may-2025'!$A:$A,'[3]may-2025'!$C:$C,0,0)</f>
        <v>34500</v>
      </c>
      <c r="AE179">
        <f t="shared" si="370"/>
        <v>6210</v>
      </c>
      <c r="AF179">
        <f t="shared" si="371"/>
        <v>4140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359"/>
        <v>45350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372"/>
        <v>200</v>
      </c>
      <c r="AM179">
        <f t="shared" si="373"/>
        <v>42150</v>
      </c>
      <c r="AN179">
        <f>_xlfn.XLOOKUP(B179,'[4]june-2025'!$A:$A,'[4]june-2025'!$C:$C,0,0)</f>
        <v>34500</v>
      </c>
      <c r="AO179">
        <f t="shared" si="374"/>
        <v>6210</v>
      </c>
      <c r="AP179">
        <f t="shared" si="375"/>
        <v>4140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360"/>
        <v>45350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376"/>
        <v>200</v>
      </c>
      <c r="AW179">
        <f t="shared" si="377"/>
        <v>42150</v>
      </c>
      <c r="AX179">
        <f>_xlfn.XLOOKUP(B179,'[5]july-2025'!$A:$A,'[5]july-2025'!$C:$C,0,0)</f>
        <v>35500</v>
      </c>
      <c r="AY179">
        <f t="shared" si="378"/>
        <v>6390</v>
      </c>
      <c r="AZ179">
        <v>0</v>
      </c>
      <c r="BA179">
        <f t="shared" si="379"/>
        <v>4260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>IF(AX179&gt;0,SUM(AX179:BC179),0)</f>
        <v>46650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380"/>
        <v>200</v>
      </c>
      <c r="BH179">
        <f t="shared" si="381"/>
        <v>43450</v>
      </c>
      <c r="BI179">
        <f>_xlfn.XLOOKUP(B179,'[6]august-2025'!$A:$A,'[6]august-2025'!$C:$C,0,0)</f>
        <v>35500</v>
      </c>
      <c r="BJ179">
        <f t="shared" si="382"/>
        <v>6390</v>
      </c>
      <c r="BK179">
        <f t="shared" si="383"/>
        <v>4260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384"/>
        <v>46650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>IF($F179="YES",0,IF(BN179&gt;40000,200,IF(BN179&gt;25000,150,IF(BN179&gt;15000,130,IF(BN179&gt;10000,110,0)))))</f>
        <v>200</v>
      </c>
      <c r="BR179">
        <f>BN179-BO179-BP179-BQ179</f>
        <v>43450</v>
      </c>
      <c r="BS179">
        <f>_xlfn.XLOOKUP(B179,'[7]september-2025'!$A:$A,'[7]september-2025'!$C:$C,0,0)</f>
        <v>35500</v>
      </c>
      <c r="BT179">
        <f t="shared" si="385"/>
        <v>6390</v>
      </c>
      <c r="BU179">
        <f t="shared" si="386"/>
        <v>4260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>IF(BS179&gt;0,SUM(BS179:BW179),0)</f>
        <v>46650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387"/>
        <v>200</v>
      </c>
      <c r="CB179">
        <f t="shared" si="388"/>
        <v>43450</v>
      </c>
      <c r="CC179">
        <f>_xlfn.XLOOKUP(B179,'[8]october-2025'!$A:$A,'[8]october-2025'!$C:$C,0,0)</f>
        <v>35500</v>
      </c>
      <c r="CD179">
        <f t="shared" si="389"/>
        <v>6390</v>
      </c>
      <c r="CE179">
        <f t="shared" si="390"/>
        <v>4260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>IF(CC179&gt;0,SUM(CC179:CG179),0)</f>
        <v>46650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391"/>
        <v>200</v>
      </c>
      <c r="CL179">
        <f t="shared" si="392"/>
        <v>43450</v>
      </c>
      <c r="CM179">
        <f>_xlfn.XLOOKUP(B179,'[9]november-2025'!$A:$A,'[9]november-2025'!$C:$C,0,0)</f>
        <v>35500</v>
      </c>
      <c r="CN179">
        <f t="shared" si="393"/>
        <v>6390</v>
      </c>
      <c r="CO179">
        <f t="shared" si="394"/>
        <v>4260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>IF(CM179&gt;0,SUM(CM179:CQ179),0)</f>
        <v>46650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395"/>
        <v>200</v>
      </c>
      <c r="CV179">
        <f t="shared" si="396"/>
        <v>43450</v>
      </c>
      <c r="CW179">
        <f>_xlfn.XLOOKUP(B179,'[10]december-2025'!$A:$A,'[10]december-2025'!$C:$C,0,0)</f>
        <v>35500</v>
      </c>
      <c r="CX179">
        <f t="shared" si="397"/>
        <v>6390</v>
      </c>
      <c r="CY179">
        <f t="shared" si="398"/>
        <v>4260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>IF(CW179&gt;0,SUM(CW179:DA179),0)</f>
        <v>46650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399"/>
        <v>200</v>
      </c>
      <c r="DF179">
        <f t="shared" si="400"/>
        <v>43450</v>
      </c>
      <c r="DG179">
        <f>_xlfn.XLOOKUP(B179,'[11]january-2026'!$A:$A,'[11]january-2026'!$C:$C,0,0)</f>
        <v>35500</v>
      </c>
      <c r="DH179">
        <f t="shared" si="401"/>
        <v>6390</v>
      </c>
      <c r="DI179">
        <f t="shared" si="402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>IF(DG179&gt;0,SUM(DG179:DK179),0)</f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03"/>
        <v>200</v>
      </c>
      <c r="DP179">
        <f t="shared" si="404"/>
        <v>43450</v>
      </c>
      <c r="DQ179">
        <f>_xlfn.XLOOKUP(B179,'[12]february-2026'!$A:$A,'[12]february-2026'!$C:$C,0,0)</f>
        <v>35500</v>
      </c>
      <c r="DR179">
        <f t="shared" si="405"/>
        <v>6390</v>
      </c>
      <c r="DS179">
        <f t="shared" si="406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>IF(DQ179&gt;0,SUM(DQ179:DU179),0)</f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07"/>
        <v>200</v>
      </c>
      <c r="DZ179">
        <f t="shared" si="408"/>
        <v>43450</v>
      </c>
      <c r="EA179">
        <f>_xlfn.XLOOKUP(B179,'[1]march-2025'!$A:$A,'[1]march-2025'!$J:$J,0,0)</f>
        <v>0</v>
      </c>
      <c r="EB179">
        <f>_xlfn.XLOOKUP(B179,'[2]april-2025'!$A:$A,'[2]april-2025'!$J:$J,0,0)</f>
        <v>0</v>
      </c>
      <c r="EC179">
        <f>_xlfn.XLOOKUP(B179,'[3]may-2025'!$A:$A,'[3]may-2025'!$J:$J,0,0)</f>
        <v>0</v>
      </c>
      <c r="ED179">
        <f>_xlfn.XLOOKUP(B179,'[4]june-2025'!$A:$A,'[4]june-2025'!$J:$J,0,0)</f>
        <v>0</v>
      </c>
      <c r="EE179">
        <f>_xlfn.XLOOKUP(B179,'[5]july-2025'!$A:$A,'[5]july-2025'!$J:$J,0,0)</f>
        <v>0</v>
      </c>
      <c r="EF179">
        <f>_xlfn.XLOOKUP(B179,'[6]august-2025'!$A:$A,'[6]august-2025'!$J:$J,0,0)</f>
        <v>0</v>
      </c>
      <c r="EG179">
        <f>_xlfn.XLOOKUP(B179,'[7]september-2025'!$A:$A,'[7]september-2025'!$J:$J,0,0)</f>
        <v>0</v>
      </c>
      <c r="EH179">
        <f>_xlfn.XLOOKUP(B179,'[8]october-2025'!$A:$A,'[8]october-2025'!$J:$J,0,0)</f>
        <v>0</v>
      </c>
      <c r="EI179">
        <f>_xlfn.XLOOKUP(C179,'[9]november-2025'!$A:$A,'[9]november-2025'!$J:$J,0,0)</f>
        <v>0</v>
      </c>
      <c r="EJ179">
        <f>_xlfn.XLOOKUP(B179,'[10]december-2025'!$A:$A,'[10]december-2025'!$J:$J,0,0)</f>
        <v>0</v>
      </c>
      <c r="EK179">
        <f>_xlfn.XLOOKUP(B179,'[11]january-2026'!$A:$A,'[11]january-2026'!$J:$J,0,0)</f>
        <v>0</v>
      </c>
      <c r="EL179">
        <f>_xlfn.XLOOKUP(B179,'[12]february-2026'!$A:$A,'[12]february-2026'!$J:$J,0,0)</f>
        <v>0</v>
      </c>
      <c r="EM179">
        <f t="shared" si="361"/>
        <v>0</v>
      </c>
      <c r="EN179">
        <f>DV179+DL179+DB179+CR179+CH179+BX179+BN179+BD179+AS179+AI179+Y179+O179+H179+I179</f>
        <v>560020</v>
      </c>
      <c r="EO179">
        <f>DY179+DO179+DE179+CU179+CK179+CA179+BQ179+BG179+AV179+AL179+AB179+R179</f>
        <v>2400</v>
      </c>
      <c r="EP179">
        <f t="shared" si="409"/>
        <v>50000</v>
      </c>
      <c r="EQ179">
        <v>0</v>
      </c>
      <c r="ER179">
        <f t="shared" si="362"/>
        <v>507620</v>
      </c>
      <c r="ES179">
        <f>DW179+DM179+DC179+CS179+CI179+BY179+BO179+BE179+AT179+AJ179+Z179+P179</f>
        <v>36000</v>
      </c>
      <c r="ET179">
        <f>DX179+DN179+DD179+CT179+CJ179+BZ179+BP179+BF179+AU179+AK179+AA179+Q179</f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410"/>
        <v>36000</v>
      </c>
      <c r="FF179">
        <f t="shared" si="411"/>
        <v>36000</v>
      </c>
      <c r="FG179">
        <f t="shared" si="412"/>
        <v>471620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>SUM(FH179:FN179)+(IF(F179="YES",50000,0))</f>
        <v>0</v>
      </c>
      <c r="FP179">
        <f t="shared" si="413"/>
        <v>471620</v>
      </c>
      <c r="FQ179">
        <f t="shared" si="414"/>
        <v>11081</v>
      </c>
      <c r="FR179">
        <f t="shared" si="415"/>
        <v>0</v>
      </c>
      <c r="FS179">
        <f t="shared" si="416"/>
        <v>11081</v>
      </c>
      <c r="FT179">
        <f t="shared" si="417"/>
        <v>0</v>
      </c>
      <c r="FU179">
        <f t="shared" si="418"/>
        <v>0</v>
      </c>
      <c r="FV179">
        <f t="shared" si="419"/>
        <v>0</v>
      </c>
      <c r="FW179">
        <v>0</v>
      </c>
      <c r="FX179">
        <f t="shared" si="420"/>
        <v>0</v>
      </c>
      <c r="FY179" t="b">
        <f t="shared" si="421"/>
        <v>1</v>
      </c>
      <c r="FZ179">
        <f t="shared" ca="1" si="422"/>
        <v>619</v>
      </c>
      <c r="GA179">
        <f t="shared" ca="1" si="423"/>
        <v>560639</v>
      </c>
      <c r="GB179">
        <f t="shared" si="424"/>
        <v>75000</v>
      </c>
      <c r="GC179">
        <f t="shared" ca="1" si="425"/>
        <v>485639</v>
      </c>
      <c r="GD179">
        <f t="shared" ca="1" si="426"/>
        <v>0</v>
      </c>
      <c r="GE179">
        <f t="shared" ca="1" si="427"/>
        <v>0</v>
      </c>
      <c r="GF179">
        <f t="shared" ca="1" si="428"/>
        <v>0</v>
      </c>
      <c r="GG179">
        <f t="shared" ca="1" si="429"/>
        <v>0</v>
      </c>
      <c r="GH179">
        <f t="shared" ca="1" si="430"/>
        <v>0</v>
      </c>
      <c r="GI179">
        <f t="shared" ca="1" si="431"/>
        <v>0</v>
      </c>
      <c r="GJ179">
        <f ca="1">IF(GC179&gt;1200000,GC179-1200000-IF(F179="YES",50000,0)-GH179,0)</f>
        <v>0</v>
      </c>
      <c r="GK179">
        <f t="shared" ca="1" si="432"/>
        <v>0</v>
      </c>
      <c r="GL179">
        <f t="shared" ca="1" si="433"/>
        <v>0</v>
      </c>
      <c r="GM179">
        <f t="shared" ca="1" si="434"/>
        <v>0</v>
      </c>
      <c r="GN179">
        <f t="shared" ca="1" si="435"/>
        <v>85639</v>
      </c>
      <c r="GO179">
        <f t="shared" ca="1" si="436"/>
        <v>4281.95</v>
      </c>
      <c r="GP179">
        <f t="shared" ca="1" si="437"/>
        <v>4282</v>
      </c>
      <c r="GQ179">
        <f t="shared" ca="1" si="438"/>
        <v>0</v>
      </c>
      <c r="GR179">
        <f t="shared" ca="1" si="439"/>
        <v>0</v>
      </c>
      <c r="GS179">
        <f t="shared" ca="1" si="440"/>
        <v>4282</v>
      </c>
      <c r="GT179">
        <f t="shared" ca="1" si="441"/>
        <v>0</v>
      </c>
      <c r="GU179" t="b">
        <f t="shared" ca="1" si="442"/>
        <v>0</v>
      </c>
      <c r="GV179">
        <f t="shared" ca="1" si="443"/>
        <v>0</v>
      </c>
      <c r="GW179">
        <f t="shared" ca="1" si="444"/>
        <v>4282</v>
      </c>
      <c r="GX179">
        <f t="shared" ca="1" si="445"/>
        <v>0</v>
      </c>
      <c r="GY179">
        <f t="shared" ca="1" si="446"/>
        <v>0</v>
      </c>
      <c r="GZ179">
        <f t="shared" ca="1" si="447"/>
        <v>0</v>
      </c>
    </row>
    <row r="180" spans="1:208" x14ac:dyDescent="0.25">
      <c r="A180">
        <f>_xlfn.AGGREGATE(3,5,$B$2:B180)</f>
        <v>179</v>
      </c>
      <c r="B180" t="s">
        <v>466</v>
      </c>
      <c r="C180" t="s">
        <v>467</v>
      </c>
      <c r="D180" t="s">
        <v>797</v>
      </c>
      <c r="E180" t="s">
        <v>831</v>
      </c>
      <c r="F180" t="s">
        <v>957</v>
      </c>
      <c r="G180" t="s">
        <v>933</v>
      </c>
      <c r="H180">
        <f t="shared" si="450"/>
        <v>6800</v>
      </c>
      <c r="I180">
        <f>_xlfn.XLOOKUP(B180,'[1]march-2025'!$A:$A,'[1]march-2025'!$J:$J,0,0)</f>
        <v>0</v>
      </c>
      <c r="J180">
        <f>_xlfn.XLOOKUP(B180,'[1]march-2025'!$A:$A,'[1]march-2025'!$C:$C,0,0)</f>
        <v>33500</v>
      </c>
      <c r="K180">
        <f t="shared" si="364"/>
        <v>4690</v>
      </c>
      <c r="L180">
        <f t="shared" si="365"/>
        <v>4020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>IF(J180&gt;0,SUM(J180:N180),0)</f>
        <v>42710</v>
      </c>
      <c r="P180">
        <f>_xlfn.XLOOKUP(B180,'[1]march-2025'!$A:$A,'[1]march-2025'!$H:$H,0,0)</f>
        <v>3000</v>
      </c>
      <c r="Q180">
        <f>_xlfn.XLOOKUP(B180,'[1]march-2025'!$A:$A,'[1]march-2025'!$I:$I,0,0)</f>
        <v>0</v>
      </c>
      <c r="R180">
        <f t="shared" si="448"/>
        <v>200</v>
      </c>
      <c r="S180">
        <f t="shared" si="357"/>
        <v>39510</v>
      </c>
      <c r="T180">
        <f>_xlfn.XLOOKUP(B180,'[2]april-2025'!$A:$A,'[2]april-2025'!$C:$C,0,0)</f>
        <v>33500</v>
      </c>
      <c r="U180">
        <f t="shared" si="366"/>
        <v>6030</v>
      </c>
      <c r="V180">
        <f t="shared" si="367"/>
        <v>4020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358"/>
        <v>44050</v>
      </c>
      <c r="Z180">
        <f>_xlfn.XLOOKUP(B180,'[2]april-2025'!$A:$A,'[2]april-2025'!$H:$H,0,0)</f>
        <v>3000</v>
      </c>
      <c r="AA180">
        <f>_xlfn.XLOOKUP(B180,'[2]april-2025'!$A:$A,'[2]april-2025'!$I:$I,0,0)</f>
        <v>0</v>
      </c>
      <c r="AB180">
        <f t="shared" si="368"/>
        <v>200</v>
      </c>
      <c r="AC180">
        <f t="shared" si="369"/>
        <v>40850</v>
      </c>
      <c r="AD180">
        <f>_xlfn.XLOOKUP(B180,'[3]may-2025'!$A:$A,'[3]may-2025'!$C:$C,0,0)</f>
        <v>33500</v>
      </c>
      <c r="AE180">
        <f t="shared" si="370"/>
        <v>6030</v>
      </c>
      <c r="AF180">
        <f t="shared" si="371"/>
        <v>4020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359"/>
        <v>44050</v>
      </c>
      <c r="AJ180">
        <f>_xlfn.XLOOKUP(B180,'[3]may-2025'!$A:$A,'[3]may-2025'!$H:$H,0,0)</f>
        <v>3000</v>
      </c>
      <c r="AK180">
        <f>_xlfn.XLOOKUP(B180,'[3]may-2025'!$A:$A,'[3]may-2025'!$I:$I,0,0)</f>
        <v>0</v>
      </c>
      <c r="AL180">
        <f t="shared" si="372"/>
        <v>200</v>
      </c>
      <c r="AM180">
        <f t="shared" si="373"/>
        <v>40850</v>
      </c>
      <c r="AN180">
        <f>_xlfn.XLOOKUP(B180,'[4]june-2025'!$A:$A,'[4]june-2025'!$C:$C,0,0)</f>
        <v>33500</v>
      </c>
      <c r="AO180">
        <f t="shared" si="374"/>
        <v>6030</v>
      </c>
      <c r="AP180">
        <f t="shared" si="375"/>
        <v>4020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360"/>
        <v>44050</v>
      </c>
      <c r="AT180">
        <f>_xlfn.XLOOKUP(B180,'[4]june-2025'!$A:$A,'[4]june-2025'!$H:$H,0,0)</f>
        <v>3000</v>
      </c>
      <c r="AU180">
        <f>_xlfn.XLOOKUP(B180,'[4]june-2025'!$A:$A,'[4]june-2025'!$I:$I,0,0)</f>
        <v>0</v>
      </c>
      <c r="AV180">
        <f t="shared" si="376"/>
        <v>200</v>
      </c>
      <c r="AW180">
        <f t="shared" si="377"/>
        <v>40850</v>
      </c>
      <c r="AX180">
        <f>_xlfn.XLOOKUP(B180,'[5]july-2025'!$A:$A,'[5]july-2025'!$C:$C,0,0)</f>
        <v>34500</v>
      </c>
      <c r="AY180">
        <f t="shared" si="378"/>
        <v>6210</v>
      </c>
      <c r="AZ180">
        <v>0</v>
      </c>
      <c r="BA180">
        <f t="shared" si="379"/>
        <v>4140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>IF(AX180&gt;0,SUM(AX180:BC180),0)</f>
        <v>45350</v>
      </c>
      <c r="BE180">
        <f>_xlfn.XLOOKUP(B180,'[5]july-2025'!$A:$A,'[5]july-2025'!$H:$H,0,0)</f>
        <v>3000</v>
      </c>
      <c r="BF180">
        <f>_xlfn.XLOOKUP(B180,'[5]july-2025'!$A:$A,'[5]july-2025'!$I:$I,0,0)</f>
        <v>0</v>
      </c>
      <c r="BG180">
        <f t="shared" si="380"/>
        <v>200</v>
      </c>
      <c r="BH180">
        <f t="shared" si="381"/>
        <v>42150</v>
      </c>
      <c r="BI180">
        <f>_xlfn.XLOOKUP(B180,'[6]august-2025'!$A:$A,'[6]august-2025'!$C:$C,0,0)</f>
        <v>34500</v>
      </c>
      <c r="BJ180">
        <f t="shared" si="382"/>
        <v>6210</v>
      </c>
      <c r="BK180">
        <f t="shared" si="383"/>
        <v>4140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384"/>
        <v>45350</v>
      </c>
      <c r="BO180">
        <f>_xlfn.XLOOKUP(B180,'[6]august-2025'!$A:$A,'[6]august-2025'!$H:$H,0,0)</f>
        <v>3000</v>
      </c>
      <c r="BP180">
        <f>_xlfn.XLOOKUP(B180,'[6]august-2025'!$A:$A,'[6]august-2025'!$I:$I,0,0)</f>
        <v>0</v>
      </c>
      <c r="BQ180">
        <f>IF($F180="YES",0,IF(BN180&gt;40000,200,IF(BN180&gt;25000,150,IF(BN180&gt;15000,130,IF(BN180&gt;10000,110,0)))))</f>
        <v>200</v>
      </c>
      <c r="BR180">
        <f>BN180-BO180-BP180-BQ180</f>
        <v>42150</v>
      </c>
      <c r="BS180">
        <f>_xlfn.XLOOKUP(B180,'[7]september-2025'!$A:$A,'[7]september-2025'!$C:$C,0,0)</f>
        <v>34500</v>
      </c>
      <c r="BT180">
        <f t="shared" si="385"/>
        <v>6210</v>
      </c>
      <c r="BU180">
        <f t="shared" si="386"/>
        <v>4140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>IF(BS180&gt;0,SUM(BS180:BW180),0)</f>
        <v>45350</v>
      </c>
      <c r="BY180">
        <f>_xlfn.XLOOKUP(B180,'[7]september-2025'!$A:$A,'[7]september-2025'!$H:$H,0,0)</f>
        <v>3000</v>
      </c>
      <c r="BZ180">
        <f>_xlfn.XLOOKUP(B180,'[7]september-2025'!$A:$A,'[7]september-2025'!$I:$I,0,0)</f>
        <v>0</v>
      </c>
      <c r="CA180">
        <f t="shared" si="387"/>
        <v>200</v>
      </c>
      <c r="CB180">
        <f t="shared" si="388"/>
        <v>42150</v>
      </c>
      <c r="CC180">
        <f>_xlfn.XLOOKUP(B180,'[8]october-2025'!$A:$A,'[8]october-2025'!$C:$C,0,0)</f>
        <v>34500</v>
      </c>
      <c r="CD180">
        <f t="shared" si="389"/>
        <v>6210</v>
      </c>
      <c r="CE180">
        <f t="shared" si="390"/>
        <v>4140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>IF(CC180&gt;0,SUM(CC180:CG180),0)</f>
        <v>45350</v>
      </c>
      <c r="CI180">
        <f>_xlfn.XLOOKUP(B180,'[8]october-2025'!$A:$A,'[8]october-2025'!$H:$H,0,0)</f>
        <v>3000</v>
      </c>
      <c r="CJ180">
        <f>_xlfn.XLOOKUP(B180,'[8]october-2025'!$A:$A,'[8]october-2025'!$I:$I,0,0)</f>
        <v>0</v>
      </c>
      <c r="CK180">
        <f t="shared" si="391"/>
        <v>200</v>
      </c>
      <c r="CL180">
        <f t="shared" si="392"/>
        <v>42150</v>
      </c>
      <c r="CM180">
        <f>_xlfn.XLOOKUP(B180,'[9]november-2025'!$A:$A,'[9]november-2025'!$C:$C,0,0)</f>
        <v>34500</v>
      </c>
      <c r="CN180">
        <f t="shared" si="393"/>
        <v>6210</v>
      </c>
      <c r="CO180">
        <f t="shared" si="394"/>
        <v>4140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>IF(CM180&gt;0,SUM(CM180:CQ180),0)</f>
        <v>45350</v>
      </c>
      <c r="CS180">
        <f>_xlfn.XLOOKUP(B180,'[9]november-2025'!$A:$A,'[9]november-2025'!$H:$H,0,0)</f>
        <v>3000</v>
      </c>
      <c r="CT180">
        <f>_xlfn.XLOOKUP(B180,'[9]november-2025'!$A:$A,'[9]november-2025'!$I:$I,0,0)</f>
        <v>0</v>
      </c>
      <c r="CU180">
        <f t="shared" si="395"/>
        <v>200</v>
      </c>
      <c r="CV180">
        <f t="shared" si="396"/>
        <v>42150</v>
      </c>
      <c r="CW180">
        <f>_xlfn.XLOOKUP(B180,'[10]december-2025'!$A:$A,'[10]december-2025'!$C:$C,0,0)</f>
        <v>34500</v>
      </c>
      <c r="CX180">
        <f t="shared" si="397"/>
        <v>6210</v>
      </c>
      <c r="CY180">
        <f t="shared" si="398"/>
        <v>4140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>IF(CW180&gt;0,SUM(CW180:DA180),0)</f>
        <v>45350</v>
      </c>
      <c r="DC180">
        <f>_xlfn.XLOOKUP(B180,'[10]december-2025'!$A:$A,'[10]december-2025'!$H:$H,0,0)</f>
        <v>3000</v>
      </c>
      <c r="DD180">
        <f>_xlfn.XLOOKUP(B180,'[10]december-2025'!$A:$A,'[10]december-2025'!$I:$I,0,0)</f>
        <v>0</v>
      </c>
      <c r="DE180">
        <f t="shared" si="399"/>
        <v>200</v>
      </c>
      <c r="DF180">
        <f t="shared" si="400"/>
        <v>42150</v>
      </c>
      <c r="DG180">
        <f>_xlfn.XLOOKUP(B180,'[11]january-2026'!$A:$A,'[11]january-2026'!$C:$C,0,0)</f>
        <v>34500</v>
      </c>
      <c r="DH180">
        <f t="shared" si="401"/>
        <v>6210</v>
      </c>
      <c r="DI180">
        <f t="shared" si="402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>IF(DG180&gt;0,SUM(DG180:DK180),0)</f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03"/>
        <v>200</v>
      </c>
      <c r="DP180">
        <f t="shared" si="404"/>
        <v>42150</v>
      </c>
      <c r="DQ180">
        <f>_xlfn.XLOOKUP(B180,'[12]february-2026'!$A:$A,'[12]february-2026'!$C:$C,0,0)</f>
        <v>34500</v>
      </c>
      <c r="DR180">
        <f t="shared" si="405"/>
        <v>6210</v>
      </c>
      <c r="DS180">
        <f t="shared" si="406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>IF(DQ180&gt;0,SUM(DQ180:DU180),0)</f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07"/>
        <v>200</v>
      </c>
      <c r="DZ180">
        <f t="shared" si="408"/>
        <v>42150</v>
      </c>
      <c r="EA180">
        <f>_xlfn.XLOOKUP(B180,'[1]march-2025'!$A:$A,'[1]march-2025'!$J:$J,0,0)</f>
        <v>0</v>
      </c>
      <c r="EB180">
        <f>_xlfn.XLOOKUP(B180,'[2]april-2025'!$A:$A,'[2]april-2025'!$J:$J,0,0)</f>
        <v>0</v>
      </c>
      <c r="EC180">
        <f>_xlfn.XLOOKUP(B180,'[3]may-2025'!$A:$A,'[3]may-2025'!$J:$J,0,0)</f>
        <v>0</v>
      </c>
      <c r="ED180">
        <f>_xlfn.XLOOKUP(B180,'[4]june-2025'!$A:$A,'[4]june-2025'!$J:$J,0,0)</f>
        <v>0</v>
      </c>
      <c r="EE180">
        <f>_xlfn.XLOOKUP(B180,'[5]july-2025'!$A:$A,'[5]july-2025'!$J:$J,0,0)</f>
        <v>0</v>
      </c>
      <c r="EF180">
        <f>_xlfn.XLOOKUP(B180,'[6]august-2025'!$A:$A,'[6]august-2025'!$J:$J,0,0)</f>
        <v>0</v>
      </c>
      <c r="EG180">
        <f>_xlfn.XLOOKUP(B180,'[7]september-2025'!$A:$A,'[7]september-2025'!$J:$J,0,0)</f>
        <v>0</v>
      </c>
      <c r="EH180">
        <f>_xlfn.XLOOKUP(B180,'[8]october-2025'!$A:$A,'[8]october-2025'!$J:$J,0,0)</f>
        <v>0</v>
      </c>
      <c r="EI180">
        <f>_xlfn.XLOOKUP(C180,'[9]november-2025'!$A:$A,'[9]november-2025'!$J:$J,0,0)</f>
        <v>0</v>
      </c>
      <c r="EJ180">
        <f>_xlfn.XLOOKUP(B180,'[10]december-2025'!$A:$A,'[10]december-2025'!$J:$J,0,0)</f>
        <v>0</v>
      </c>
      <c r="EK180">
        <f>_xlfn.XLOOKUP(B180,'[11]january-2026'!$A:$A,'[11]january-2026'!$J:$J,0,0)</f>
        <v>0</v>
      </c>
      <c r="EL180">
        <f>_xlfn.XLOOKUP(B180,'[12]february-2026'!$A:$A,'[12]february-2026'!$J:$J,0,0)</f>
        <v>0</v>
      </c>
      <c r="EM180">
        <f t="shared" si="361"/>
        <v>0</v>
      </c>
      <c r="EN180">
        <f>DV180+DL180+DB180+CR180+CH180+BX180+BN180+BD180+AS180+AI180+Y180+O180+H180+I180</f>
        <v>544460</v>
      </c>
      <c r="EO180">
        <f>DY180+DO180+DE180+CU180+CK180+CA180+BQ180+BG180+AV180+AL180+AB180+R180</f>
        <v>2400</v>
      </c>
      <c r="EP180">
        <f t="shared" si="409"/>
        <v>50000</v>
      </c>
      <c r="EQ180">
        <v>0</v>
      </c>
      <c r="ER180">
        <f t="shared" si="362"/>
        <v>492060</v>
      </c>
      <c r="ES180">
        <f>DW180+DM180+DC180+CS180+CI180+BY180+BO180+BE180+AT180+AJ180+Z180+P180</f>
        <v>36000</v>
      </c>
      <c r="ET180">
        <f>DX180+DN180+DD180+CT180+CJ180+BZ180+BP180+BF180+AU180+AK180+AA180+Q180</f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410"/>
        <v>36000</v>
      </c>
      <c r="FF180">
        <f t="shared" si="411"/>
        <v>36000</v>
      </c>
      <c r="FG180">
        <f t="shared" si="412"/>
        <v>456060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>SUM(FH180:FN180)+(IF(F180="YES",50000,0))</f>
        <v>0</v>
      </c>
      <c r="FP180">
        <f t="shared" si="413"/>
        <v>456060</v>
      </c>
      <c r="FQ180">
        <f t="shared" si="414"/>
        <v>10303</v>
      </c>
      <c r="FR180">
        <f t="shared" si="415"/>
        <v>0</v>
      </c>
      <c r="FS180">
        <f t="shared" si="416"/>
        <v>10303</v>
      </c>
      <c r="FT180">
        <f t="shared" si="417"/>
        <v>0</v>
      </c>
      <c r="FU180">
        <f t="shared" si="418"/>
        <v>0</v>
      </c>
      <c r="FV180">
        <f t="shared" si="419"/>
        <v>0</v>
      </c>
      <c r="FW180">
        <v>0</v>
      </c>
      <c r="FX180">
        <f t="shared" si="420"/>
        <v>0</v>
      </c>
      <c r="FY180" t="b">
        <f t="shared" si="421"/>
        <v>1</v>
      </c>
      <c r="FZ180">
        <f t="shared" ca="1" si="422"/>
        <v>943</v>
      </c>
      <c r="GA180">
        <f t="shared" ca="1" si="423"/>
        <v>545403</v>
      </c>
      <c r="GB180">
        <f t="shared" si="424"/>
        <v>75000</v>
      </c>
      <c r="GC180">
        <f t="shared" ca="1" si="425"/>
        <v>470403</v>
      </c>
      <c r="GD180">
        <f t="shared" ca="1" si="426"/>
        <v>0</v>
      </c>
      <c r="GE180">
        <f t="shared" ca="1" si="427"/>
        <v>0</v>
      </c>
      <c r="GF180">
        <f t="shared" ca="1" si="428"/>
        <v>0</v>
      </c>
      <c r="GG180">
        <f t="shared" ca="1" si="429"/>
        <v>0</v>
      </c>
      <c r="GH180">
        <f t="shared" ca="1" si="430"/>
        <v>0</v>
      </c>
      <c r="GI180">
        <f t="shared" ca="1" si="431"/>
        <v>0</v>
      </c>
      <c r="GJ180">
        <f ca="1">IF(GC180&gt;1200000,GC180-1200000-IF(F180="YES",50000,0)-GH180,0)</f>
        <v>0</v>
      </c>
      <c r="GK180">
        <f t="shared" ca="1" si="432"/>
        <v>0</v>
      </c>
      <c r="GL180">
        <f t="shared" ca="1" si="433"/>
        <v>0</v>
      </c>
      <c r="GM180">
        <f t="shared" ca="1" si="434"/>
        <v>0</v>
      </c>
      <c r="GN180">
        <f t="shared" ca="1" si="435"/>
        <v>70403</v>
      </c>
      <c r="GO180">
        <f t="shared" ca="1" si="436"/>
        <v>3520.15</v>
      </c>
      <c r="GP180">
        <f t="shared" ca="1" si="437"/>
        <v>3520</v>
      </c>
      <c r="GQ180">
        <f t="shared" ca="1" si="438"/>
        <v>0</v>
      </c>
      <c r="GR180">
        <f t="shared" ca="1" si="439"/>
        <v>0</v>
      </c>
      <c r="GS180">
        <f t="shared" ca="1" si="440"/>
        <v>3520</v>
      </c>
      <c r="GT180">
        <f t="shared" ca="1" si="441"/>
        <v>0</v>
      </c>
      <c r="GU180" t="b">
        <f t="shared" ca="1" si="442"/>
        <v>0</v>
      </c>
      <c r="GV180">
        <f t="shared" ca="1" si="443"/>
        <v>0</v>
      </c>
      <c r="GW180">
        <f t="shared" ca="1" si="444"/>
        <v>3520</v>
      </c>
      <c r="GX180">
        <f t="shared" ca="1" si="445"/>
        <v>0</v>
      </c>
      <c r="GY180">
        <f t="shared" ca="1" si="446"/>
        <v>0</v>
      </c>
      <c r="GZ180">
        <f t="shared" ca="1" si="447"/>
        <v>0</v>
      </c>
    </row>
    <row r="181" spans="1:208" x14ac:dyDescent="0.25">
      <c r="A181">
        <f>_xlfn.AGGREGATE(3,5,$B$2:B181)</f>
        <v>180</v>
      </c>
      <c r="B181" t="s">
        <v>468</v>
      </c>
      <c r="C181" t="s">
        <v>469</v>
      </c>
      <c r="D181" t="s">
        <v>797</v>
      </c>
      <c r="E181" t="s">
        <v>832</v>
      </c>
      <c r="F181" t="s">
        <v>957</v>
      </c>
      <c r="G181" t="s">
        <v>888</v>
      </c>
      <c r="H181">
        <f t="shared" si="450"/>
        <v>6800</v>
      </c>
      <c r="I181">
        <f>_xlfn.XLOOKUP(B181,'[1]march-2025'!$A:$A,'[1]march-2025'!$J:$J,0,0)</f>
        <v>0</v>
      </c>
      <c r="J181">
        <f>_xlfn.XLOOKUP(B181,'[1]march-2025'!$A:$A,'[1]march-2025'!$C:$C,0,0)</f>
        <v>37700</v>
      </c>
      <c r="K181">
        <f t="shared" si="364"/>
        <v>5278.0000000000009</v>
      </c>
      <c r="L181">
        <f t="shared" si="365"/>
        <v>4524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>IF(J181&gt;0,SUM(J181:N181),0)</f>
        <v>48002</v>
      </c>
      <c r="P181">
        <f>_xlfn.XLOOKUP(B181,'[1]march-2025'!$A:$A,'[1]march-2025'!$H:$H,0,0)</f>
        <v>7000</v>
      </c>
      <c r="Q181">
        <f>_xlfn.XLOOKUP(B181,'[1]march-2025'!$A:$A,'[1]march-2025'!$I:$I,0,0)</f>
        <v>0</v>
      </c>
      <c r="R181">
        <f t="shared" si="448"/>
        <v>200</v>
      </c>
      <c r="S181">
        <f t="shared" si="357"/>
        <v>40802</v>
      </c>
      <c r="T181">
        <f>_xlfn.XLOOKUP(B181,'[2]april-2025'!$A:$A,'[2]april-2025'!$C:$C,0,0)</f>
        <v>37700</v>
      </c>
      <c r="U181">
        <f t="shared" si="366"/>
        <v>6786</v>
      </c>
      <c r="V181">
        <f t="shared" si="367"/>
        <v>4524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358"/>
        <v>49510</v>
      </c>
      <c r="Z181">
        <f>_xlfn.XLOOKUP(B181,'[2]april-2025'!$A:$A,'[2]april-2025'!$H:$H,0,0)</f>
        <v>7000</v>
      </c>
      <c r="AA181">
        <f>_xlfn.XLOOKUP(B181,'[2]april-2025'!$A:$A,'[2]april-2025'!$I:$I,0,0)</f>
        <v>0</v>
      </c>
      <c r="AB181">
        <f t="shared" si="368"/>
        <v>200</v>
      </c>
      <c r="AC181">
        <f t="shared" si="369"/>
        <v>42310</v>
      </c>
      <c r="AD181">
        <f>_xlfn.XLOOKUP(B181,'[3]may-2025'!$A:$A,'[3]may-2025'!$C:$C,0,0)</f>
        <v>37700</v>
      </c>
      <c r="AE181">
        <f t="shared" si="370"/>
        <v>6786</v>
      </c>
      <c r="AF181">
        <f t="shared" si="371"/>
        <v>4524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359"/>
        <v>49510</v>
      </c>
      <c r="AJ181">
        <f>_xlfn.XLOOKUP(B181,'[3]may-2025'!$A:$A,'[3]may-2025'!$H:$H,0,0)</f>
        <v>7000</v>
      </c>
      <c r="AK181">
        <f>_xlfn.XLOOKUP(B181,'[3]may-2025'!$A:$A,'[3]may-2025'!$I:$I,0,0)</f>
        <v>0</v>
      </c>
      <c r="AL181">
        <f t="shared" si="372"/>
        <v>200</v>
      </c>
      <c r="AM181">
        <f t="shared" si="373"/>
        <v>42310</v>
      </c>
      <c r="AN181">
        <f>_xlfn.XLOOKUP(B181,'[4]june-2025'!$A:$A,'[4]june-2025'!$C:$C,0,0)</f>
        <v>37700</v>
      </c>
      <c r="AO181">
        <f t="shared" si="374"/>
        <v>6786</v>
      </c>
      <c r="AP181">
        <f t="shared" si="375"/>
        <v>4524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360"/>
        <v>49510</v>
      </c>
      <c r="AT181">
        <f>_xlfn.XLOOKUP(B181,'[4]june-2025'!$A:$A,'[4]june-2025'!$H:$H,0,0)</f>
        <v>7000</v>
      </c>
      <c r="AU181">
        <f>_xlfn.XLOOKUP(B181,'[4]june-2025'!$A:$A,'[4]june-2025'!$I:$I,0,0)</f>
        <v>0</v>
      </c>
      <c r="AV181">
        <f t="shared" si="376"/>
        <v>200</v>
      </c>
      <c r="AW181">
        <f t="shared" si="377"/>
        <v>42310</v>
      </c>
      <c r="AX181">
        <f>_xlfn.XLOOKUP(B181,'[5]july-2025'!$A:$A,'[5]july-2025'!$C:$C,0,0)</f>
        <v>38800</v>
      </c>
      <c r="AY181">
        <f t="shared" si="378"/>
        <v>6984</v>
      </c>
      <c r="AZ181">
        <v>0</v>
      </c>
      <c r="BA181">
        <f t="shared" si="379"/>
        <v>4656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>IF(AX181&gt;0,SUM(AX181:BC181),0)</f>
        <v>50940</v>
      </c>
      <c r="BE181">
        <f>_xlfn.XLOOKUP(B181,'[5]july-2025'!$A:$A,'[5]july-2025'!$H:$H,0,0)</f>
        <v>7000</v>
      </c>
      <c r="BF181">
        <f>_xlfn.XLOOKUP(B181,'[5]july-2025'!$A:$A,'[5]july-2025'!$I:$I,0,0)</f>
        <v>0</v>
      </c>
      <c r="BG181">
        <f t="shared" si="380"/>
        <v>200</v>
      </c>
      <c r="BH181">
        <f t="shared" si="381"/>
        <v>43740</v>
      </c>
      <c r="BI181">
        <f>_xlfn.XLOOKUP(B181,'[6]august-2025'!$A:$A,'[6]august-2025'!$C:$C,0,0)</f>
        <v>38800</v>
      </c>
      <c r="BJ181">
        <f t="shared" si="382"/>
        <v>6984</v>
      </c>
      <c r="BK181">
        <f t="shared" si="383"/>
        <v>4656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384"/>
        <v>50940</v>
      </c>
      <c r="BO181">
        <f>_xlfn.XLOOKUP(B181,'[6]august-2025'!$A:$A,'[6]august-2025'!$H:$H,0,0)</f>
        <v>7000</v>
      </c>
      <c r="BP181">
        <f>_xlfn.XLOOKUP(B181,'[6]august-2025'!$A:$A,'[6]august-2025'!$I:$I,0,0)</f>
        <v>0</v>
      </c>
      <c r="BQ181">
        <f>IF($F181="YES",0,IF(BN181&gt;40000,200,IF(BN181&gt;25000,150,IF(BN181&gt;15000,130,IF(BN181&gt;10000,110,0)))))</f>
        <v>200</v>
      </c>
      <c r="BR181">
        <f>BN181-BO181-BP181-BQ181</f>
        <v>43740</v>
      </c>
      <c r="BS181">
        <f>_xlfn.XLOOKUP(B181,'[7]september-2025'!$A:$A,'[7]september-2025'!$C:$C,0,0)</f>
        <v>38800</v>
      </c>
      <c r="BT181">
        <f t="shared" si="385"/>
        <v>6984</v>
      </c>
      <c r="BU181">
        <f t="shared" si="386"/>
        <v>4656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>IF(BS181&gt;0,SUM(BS181:BW181),0)</f>
        <v>50940</v>
      </c>
      <c r="BY181">
        <f>_xlfn.XLOOKUP(B181,'[7]september-2025'!$A:$A,'[7]september-2025'!$H:$H,0,0)</f>
        <v>7000</v>
      </c>
      <c r="BZ181">
        <f>_xlfn.XLOOKUP(B181,'[7]september-2025'!$A:$A,'[7]september-2025'!$I:$I,0,0)</f>
        <v>0</v>
      </c>
      <c r="CA181">
        <f t="shared" si="387"/>
        <v>200</v>
      </c>
      <c r="CB181">
        <f t="shared" si="388"/>
        <v>43740</v>
      </c>
      <c r="CC181">
        <f>_xlfn.XLOOKUP(B181,'[8]october-2025'!$A:$A,'[8]october-2025'!$C:$C,0,0)</f>
        <v>38800</v>
      </c>
      <c r="CD181">
        <f t="shared" si="389"/>
        <v>6984</v>
      </c>
      <c r="CE181">
        <f t="shared" si="390"/>
        <v>4656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>IF(CC181&gt;0,SUM(CC181:CG181),0)</f>
        <v>50940</v>
      </c>
      <c r="CI181">
        <f>_xlfn.XLOOKUP(B181,'[8]october-2025'!$A:$A,'[8]october-2025'!$H:$H,0,0)</f>
        <v>7000</v>
      </c>
      <c r="CJ181">
        <f>_xlfn.XLOOKUP(B181,'[8]october-2025'!$A:$A,'[8]october-2025'!$I:$I,0,0)</f>
        <v>0</v>
      </c>
      <c r="CK181">
        <f t="shared" si="391"/>
        <v>200</v>
      </c>
      <c r="CL181">
        <f t="shared" si="392"/>
        <v>43740</v>
      </c>
      <c r="CM181">
        <f>_xlfn.XLOOKUP(B181,'[9]november-2025'!$A:$A,'[9]november-2025'!$C:$C,0,0)</f>
        <v>38800</v>
      </c>
      <c r="CN181">
        <f t="shared" si="393"/>
        <v>6984</v>
      </c>
      <c r="CO181">
        <f t="shared" si="394"/>
        <v>4656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>IF(CM181&gt;0,SUM(CM181:CQ181),0)</f>
        <v>50940</v>
      </c>
      <c r="CS181">
        <f>_xlfn.XLOOKUP(B181,'[9]november-2025'!$A:$A,'[9]november-2025'!$H:$H,0,0)</f>
        <v>7000</v>
      </c>
      <c r="CT181">
        <f>_xlfn.XLOOKUP(B181,'[9]november-2025'!$A:$A,'[9]november-2025'!$I:$I,0,0)</f>
        <v>0</v>
      </c>
      <c r="CU181">
        <f t="shared" si="395"/>
        <v>200</v>
      </c>
      <c r="CV181">
        <f t="shared" si="396"/>
        <v>43740</v>
      </c>
      <c r="CW181">
        <f>_xlfn.XLOOKUP(B181,'[10]december-2025'!$A:$A,'[10]december-2025'!$C:$C,0,0)</f>
        <v>38800</v>
      </c>
      <c r="CX181">
        <f t="shared" si="397"/>
        <v>6984</v>
      </c>
      <c r="CY181">
        <f t="shared" si="398"/>
        <v>4656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>IF(CW181&gt;0,SUM(CW181:DA181),0)</f>
        <v>50940</v>
      </c>
      <c r="DC181">
        <f>_xlfn.XLOOKUP(B181,'[10]december-2025'!$A:$A,'[10]december-2025'!$H:$H,0,0)</f>
        <v>7000</v>
      </c>
      <c r="DD181">
        <f>_xlfn.XLOOKUP(B181,'[10]december-2025'!$A:$A,'[10]december-2025'!$I:$I,0,0)</f>
        <v>0</v>
      </c>
      <c r="DE181">
        <f t="shared" si="399"/>
        <v>200</v>
      </c>
      <c r="DF181">
        <f t="shared" si="400"/>
        <v>43740</v>
      </c>
      <c r="DG181">
        <f>_xlfn.XLOOKUP(B181,'[11]january-2026'!$A:$A,'[11]january-2026'!$C:$C,0,0)</f>
        <v>38800</v>
      </c>
      <c r="DH181">
        <f t="shared" si="401"/>
        <v>6984</v>
      </c>
      <c r="DI181">
        <f t="shared" si="402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>IF(DG181&gt;0,SUM(DG181:DK181),0)</f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03"/>
        <v>200</v>
      </c>
      <c r="DP181">
        <f t="shared" si="404"/>
        <v>43740</v>
      </c>
      <c r="DQ181">
        <f>_xlfn.XLOOKUP(B181,'[12]february-2026'!$A:$A,'[12]february-2026'!$C:$C,0,0)</f>
        <v>38800</v>
      </c>
      <c r="DR181">
        <f t="shared" si="405"/>
        <v>6984</v>
      </c>
      <c r="DS181">
        <f t="shared" si="406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>IF(DQ181&gt;0,SUM(DQ181:DU181),0)</f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07"/>
        <v>200</v>
      </c>
      <c r="DZ181">
        <f t="shared" si="408"/>
        <v>43740</v>
      </c>
      <c r="EA181">
        <f>_xlfn.XLOOKUP(B181,'[1]march-2025'!$A:$A,'[1]march-2025'!$J:$J,0,0)</f>
        <v>0</v>
      </c>
      <c r="EB181">
        <f>_xlfn.XLOOKUP(B181,'[2]april-2025'!$A:$A,'[2]april-2025'!$J:$J,0,0)</f>
        <v>0</v>
      </c>
      <c r="EC181">
        <f>_xlfn.XLOOKUP(B181,'[3]may-2025'!$A:$A,'[3]may-2025'!$J:$J,0,0)</f>
        <v>0</v>
      </c>
      <c r="ED181">
        <f>_xlfn.XLOOKUP(B181,'[4]june-2025'!$A:$A,'[4]june-2025'!$J:$J,0,0)</f>
        <v>0</v>
      </c>
      <c r="EE181">
        <f>_xlfn.XLOOKUP(B181,'[5]july-2025'!$A:$A,'[5]july-2025'!$J:$J,0,0)</f>
        <v>0</v>
      </c>
      <c r="EF181">
        <f>_xlfn.XLOOKUP(B181,'[6]august-2025'!$A:$A,'[6]august-2025'!$J:$J,0,0)</f>
        <v>0</v>
      </c>
      <c r="EG181">
        <f>_xlfn.XLOOKUP(B181,'[7]september-2025'!$A:$A,'[7]september-2025'!$J:$J,0,0)</f>
        <v>0</v>
      </c>
      <c r="EH181">
        <f>_xlfn.XLOOKUP(B181,'[8]october-2025'!$A:$A,'[8]october-2025'!$J:$J,0,0)</f>
        <v>0</v>
      </c>
      <c r="EI181">
        <f>_xlfn.XLOOKUP(C181,'[9]november-2025'!$A:$A,'[9]november-2025'!$J:$J,0,0)</f>
        <v>0</v>
      </c>
      <c r="EJ181">
        <f>_xlfn.XLOOKUP(B181,'[10]december-2025'!$A:$A,'[10]december-2025'!$J:$J,0,0)</f>
        <v>0</v>
      </c>
      <c r="EK181">
        <f>_xlfn.XLOOKUP(B181,'[11]january-2026'!$A:$A,'[11]january-2026'!$J:$J,0,0)</f>
        <v>0</v>
      </c>
      <c r="EL181">
        <f>_xlfn.XLOOKUP(B181,'[12]february-2026'!$A:$A,'[12]february-2026'!$J:$J,0,0)</f>
        <v>0</v>
      </c>
      <c r="EM181">
        <f t="shared" si="361"/>
        <v>0</v>
      </c>
      <c r="EN181">
        <f>DV181+DL181+DB181+CR181+CH181+BX181+BN181+BD181+AS181+AI181+Y181+O181+H181+I181</f>
        <v>610852</v>
      </c>
      <c r="EO181">
        <f>DY181+DO181+DE181+CU181+CK181+CA181+BQ181+BG181+AV181+AL181+AB181+R181</f>
        <v>2400</v>
      </c>
      <c r="EP181">
        <f t="shared" si="409"/>
        <v>50000</v>
      </c>
      <c r="EQ181">
        <v>0</v>
      </c>
      <c r="ER181">
        <f t="shared" si="362"/>
        <v>558452</v>
      </c>
      <c r="ES181">
        <f>DW181+DM181+DC181+CS181+CI181+BY181+BO181+BE181+AT181+AJ181+Z181+P181</f>
        <v>84000</v>
      </c>
      <c r="ET181">
        <f>DX181+DN181+DD181+CT181+CJ181+BZ181+BP181+BF181+AU181+AK181+AA181+Q181</f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410"/>
        <v>84000</v>
      </c>
      <c r="FF181">
        <f t="shared" si="411"/>
        <v>84000</v>
      </c>
      <c r="FG181">
        <f t="shared" si="412"/>
        <v>474452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>SUM(FH181:FN181)+(IF(F181="YES",50000,0))</f>
        <v>0</v>
      </c>
      <c r="FP181">
        <f t="shared" si="413"/>
        <v>474452</v>
      </c>
      <c r="FQ181">
        <f t="shared" si="414"/>
        <v>11223</v>
      </c>
      <c r="FR181">
        <f t="shared" si="415"/>
        <v>0</v>
      </c>
      <c r="FS181">
        <f t="shared" si="416"/>
        <v>11223</v>
      </c>
      <c r="FT181">
        <f t="shared" si="417"/>
        <v>0</v>
      </c>
      <c r="FU181">
        <f t="shared" si="418"/>
        <v>0</v>
      </c>
      <c r="FV181">
        <f t="shared" si="419"/>
        <v>0</v>
      </c>
      <c r="FW181">
        <v>0</v>
      </c>
      <c r="FX181">
        <f t="shared" si="420"/>
        <v>0</v>
      </c>
      <c r="FY181" t="b">
        <f t="shared" si="421"/>
        <v>1</v>
      </c>
      <c r="FZ181">
        <f t="shared" ca="1" si="422"/>
        <v>634</v>
      </c>
      <c r="GA181">
        <f t="shared" ca="1" si="423"/>
        <v>611486</v>
      </c>
      <c r="GB181">
        <f t="shared" si="424"/>
        <v>75000</v>
      </c>
      <c r="GC181">
        <f t="shared" ca="1" si="425"/>
        <v>536486</v>
      </c>
      <c r="GD181">
        <f t="shared" ca="1" si="426"/>
        <v>0</v>
      </c>
      <c r="GE181">
        <f t="shared" ca="1" si="427"/>
        <v>0</v>
      </c>
      <c r="GF181">
        <f t="shared" ca="1" si="428"/>
        <v>0</v>
      </c>
      <c r="GG181">
        <f t="shared" ca="1" si="429"/>
        <v>0</v>
      </c>
      <c r="GH181">
        <f t="shared" ca="1" si="430"/>
        <v>0</v>
      </c>
      <c r="GI181">
        <f t="shared" ca="1" si="431"/>
        <v>0</v>
      </c>
      <c r="GJ181">
        <f ca="1">IF(GC181&gt;1200000,GC181-1200000-IF(F181="YES",50000,0)-GH181,0)</f>
        <v>0</v>
      </c>
      <c r="GK181">
        <f t="shared" ca="1" si="432"/>
        <v>0</v>
      </c>
      <c r="GL181">
        <f t="shared" ca="1" si="433"/>
        <v>0</v>
      </c>
      <c r="GM181">
        <f t="shared" ca="1" si="434"/>
        <v>0</v>
      </c>
      <c r="GN181">
        <f t="shared" ca="1" si="435"/>
        <v>136486</v>
      </c>
      <c r="GO181">
        <f t="shared" ca="1" si="436"/>
        <v>6824.3</v>
      </c>
      <c r="GP181">
        <f t="shared" ca="1" si="437"/>
        <v>6824</v>
      </c>
      <c r="GQ181">
        <f t="shared" ca="1" si="438"/>
        <v>0</v>
      </c>
      <c r="GR181">
        <f t="shared" ca="1" si="439"/>
        <v>0</v>
      </c>
      <c r="GS181">
        <f t="shared" ca="1" si="440"/>
        <v>6824</v>
      </c>
      <c r="GT181">
        <f t="shared" ca="1" si="441"/>
        <v>0</v>
      </c>
      <c r="GU181" t="b">
        <f t="shared" ca="1" si="442"/>
        <v>0</v>
      </c>
      <c r="GV181">
        <f t="shared" ca="1" si="443"/>
        <v>0</v>
      </c>
      <c r="GW181">
        <f t="shared" ca="1" si="444"/>
        <v>6824</v>
      </c>
      <c r="GX181">
        <f t="shared" ca="1" si="445"/>
        <v>0</v>
      </c>
      <c r="GY181">
        <f t="shared" ca="1" si="446"/>
        <v>0</v>
      </c>
      <c r="GZ181">
        <f t="shared" ca="1" si="447"/>
        <v>0</v>
      </c>
    </row>
    <row r="182" spans="1:208" x14ac:dyDescent="0.25">
      <c r="A182">
        <f>_xlfn.AGGREGATE(3,5,$B$2:B182)</f>
        <v>181</v>
      </c>
      <c r="B182" t="s">
        <v>470</v>
      </c>
      <c r="C182" t="s">
        <v>471</v>
      </c>
      <c r="D182" t="s">
        <v>797</v>
      </c>
      <c r="E182" t="s">
        <v>831</v>
      </c>
      <c r="F182" t="s">
        <v>957</v>
      </c>
      <c r="G182" t="s">
        <v>934</v>
      </c>
      <c r="H182">
        <f t="shared" si="450"/>
        <v>6800</v>
      </c>
      <c r="I182">
        <f>_xlfn.XLOOKUP(B182,'[1]march-2025'!$A:$A,'[1]march-2025'!$J:$J,0,0)</f>
        <v>17084</v>
      </c>
      <c r="J182">
        <f>_xlfn.XLOOKUP(B182,'[1]march-2025'!$A:$A,'[1]march-2025'!$C:$C,0,0)</f>
        <v>25400</v>
      </c>
      <c r="K182">
        <f t="shared" si="364"/>
        <v>3556.0000000000005</v>
      </c>
      <c r="L182">
        <f t="shared" si="365"/>
        <v>3048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>IF(J182&gt;0,SUM(J182:N182),0)</f>
        <v>32504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448"/>
        <v>150</v>
      </c>
      <c r="S182">
        <f t="shared" si="357"/>
        <v>30354</v>
      </c>
      <c r="T182">
        <f>_xlfn.XLOOKUP(B182,'[2]april-2025'!$A:$A,'[2]april-2025'!$C:$C,0,0)</f>
        <v>25400</v>
      </c>
      <c r="U182">
        <f t="shared" si="366"/>
        <v>4572</v>
      </c>
      <c r="V182">
        <f t="shared" si="367"/>
        <v>3048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358"/>
        <v>33520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368"/>
        <v>150</v>
      </c>
      <c r="AC182">
        <f t="shared" si="369"/>
        <v>31370</v>
      </c>
      <c r="AD182">
        <f>_xlfn.XLOOKUP(B182,'[3]may-2025'!$A:$A,'[3]may-2025'!$C:$C,0,0)</f>
        <v>25400</v>
      </c>
      <c r="AE182">
        <f t="shared" si="370"/>
        <v>4572</v>
      </c>
      <c r="AF182">
        <f t="shared" si="371"/>
        <v>3048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359"/>
        <v>33520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372"/>
        <v>150</v>
      </c>
      <c r="AM182">
        <f t="shared" si="373"/>
        <v>31370</v>
      </c>
      <c r="AN182">
        <f>_xlfn.XLOOKUP(B182,'[4]june-2025'!$A:$A,'[4]june-2025'!$C:$C,0,0)</f>
        <v>25400</v>
      </c>
      <c r="AO182">
        <f t="shared" si="374"/>
        <v>4572</v>
      </c>
      <c r="AP182">
        <f t="shared" si="375"/>
        <v>3048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360"/>
        <v>33520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376"/>
        <v>150</v>
      </c>
      <c r="AW182">
        <f t="shared" si="377"/>
        <v>31370</v>
      </c>
      <c r="AX182">
        <f>_xlfn.XLOOKUP(B182,'[5]july-2025'!$A:$A,'[5]july-2025'!$C:$C,0,0)</f>
        <v>26200</v>
      </c>
      <c r="AY182">
        <f t="shared" si="378"/>
        <v>4716</v>
      </c>
      <c r="AZ182">
        <v>0</v>
      </c>
      <c r="BA182">
        <f t="shared" si="379"/>
        <v>3144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>IF(AX182&gt;0,SUM(AX182:BC182),0)</f>
        <v>34560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380"/>
        <v>150</v>
      </c>
      <c r="BH182">
        <f t="shared" si="381"/>
        <v>32410</v>
      </c>
      <c r="BI182">
        <f>_xlfn.XLOOKUP(B182,'[6]august-2025'!$A:$A,'[6]august-2025'!$C:$C,0,0)</f>
        <v>26200</v>
      </c>
      <c r="BJ182">
        <f t="shared" si="382"/>
        <v>4716</v>
      </c>
      <c r="BK182">
        <f t="shared" si="383"/>
        <v>3144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384"/>
        <v>34560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>IF($F182="YES",0,IF(BN182&gt;40000,200,IF(BN182&gt;25000,150,IF(BN182&gt;15000,130,IF(BN182&gt;10000,110,0)))))</f>
        <v>150</v>
      </c>
      <c r="BR182">
        <f>BN182-BO182-BP182-BQ182</f>
        <v>32410</v>
      </c>
      <c r="BS182">
        <f>_xlfn.XLOOKUP(B182,'[7]september-2025'!$A:$A,'[7]september-2025'!$C:$C,0,0)</f>
        <v>26200</v>
      </c>
      <c r="BT182">
        <f t="shared" si="385"/>
        <v>4716</v>
      </c>
      <c r="BU182">
        <f t="shared" si="386"/>
        <v>3144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>IF(BS182&gt;0,SUM(BS182:BW182),0)</f>
        <v>34560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387"/>
        <v>150</v>
      </c>
      <c r="CB182">
        <f t="shared" si="388"/>
        <v>32410</v>
      </c>
      <c r="CC182">
        <f>_xlfn.XLOOKUP(B182,'[8]october-2025'!$A:$A,'[8]october-2025'!$C:$C,0,0)</f>
        <v>26200</v>
      </c>
      <c r="CD182">
        <f t="shared" si="389"/>
        <v>4716</v>
      </c>
      <c r="CE182">
        <f t="shared" si="390"/>
        <v>3144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>IF(CC182&gt;0,SUM(CC182:CG182),0)</f>
        <v>34560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391"/>
        <v>150</v>
      </c>
      <c r="CL182">
        <f t="shared" si="392"/>
        <v>32410</v>
      </c>
      <c r="CM182">
        <f>_xlfn.XLOOKUP(B182,'[9]november-2025'!$A:$A,'[9]november-2025'!$C:$C,0,0)</f>
        <v>26200</v>
      </c>
      <c r="CN182">
        <f t="shared" si="393"/>
        <v>4716</v>
      </c>
      <c r="CO182">
        <f t="shared" si="394"/>
        <v>3144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>IF(CM182&gt;0,SUM(CM182:CQ182),0)</f>
        <v>34560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395"/>
        <v>150</v>
      </c>
      <c r="CV182">
        <f t="shared" si="396"/>
        <v>32410</v>
      </c>
      <c r="CW182">
        <f>_xlfn.XLOOKUP(B182,'[10]december-2025'!$A:$A,'[10]december-2025'!$C:$C,0,0)</f>
        <v>26200</v>
      </c>
      <c r="CX182">
        <f t="shared" si="397"/>
        <v>4716</v>
      </c>
      <c r="CY182">
        <f t="shared" si="398"/>
        <v>3144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>IF(CW182&gt;0,SUM(CW182:DA182),0)</f>
        <v>34560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399"/>
        <v>150</v>
      </c>
      <c r="DF182">
        <f t="shared" si="400"/>
        <v>32410</v>
      </c>
      <c r="DG182">
        <f>_xlfn.XLOOKUP(B182,'[11]january-2026'!$A:$A,'[11]january-2026'!$C:$C,0,0)</f>
        <v>26200</v>
      </c>
      <c r="DH182">
        <f t="shared" si="401"/>
        <v>4716</v>
      </c>
      <c r="DI182">
        <f t="shared" si="402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>IF(DG182&gt;0,SUM(DG182:DK182),0)</f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03"/>
        <v>150</v>
      </c>
      <c r="DP182">
        <f t="shared" si="404"/>
        <v>32410</v>
      </c>
      <c r="DQ182">
        <f>_xlfn.XLOOKUP(B182,'[12]february-2026'!$A:$A,'[12]february-2026'!$C:$C,0,0)</f>
        <v>26200</v>
      </c>
      <c r="DR182">
        <f t="shared" si="405"/>
        <v>4716</v>
      </c>
      <c r="DS182">
        <f t="shared" si="406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>IF(DQ182&gt;0,SUM(DQ182:DU182),0)</f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07"/>
        <v>150</v>
      </c>
      <c r="DZ182">
        <f t="shared" si="408"/>
        <v>32410</v>
      </c>
      <c r="EA182">
        <f>_xlfn.XLOOKUP(B182,'[1]march-2025'!$A:$A,'[1]march-2025'!$J:$J,0,0)</f>
        <v>17084</v>
      </c>
      <c r="EB182">
        <f>_xlfn.XLOOKUP(B182,'[2]april-2025'!$A:$A,'[2]april-2025'!$J:$J,0,0)</f>
        <v>0</v>
      </c>
      <c r="EC182">
        <f>_xlfn.XLOOKUP(B182,'[3]may-2025'!$A:$A,'[3]may-2025'!$J:$J,0,0)</f>
        <v>0</v>
      </c>
      <c r="ED182">
        <f>_xlfn.XLOOKUP(B182,'[4]june-2025'!$A:$A,'[4]june-2025'!$J:$J,0,0)</f>
        <v>0</v>
      </c>
      <c r="EE182">
        <f>_xlfn.XLOOKUP(B182,'[5]july-2025'!$A:$A,'[5]july-2025'!$J:$J,0,0)</f>
        <v>0</v>
      </c>
      <c r="EF182">
        <f>_xlfn.XLOOKUP(B182,'[6]august-2025'!$A:$A,'[6]august-2025'!$J:$J,0,0)</f>
        <v>0</v>
      </c>
      <c r="EG182">
        <f>_xlfn.XLOOKUP(B182,'[7]september-2025'!$A:$A,'[7]september-2025'!$J:$J,0,0)</f>
        <v>0</v>
      </c>
      <c r="EH182">
        <f>_xlfn.XLOOKUP(B182,'[8]october-2025'!$A:$A,'[8]october-2025'!$J:$J,0,0)</f>
        <v>0</v>
      </c>
      <c r="EI182">
        <f>_xlfn.XLOOKUP(C182,'[9]november-2025'!$A:$A,'[9]november-2025'!$J:$J,0,0)</f>
        <v>0</v>
      </c>
      <c r="EJ182">
        <f>_xlfn.XLOOKUP(B182,'[10]december-2025'!$A:$A,'[10]december-2025'!$J:$J,0,0)</f>
        <v>0</v>
      </c>
      <c r="EK182">
        <f>_xlfn.XLOOKUP(B182,'[11]january-2026'!$A:$A,'[11]january-2026'!$J:$J,0,0)</f>
        <v>0</v>
      </c>
      <c r="EL182">
        <f>_xlfn.XLOOKUP(B182,'[12]february-2026'!$A:$A,'[12]february-2026'!$J:$J,0,0)</f>
        <v>0</v>
      </c>
      <c r="EM182">
        <f t="shared" si="361"/>
        <v>17084</v>
      </c>
      <c r="EN182">
        <f>DV182+DL182+DB182+CR182+CH182+BX182+BN182+BD182+AS182+AI182+Y182+O182+H182+I182</f>
        <v>433428</v>
      </c>
      <c r="EO182">
        <f>DY182+DO182+DE182+CU182+CK182+CA182+BQ182+BG182+AV182+AL182+AB182+R182</f>
        <v>1800</v>
      </c>
      <c r="EP182">
        <f t="shared" si="409"/>
        <v>50000</v>
      </c>
      <c r="EQ182">
        <v>0</v>
      </c>
      <c r="ER182">
        <f t="shared" si="362"/>
        <v>398712</v>
      </c>
      <c r="ES182">
        <f>DW182+DM182+DC182+CS182+CI182+BY182+BO182+BE182+AT182+AJ182+Z182+P182</f>
        <v>24000</v>
      </c>
      <c r="ET182">
        <f>DX182+DN182+DD182+CT182+CJ182+BZ182+BP182+BF182+AU182+AK182+AA182+Q182</f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410"/>
        <v>24000</v>
      </c>
      <c r="FF182">
        <f t="shared" si="411"/>
        <v>24000</v>
      </c>
      <c r="FG182">
        <f t="shared" si="412"/>
        <v>374712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>SUM(FH182:FN182)+(IF(F182="YES",50000,0))</f>
        <v>0</v>
      </c>
      <c r="FP182">
        <f t="shared" si="413"/>
        <v>374712</v>
      </c>
      <c r="FQ182">
        <f t="shared" si="414"/>
        <v>6236</v>
      </c>
      <c r="FR182">
        <f t="shared" si="415"/>
        <v>0</v>
      </c>
      <c r="FS182">
        <f t="shared" si="416"/>
        <v>6236</v>
      </c>
      <c r="FT182">
        <f t="shared" si="417"/>
        <v>0</v>
      </c>
      <c r="FU182">
        <f t="shared" si="418"/>
        <v>0</v>
      </c>
      <c r="FV182">
        <f t="shared" si="419"/>
        <v>0</v>
      </c>
      <c r="FW182">
        <v>0</v>
      </c>
      <c r="FX182">
        <f t="shared" si="420"/>
        <v>0</v>
      </c>
      <c r="FY182" t="b">
        <f t="shared" si="421"/>
        <v>0</v>
      </c>
      <c r="FZ182">
        <f t="shared" ca="1" si="422"/>
        <v>2273</v>
      </c>
      <c r="GA182">
        <f t="shared" ca="1" si="423"/>
        <v>435701</v>
      </c>
      <c r="GB182">
        <f t="shared" si="424"/>
        <v>75000</v>
      </c>
      <c r="GC182">
        <f t="shared" ca="1" si="425"/>
        <v>360701</v>
      </c>
      <c r="GD182">
        <f t="shared" ca="1" si="426"/>
        <v>0</v>
      </c>
      <c r="GE182">
        <f t="shared" ca="1" si="427"/>
        <v>0</v>
      </c>
      <c r="GF182">
        <f t="shared" ca="1" si="428"/>
        <v>0</v>
      </c>
      <c r="GG182">
        <f t="shared" ca="1" si="429"/>
        <v>0</v>
      </c>
      <c r="GH182">
        <f t="shared" ca="1" si="430"/>
        <v>0</v>
      </c>
      <c r="GI182">
        <f t="shared" ca="1" si="431"/>
        <v>0</v>
      </c>
      <c r="GJ182">
        <f ca="1">IF(GC182&gt;1200000,GC182-1200000-IF(F182="YES",50000,0)-GH182,0)</f>
        <v>0</v>
      </c>
      <c r="GK182">
        <f t="shared" ca="1" si="432"/>
        <v>0</v>
      </c>
      <c r="GL182">
        <f t="shared" ca="1" si="433"/>
        <v>0</v>
      </c>
      <c r="GM182">
        <f t="shared" ca="1" si="434"/>
        <v>0</v>
      </c>
      <c r="GN182">
        <f t="shared" ca="1" si="435"/>
        <v>0</v>
      </c>
      <c r="GO182">
        <f t="shared" ca="1" si="436"/>
        <v>0</v>
      </c>
      <c r="GP182">
        <f t="shared" ca="1" si="437"/>
        <v>0</v>
      </c>
      <c r="GQ182">
        <f t="shared" ca="1" si="438"/>
        <v>0</v>
      </c>
      <c r="GR182">
        <f t="shared" ca="1" si="439"/>
        <v>0</v>
      </c>
      <c r="GS182">
        <f t="shared" ca="1" si="440"/>
        <v>0</v>
      </c>
      <c r="GT182">
        <f t="shared" ca="1" si="441"/>
        <v>0</v>
      </c>
      <c r="GU182" t="b">
        <f t="shared" ca="1" si="442"/>
        <v>0</v>
      </c>
      <c r="GV182">
        <f t="shared" ca="1" si="443"/>
        <v>0</v>
      </c>
      <c r="GW182">
        <f t="shared" ca="1" si="444"/>
        <v>0</v>
      </c>
      <c r="GX182">
        <f t="shared" ca="1" si="445"/>
        <v>0</v>
      </c>
      <c r="GY182">
        <f t="shared" ca="1" si="446"/>
        <v>0</v>
      </c>
      <c r="GZ182">
        <f t="shared" ca="1" si="447"/>
        <v>0</v>
      </c>
    </row>
    <row r="183" spans="1:208" x14ac:dyDescent="0.25">
      <c r="A183">
        <f>_xlfn.AGGREGATE(3,5,$B$2:B183)</f>
        <v>182</v>
      </c>
      <c r="B183" t="s">
        <v>472</v>
      </c>
      <c r="C183" t="s">
        <v>473</v>
      </c>
      <c r="D183" t="s">
        <v>797</v>
      </c>
      <c r="E183" t="s">
        <v>831</v>
      </c>
      <c r="F183" t="s">
        <v>957</v>
      </c>
      <c r="G183" t="s">
        <v>935</v>
      </c>
      <c r="H183">
        <f t="shared" si="450"/>
        <v>6800</v>
      </c>
      <c r="I183">
        <f>_xlfn.XLOOKUP(B183,'[1]march-2025'!$A:$A,'[1]march-2025'!$J:$J,0,0)</f>
        <v>0</v>
      </c>
      <c r="J183">
        <f>_xlfn.XLOOKUP(B183,'[1]march-2025'!$A:$A,'[1]march-2025'!$C:$C,0,0)</f>
        <v>28900</v>
      </c>
      <c r="K183">
        <f t="shared" si="364"/>
        <v>4046.0000000000005</v>
      </c>
      <c r="L183">
        <f t="shared" si="365"/>
        <v>3468</v>
      </c>
      <c r="M183">
        <f>_xlfn.XLOOKUP(B183,'[1]march-2025'!$A:$A,'[1]march-2025'!$D:$D,0,0)</f>
        <v>0</v>
      </c>
      <c r="N183">
        <f>_xlfn.XLOOKUP(B183,'[1]march-2025'!$A:$A,'[1]march-2025'!$G:$G,0,0)</f>
        <v>500</v>
      </c>
      <c r="O183">
        <f>IF(J183&gt;0,SUM(J183:N183),0)</f>
        <v>36914</v>
      </c>
      <c r="P183">
        <f>_xlfn.XLOOKUP(B183,'[1]march-2025'!$A:$A,'[1]march-2025'!$H:$H,0,0)</f>
        <v>2000</v>
      </c>
      <c r="Q183">
        <f>_xlfn.XLOOKUP(B183,'[1]march-2025'!$A:$A,'[1]march-2025'!$I:$I,0,0)</f>
        <v>0</v>
      </c>
      <c r="R183">
        <f t="shared" si="448"/>
        <v>150</v>
      </c>
      <c r="S183">
        <f t="shared" si="357"/>
        <v>34764</v>
      </c>
      <c r="T183">
        <f>_xlfn.XLOOKUP(B183,'[2]april-2025'!$A:$A,'[2]april-2025'!$C:$C,0,0)</f>
        <v>28900</v>
      </c>
      <c r="U183">
        <f t="shared" si="366"/>
        <v>5202</v>
      </c>
      <c r="V183">
        <f t="shared" si="367"/>
        <v>3468</v>
      </c>
      <c r="W183">
        <f>_xlfn.XLOOKUP(B183,'[2]april-2025'!$A:$A,'[2]april-2025'!$D:$D,0,0)</f>
        <v>0</v>
      </c>
      <c r="X183">
        <f>_xlfn.XLOOKUP(B183,'[2]april-2025'!$A:$A,'[2]april-2025'!$G:$G,0,0)</f>
        <v>500</v>
      </c>
      <c r="Y183">
        <f t="shared" si="358"/>
        <v>38070</v>
      </c>
      <c r="Z183">
        <f>_xlfn.XLOOKUP(B183,'[2]april-2025'!$A:$A,'[2]april-2025'!$H:$H,0,0)</f>
        <v>2000</v>
      </c>
      <c r="AA183">
        <f>_xlfn.XLOOKUP(B183,'[2]april-2025'!$A:$A,'[2]april-2025'!$I:$I,0,0)</f>
        <v>0</v>
      </c>
      <c r="AB183">
        <f t="shared" si="368"/>
        <v>150</v>
      </c>
      <c r="AC183">
        <f t="shared" si="369"/>
        <v>35920</v>
      </c>
      <c r="AD183">
        <f>_xlfn.XLOOKUP(B183,'[3]may-2025'!$A:$A,'[3]may-2025'!$C:$C,0,0)</f>
        <v>28900</v>
      </c>
      <c r="AE183">
        <f t="shared" si="370"/>
        <v>5202</v>
      </c>
      <c r="AF183">
        <f t="shared" si="371"/>
        <v>3468</v>
      </c>
      <c r="AG183">
        <f>_xlfn.XLOOKUP(B183,'[3]may-2025'!$A:$A,'[3]may-2025'!$D:$D,0,0)</f>
        <v>0</v>
      </c>
      <c r="AH183">
        <f>_xlfn.XLOOKUP(B183,'[3]may-2025'!$A:$A,'[3]may-2025'!$G:$G,0,0)</f>
        <v>500</v>
      </c>
      <c r="AI183">
        <f t="shared" si="359"/>
        <v>38070</v>
      </c>
      <c r="AJ183">
        <f>_xlfn.XLOOKUP(B183,'[3]may-2025'!$A:$A,'[3]may-2025'!$H:$H,0,0)</f>
        <v>2000</v>
      </c>
      <c r="AK183">
        <f>_xlfn.XLOOKUP(B183,'[3]may-2025'!$A:$A,'[3]may-2025'!$I:$I,0,0)</f>
        <v>0</v>
      </c>
      <c r="AL183">
        <f t="shared" si="372"/>
        <v>150</v>
      </c>
      <c r="AM183">
        <f t="shared" si="373"/>
        <v>35920</v>
      </c>
      <c r="AN183">
        <f>_xlfn.XLOOKUP(B183,'[4]june-2025'!$A:$A,'[4]june-2025'!$C:$C,0,0)</f>
        <v>28900</v>
      </c>
      <c r="AO183">
        <f t="shared" si="374"/>
        <v>5202</v>
      </c>
      <c r="AP183">
        <f t="shared" si="375"/>
        <v>3468</v>
      </c>
      <c r="AQ183">
        <f>_xlfn.XLOOKUP(B183,'[4]june-2025'!$A:$A,'[4]june-2025'!$D:$D,0,0)</f>
        <v>0</v>
      </c>
      <c r="AR183">
        <f>_xlfn.XLOOKUP(B183,'[4]june-2025'!$A:$A,'[4]june-2025'!$G:$G,0,0)</f>
        <v>500</v>
      </c>
      <c r="AS183">
        <f t="shared" si="360"/>
        <v>38070</v>
      </c>
      <c r="AT183">
        <f>_xlfn.XLOOKUP(B183,'[4]june-2025'!$A:$A,'[4]june-2025'!$H:$H,0,0)</f>
        <v>2000</v>
      </c>
      <c r="AU183">
        <f>_xlfn.XLOOKUP(B183,'[4]june-2025'!$A:$A,'[4]june-2025'!$I:$I,0,0)</f>
        <v>0</v>
      </c>
      <c r="AV183">
        <f t="shared" si="376"/>
        <v>150</v>
      </c>
      <c r="AW183">
        <f t="shared" si="377"/>
        <v>35920</v>
      </c>
      <c r="AX183">
        <f>_xlfn.XLOOKUP(B183,'[5]july-2025'!$A:$A,'[5]july-2025'!$C:$C,0,0)</f>
        <v>29800</v>
      </c>
      <c r="AY183">
        <f t="shared" si="378"/>
        <v>5364</v>
      </c>
      <c r="AZ183">
        <v>0</v>
      </c>
      <c r="BA183">
        <f t="shared" si="379"/>
        <v>3576</v>
      </c>
      <c r="BB183">
        <f>_xlfn.XLOOKUP(B183,'[5]july-2025'!$A:$A,'[5]july-2025'!$D:$D,0,0)</f>
        <v>0</v>
      </c>
      <c r="BC183">
        <f>_xlfn.XLOOKUP(B183,'[5]july-2025'!$A:$A,'[5]july-2025'!$G:$G,0,0)</f>
        <v>500</v>
      </c>
      <c r="BD183">
        <f>IF(AX183&gt;0,SUM(AX183:BC183),0)</f>
        <v>39240</v>
      </c>
      <c r="BE183">
        <f>_xlfn.XLOOKUP(B183,'[5]july-2025'!$A:$A,'[5]july-2025'!$H:$H,0,0)</f>
        <v>2000</v>
      </c>
      <c r="BF183">
        <f>_xlfn.XLOOKUP(B183,'[5]july-2025'!$A:$A,'[5]july-2025'!$I:$I,0,0)</f>
        <v>0</v>
      </c>
      <c r="BG183">
        <f t="shared" si="380"/>
        <v>150</v>
      </c>
      <c r="BH183">
        <f t="shared" si="381"/>
        <v>37090</v>
      </c>
      <c r="BI183">
        <f>_xlfn.XLOOKUP(B183,'[6]august-2025'!$A:$A,'[6]august-2025'!$C:$C,0,0)</f>
        <v>29800</v>
      </c>
      <c r="BJ183">
        <f t="shared" si="382"/>
        <v>5364</v>
      </c>
      <c r="BK183">
        <f t="shared" si="383"/>
        <v>3576</v>
      </c>
      <c r="BL183">
        <f>_xlfn.XLOOKUP(B183,'[6]august-2025'!$A:$A,'[6]august-2025'!$D:$D,0,0)</f>
        <v>0</v>
      </c>
      <c r="BM183">
        <f>_xlfn.XLOOKUP(B183,'[6]august-2025'!$A:$A,'[6]august-2025'!$G:$G,0,0)</f>
        <v>500</v>
      </c>
      <c r="BN183">
        <f t="shared" si="384"/>
        <v>39240</v>
      </c>
      <c r="BO183">
        <f>_xlfn.XLOOKUP(B183,'[6]august-2025'!$A:$A,'[6]august-2025'!$H:$H,0,0)</f>
        <v>2000</v>
      </c>
      <c r="BP183">
        <f>_xlfn.XLOOKUP(B183,'[6]august-2025'!$A:$A,'[6]august-2025'!$I:$I,0,0)</f>
        <v>0</v>
      </c>
      <c r="BQ183">
        <f>IF($F183="YES",0,IF(BN183&gt;40000,200,IF(BN183&gt;25000,150,IF(BN183&gt;15000,130,IF(BN183&gt;10000,110,0)))))</f>
        <v>150</v>
      </c>
      <c r="BR183">
        <f>BN183-BO183-BP183-BQ183</f>
        <v>37090</v>
      </c>
      <c r="BS183">
        <f>_xlfn.XLOOKUP(B183,'[7]september-2025'!$A:$A,'[7]september-2025'!$C:$C,0,0)</f>
        <v>29800</v>
      </c>
      <c r="BT183">
        <f t="shared" si="385"/>
        <v>5364</v>
      </c>
      <c r="BU183">
        <f t="shared" si="386"/>
        <v>3576</v>
      </c>
      <c r="BV183">
        <f>_xlfn.XLOOKUP(B183,'[7]september-2025'!$A:$A,'[7]september-2025'!$D:$D,0,0)</f>
        <v>0</v>
      </c>
      <c r="BW183">
        <f>_xlfn.XLOOKUP(B183,'[7]september-2025'!$A:$A,'[7]september-2025'!$G:$G,0,0)</f>
        <v>500</v>
      </c>
      <c r="BX183">
        <f>IF(BS183&gt;0,SUM(BS183:BW183),0)</f>
        <v>39240</v>
      </c>
      <c r="BY183">
        <f>_xlfn.XLOOKUP(B183,'[7]september-2025'!$A:$A,'[7]september-2025'!$H:$H,0,0)</f>
        <v>2000</v>
      </c>
      <c r="BZ183">
        <f>_xlfn.XLOOKUP(B183,'[7]september-2025'!$A:$A,'[7]september-2025'!$I:$I,0,0)</f>
        <v>0</v>
      </c>
      <c r="CA183">
        <f t="shared" si="387"/>
        <v>150</v>
      </c>
      <c r="CB183">
        <f t="shared" si="388"/>
        <v>37090</v>
      </c>
      <c r="CC183">
        <f>_xlfn.XLOOKUP(B183,'[8]october-2025'!$A:$A,'[8]october-2025'!$C:$C,0,0)</f>
        <v>29800</v>
      </c>
      <c r="CD183">
        <f t="shared" si="389"/>
        <v>5364</v>
      </c>
      <c r="CE183">
        <f t="shared" si="390"/>
        <v>3576</v>
      </c>
      <c r="CF183">
        <f>_xlfn.XLOOKUP(B183,'[8]october-2025'!$A:$A,'[8]october-2025'!$D:$D,0,0)</f>
        <v>0</v>
      </c>
      <c r="CG183">
        <f>_xlfn.XLOOKUP(B183,'[8]october-2025'!$A:$A,'[8]october-2025'!$G:$G,0,0)</f>
        <v>500</v>
      </c>
      <c r="CH183">
        <f>IF(CC183&gt;0,SUM(CC183:CG183),0)</f>
        <v>39240</v>
      </c>
      <c r="CI183">
        <f>_xlfn.XLOOKUP(B183,'[8]october-2025'!$A:$A,'[8]october-2025'!$H:$H,0,0)</f>
        <v>2000</v>
      </c>
      <c r="CJ183">
        <f>_xlfn.XLOOKUP(B183,'[8]october-2025'!$A:$A,'[8]october-2025'!$I:$I,0,0)</f>
        <v>0</v>
      </c>
      <c r="CK183">
        <f t="shared" si="391"/>
        <v>150</v>
      </c>
      <c r="CL183">
        <f t="shared" si="392"/>
        <v>37090</v>
      </c>
      <c r="CM183">
        <f>_xlfn.XLOOKUP(B183,'[9]november-2025'!$A:$A,'[9]november-2025'!$C:$C,0,0)</f>
        <v>29800</v>
      </c>
      <c r="CN183">
        <f t="shared" si="393"/>
        <v>5364</v>
      </c>
      <c r="CO183">
        <f t="shared" si="394"/>
        <v>3576</v>
      </c>
      <c r="CP183">
        <f>_xlfn.XLOOKUP(B183,'[9]november-2025'!$A:$A,'[9]november-2025'!$D:$D,0,0)</f>
        <v>0</v>
      </c>
      <c r="CQ183">
        <f>_xlfn.XLOOKUP(B183,'[9]november-2025'!$A:$A,'[9]november-2025'!$G:$G,0,0)</f>
        <v>500</v>
      </c>
      <c r="CR183">
        <f>IF(CM183&gt;0,SUM(CM183:CQ183),0)</f>
        <v>39240</v>
      </c>
      <c r="CS183">
        <f>_xlfn.XLOOKUP(B183,'[9]november-2025'!$A:$A,'[9]november-2025'!$H:$H,0,0)</f>
        <v>2000</v>
      </c>
      <c r="CT183">
        <f>_xlfn.XLOOKUP(B183,'[9]november-2025'!$A:$A,'[9]november-2025'!$I:$I,0,0)</f>
        <v>0</v>
      </c>
      <c r="CU183">
        <f t="shared" si="395"/>
        <v>150</v>
      </c>
      <c r="CV183">
        <f t="shared" si="396"/>
        <v>37090</v>
      </c>
      <c r="CW183">
        <f>_xlfn.XLOOKUP(B183,'[10]december-2025'!$A:$A,'[10]december-2025'!$C:$C,0,0)</f>
        <v>29800</v>
      </c>
      <c r="CX183">
        <f t="shared" si="397"/>
        <v>5364</v>
      </c>
      <c r="CY183">
        <f t="shared" si="398"/>
        <v>3576</v>
      </c>
      <c r="CZ183">
        <f>_xlfn.XLOOKUP(B183,'[10]december-2025'!$A:$A,'[10]december-2025'!$D:$D,0,0)</f>
        <v>0</v>
      </c>
      <c r="DA183">
        <f>_xlfn.XLOOKUP(B183,'[10]december-2025'!$A:$A,'[10]december-2025'!$G:$G,0,0)</f>
        <v>500</v>
      </c>
      <c r="DB183">
        <f>IF(CW183&gt;0,SUM(CW183:DA183),0)</f>
        <v>39240</v>
      </c>
      <c r="DC183">
        <f>_xlfn.XLOOKUP(B183,'[10]december-2025'!$A:$A,'[10]december-2025'!$H:$H,0,0)</f>
        <v>2000</v>
      </c>
      <c r="DD183">
        <f>_xlfn.XLOOKUP(B183,'[10]december-2025'!$A:$A,'[10]december-2025'!$I:$I,0,0)</f>
        <v>0</v>
      </c>
      <c r="DE183">
        <f t="shared" si="399"/>
        <v>150</v>
      </c>
      <c r="DF183">
        <f t="shared" si="400"/>
        <v>37090</v>
      </c>
      <c r="DG183">
        <f>_xlfn.XLOOKUP(B183,'[11]january-2026'!$A:$A,'[11]january-2026'!$C:$C,0,0)</f>
        <v>29800</v>
      </c>
      <c r="DH183">
        <f t="shared" si="401"/>
        <v>5364</v>
      </c>
      <c r="DI183">
        <f t="shared" si="402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>IF(DG183&gt;0,SUM(DG183:DK183),0)</f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03"/>
        <v>150</v>
      </c>
      <c r="DP183">
        <f t="shared" si="404"/>
        <v>37090</v>
      </c>
      <c r="DQ183">
        <f>_xlfn.XLOOKUP(B183,'[12]february-2026'!$A:$A,'[12]february-2026'!$C:$C,0,0)</f>
        <v>29800</v>
      </c>
      <c r="DR183">
        <f t="shared" si="405"/>
        <v>5364</v>
      </c>
      <c r="DS183">
        <f t="shared" si="406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>IF(DQ183&gt;0,SUM(DQ183:DU183),0)</f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07"/>
        <v>150</v>
      </c>
      <c r="DZ183">
        <f t="shared" si="408"/>
        <v>37090</v>
      </c>
      <c r="EA183">
        <f>_xlfn.XLOOKUP(B183,'[1]march-2025'!$A:$A,'[1]march-2025'!$J:$J,0,0)</f>
        <v>0</v>
      </c>
      <c r="EB183">
        <f>_xlfn.XLOOKUP(B183,'[2]april-2025'!$A:$A,'[2]april-2025'!$J:$J,0,0)</f>
        <v>0</v>
      </c>
      <c r="EC183">
        <f>_xlfn.XLOOKUP(B183,'[3]may-2025'!$A:$A,'[3]may-2025'!$J:$J,0,0)</f>
        <v>0</v>
      </c>
      <c r="ED183">
        <f>_xlfn.XLOOKUP(B183,'[4]june-2025'!$A:$A,'[4]june-2025'!$J:$J,0,0)</f>
        <v>0</v>
      </c>
      <c r="EE183">
        <f>_xlfn.XLOOKUP(B183,'[5]july-2025'!$A:$A,'[5]july-2025'!$J:$J,0,0)</f>
        <v>0</v>
      </c>
      <c r="EF183">
        <f>_xlfn.XLOOKUP(B183,'[6]august-2025'!$A:$A,'[6]august-2025'!$J:$J,0,0)</f>
        <v>0</v>
      </c>
      <c r="EG183">
        <f>_xlfn.XLOOKUP(B183,'[7]september-2025'!$A:$A,'[7]september-2025'!$J:$J,0,0)</f>
        <v>0</v>
      </c>
      <c r="EH183">
        <f>_xlfn.XLOOKUP(B183,'[8]october-2025'!$A:$A,'[8]october-2025'!$J:$J,0,0)</f>
        <v>0</v>
      </c>
      <c r="EI183">
        <f>_xlfn.XLOOKUP(C183,'[9]november-2025'!$A:$A,'[9]november-2025'!$J:$J,0,0)</f>
        <v>0</v>
      </c>
      <c r="EJ183">
        <f>_xlfn.XLOOKUP(B183,'[10]december-2025'!$A:$A,'[10]december-2025'!$J:$J,0,0)</f>
        <v>0</v>
      </c>
      <c r="EK183">
        <f>_xlfn.XLOOKUP(B183,'[11]january-2026'!$A:$A,'[11]january-2026'!$J:$J,0,0)</f>
        <v>0</v>
      </c>
      <c r="EL183">
        <f>_xlfn.XLOOKUP(B183,'[12]february-2026'!$A:$A,'[12]february-2026'!$J:$J,0,0)</f>
        <v>0</v>
      </c>
      <c r="EM183">
        <f t="shared" si="361"/>
        <v>0</v>
      </c>
      <c r="EN183">
        <f>DV183+DL183+DB183+CR183+CH183+BX183+BN183+BD183+AS183+AI183+Y183+O183+H183+I183</f>
        <v>471844</v>
      </c>
      <c r="EO183">
        <f>DY183+DO183+DE183+CU183+CK183+CA183+BQ183+BG183+AV183+AL183+AB183+R183</f>
        <v>1800</v>
      </c>
      <c r="EP183">
        <f t="shared" si="409"/>
        <v>50000</v>
      </c>
      <c r="EQ183">
        <v>0</v>
      </c>
      <c r="ER183">
        <f t="shared" si="362"/>
        <v>420044</v>
      </c>
      <c r="ES183">
        <f>DW183+DM183+DC183+CS183+CI183+BY183+BO183+BE183+AT183+AJ183+Z183+P183</f>
        <v>24000</v>
      </c>
      <c r="ET183">
        <f>DX183+DN183+DD183+CT183+CJ183+BZ183+BP183+BF183+AU183+AK183+AA183+Q183</f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410"/>
        <v>24000</v>
      </c>
      <c r="FF183">
        <f t="shared" si="411"/>
        <v>24000</v>
      </c>
      <c r="FG183">
        <f t="shared" si="412"/>
        <v>396044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>SUM(FH183:FN183)+(IF(F183="YES",50000,0))</f>
        <v>0</v>
      </c>
      <c r="FP183">
        <f t="shared" si="413"/>
        <v>396044</v>
      </c>
      <c r="FQ183">
        <f t="shared" si="414"/>
        <v>7302</v>
      </c>
      <c r="FR183">
        <f t="shared" si="415"/>
        <v>0</v>
      </c>
      <c r="FS183">
        <f t="shared" si="416"/>
        <v>7302</v>
      </c>
      <c r="FT183">
        <f t="shared" si="417"/>
        <v>0</v>
      </c>
      <c r="FU183">
        <f t="shared" si="418"/>
        <v>0</v>
      </c>
      <c r="FV183">
        <f t="shared" si="419"/>
        <v>0</v>
      </c>
      <c r="FW183">
        <v>0</v>
      </c>
      <c r="FX183">
        <f t="shared" si="420"/>
        <v>0</v>
      </c>
      <c r="FY183" t="b">
        <f t="shared" si="421"/>
        <v>0</v>
      </c>
      <c r="FZ183">
        <f t="shared" ca="1" si="422"/>
        <v>1126</v>
      </c>
      <c r="GA183">
        <f t="shared" ca="1" si="423"/>
        <v>472970</v>
      </c>
      <c r="GB183">
        <f t="shared" si="424"/>
        <v>75000</v>
      </c>
      <c r="GC183">
        <f t="shared" ca="1" si="425"/>
        <v>397970</v>
      </c>
      <c r="GD183">
        <f t="shared" ca="1" si="426"/>
        <v>0</v>
      </c>
      <c r="GE183">
        <f t="shared" ca="1" si="427"/>
        <v>0</v>
      </c>
      <c r="GF183">
        <f t="shared" ca="1" si="428"/>
        <v>0</v>
      </c>
      <c r="GG183">
        <f t="shared" ca="1" si="429"/>
        <v>0</v>
      </c>
      <c r="GH183">
        <f t="shared" ca="1" si="430"/>
        <v>0</v>
      </c>
      <c r="GI183">
        <f t="shared" ca="1" si="431"/>
        <v>0</v>
      </c>
      <c r="GJ183">
        <f ca="1">IF(GC183&gt;1200000,GC183-1200000-IF(F183="YES",50000,0)-GH183,0)</f>
        <v>0</v>
      </c>
      <c r="GK183">
        <f t="shared" ca="1" si="432"/>
        <v>0</v>
      </c>
      <c r="GL183">
        <f t="shared" ca="1" si="433"/>
        <v>0</v>
      </c>
      <c r="GM183">
        <f t="shared" ca="1" si="434"/>
        <v>0</v>
      </c>
      <c r="GN183">
        <f t="shared" ca="1" si="435"/>
        <v>0</v>
      </c>
      <c r="GO183">
        <f t="shared" ca="1" si="436"/>
        <v>0</v>
      </c>
      <c r="GP183">
        <f t="shared" ca="1" si="437"/>
        <v>0</v>
      </c>
      <c r="GQ183">
        <f t="shared" ca="1" si="438"/>
        <v>0</v>
      </c>
      <c r="GR183">
        <f t="shared" ca="1" si="439"/>
        <v>0</v>
      </c>
      <c r="GS183">
        <f t="shared" ca="1" si="440"/>
        <v>0</v>
      </c>
      <c r="GT183">
        <f t="shared" ca="1" si="441"/>
        <v>0</v>
      </c>
      <c r="GU183" t="b">
        <f t="shared" ca="1" si="442"/>
        <v>0</v>
      </c>
      <c r="GV183">
        <f t="shared" ca="1" si="443"/>
        <v>0</v>
      </c>
      <c r="GW183">
        <f t="shared" ca="1" si="444"/>
        <v>0</v>
      </c>
      <c r="GX183">
        <f t="shared" ca="1" si="445"/>
        <v>0</v>
      </c>
      <c r="GY183">
        <f t="shared" ca="1" si="446"/>
        <v>0</v>
      </c>
      <c r="GZ183">
        <f t="shared" ca="1" si="447"/>
        <v>0</v>
      </c>
    </row>
    <row r="184" spans="1:208" x14ac:dyDescent="0.25">
      <c r="A184">
        <f>_xlfn.AGGREGATE(3,5,$B$2:B184)</f>
        <v>183</v>
      </c>
      <c r="B184" t="s">
        <v>474</v>
      </c>
      <c r="C184" t="s">
        <v>475</v>
      </c>
      <c r="D184" t="s">
        <v>798</v>
      </c>
      <c r="E184" t="s">
        <v>831</v>
      </c>
      <c r="F184" t="s">
        <v>957</v>
      </c>
      <c r="G184" t="s">
        <v>885</v>
      </c>
      <c r="H184">
        <f t="shared" si="450"/>
        <v>6800</v>
      </c>
      <c r="I184">
        <f>_xlfn.XLOOKUP(B184,'[1]march-2025'!$A:$A,'[1]march-2025'!$J:$J,0,0)</f>
        <v>0</v>
      </c>
      <c r="J184">
        <f>_xlfn.XLOOKUP(B184,'[1]march-2025'!$A:$A,'[1]march-2025'!$C:$C,0,0)</f>
        <v>51700</v>
      </c>
      <c r="K184">
        <f t="shared" si="364"/>
        <v>7238.0000000000009</v>
      </c>
      <c r="L184">
        <f t="shared" si="365"/>
        <v>6204</v>
      </c>
      <c r="M184">
        <f>_xlfn.XLOOKUP(B184,'[1]march-2025'!$A:$A,'[1]march-2025'!$D:$D,0,0)</f>
        <v>400</v>
      </c>
      <c r="N184">
        <f>_xlfn.XLOOKUP(B184,'[1]march-2025'!$A:$A,'[1]march-2025'!$G:$G,0,0)</f>
        <v>500</v>
      </c>
      <c r="O184">
        <f>IF(J184&gt;0,SUM(J184:N184),0)</f>
        <v>66042</v>
      </c>
      <c r="P184">
        <f>_xlfn.XLOOKUP(B184,'[1]march-2025'!$A:$A,'[1]march-2025'!$H:$H,0,0)</f>
        <v>3500</v>
      </c>
      <c r="Q184">
        <f>_xlfn.XLOOKUP(B184,'[1]march-2025'!$A:$A,'[1]march-2025'!$I:$I,0,0)</f>
        <v>0</v>
      </c>
      <c r="R184">
        <f t="shared" si="448"/>
        <v>200</v>
      </c>
      <c r="S184">
        <f t="shared" si="357"/>
        <v>62342</v>
      </c>
      <c r="T184">
        <f>_xlfn.XLOOKUP(B184,'[2]april-2025'!$A:$A,'[2]april-2025'!$C:$C,0,0)</f>
        <v>51700</v>
      </c>
      <c r="U184">
        <f t="shared" si="366"/>
        <v>9306</v>
      </c>
      <c r="V184">
        <f t="shared" si="367"/>
        <v>6204</v>
      </c>
      <c r="W184">
        <f>_xlfn.XLOOKUP(B184,'[2]april-2025'!$A:$A,'[2]april-2025'!$D:$D,0,0)</f>
        <v>400</v>
      </c>
      <c r="X184">
        <f>_xlfn.XLOOKUP(B184,'[2]april-2025'!$A:$A,'[2]april-2025'!$G:$G,0,0)</f>
        <v>500</v>
      </c>
      <c r="Y184">
        <f t="shared" si="358"/>
        <v>68110</v>
      </c>
      <c r="Z184">
        <f>_xlfn.XLOOKUP(B184,'[2]april-2025'!$A:$A,'[2]april-2025'!$H:$H,0,0)</f>
        <v>3500</v>
      </c>
      <c r="AA184">
        <f>_xlfn.XLOOKUP(B184,'[2]april-2025'!$A:$A,'[2]april-2025'!$I:$I,0,0)</f>
        <v>0</v>
      </c>
      <c r="AB184">
        <f t="shared" si="368"/>
        <v>200</v>
      </c>
      <c r="AC184">
        <f t="shared" si="369"/>
        <v>64410</v>
      </c>
      <c r="AD184">
        <f>_xlfn.XLOOKUP(B184,'[3]may-2025'!$A:$A,'[3]may-2025'!$C:$C,0,0)</f>
        <v>51700</v>
      </c>
      <c r="AE184">
        <f t="shared" si="370"/>
        <v>9306</v>
      </c>
      <c r="AF184">
        <f t="shared" si="371"/>
        <v>6204</v>
      </c>
      <c r="AG184">
        <f>_xlfn.XLOOKUP(B184,'[3]may-2025'!$A:$A,'[3]may-2025'!$D:$D,0,0)</f>
        <v>400</v>
      </c>
      <c r="AH184">
        <f>_xlfn.XLOOKUP(B184,'[3]may-2025'!$A:$A,'[3]may-2025'!$G:$G,0,0)</f>
        <v>500</v>
      </c>
      <c r="AI184">
        <f t="shared" si="359"/>
        <v>68110</v>
      </c>
      <c r="AJ184">
        <f>_xlfn.XLOOKUP(B184,'[3]may-2025'!$A:$A,'[3]may-2025'!$H:$H,0,0)</f>
        <v>3500</v>
      </c>
      <c r="AK184">
        <f>_xlfn.XLOOKUP(B184,'[3]may-2025'!$A:$A,'[3]may-2025'!$I:$I,0,0)</f>
        <v>0</v>
      </c>
      <c r="AL184">
        <f t="shared" si="372"/>
        <v>200</v>
      </c>
      <c r="AM184">
        <f t="shared" si="373"/>
        <v>64410</v>
      </c>
      <c r="AN184">
        <f>_xlfn.XLOOKUP(B184,'[4]june-2025'!$A:$A,'[4]june-2025'!$C:$C,0,0)</f>
        <v>51700</v>
      </c>
      <c r="AO184">
        <f t="shared" si="374"/>
        <v>9306</v>
      </c>
      <c r="AP184">
        <f t="shared" si="375"/>
        <v>6204</v>
      </c>
      <c r="AQ184">
        <f>_xlfn.XLOOKUP(B184,'[4]june-2025'!$A:$A,'[4]june-2025'!$D:$D,0,0)</f>
        <v>400</v>
      </c>
      <c r="AR184">
        <f>_xlfn.XLOOKUP(B184,'[4]june-2025'!$A:$A,'[4]june-2025'!$G:$G,0,0)</f>
        <v>500</v>
      </c>
      <c r="AS184">
        <f t="shared" si="360"/>
        <v>68110</v>
      </c>
      <c r="AT184">
        <f>_xlfn.XLOOKUP(B184,'[4]june-2025'!$A:$A,'[4]june-2025'!$H:$H,0,0)</f>
        <v>3500</v>
      </c>
      <c r="AU184">
        <f>_xlfn.XLOOKUP(B184,'[4]june-2025'!$A:$A,'[4]june-2025'!$I:$I,0,0)</f>
        <v>0</v>
      </c>
      <c r="AV184">
        <f t="shared" si="376"/>
        <v>200</v>
      </c>
      <c r="AW184">
        <f t="shared" si="377"/>
        <v>64410</v>
      </c>
      <c r="AX184">
        <f>_xlfn.XLOOKUP(B184,'[5]july-2025'!$A:$A,'[5]july-2025'!$C:$C,0,0)</f>
        <v>53300</v>
      </c>
      <c r="AY184">
        <f t="shared" si="378"/>
        <v>9594</v>
      </c>
      <c r="AZ184">
        <v>0</v>
      </c>
      <c r="BA184">
        <f t="shared" si="379"/>
        <v>6396</v>
      </c>
      <c r="BB184">
        <f>_xlfn.XLOOKUP(B184,'[5]july-2025'!$A:$A,'[5]july-2025'!$D:$D,0,0)</f>
        <v>400</v>
      </c>
      <c r="BC184">
        <f>_xlfn.XLOOKUP(B184,'[5]july-2025'!$A:$A,'[5]july-2025'!$G:$G,0,0)</f>
        <v>500</v>
      </c>
      <c r="BD184">
        <f>IF(AX184&gt;0,SUM(AX184:BC184),0)</f>
        <v>70190</v>
      </c>
      <c r="BE184">
        <f>_xlfn.XLOOKUP(B184,'[5]july-2025'!$A:$A,'[5]july-2025'!$H:$H,0,0)</f>
        <v>3500</v>
      </c>
      <c r="BF184">
        <f>_xlfn.XLOOKUP(B184,'[5]july-2025'!$A:$A,'[5]july-2025'!$I:$I,0,0)</f>
        <v>0</v>
      </c>
      <c r="BG184">
        <f t="shared" si="380"/>
        <v>200</v>
      </c>
      <c r="BH184">
        <f t="shared" si="381"/>
        <v>66490</v>
      </c>
      <c r="BI184">
        <f>_xlfn.XLOOKUP(B184,'[6]august-2025'!$A:$A,'[6]august-2025'!$C:$C,0,0)</f>
        <v>53300</v>
      </c>
      <c r="BJ184">
        <f t="shared" si="382"/>
        <v>9594</v>
      </c>
      <c r="BK184">
        <f t="shared" si="383"/>
        <v>6396</v>
      </c>
      <c r="BL184">
        <f>_xlfn.XLOOKUP(B184,'[6]august-2025'!$A:$A,'[6]august-2025'!$D:$D,0,0)</f>
        <v>400</v>
      </c>
      <c r="BM184">
        <f>_xlfn.XLOOKUP(B184,'[6]august-2025'!$A:$A,'[6]august-2025'!$G:$G,0,0)</f>
        <v>500</v>
      </c>
      <c r="BN184">
        <f t="shared" si="384"/>
        <v>70190</v>
      </c>
      <c r="BO184">
        <f>_xlfn.XLOOKUP(B184,'[6]august-2025'!$A:$A,'[6]august-2025'!$H:$H,0,0)</f>
        <v>3500</v>
      </c>
      <c r="BP184">
        <f>_xlfn.XLOOKUP(B184,'[6]august-2025'!$A:$A,'[6]august-2025'!$I:$I,0,0)</f>
        <v>0</v>
      </c>
      <c r="BQ184">
        <f>IF($F184="YES",0,IF(BN184&gt;40000,200,IF(BN184&gt;25000,150,IF(BN184&gt;15000,130,IF(BN184&gt;10000,110,0)))))</f>
        <v>200</v>
      </c>
      <c r="BR184">
        <f>BN184-BO184-BP184-BQ184</f>
        <v>66490</v>
      </c>
      <c r="BS184">
        <f>_xlfn.XLOOKUP(B184,'[7]september-2025'!$A:$A,'[7]september-2025'!$C:$C,0,0)</f>
        <v>53300</v>
      </c>
      <c r="BT184">
        <f t="shared" si="385"/>
        <v>9594</v>
      </c>
      <c r="BU184">
        <f t="shared" si="386"/>
        <v>6396</v>
      </c>
      <c r="BV184">
        <f>_xlfn.XLOOKUP(B184,'[7]september-2025'!$A:$A,'[7]september-2025'!$D:$D,0,0)</f>
        <v>400</v>
      </c>
      <c r="BW184">
        <f>_xlfn.XLOOKUP(B184,'[7]september-2025'!$A:$A,'[7]september-2025'!$G:$G,0,0)</f>
        <v>500</v>
      </c>
      <c r="BX184">
        <f>IF(BS184&gt;0,SUM(BS184:BW184),0)</f>
        <v>70190</v>
      </c>
      <c r="BY184">
        <f>_xlfn.XLOOKUP(B184,'[7]september-2025'!$A:$A,'[7]september-2025'!$H:$H,0,0)</f>
        <v>3500</v>
      </c>
      <c r="BZ184">
        <f>_xlfn.XLOOKUP(B184,'[7]september-2025'!$A:$A,'[7]september-2025'!$I:$I,0,0)</f>
        <v>0</v>
      </c>
      <c r="CA184">
        <f t="shared" si="387"/>
        <v>200</v>
      </c>
      <c r="CB184">
        <f t="shared" si="388"/>
        <v>66490</v>
      </c>
      <c r="CC184">
        <f>_xlfn.XLOOKUP(B184,'[8]october-2025'!$A:$A,'[8]october-2025'!$C:$C,0,0)</f>
        <v>53300</v>
      </c>
      <c r="CD184">
        <f t="shared" si="389"/>
        <v>9594</v>
      </c>
      <c r="CE184">
        <f t="shared" si="390"/>
        <v>6396</v>
      </c>
      <c r="CF184">
        <f>_xlfn.XLOOKUP(B184,'[8]october-2025'!$A:$A,'[8]october-2025'!$D:$D,0,0)</f>
        <v>400</v>
      </c>
      <c r="CG184">
        <f>_xlfn.XLOOKUP(B184,'[8]october-2025'!$A:$A,'[8]october-2025'!$G:$G,0,0)</f>
        <v>500</v>
      </c>
      <c r="CH184">
        <f>IF(CC184&gt;0,SUM(CC184:CG184),0)</f>
        <v>70190</v>
      </c>
      <c r="CI184">
        <f>_xlfn.XLOOKUP(B184,'[8]october-2025'!$A:$A,'[8]october-2025'!$H:$H,0,0)</f>
        <v>3500</v>
      </c>
      <c r="CJ184">
        <f>_xlfn.XLOOKUP(B184,'[8]october-2025'!$A:$A,'[8]october-2025'!$I:$I,0,0)</f>
        <v>0</v>
      </c>
      <c r="CK184">
        <f t="shared" si="391"/>
        <v>200</v>
      </c>
      <c r="CL184">
        <f t="shared" si="392"/>
        <v>66490</v>
      </c>
      <c r="CM184">
        <f>_xlfn.XLOOKUP(B184,'[9]november-2025'!$A:$A,'[9]november-2025'!$C:$C,0,0)</f>
        <v>53300</v>
      </c>
      <c r="CN184">
        <f t="shared" si="393"/>
        <v>9594</v>
      </c>
      <c r="CO184">
        <f t="shared" si="394"/>
        <v>6396</v>
      </c>
      <c r="CP184">
        <f>_xlfn.XLOOKUP(B184,'[9]november-2025'!$A:$A,'[9]november-2025'!$D:$D,0,0)</f>
        <v>400</v>
      </c>
      <c r="CQ184">
        <f>_xlfn.XLOOKUP(B184,'[9]november-2025'!$A:$A,'[9]november-2025'!$G:$G,0,0)</f>
        <v>500</v>
      </c>
      <c r="CR184">
        <f>IF(CM184&gt;0,SUM(CM184:CQ184),0)</f>
        <v>70190</v>
      </c>
      <c r="CS184">
        <f>_xlfn.XLOOKUP(B184,'[9]november-2025'!$A:$A,'[9]november-2025'!$H:$H,0,0)</f>
        <v>3500</v>
      </c>
      <c r="CT184">
        <f>_xlfn.XLOOKUP(B184,'[9]november-2025'!$A:$A,'[9]november-2025'!$I:$I,0,0)</f>
        <v>0</v>
      </c>
      <c r="CU184">
        <f t="shared" si="395"/>
        <v>200</v>
      </c>
      <c r="CV184">
        <f t="shared" si="396"/>
        <v>66490</v>
      </c>
      <c r="CW184">
        <f>_xlfn.XLOOKUP(B184,'[10]december-2025'!$A:$A,'[10]december-2025'!$C:$C,0,0)</f>
        <v>53300</v>
      </c>
      <c r="CX184">
        <f t="shared" si="397"/>
        <v>9594</v>
      </c>
      <c r="CY184">
        <f t="shared" si="398"/>
        <v>6396</v>
      </c>
      <c r="CZ184">
        <f>_xlfn.XLOOKUP(B184,'[10]december-2025'!$A:$A,'[10]december-2025'!$D:$D,0,0)</f>
        <v>400</v>
      </c>
      <c r="DA184">
        <f>_xlfn.XLOOKUP(B184,'[10]december-2025'!$A:$A,'[10]december-2025'!$G:$G,0,0)</f>
        <v>500</v>
      </c>
      <c r="DB184">
        <f>IF(CW184&gt;0,SUM(CW184:DA184),0)</f>
        <v>70190</v>
      </c>
      <c r="DC184">
        <f>_xlfn.XLOOKUP(B184,'[10]december-2025'!$A:$A,'[10]december-2025'!$H:$H,0,0)</f>
        <v>3500</v>
      </c>
      <c r="DD184">
        <f>_xlfn.XLOOKUP(B184,'[10]december-2025'!$A:$A,'[10]december-2025'!$I:$I,0,0)</f>
        <v>0</v>
      </c>
      <c r="DE184">
        <f t="shared" si="399"/>
        <v>200</v>
      </c>
      <c r="DF184">
        <f t="shared" si="400"/>
        <v>66490</v>
      </c>
      <c r="DG184">
        <f>_xlfn.XLOOKUP(B184,'[11]january-2026'!$A:$A,'[11]january-2026'!$C:$C,0,0)</f>
        <v>53300</v>
      </c>
      <c r="DH184">
        <f t="shared" si="401"/>
        <v>9594</v>
      </c>
      <c r="DI184">
        <f t="shared" si="402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>IF(DG184&gt;0,SUM(DG184:DK184),0)</f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03"/>
        <v>200</v>
      </c>
      <c r="DP184">
        <f t="shared" si="404"/>
        <v>66490</v>
      </c>
      <c r="DQ184">
        <f>_xlfn.XLOOKUP(B184,'[12]february-2026'!$A:$A,'[12]february-2026'!$C:$C,0,0)</f>
        <v>53300</v>
      </c>
      <c r="DR184">
        <f t="shared" si="405"/>
        <v>9594</v>
      </c>
      <c r="DS184">
        <f t="shared" si="406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>IF(DQ184&gt;0,SUM(DQ184:DU184),0)</f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07"/>
        <v>200</v>
      </c>
      <c r="DZ184">
        <f t="shared" si="408"/>
        <v>66490</v>
      </c>
      <c r="EA184">
        <f>_xlfn.XLOOKUP(B184,'[1]march-2025'!$A:$A,'[1]march-2025'!$J:$J,0,0)</f>
        <v>0</v>
      </c>
      <c r="EB184">
        <f>_xlfn.XLOOKUP(B184,'[2]april-2025'!$A:$A,'[2]april-2025'!$J:$J,0,0)</f>
        <v>0</v>
      </c>
      <c r="EC184">
        <f>_xlfn.XLOOKUP(B184,'[3]may-2025'!$A:$A,'[3]may-2025'!$J:$J,0,0)</f>
        <v>0</v>
      </c>
      <c r="ED184">
        <f>_xlfn.XLOOKUP(B184,'[4]june-2025'!$A:$A,'[4]june-2025'!$J:$J,0,0)</f>
        <v>0</v>
      </c>
      <c r="EE184">
        <f>_xlfn.XLOOKUP(B184,'[5]july-2025'!$A:$A,'[5]july-2025'!$J:$J,0,0)</f>
        <v>0</v>
      </c>
      <c r="EF184">
        <f>_xlfn.XLOOKUP(B184,'[6]august-2025'!$A:$A,'[6]august-2025'!$J:$J,0,0)</f>
        <v>0</v>
      </c>
      <c r="EG184">
        <f>_xlfn.XLOOKUP(B184,'[7]september-2025'!$A:$A,'[7]september-2025'!$J:$J,0,0)</f>
        <v>0</v>
      </c>
      <c r="EH184">
        <f>_xlfn.XLOOKUP(B184,'[8]october-2025'!$A:$A,'[8]october-2025'!$J:$J,0,0)</f>
        <v>0</v>
      </c>
      <c r="EI184">
        <f>_xlfn.XLOOKUP(C184,'[9]november-2025'!$A:$A,'[9]november-2025'!$J:$J,0,0)</f>
        <v>0</v>
      </c>
      <c r="EJ184">
        <f>_xlfn.XLOOKUP(B184,'[10]december-2025'!$A:$A,'[10]december-2025'!$J:$J,0,0)</f>
        <v>0</v>
      </c>
      <c r="EK184">
        <f>_xlfn.XLOOKUP(B184,'[11]january-2026'!$A:$A,'[11]january-2026'!$J:$J,0,0)</f>
        <v>0</v>
      </c>
      <c r="EL184">
        <f>_xlfn.XLOOKUP(B184,'[12]february-2026'!$A:$A,'[12]february-2026'!$J:$J,0,0)</f>
        <v>0</v>
      </c>
      <c r="EM184">
        <f t="shared" si="361"/>
        <v>0</v>
      </c>
      <c r="EN184">
        <f>DV184+DL184+DB184+CR184+CH184+BX184+BN184+BD184+AS184+AI184+Y184+O184+H184+I184</f>
        <v>838692</v>
      </c>
      <c r="EO184">
        <f>DY184+DO184+DE184+CU184+CK184+CA184+BQ184+BG184+AV184+AL184+AB184+R184</f>
        <v>2400</v>
      </c>
      <c r="EP184">
        <f t="shared" si="409"/>
        <v>50000</v>
      </c>
      <c r="EQ184">
        <v>0</v>
      </c>
      <c r="ER184">
        <f t="shared" si="362"/>
        <v>786292</v>
      </c>
      <c r="ES184">
        <f>DW184+DM184+DC184+CS184+CI184+BY184+BO184+BE184+AT184+AJ184+Z184+P184</f>
        <v>42000</v>
      </c>
      <c r="ET184">
        <f>DX184+DN184+DD184+CT184+CJ184+BZ184+BP184+BF184+AU184+AK184+AA184+Q184</f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410"/>
        <v>42000</v>
      </c>
      <c r="FF184">
        <f t="shared" si="411"/>
        <v>42000</v>
      </c>
      <c r="FG184">
        <f t="shared" si="412"/>
        <v>744292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>SUM(FH184:FN184)+(IF(F184="YES",50000,0))</f>
        <v>0</v>
      </c>
      <c r="FP184">
        <f t="shared" si="413"/>
        <v>744292</v>
      </c>
      <c r="FQ184">
        <f t="shared" si="414"/>
        <v>12500</v>
      </c>
      <c r="FR184">
        <f t="shared" si="415"/>
        <v>48858</v>
      </c>
      <c r="FS184">
        <f t="shared" si="416"/>
        <v>61358</v>
      </c>
      <c r="FT184">
        <f t="shared" si="417"/>
        <v>61358</v>
      </c>
      <c r="FU184">
        <f t="shared" si="418"/>
        <v>2454.3200000000002</v>
      </c>
      <c r="FV184">
        <f t="shared" si="419"/>
        <v>63812</v>
      </c>
      <c r="FW184">
        <v>0</v>
      </c>
      <c r="FX184">
        <f t="shared" si="420"/>
        <v>63812</v>
      </c>
      <c r="FY184" t="b">
        <f t="shared" si="421"/>
        <v>1</v>
      </c>
      <c r="FZ184">
        <f t="shared" ca="1" si="422"/>
        <v>840</v>
      </c>
      <c r="GA184">
        <f t="shared" ca="1" si="423"/>
        <v>839532</v>
      </c>
      <c r="GB184">
        <f t="shared" si="424"/>
        <v>75000</v>
      </c>
      <c r="GC184">
        <f t="shared" ca="1" si="425"/>
        <v>764532</v>
      </c>
      <c r="GD184">
        <f t="shared" ca="1" si="426"/>
        <v>0</v>
      </c>
      <c r="GE184">
        <f t="shared" ca="1" si="427"/>
        <v>0</v>
      </c>
      <c r="GF184">
        <f t="shared" ca="1" si="428"/>
        <v>0</v>
      </c>
      <c r="GG184">
        <f t="shared" ca="1" si="429"/>
        <v>0</v>
      </c>
      <c r="GH184">
        <f t="shared" ca="1" si="430"/>
        <v>0</v>
      </c>
      <c r="GI184">
        <f t="shared" ca="1" si="431"/>
        <v>0</v>
      </c>
      <c r="GJ184">
        <f ca="1">IF(GC184&gt;1200000,GC184-1200000-IF(F184="YES",50000,0)-GH184,0)</f>
        <v>0</v>
      </c>
      <c r="GK184">
        <f t="shared" ca="1" si="432"/>
        <v>0</v>
      </c>
      <c r="GL184">
        <f t="shared" ca="1" si="433"/>
        <v>0</v>
      </c>
      <c r="GM184">
        <f t="shared" ca="1" si="434"/>
        <v>0</v>
      </c>
      <c r="GN184">
        <f t="shared" ca="1" si="435"/>
        <v>364532</v>
      </c>
      <c r="GO184">
        <f t="shared" ca="1" si="436"/>
        <v>18226.600000000002</v>
      </c>
      <c r="GP184">
        <f t="shared" ca="1" si="437"/>
        <v>18227</v>
      </c>
      <c r="GQ184">
        <f t="shared" ca="1" si="438"/>
        <v>0</v>
      </c>
      <c r="GR184">
        <f t="shared" ca="1" si="439"/>
        <v>0</v>
      </c>
      <c r="GS184">
        <f t="shared" ca="1" si="440"/>
        <v>18227</v>
      </c>
      <c r="GT184">
        <f t="shared" ca="1" si="441"/>
        <v>0</v>
      </c>
      <c r="GU184" t="b">
        <f t="shared" ca="1" si="442"/>
        <v>0</v>
      </c>
      <c r="GV184">
        <f t="shared" ca="1" si="443"/>
        <v>0</v>
      </c>
      <c r="GW184">
        <f t="shared" ca="1" si="444"/>
        <v>18227</v>
      </c>
      <c r="GX184">
        <f t="shared" ca="1" si="445"/>
        <v>0</v>
      </c>
      <c r="GY184">
        <f t="shared" ca="1" si="446"/>
        <v>0</v>
      </c>
      <c r="GZ184">
        <f t="shared" ca="1" si="447"/>
        <v>0</v>
      </c>
    </row>
    <row r="185" spans="1:208" x14ac:dyDescent="0.25">
      <c r="A185">
        <f>_xlfn.AGGREGATE(3,5,$B$2:B185)</f>
        <v>184</v>
      </c>
      <c r="B185" t="s">
        <v>476</v>
      </c>
      <c r="C185" t="s">
        <v>477</v>
      </c>
      <c r="D185" t="s">
        <v>798</v>
      </c>
      <c r="E185" t="s">
        <v>831</v>
      </c>
      <c r="F185" t="s">
        <v>957</v>
      </c>
      <c r="G185" t="s">
        <v>876</v>
      </c>
      <c r="H185">
        <f t="shared" si="450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364"/>
        <v>6622.0000000000009</v>
      </c>
      <c r="L185">
        <f t="shared" si="365"/>
        <v>5676</v>
      </c>
      <c r="M185">
        <f>_xlfn.XLOOKUP(B185,'[1]march-2025'!$A:$A,'[1]march-2025'!$D:$D,0,0)</f>
        <v>0</v>
      </c>
      <c r="N185">
        <f>_xlfn.XLOOKUP(B185,'[1]march-2025'!$A:$A,'[1]march-2025'!$G:$G,0,0)</f>
        <v>0</v>
      </c>
      <c r="O185">
        <f>IF(J185&gt;0,SUM(J185:N185),0)</f>
        <v>59598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448"/>
        <v>200</v>
      </c>
      <c r="S185">
        <f t="shared" si="357"/>
        <v>56398</v>
      </c>
      <c r="T185">
        <f>_xlfn.XLOOKUP(B185,'[2]april-2025'!$A:$A,'[2]april-2025'!$C:$C,0,0)</f>
        <v>47300</v>
      </c>
      <c r="U185">
        <f t="shared" si="366"/>
        <v>8514</v>
      </c>
      <c r="V185">
        <f t="shared" si="367"/>
        <v>5676</v>
      </c>
      <c r="W185">
        <f>_xlfn.XLOOKUP(B185,'[2]april-2025'!$A:$A,'[2]april-2025'!$D:$D,0,0)</f>
        <v>0</v>
      </c>
      <c r="X185">
        <f>_xlfn.XLOOKUP(B185,'[2]april-2025'!$A:$A,'[2]april-2025'!$G:$G,0,0)</f>
        <v>0</v>
      </c>
      <c r="Y185">
        <f t="shared" si="358"/>
        <v>61490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368"/>
        <v>200</v>
      </c>
      <c r="AC185">
        <f t="shared" si="369"/>
        <v>58290</v>
      </c>
      <c r="AD185">
        <f>_xlfn.XLOOKUP(B185,'[3]may-2025'!$A:$A,'[3]may-2025'!$C:$C,0,0)</f>
        <v>47300</v>
      </c>
      <c r="AE185">
        <f t="shared" si="370"/>
        <v>8514</v>
      </c>
      <c r="AF185">
        <f t="shared" si="371"/>
        <v>5676</v>
      </c>
      <c r="AG185">
        <f>_xlfn.XLOOKUP(B185,'[3]may-2025'!$A:$A,'[3]may-2025'!$D:$D,0,0)</f>
        <v>0</v>
      </c>
      <c r="AH185">
        <f>_xlfn.XLOOKUP(B185,'[3]may-2025'!$A:$A,'[3]may-2025'!$G:$G,0,0)</f>
        <v>0</v>
      </c>
      <c r="AI185">
        <f t="shared" si="359"/>
        <v>61490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372"/>
        <v>200</v>
      </c>
      <c r="AM185">
        <f t="shared" si="373"/>
        <v>58290</v>
      </c>
      <c r="AN185">
        <f>_xlfn.XLOOKUP(B185,'[4]june-2025'!$A:$A,'[4]june-2025'!$C:$C,0,0)</f>
        <v>47300</v>
      </c>
      <c r="AO185">
        <f t="shared" si="374"/>
        <v>8514</v>
      </c>
      <c r="AP185">
        <f t="shared" si="375"/>
        <v>5676</v>
      </c>
      <c r="AQ185">
        <f>_xlfn.XLOOKUP(B185,'[4]june-2025'!$A:$A,'[4]june-2025'!$D:$D,0,0)</f>
        <v>0</v>
      </c>
      <c r="AR185">
        <f>_xlfn.XLOOKUP(B185,'[4]june-2025'!$A:$A,'[4]june-2025'!$G:$G,0,0)</f>
        <v>0</v>
      </c>
      <c r="AS185">
        <f t="shared" si="360"/>
        <v>61490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376"/>
        <v>200</v>
      </c>
      <c r="AW185">
        <f t="shared" si="377"/>
        <v>58290</v>
      </c>
      <c r="AX185">
        <f>_xlfn.XLOOKUP(B185,'[5]july-2025'!$A:$A,'[5]july-2025'!$C:$C,0,0)</f>
        <v>48700</v>
      </c>
      <c r="AY185">
        <f t="shared" si="378"/>
        <v>8766</v>
      </c>
      <c r="AZ185">
        <v>0</v>
      </c>
      <c r="BA185">
        <f t="shared" si="379"/>
        <v>5844</v>
      </c>
      <c r="BB185">
        <f>_xlfn.XLOOKUP(B185,'[5]july-2025'!$A:$A,'[5]july-2025'!$D:$D,0,0)</f>
        <v>0</v>
      </c>
      <c r="BC185">
        <f>_xlfn.XLOOKUP(B185,'[5]july-2025'!$A:$A,'[5]july-2025'!$G:$G,0,0)</f>
        <v>0</v>
      </c>
      <c r="BD185">
        <f>IF(AX185&gt;0,SUM(AX185:BC185),0)</f>
        <v>63310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380"/>
        <v>200</v>
      </c>
      <c r="BH185">
        <f t="shared" si="381"/>
        <v>60110</v>
      </c>
      <c r="BI185">
        <f>_xlfn.XLOOKUP(B185,'[6]august-2025'!$A:$A,'[6]august-2025'!$C:$C,0,0)</f>
        <v>48700</v>
      </c>
      <c r="BJ185">
        <f t="shared" si="382"/>
        <v>8766</v>
      </c>
      <c r="BK185">
        <f t="shared" si="383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0</v>
      </c>
      <c r="BN185">
        <f t="shared" si="384"/>
        <v>63310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>IF($F185="YES",0,IF(BN185&gt;40000,200,IF(BN185&gt;25000,150,IF(BN185&gt;15000,130,IF(BN185&gt;10000,110,0)))))</f>
        <v>200</v>
      </c>
      <c r="BR185">
        <f>BN185-BO185-BP185-BQ185</f>
        <v>60110</v>
      </c>
      <c r="BS185">
        <f>_xlfn.XLOOKUP(B185,'[7]september-2025'!$A:$A,'[7]september-2025'!$C:$C,0,0)</f>
        <v>48700</v>
      </c>
      <c r="BT185">
        <f t="shared" si="385"/>
        <v>8766</v>
      </c>
      <c r="BU185">
        <f t="shared" si="386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0</v>
      </c>
      <c r="BX185">
        <f>IF(BS185&gt;0,SUM(BS185:BW185),0)</f>
        <v>63310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387"/>
        <v>200</v>
      </c>
      <c r="CB185">
        <f t="shared" si="388"/>
        <v>60110</v>
      </c>
      <c r="CC185">
        <f>_xlfn.XLOOKUP(B185,'[8]october-2025'!$A:$A,'[8]october-2025'!$C:$C,0,0)</f>
        <v>48700</v>
      </c>
      <c r="CD185">
        <f t="shared" si="389"/>
        <v>8766</v>
      </c>
      <c r="CE185">
        <f t="shared" si="390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0</v>
      </c>
      <c r="CH185">
        <f>IF(CC185&gt;0,SUM(CC185:CG185),0)</f>
        <v>63310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391"/>
        <v>200</v>
      </c>
      <c r="CL185">
        <f t="shared" si="392"/>
        <v>60110</v>
      </c>
      <c r="CM185">
        <f>_xlfn.XLOOKUP(B185,'[9]november-2025'!$A:$A,'[9]november-2025'!$C:$C,0,0)</f>
        <v>48700</v>
      </c>
      <c r="CN185">
        <f t="shared" si="393"/>
        <v>8766</v>
      </c>
      <c r="CO185">
        <f t="shared" si="394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0</v>
      </c>
      <c r="CR185">
        <f>IF(CM185&gt;0,SUM(CM185:CQ185),0)</f>
        <v>63310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395"/>
        <v>200</v>
      </c>
      <c r="CV185">
        <f t="shared" si="396"/>
        <v>60110</v>
      </c>
      <c r="CW185">
        <f>_xlfn.XLOOKUP(B185,'[10]december-2025'!$A:$A,'[10]december-2025'!$C:$C,0,0)</f>
        <v>48700</v>
      </c>
      <c r="CX185">
        <f t="shared" si="397"/>
        <v>8766</v>
      </c>
      <c r="CY185">
        <f t="shared" si="398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0</v>
      </c>
      <c r="DB185">
        <f>IF(CW185&gt;0,SUM(CW185:DA185),0)</f>
        <v>63310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399"/>
        <v>200</v>
      </c>
      <c r="DF185">
        <f t="shared" si="400"/>
        <v>60110</v>
      </c>
      <c r="DG185">
        <f>_xlfn.XLOOKUP(B185,'[11]january-2026'!$A:$A,'[11]january-2026'!$C:$C,0,0)</f>
        <v>48700</v>
      </c>
      <c r="DH185">
        <f t="shared" si="401"/>
        <v>8766</v>
      </c>
      <c r="DI185">
        <f t="shared" si="402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>IF(DG185&gt;0,SUM(DG185:DK185),0)</f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03"/>
        <v>200</v>
      </c>
      <c r="DP185">
        <f t="shared" si="404"/>
        <v>60110</v>
      </c>
      <c r="DQ185">
        <f>_xlfn.XLOOKUP(B185,'[12]february-2026'!$A:$A,'[12]february-2026'!$C:$C,0,0)</f>
        <v>48700</v>
      </c>
      <c r="DR185">
        <f t="shared" si="405"/>
        <v>8766</v>
      </c>
      <c r="DS185">
        <f t="shared" si="406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>IF(DQ185&gt;0,SUM(DQ185:DU185),0)</f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07"/>
        <v>200</v>
      </c>
      <c r="DZ185">
        <f t="shared" si="408"/>
        <v>60110</v>
      </c>
      <c r="EA185">
        <f>_xlfn.XLOOKUP(B185,'[1]march-2025'!$A:$A,'[1]march-2025'!$J:$J,0,0)</f>
        <v>0</v>
      </c>
      <c r="EB185">
        <f>_xlfn.XLOOKUP(B185,'[2]april-2025'!$A:$A,'[2]april-2025'!$J:$J,0,0)</f>
        <v>0</v>
      </c>
      <c r="EC185">
        <f>_xlfn.XLOOKUP(B185,'[3]may-2025'!$A:$A,'[3]may-2025'!$J:$J,0,0)</f>
        <v>0</v>
      </c>
      <c r="ED185">
        <f>_xlfn.XLOOKUP(B185,'[4]june-2025'!$A:$A,'[4]june-2025'!$J:$J,0,0)</f>
        <v>0</v>
      </c>
      <c r="EE185">
        <f>_xlfn.XLOOKUP(B185,'[5]july-2025'!$A:$A,'[5]july-2025'!$J:$J,0,0)</f>
        <v>0</v>
      </c>
      <c r="EF185">
        <f>_xlfn.XLOOKUP(B185,'[6]august-2025'!$A:$A,'[6]august-2025'!$J:$J,0,0)</f>
        <v>0</v>
      </c>
      <c r="EG185">
        <f>_xlfn.XLOOKUP(B185,'[7]september-2025'!$A:$A,'[7]september-2025'!$J:$J,0,0)</f>
        <v>0</v>
      </c>
      <c r="EH185">
        <f>_xlfn.XLOOKUP(B185,'[8]october-2025'!$A:$A,'[8]october-2025'!$J:$J,0,0)</f>
        <v>0</v>
      </c>
      <c r="EI185">
        <f>_xlfn.XLOOKUP(C185,'[9]november-2025'!$A:$A,'[9]november-2025'!$J:$J,0,0)</f>
        <v>0</v>
      </c>
      <c r="EJ185">
        <f>_xlfn.XLOOKUP(B185,'[10]december-2025'!$A:$A,'[10]december-2025'!$J:$J,0,0)</f>
        <v>0</v>
      </c>
      <c r="EK185">
        <f>_xlfn.XLOOKUP(B185,'[11]january-2026'!$A:$A,'[11]january-2026'!$J:$J,0,0)</f>
        <v>0</v>
      </c>
      <c r="EL185">
        <f>_xlfn.XLOOKUP(B185,'[12]february-2026'!$A:$A,'[12]february-2026'!$J:$J,0,0)</f>
        <v>0</v>
      </c>
      <c r="EM185">
        <f t="shared" si="361"/>
        <v>0</v>
      </c>
      <c r="EN185">
        <f>DV185+DL185+DB185+CR185+CH185+BX185+BN185+BD185+AS185+AI185+Y185+O185+H185+I185</f>
        <v>757348</v>
      </c>
      <c r="EO185">
        <f>DY185+DO185+DE185+CU185+CK185+CA185+BQ185+BG185+AV185+AL185+AB185+R185</f>
        <v>2400</v>
      </c>
      <c r="EP185">
        <f t="shared" si="409"/>
        <v>50000</v>
      </c>
      <c r="EQ185">
        <v>0</v>
      </c>
      <c r="ER185">
        <f t="shared" si="362"/>
        <v>704948</v>
      </c>
      <c r="ES185">
        <f>DW185+DM185+DC185+CS185+CI185+BY185+BO185+BE185+AT185+AJ185+Z185+P185</f>
        <v>36000</v>
      </c>
      <c r="ET185">
        <f>DX185+DN185+DD185+CT185+CJ185+BZ185+BP185+BF185+AU185+AK185+AA185+Q185</f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410"/>
        <v>36000</v>
      </c>
      <c r="FF185">
        <f t="shared" si="411"/>
        <v>36000</v>
      </c>
      <c r="FG185">
        <f t="shared" si="412"/>
        <v>668948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>SUM(FH185:FN185)+(IF(F185="YES",50000,0))</f>
        <v>0</v>
      </c>
      <c r="FP185">
        <f t="shared" si="413"/>
        <v>668948</v>
      </c>
      <c r="FQ185">
        <f t="shared" si="414"/>
        <v>12500</v>
      </c>
      <c r="FR185">
        <f t="shared" si="415"/>
        <v>33790</v>
      </c>
      <c r="FS185">
        <f t="shared" si="416"/>
        <v>46290</v>
      </c>
      <c r="FT185">
        <f t="shared" si="417"/>
        <v>46290</v>
      </c>
      <c r="FU185">
        <f t="shared" si="418"/>
        <v>1851.6000000000001</v>
      </c>
      <c r="FV185">
        <f t="shared" si="419"/>
        <v>48142</v>
      </c>
      <c r="FW185">
        <v>0</v>
      </c>
      <c r="FX185">
        <f t="shared" si="420"/>
        <v>48142</v>
      </c>
      <c r="FY185" t="b">
        <f t="shared" si="421"/>
        <v>1</v>
      </c>
      <c r="FZ185">
        <f t="shared" ca="1" si="422"/>
        <v>644</v>
      </c>
      <c r="GA185">
        <f t="shared" ca="1" si="423"/>
        <v>757992</v>
      </c>
      <c r="GB185">
        <f t="shared" si="424"/>
        <v>75000</v>
      </c>
      <c r="GC185">
        <f t="shared" ca="1" si="425"/>
        <v>682992</v>
      </c>
      <c r="GD185">
        <f t="shared" ca="1" si="426"/>
        <v>0</v>
      </c>
      <c r="GE185">
        <f t="shared" ca="1" si="427"/>
        <v>0</v>
      </c>
      <c r="GF185">
        <f t="shared" ca="1" si="428"/>
        <v>0</v>
      </c>
      <c r="GG185">
        <f t="shared" ca="1" si="429"/>
        <v>0</v>
      </c>
      <c r="GH185">
        <f t="shared" ca="1" si="430"/>
        <v>0</v>
      </c>
      <c r="GI185">
        <f t="shared" ca="1" si="431"/>
        <v>0</v>
      </c>
      <c r="GJ185">
        <f ca="1">IF(GC185&gt;1200000,GC185-1200000-IF(F185="YES",50000,0)-GH185,0)</f>
        <v>0</v>
      </c>
      <c r="GK185">
        <f t="shared" ca="1" si="432"/>
        <v>0</v>
      </c>
      <c r="GL185">
        <f t="shared" ca="1" si="433"/>
        <v>0</v>
      </c>
      <c r="GM185">
        <f t="shared" ca="1" si="434"/>
        <v>0</v>
      </c>
      <c r="GN185">
        <f t="shared" ca="1" si="435"/>
        <v>282992</v>
      </c>
      <c r="GO185">
        <f t="shared" ca="1" si="436"/>
        <v>14149.6</v>
      </c>
      <c r="GP185">
        <f t="shared" ca="1" si="437"/>
        <v>14150</v>
      </c>
      <c r="GQ185">
        <f t="shared" ca="1" si="438"/>
        <v>0</v>
      </c>
      <c r="GR185">
        <f t="shared" ca="1" si="439"/>
        <v>0</v>
      </c>
      <c r="GS185">
        <f t="shared" ca="1" si="440"/>
        <v>14150</v>
      </c>
      <c r="GT185">
        <f t="shared" ca="1" si="441"/>
        <v>0</v>
      </c>
      <c r="GU185" t="b">
        <f t="shared" ca="1" si="442"/>
        <v>0</v>
      </c>
      <c r="GV185">
        <f t="shared" ca="1" si="443"/>
        <v>0</v>
      </c>
      <c r="GW185">
        <f t="shared" ca="1" si="444"/>
        <v>14150</v>
      </c>
      <c r="GX185">
        <f t="shared" ca="1" si="445"/>
        <v>0</v>
      </c>
      <c r="GY185">
        <f t="shared" ca="1" si="446"/>
        <v>0</v>
      </c>
      <c r="GZ185">
        <f t="shared" ca="1" si="447"/>
        <v>0</v>
      </c>
    </row>
    <row r="186" spans="1:208" x14ac:dyDescent="0.25">
      <c r="A186">
        <f>_xlfn.AGGREGATE(3,5,$B$2:B186)</f>
        <v>185</v>
      </c>
      <c r="B186" t="s">
        <v>478</v>
      </c>
      <c r="C186" t="s">
        <v>479</v>
      </c>
      <c r="D186" t="s">
        <v>798</v>
      </c>
      <c r="E186" t="s">
        <v>831</v>
      </c>
      <c r="F186" t="s">
        <v>957</v>
      </c>
      <c r="G186" t="s">
        <v>908</v>
      </c>
      <c r="H186">
        <f t="shared" si="450"/>
        <v>6800</v>
      </c>
      <c r="I186">
        <f>_xlfn.XLOOKUP(B186,'[1]march-2025'!$A:$A,'[1]march-2025'!$J:$J,0,0)</f>
        <v>0</v>
      </c>
      <c r="J186">
        <f>_xlfn.XLOOKUP(B186,'[1]march-2025'!$A:$A,'[1]march-2025'!$C:$C,0,0)</f>
        <v>47300</v>
      </c>
      <c r="K186">
        <f t="shared" si="364"/>
        <v>6622.0000000000009</v>
      </c>
      <c r="L186">
        <f t="shared" si="365"/>
        <v>5676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>IF(J186&gt;0,SUM(J186:N186),0)</f>
        <v>60098</v>
      </c>
      <c r="P186">
        <f>_xlfn.XLOOKUP(B186,'[1]march-2025'!$A:$A,'[1]march-2025'!$H:$H,0,0)</f>
        <v>3000</v>
      </c>
      <c r="Q186">
        <f>_xlfn.XLOOKUP(B186,'[1]march-2025'!$A:$A,'[1]march-2025'!$I:$I,0,0)</f>
        <v>0</v>
      </c>
      <c r="R186">
        <f t="shared" si="448"/>
        <v>200</v>
      </c>
      <c r="S186">
        <f t="shared" si="357"/>
        <v>56898</v>
      </c>
      <c r="T186">
        <f>_xlfn.XLOOKUP(B186,'[2]april-2025'!$A:$A,'[2]april-2025'!$C:$C,0,0)</f>
        <v>47300</v>
      </c>
      <c r="U186">
        <f t="shared" si="366"/>
        <v>8514</v>
      </c>
      <c r="V186">
        <f t="shared" si="367"/>
        <v>5676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358"/>
        <v>61990</v>
      </c>
      <c r="Z186">
        <f>_xlfn.XLOOKUP(B186,'[2]april-2025'!$A:$A,'[2]april-2025'!$H:$H,0,0)</f>
        <v>3000</v>
      </c>
      <c r="AA186">
        <f>_xlfn.XLOOKUP(B186,'[2]april-2025'!$A:$A,'[2]april-2025'!$I:$I,0,0)</f>
        <v>0</v>
      </c>
      <c r="AB186">
        <f t="shared" si="368"/>
        <v>200</v>
      </c>
      <c r="AC186">
        <f t="shared" si="369"/>
        <v>58790</v>
      </c>
      <c r="AD186">
        <f>_xlfn.XLOOKUP(B186,'[3]may-2025'!$A:$A,'[3]may-2025'!$C:$C,0,0)</f>
        <v>47300</v>
      </c>
      <c r="AE186">
        <f t="shared" si="370"/>
        <v>8514</v>
      </c>
      <c r="AF186">
        <f t="shared" si="371"/>
        <v>5676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359"/>
        <v>61990</v>
      </c>
      <c r="AJ186">
        <f>_xlfn.XLOOKUP(B186,'[3]may-2025'!$A:$A,'[3]may-2025'!$H:$H,0,0)</f>
        <v>3000</v>
      </c>
      <c r="AK186">
        <f>_xlfn.XLOOKUP(B186,'[3]may-2025'!$A:$A,'[3]may-2025'!$I:$I,0,0)</f>
        <v>0</v>
      </c>
      <c r="AL186">
        <f t="shared" si="372"/>
        <v>200</v>
      </c>
      <c r="AM186">
        <f t="shared" si="373"/>
        <v>58790</v>
      </c>
      <c r="AN186">
        <f>_xlfn.XLOOKUP(B186,'[4]june-2025'!$A:$A,'[4]june-2025'!$C:$C,0,0)</f>
        <v>47300</v>
      </c>
      <c r="AO186">
        <f t="shared" si="374"/>
        <v>8514</v>
      </c>
      <c r="AP186">
        <f t="shared" si="375"/>
        <v>5676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360"/>
        <v>61990</v>
      </c>
      <c r="AT186">
        <f>_xlfn.XLOOKUP(B186,'[4]june-2025'!$A:$A,'[4]june-2025'!$H:$H,0,0)</f>
        <v>3000</v>
      </c>
      <c r="AU186">
        <f>_xlfn.XLOOKUP(B186,'[4]june-2025'!$A:$A,'[4]june-2025'!$I:$I,0,0)</f>
        <v>0</v>
      </c>
      <c r="AV186">
        <f t="shared" si="376"/>
        <v>200</v>
      </c>
      <c r="AW186">
        <f t="shared" si="377"/>
        <v>58790</v>
      </c>
      <c r="AX186">
        <f>_xlfn.XLOOKUP(B186,'[5]july-2025'!$A:$A,'[5]july-2025'!$C:$C,0,0)</f>
        <v>48700</v>
      </c>
      <c r="AY186">
        <f t="shared" si="378"/>
        <v>8766</v>
      </c>
      <c r="AZ186">
        <v>0</v>
      </c>
      <c r="BA186">
        <f t="shared" si="379"/>
        <v>5844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>IF(AX186&gt;0,SUM(AX186:BC186),0)</f>
        <v>63810</v>
      </c>
      <c r="BE186">
        <f>_xlfn.XLOOKUP(B186,'[5]july-2025'!$A:$A,'[5]july-2025'!$H:$H,0,0)</f>
        <v>3000</v>
      </c>
      <c r="BF186">
        <f>_xlfn.XLOOKUP(B186,'[5]july-2025'!$A:$A,'[5]july-2025'!$I:$I,0,0)</f>
        <v>0</v>
      </c>
      <c r="BG186">
        <f t="shared" si="380"/>
        <v>200</v>
      </c>
      <c r="BH186">
        <f t="shared" si="381"/>
        <v>60610</v>
      </c>
      <c r="BI186">
        <f>_xlfn.XLOOKUP(B186,'[6]august-2025'!$A:$A,'[6]august-2025'!$C:$C,0,0)</f>
        <v>48700</v>
      </c>
      <c r="BJ186">
        <f t="shared" si="382"/>
        <v>8766</v>
      </c>
      <c r="BK186">
        <f t="shared" si="383"/>
        <v>5844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384"/>
        <v>63810</v>
      </c>
      <c r="BO186">
        <f>_xlfn.XLOOKUP(B186,'[6]august-2025'!$A:$A,'[6]august-2025'!$H:$H,0,0)</f>
        <v>3000</v>
      </c>
      <c r="BP186">
        <f>_xlfn.XLOOKUP(B186,'[6]august-2025'!$A:$A,'[6]august-2025'!$I:$I,0,0)</f>
        <v>0</v>
      </c>
      <c r="BQ186">
        <f>IF($F186="YES",0,IF(BN186&gt;40000,200,IF(BN186&gt;25000,150,IF(BN186&gt;15000,130,IF(BN186&gt;10000,110,0)))))</f>
        <v>200</v>
      </c>
      <c r="BR186">
        <f>BN186-BO186-BP186-BQ186</f>
        <v>60610</v>
      </c>
      <c r="BS186">
        <f>_xlfn.XLOOKUP(B186,'[7]september-2025'!$A:$A,'[7]september-2025'!$C:$C,0,0)</f>
        <v>48700</v>
      </c>
      <c r="BT186">
        <f t="shared" si="385"/>
        <v>8766</v>
      </c>
      <c r="BU186">
        <f t="shared" si="386"/>
        <v>5844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>IF(BS186&gt;0,SUM(BS186:BW186),0)</f>
        <v>63810</v>
      </c>
      <c r="BY186">
        <f>_xlfn.XLOOKUP(B186,'[7]september-2025'!$A:$A,'[7]september-2025'!$H:$H,0,0)</f>
        <v>3000</v>
      </c>
      <c r="BZ186">
        <f>_xlfn.XLOOKUP(B186,'[7]september-2025'!$A:$A,'[7]september-2025'!$I:$I,0,0)</f>
        <v>0</v>
      </c>
      <c r="CA186">
        <f t="shared" si="387"/>
        <v>200</v>
      </c>
      <c r="CB186">
        <f t="shared" si="388"/>
        <v>60610</v>
      </c>
      <c r="CC186">
        <f>_xlfn.XLOOKUP(B186,'[8]october-2025'!$A:$A,'[8]october-2025'!$C:$C,0,0)</f>
        <v>48700</v>
      </c>
      <c r="CD186">
        <f t="shared" si="389"/>
        <v>8766</v>
      </c>
      <c r="CE186">
        <f t="shared" si="390"/>
        <v>5844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>IF(CC186&gt;0,SUM(CC186:CG186),0)</f>
        <v>63810</v>
      </c>
      <c r="CI186">
        <f>_xlfn.XLOOKUP(B186,'[8]october-2025'!$A:$A,'[8]october-2025'!$H:$H,0,0)</f>
        <v>3000</v>
      </c>
      <c r="CJ186">
        <f>_xlfn.XLOOKUP(B186,'[8]october-2025'!$A:$A,'[8]october-2025'!$I:$I,0,0)</f>
        <v>0</v>
      </c>
      <c r="CK186">
        <f t="shared" si="391"/>
        <v>200</v>
      </c>
      <c r="CL186">
        <f t="shared" si="392"/>
        <v>60610</v>
      </c>
      <c r="CM186">
        <f>_xlfn.XLOOKUP(B186,'[9]november-2025'!$A:$A,'[9]november-2025'!$C:$C,0,0)</f>
        <v>48700</v>
      </c>
      <c r="CN186">
        <f t="shared" si="393"/>
        <v>8766</v>
      </c>
      <c r="CO186">
        <f t="shared" si="394"/>
        <v>5844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>IF(CM186&gt;0,SUM(CM186:CQ186),0)</f>
        <v>63810</v>
      </c>
      <c r="CS186">
        <f>_xlfn.XLOOKUP(B186,'[9]november-2025'!$A:$A,'[9]november-2025'!$H:$H,0,0)</f>
        <v>3000</v>
      </c>
      <c r="CT186">
        <f>_xlfn.XLOOKUP(B186,'[9]november-2025'!$A:$A,'[9]november-2025'!$I:$I,0,0)</f>
        <v>0</v>
      </c>
      <c r="CU186">
        <f t="shared" si="395"/>
        <v>200</v>
      </c>
      <c r="CV186">
        <f t="shared" si="396"/>
        <v>60610</v>
      </c>
      <c r="CW186">
        <f>_xlfn.XLOOKUP(B186,'[10]december-2025'!$A:$A,'[10]december-2025'!$C:$C,0,0)</f>
        <v>48700</v>
      </c>
      <c r="CX186">
        <f t="shared" si="397"/>
        <v>8766</v>
      </c>
      <c r="CY186">
        <f t="shared" si="398"/>
        <v>5844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>IF(CW186&gt;0,SUM(CW186:DA186),0)</f>
        <v>63810</v>
      </c>
      <c r="DC186">
        <f>_xlfn.XLOOKUP(B186,'[10]december-2025'!$A:$A,'[10]december-2025'!$H:$H,0,0)</f>
        <v>3000</v>
      </c>
      <c r="DD186">
        <f>_xlfn.XLOOKUP(B186,'[10]december-2025'!$A:$A,'[10]december-2025'!$I:$I,0,0)</f>
        <v>0</v>
      </c>
      <c r="DE186">
        <f t="shared" si="399"/>
        <v>200</v>
      </c>
      <c r="DF186">
        <f t="shared" si="400"/>
        <v>60610</v>
      </c>
      <c r="DG186">
        <f>_xlfn.XLOOKUP(B186,'[11]january-2026'!$A:$A,'[11]january-2026'!$C:$C,0,0)</f>
        <v>48700</v>
      </c>
      <c r="DH186">
        <f t="shared" si="401"/>
        <v>8766</v>
      </c>
      <c r="DI186">
        <f t="shared" si="402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>IF(DG186&gt;0,SUM(DG186:DK186),0)</f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03"/>
        <v>200</v>
      </c>
      <c r="DP186">
        <f t="shared" si="404"/>
        <v>60610</v>
      </c>
      <c r="DQ186">
        <f>_xlfn.XLOOKUP(B186,'[12]february-2026'!$A:$A,'[12]february-2026'!$C:$C,0,0)</f>
        <v>48700</v>
      </c>
      <c r="DR186">
        <f t="shared" si="405"/>
        <v>8766</v>
      </c>
      <c r="DS186">
        <f t="shared" si="406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>IF(DQ186&gt;0,SUM(DQ186:DU186),0)</f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07"/>
        <v>200</v>
      </c>
      <c r="DZ186">
        <f t="shared" si="408"/>
        <v>60610</v>
      </c>
      <c r="EA186">
        <f>_xlfn.XLOOKUP(B186,'[1]march-2025'!$A:$A,'[1]march-2025'!$J:$J,0,0)</f>
        <v>0</v>
      </c>
      <c r="EB186">
        <f>_xlfn.XLOOKUP(B186,'[2]april-2025'!$A:$A,'[2]april-2025'!$J:$J,0,0)</f>
        <v>0</v>
      </c>
      <c r="EC186">
        <f>_xlfn.XLOOKUP(B186,'[3]may-2025'!$A:$A,'[3]may-2025'!$J:$J,0,0)</f>
        <v>0</v>
      </c>
      <c r="ED186">
        <f>_xlfn.XLOOKUP(B186,'[4]june-2025'!$A:$A,'[4]june-2025'!$J:$J,0,0)</f>
        <v>0</v>
      </c>
      <c r="EE186">
        <f>_xlfn.XLOOKUP(B186,'[5]july-2025'!$A:$A,'[5]july-2025'!$J:$J,0,0)</f>
        <v>0</v>
      </c>
      <c r="EF186">
        <f>_xlfn.XLOOKUP(B186,'[6]august-2025'!$A:$A,'[6]august-2025'!$J:$J,0,0)</f>
        <v>0</v>
      </c>
      <c r="EG186">
        <f>_xlfn.XLOOKUP(B186,'[7]september-2025'!$A:$A,'[7]september-2025'!$J:$J,0,0)</f>
        <v>0</v>
      </c>
      <c r="EH186">
        <f>_xlfn.XLOOKUP(B186,'[8]october-2025'!$A:$A,'[8]october-2025'!$J:$J,0,0)</f>
        <v>0</v>
      </c>
      <c r="EI186">
        <f>_xlfn.XLOOKUP(C186,'[9]november-2025'!$A:$A,'[9]november-2025'!$J:$J,0,0)</f>
        <v>0</v>
      </c>
      <c r="EJ186">
        <f>_xlfn.XLOOKUP(B186,'[10]december-2025'!$A:$A,'[10]december-2025'!$J:$J,0,0)</f>
        <v>0</v>
      </c>
      <c r="EK186">
        <f>_xlfn.XLOOKUP(B186,'[11]january-2026'!$A:$A,'[11]january-2026'!$J:$J,0,0)</f>
        <v>0</v>
      </c>
      <c r="EL186">
        <f>_xlfn.XLOOKUP(B186,'[12]february-2026'!$A:$A,'[12]february-2026'!$J:$J,0,0)</f>
        <v>0</v>
      </c>
      <c r="EM186">
        <f t="shared" si="361"/>
        <v>0</v>
      </c>
      <c r="EN186">
        <f>DV186+DL186+DB186+CR186+CH186+BX186+BN186+BD186+AS186+AI186+Y186+O186+H186+I186</f>
        <v>763348</v>
      </c>
      <c r="EO186">
        <f>DY186+DO186+DE186+CU186+CK186+CA186+BQ186+BG186+AV186+AL186+AB186+R186</f>
        <v>2400</v>
      </c>
      <c r="EP186">
        <f t="shared" si="409"/>
        <v>50000</v>
      </c>
      <c r="EQ186">
        <v>0</v>
      </c>
      <c r="ER186">
        <f t="shared" si="362"/>
        <v>710948</v>
      </c>
      <c r="ES186">
        <f>DW186+DM186+DC186+CS186+CI186+BY186+BO186+BE186+AT186+AJ186+Z186+P186</f>
        <v>36000</v>
      </c>
      <c r="ET186">
        <f>DX186+DN186+DD186+CT186+CJ186+BZ186+BP186+BF186+AU186+AK186+AA186+Q186</f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410"/>
        <v>36000</v>
      </c>
      <c r="FF186">
        <f t="shared" si="411"/>
        <v>36000</v>
      </c>
      <c r="FG186">
        <f t="shared" si="412"/>
        <v>674948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>SUM(FH186:FN186)+(IF(F186="YES",50000,0))</f>
        <v>0</v>
      </c>
      <c r="FP186">
        <f t="shared" si="413"/>
        <v>674948</v>
      </c>
      <c r="FQ186">
        <f t="shared" si="414"/>
        <v>12500</v>
      </c>
      <c r="FR186">
        <f t="shared" si="415"/>
        <v>34990</v>
      </c>
      <c r="FS186">
        <f t="shared" si="416"/>
        <v>47490</v>
      </c>
      <c r="FT186">
        <f t="shared" si="417"/>
        <v>47490</v>
      </c>
      <c r="FU186">
        <f t="shared" si="418"/>
        <v>1899.6000000000001</v>
      </c>
      <c r="FV186">
        <f t="shared" si="419"/>
        <v>49390</v>
      </c>
      <c r="FW186">
        <v>0</v>
      </c>
      <c r="FX186">
        <f t="shared" si="420"/>
        <v>49390</v>
      </c>
      <c r="FY186" t="b">
        <f t="shared" si="421"/>
        <v>1</v>
      </c>
      <c r="FZ186">
        <f t="shared" ca="1" si="422"/>
        <v>528</v>
      </c>
      <c r="GA186">
        <f t="shared" ca="1" si="423"/>
        <v>763876</v>
      </c>
      <c r="GB186">
        <f t="shared" si="424"/>
        <v>75000</v>
      </c>
      <c r="GC186">
        <f t="shared" ca="1" si="425"/>
        <v>688876</v>
      </c>
      <c r="GD186">
        <f t="shared" ca="1" si="426"/>
        <v>0</v>
      </c>
      <c r="GE186">
        <f t="shared" ca="1" si="427"/>
        <v>0</v>
      </c>
      <c r="GF186">
        <f t="shared" ca="1" si="428"/>
        <v>0</v>
      </c>
      <c r="GG186">
        <f t="shared" ca="1" si="429"/>
        <v>0</v>
      </c>
      <c r="GH186">
        <f t="shared" ca="1" si="430"/>
        <v>0</v>
      </c>
      <c r="GI186">
        <f t="shared" ca="1" si="431"/>
        <v>0</v>
      </c>
      <c r="GJ186">
        <f ca="1">IF(GC186&gt;1200000,GC186-1200000-IF(F186="YES",50000,0)-GH186,0)</f>
        <v>0</v>
      </c>
      <c r="GK186">
        <f t="shared" ca="1" si="432"/>
        <v>0</v>
      </c>
      <c r="GL186">
        <f t="shared" ca="1" si="433"/>
        <v>0</v>
      </c>
      <c r="GM186">
        <f t="shared" ca="1" si="434"/>
        <v>0</v>
      </c>
      <c r="GN186">
        <f t="shared" ca="1" si="435"/>
        <v>288876</v>
      </c>
      <c r="GO186">
        <f t="shared" ca="1" si="436"/>
        <v>14443.800000000001</v>
      </c>
      <c r="GP186">
        <f t="shared" ca="1" si="437"/>
        <v>14444</v>
      </c>
      <c r="GQ186">
        <f t="shared" ca="1" si="438"/>
        <v>0</v>
      </c>
      <c r="GR186">
        <f t="shared" ca="1" si="439"/>
        <v>0</v>
      </c>
      <c r="GS186">
        <f t="shared" ca="1" si="440"/>
        <v>14444</v>
      </c>
      <c r="GT186">
        <f t="shared" ca="1" si="441"/>
        <v>0</v>
      </c>
      <c r="GU186" t="b">
        <f t="shared" ca="1" si="442"/>
        <v>0</v>
      </c>
      <c r="GV186">
        <f t="shared" ca="1" si="443"/>
        <v>0</v>
      </c>
      <c r="GW186">
        <f t="shared" ca="1" si="444"/>
        <v>14444</v>
      </c>
      <c r="GX186">
        <f t="shared" ca="1" si="445"/>
        <v>0</v>
      </c>
      <c r="GY186">
        <f t="shared" ca="1" si="446"/>
        <v>0</v>
      </c>
      <c r="GZ186">
        <f t="shared" ca="1" si="447"/>
        <v>0</v>
      </c>
    </row>
    <row r="187" spans="1:208" x14ac:dyDescent="0.25">
      <c r="A187">
        <f>_xlfn.AGGREGATE(3,5,$B$2:B187)</f>
        <v>186</v>
      </c>
      <c r="B187" t="s">
        <v>480</v>
      </c>
      <c r="C187" t="s">
        <v>481</v>
      </c>
      <c r="D187" t="s">
        <v>798</v>
      </c>
      <c r="E187" t="s">
        <v>831</v>
      </c>
      <c r="F187" t="s">
        <v>957</v>
      </c>
      <c r="G187" t="s">
        <v>891</v>
      </c>
      <c r="H187">
        <f t="shared" si="450"/>
        <v>6800</v>
      </c>
      <c r="I187">
        <f>_xlfn.XLOOKUP(B187,'[1]march-2025'!$A:$A,'[1]march-2025'!$J:$J,0,0)</f>
        <v>0</v>
      </c>
      <c r="J187">
        <f>_xlfn.XLOOKUP(B187,'[1]march-2025'!$A:$A,'[1]march-2025'!$C:$C,0,0)</f>
        <v>34500</v>
      </c>
      <c r="K187">
        <f t="shared" si="364"/>
        <v>4830.0000000000009</v>
      </c>
      <c r="L187">
        <f t="shared" si="365"/>
        <v>4140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>IF(J187&gt;0,SUM(J187:N187),0)</f>
        <v>43970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448"/>
        <v>200</v>
      </c>
      <c r="S187">
        <f t="shared" si="357"/>
        <v>41270</v>
      </c>
      <c r="T187">
        <f>_xlfn.XLOOKUP(B187,'[2]april-2025'!$A:$A,'[2]april-2025'!$C:$C,0,0)</f>
        <v>34500</v>
      </c>
      <c r="U187">
        <f t="shared" si="366"/>
        <v>6210</v>
      </c>
      <c r="V187">
        <f t="shared" si="367"/>
        <v>4140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358"/>
        <v>45350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368"/>
        <v>200</v>
      </c>
      <c r="AC187">
        <f t="shared" si="369"/>
        <v>42650</v>
      </c>
      <c r="AD187">
        <f>_xlfn.XLOOKUP(B187,'[3]may-2025'!$A:$A,'[3]may-2025'!$C:$C,0,0)</f>
        <v>34500</v>
      </c>
      <c r="AE187">
        <f t="shared" si="370"/>
        <v>6210</v>
      </c>
      <c r="AF187">
        <f t="shared" si="371"/>
        <v>4140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359"/>
        <v>45350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372"/>
        <v>200</v>
      </c>
      <c r="AM187">
        <f t="shared" si="373"/>
        <v>42650</v>
      </c>
      <c r="AN187">
        <f>_xlfn.XLOOKUP(B187,'[4]june-2025'!$A:$A,'[4]june-2025'!$C:$C,0,0)</f>
        <v>34500</v>
      </c>
      <c r="AO187">
        <f t="shared" si="374"/>
        <v>6210</v>
      </c>
      <c r="AP187">
        <f t="shared" si="375"/>
        <v>4140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360"/>
        <v>45350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376"/>
        <v>200</v>
      </c>
      <c r="AW187">
        <f t="shared" si="377"/>
        <v>42650</v>
      </c>
      <c r="AX187">
        <f>_xlfn.XLOOKUP(B187,'[5]july-2025'!$A:$A,'[5]july-2025'!$C:$C,0,0)</f>
        <v>35500</v>
      </c>
      <c r="AY187">
        <f t="shared" si="378"/>
        <v>6390</v>
      </c>
      <c r="AZ187">
        <v>0</v>
      </c>
      <c r="BA187">
        <f t="shared" si="379"/>
        <v>4260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>IF(AX187&gt;0,SUM(AX187:BC187),0)</f>
        <v>46650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380"/>
        <v>200</v>
      </c>
      <c r="BH187">
        <f t="shared" si="381"/>
        <v>43950</v>
      </c>
      <c r="BI187">
        <f>_xlfn.XLOOKUP(B187,'[6]august-2025'!$A:$A,'[6]august-2025'!$C:$C,0,0)</f>
        <v>35500</v>
      </c>
      <c r="BJ187">
        <f t="shared" si="382"/>
        <v>6390</v>
      </c>
      <c r="BK187">
        <f t="shared" si="383"/>
        <v>4260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384"/>
        <v>46650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>IF($F187="YES",0,IF(BN187&gt;40000,200,IF(BN187&gt;25000,150,IF(BN187&gt;15000,130,IF(BN187&gt;10000,110,0)))))</f>
        <v>200</v>
      </c>
      <c r="BR187">
        <f>BN187-BO187-BP187-BQ187</f>
        <v>43950</v>
      </c>
      <c r="BS187">
        <f>_xlfn.XLOOKUP(B187,'[7]september-2025'!$A:$A,'[7]september-2025'!$C:$C,0,0)</f>
        <v>35500</v>
      </c>
      <c r="BT187">
        <f t="shared" si="385"/>
        <v>6390</v>
      </c>
      <c r="BU187">
        <f t="shared" si="386"/>
        <v>4260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>IF(BS187&gt;0,SUM(BS187:BW187),0)</f>
        <v>46650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387"/>
        <v>200</v>
      </c>
      <c r="CB187">
        <f t="shared" si="388"/>
        <v>43950</v>
      </c>
      <c r="CC187">
        <f>_xlfn.XLOOKUP(B187,'[8]october-2025'!$A:$A,'[8]october-2025'!$C:$C,0,0)</f>
        <v>35500</v>
      </c>
      <c r="CD187">
        <f t="shared" si="389"/>
        <v>6390</v>
      </c>
      <c r="CE187">
        <f t="shared" si="390"/>
        <v>4260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>IF(CC187&gt;0,SUM(CC187:CG187),0)</f>
        <v>46650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391"/>
        <v>200</v>
      </c>
      <c r="CL187">
        <f t="shared" si="392"/>
        <v>43950</v>
      </c>
      <c r="CM187">
        <f>_xlfn.XLOOKUP(B187,'[9]november-2025'!$A:$A,'[9]november-2025'!$C:$C,0,0)</f>
        <v>35500</v>
      </c>
      <c r="CN187">
        <f t="shared" si="393"/>
        <v>6390</v>
      </c>
      <c r="CO187">
        <f t="shared" si="394"/>
        <v>4260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>IF(CM187&gt;0,SUM(CM187:CQ187),0)</f>
        <v>46650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395"/>
        <v>200</v>
      </c>
      <c r="CV187">
        <f t="shared" si="396"/>
        <v>43950</v>
      </c>
      <c r="CW187">
        <f>_xlfn.XLOOKUP(B187,'[10]december-2025'!$A:$A,'[10]december-2025'!$C:$C,0,0)</f>
        <v>35500</v>
      </c>
      <c r="CX187">
        <f t="shared" si="397"/>
        <v>6390</v>
      </c>
      <c r="CY187">
        <f t="shared" si="398"/>
        <v>4260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>IF(CW187&gt;0,SUM(CW187:DA187),0)</f>
        <v>46650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399"/>
        <v>200</v>
      </c>
      <c r="DF187">
        <f t="shared" si="400"/>
        <v>43950</v>
      </c>
      <c r="DG187">
        <f>_xlfn.XLOOKUP(B187,'[11]january-2026'!$A:$A,'[11]january-2026'!$C:$C,0,0)</f>
        <v>35500</v>
      </c>
      <c r="DH187">
        <f t="shared" si="401"/>
        <v>6390</v>
      </c>
      <c r="DI187">
        <f t="shared" si="402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>IF(DG187&gt;0,SUM(DG187:DK187),0)</f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03"/>
        <v>200</v>
      </c>
      <c r="DP187">
        <f t="shared" si="404"/>
        <v>43950</v>
      </c>
      <c r="DQ187">
        <f>_xlfn.XLOOKUP(B187,'[12]february-2026'!$A:$A,'[12]february-2026'!$C:$C,0,0)</f>
        <v>35500</v>
      </c>
      <c r="DR187">
        <f t="shared" si="405"/>
        <v>6390</v>
      </c>
      <c r="DS187">
        <f t="shared" si="406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>IF(DQ187&gt;0,SUM(DQ187:DU187),0)</f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07"/>
        <v>200</v>
      </c>
      <c r="DZ187">
        <f t="shared" si="408"/>
        <v>43950</v>
      </c>
      <c r="EA187">
        <f>_xlfn.XLOOKUP(B187,'[1]march-2025'!$A:$A,'[1]march-2025'!$J:$J,0,0)</f>
        <v>0</v>
      </c>
      <c r="EB187">
        <f>_xlfn.XLOOKUP(B187,'[2]april-2025'!$A:$A,'[2]april-2025'!$J:$J,0,0)</f>
        <v>0</v>
      </c>
      <c r="EC187">
        <f>_xlfn.XLOOKUP(B187,'[3]may-2025'!$A:$A,'[3]may-2025'!$J:$J,0,0)</f>
        <v>0</v>
      </c>
      <c r="ED187">
        <f>_xlfn.XLOOKUP(B187,'[4]june-2025'!$A:$A,'[4]june-2025'!$J:$J,0,0)</f>
        <v>0</v>
      </c>
      <c r="EE187">
        <f>_xlfn.XLOOKUP(B187,'[5]july-2025'!$A:$A,'[5]july-2025'!$J:$J,0,0)</f>
        <v>0</v>
      </c>
      <c r="EF187">
        <f>_xlfn.XLOOKUP(B187,'[6]august-2025'!$A:$A,'[6]august-2025'!$J:$J,0,0)</f>
        <v>0</v>
      </c>
      <c r="EG187">
        <f>_xlfn.XLOOKUP(B187,'[7]september-2025'!$A:$A,'[7]september-2025'!$J:$J,0,0)</f>
        <v>0</v>
      </c>
      <c r="EH187">
        <f>_xlfn.XLOOKUP(B187,'[8]october-2025'!$A:$A,'[8]october-2025'!$J:$J,0,0)</f>
        <v>0</v>
      </c>
      <c r="EI187">
        <f>_xlfn.XLOOKUP(C187,'[9]november-2025'!$A:$A,'[9]november-2025'!$J:$J,0,0)</f>
        <v>0</v>
      </c>
      <c r="EJ187">
        <f>_xlfn.XLOOKUP(B187,'[10]december-2025'!$A:$A,'[10]december-2025'!$J:$J,0,0)</f>
        <v>0</v>
      </c>
      <c r="EK187">
        <f>_xlfn.XLOOKUP(B187,'[11]january-2026'!$A:$A,'[11]january-2026'!$J:$J,0,0)</f>
        <v>0</v>
      </c>
      <c r="EL187">
        <f>_xlfn.XLOOKUP(B187,'[12]february-2026'!$A:$A,'[12]february-2026'!$J:$J,0,0)</f>
        <v>0</v>
      </c>
      <c r="EM187">
        <f t="shared" si="361"/>
        <v>0</v>
      </c>
      <c r="EN187">
        <f>DV187+DL187+DB187+CR187+CH187+BX187+BN187+BD187+AS187+AI187+Y187+O187+H187+I187</f>
        <v>560020</v>
      </c>
      <c r="EO187">
        <f>DY187+DO187+DE187+CU187+CK187+CA187+BQ187+BG187+AV187+AL187+AB187+R187</f>
        <v>2400</v>
      </c>
      <c r="EP187">
        <f t="shared" si="409"/>
        <v>50000</v>
      </c>
      <c r="EQ187">
        <v>0</v>
      </c>
      <c r="ER187">
        <f t="shared" si="362"/>
        <v>507620</v>
      </c>
      <c r="ES187">
        <f>DW187+DM187+DC187+CS187+CI187+BY187+BO187+BE187+AT187+AJ187+Z187+P187</f>
        <v>30000</v>
      </c>
      <c r="ET187">
        <f>DX187+DN187+DD187+CT187+CJ187+BZ187+BP187+BF187+AU187+AK187+AA187+Q187</f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410"/>
        <v>30000</v>
      </c>
      <c r="FF187">
        <f t="shared" si="411"/>
        <v>30000</v>
      </c>
      <c r="FG187">
        <f t="shared" si="412"/>
        <v>477620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>SUM(FH187:FN187)+(IF(F187="YES",50000,0))</f>
        <v>0</v>
      </c>
      <c r="FP187">
        <f t="shared" si="413"/>
        <v>477620</v>
      </c>
      <c r="FQ187">
        <f t="shared" si="414"/>
        <v>11381</v>
      </c>
      <c r="FR187">
        <f t="shared" si="415"/>
        <v>0</v>
      </c>
      <c r="FS187">
        <f t="shared" si="416"/>
        <v>11381</v>
      </c>
      <c r="FT187">
        <f t="shared" si="417"/>
        <v>0</v>
      </c>
      <c r="FU187">
        <f t="shared" si="418"/>
        <v>0</v>
      </c>
      <c r="FV187">
        <f t="shared" si="419"/>
        <v>0</v>
      </c>
      <c r="FW187">
        <v>0</v>
      </c>
      <c r="FX187">
        <f t="shared" si="420"/>
        <v>0</v>
      </c>
      <c r="FY187" t="b">
        <f t="shared" si="421"/>
        <v>1</v>
      </c>
      <c r="FZ187">
        <f t="shared" ca="1" si="422"/>
        <v>970</v>
      </c>
      <c r="GA187">
        <f t="shared" ca="1" si="423"/>
        <v>560990</v>
      </c>
      <c r="GB187">
        <f t="shared" si="424"/>
        <v>75000</v>
      </c>
      <c r="GC187">
        <f t="shared" ca="1" si="425"/>
        <v>485990</v>
      </c>
      <c r="GD187">
        <f t="shared" ca="1" si="426"/>
        <v>0</v>
      </c>
      <c r="GE187">
        <f t="shared" ca="1" si="427"/>
        <v>0</v>
      </c>
      <c r="GF187">
        <f t="shared" ca="1" si="428"/>
        <v>0</v>
      </c>
      <c r="GG187">
        <f t="shared" ca="1" si="429"/>
        <v>0</v>
      </c>
      <c r="GH187">
        <f t="shared" ca="1" si="430"/>
        <v>0</v>
      </c>
      <c r="GI187">
        <f t="shared" ca="1" si="431"/>
        <v>0</v>
      </c>
      <c r="GJ187">
        <f ca="1">IF(GC187&gt;1200000,GC187-1200000-IF(F187="YES",50000,0)-GH187,0)</f>
        <v>0</v>
      </c>
      <c r="GK187">
        <f t="shared" ca="1" si="432"/>
        <v>0</v>
      </c>
      <c r="GL187">
        <f t="shared" ca="1" si="433"/>
        <v>0</v>
      </c>
      <c r="GM187">
        <f t="shared" ca="1" si="434"/>
        <v>0</v>
      </c>
      <c r="GN187">
        <f t="shared" ca="1" si="435"/>
        <v>85990</v>
      </c>
      <c r="GO187">
        <f t="shared" ca="1" si="436"/>
        <v>4299.5</v>
      </c>
      <c r="GP187">
        <f t="shared" ca="1" si="437"/>
        <v>4300</v>
      </c>
      <c r="GQ187">
        <f t="shared" ca="1" si="438"/>
        <v>0</v>
      </c>
      <c r="GR187">
        <f t="shared" ca="1" si="439"/>
        <v>0</v>
      </c>
      <c r="GS187">
        <f t="shared" ca="1" si="440"/>
        <v>4300</v>
      </c>
      <c r="GT187">
        <f t="shared" ca="1" si="441"/>
        <v>0</v>
      </c>
      <c r="GU187" t="b">
        <f t="shared" ca="1" si="442"/>
        <v>0</v>
      </c>
      <c r="GV187">
        <f t="shared" ca="1" si="443"/>
        <v>0</v>
      </c>
      <c r="GW187">
        <f t="shared" ca="1" si="444"/>
        <v>4300</v>
      </c>
      <c r="GX187">
        <f t="shared" ca="1" si="445"/>
        <v>0</v>
      </c>
      <c r="GY187">
        <f t="shared" ca="1" si="446"/>
        <v>0</v>
      </c>
      <c r="GZ187">
        <f t="shared" ca="1" si="447"/>
        <v>0</v>
      </c>
    </row>
    <row r="188" spans="1:208" x14ac:dyDescent="0.25">
      <c r="A188">
        <f>_xlfn.AGGREGATE(3,5,$B$2:B188)</f>
        <v>187</v>
      </c>
      <c r="B188" t="s">
        <v>482</v>
      </c>
      <c r="C188" t="s">
        <v>483</v>
      </c>
      <c r="D188" t="s">
        <v>798</v>
      </c>
      <c r="E188" t="s">
        <v>831</v>
      </c>
      <c r="F188" t="s">
        <v>957</v>
      </c>
      <c r="G188" t="s">
        <v>886</v>
      </c>
      <c r="H188">
        <f t="shared" si="450"/>
        <v>6800</v>
      </c>
      <c r="I188">
        <f>_xlfn.XLOOKUP(B188,'[1]march-2025'!$A:$A,'[1]march-2025'!$J:$J,0,0)</f>
        <v>0</v>
      </c>
      <c r="J188">
        <f>_xlfn.XLOOKUP(B188,'[1]march-2025'!$A:$A,'[1]march-2025'!$C:$C,0,0)</f>
        <v>33500</v>
      </c>
      <c r="K188">
        <f t="shared" si="364"/>
        <v>4690</v>
      </c>
      <c r="L188">
        <f t="shared" si="365"/>
        <v>4020</v>
      </c>
      <c r="M188">
        <f>_xlfn.XLOOKUP(B188,'[1]march-2025'!$A:$A,'[1]march-2025'!$D:$D,0,0)</f>
        <v>0</v>
      </c>
      <c r="N188">
        <f>_xlfn.XLOOKUP(B188,'[1]march-2025'!$A:$A,'[1]march-2025'!$G:$G,0,0)</f>
        <v>0</v>
      </c>
      <c r="O188">
        <f>IF(J188&gt;0,SUM(J188:N188),0)</f>
        <v>42210</v>
      </c>
      <c r="P188">
        <f>_xlfn.XLOOKUP(B188,'[1]march-2025'!$A:$A,'[1]march-2025'!$H:$H,0,0)</f>
        <v>2500</v>
      </c>
      <c r="Q188">
        <f>_xlfn.XLOOKUP(B188,'[1]march-2025'!$A:$A,'[1]march-2025'!$I:$I,0,0)</f>
        <v>0</v>
      </c>
      <c r="R188">
        <f t="shared" si="448"/>
        <v>200</v>
      </c>
      <c r="S188">
        <f t="shared" si="357"/>
        <v>39510</v>
      </c>
      <c r="T188">
        <f>_xlfn.XLOOKUP(B188,'[2]april-2025'!$A:$A,'[2]april-2025'!$C:$C,0,0)</f>
        <v>33500</v>
      </c>
      <c r="U188">
        <f t="shared" si="366"/>
        <v>6030</v>
      </c>
      <c r="V188">
        <f t="shared" si="367"/>
        <v>4020</v>
      </c>
      <c r="W188">
        <f>_xlfn.XLOOKUP(B188,'[2]april-2025'!$A:$A,'[2]april-2025'!$D:$D,0,0)</f>
        <v>0</v>
      </c>
      <c r="X188">
        <f>_xlfn.XLOOKUP(B188,'[2]april-2025'!$A:$A,'[2]april-2025'!$G:$G,0,0)</f>
        <v>0</v>
      </c>
      <c r="Y188">
        <f t="shared" si="358"/>
        <v>43550</v>
      </c>
      <c r="Z188">
        <f>_xlfn.XLOOKUP(B188,'[2]april-2025'!$A:$A,'[2]april-2025'!$H:$H,0,0)</f>
        <v>2500</v>
      </c>
      <c r="AA188">
        <f>_xlfn.XLOOKUP(B188,'[2]april-2025'!$A:$A,'[2]april-2025'!$I:$I,0,0)</f>
        <v>0</v>
      </c>
      <c r="AB188">
        <f t="shared" si="368"/>
        <v>200</v>
      </c>
      <c r="AC188">
        <f t="shared" si="369"/>
        <v>40850</v>
      </c>
      <c r="AD188">
        <f>_xlfn.XLOOKUP(B188,'[3]may-2025'!$A:$A,'[3]may-2025'!$C:$C,0,0)</f>
        <v>33500</v>
      </c>
      <c r="AE188">
        <f t="shared" si="370"/>
        <v>6030</v>
      </c>
      <c r="AF188">
        <f t="shared" si="371"/>
        <v>4020</v>
      </c>
      <c r="AG188">
        <f>_xlfn.XLOOKUP(B188,'[3]may-2025'!$A:$A,'[3]may-2025'!$D:$D,0,0)</f>
        <v>0</v>
      </c>
      <c r="AH188">
        <f>_xlfn.XLOOKUP(B188,'[3]may-2025'!$A:$A,'[3]may-2025'!$G:$G,0,0)</f>
        <v>0</v>
      </c>
      <c r="AI188">
        <f t="shared" si="359"/>
        <v>43550</v>
      </c>
      <c r="AJ188">
        <f>_xlfn.XLOOKUP(B188,'[3]may-2025'!$A:$A,'[3]may-2025'!$H:$H,0,0)</f>
        <v>2500</v>
      </c>
      <c r="AK188">
        <f>_xlfn.XLOOKUP(B188,'[3]may-2025'!$A:$A,'[3]may-2025'!$I:$I,0,0)</f>
        <v>0</v>
      </c>
      <c r="AL188">
        <f t="shared" si="372"/>
        <v>200</v>
      </c>
      <c r="AM188">
        <f t="shared" si="373"/>
        <v>40850</v>
      </c>
      <c r="AN188">
        <f>_xlfn.XLOOKUP(B188,'[4]june-2025'!$A:$A,'[4]june-2025'!$C:$C,0,0)</f>
        <v>33500</v>
      </c>
      <c r="AO188">
        <f t="shared" si="374"/>
        <v>6030</v>
      </c>
      <c r="AP188">
        <f t="shared" si="375"/>
        <v>4020</v>
      </c>
      <c r="AQ188">
        <f>_xlfn.XLOOKUP(B188,'[4]june-2025'!$A:$A,'[4]june-2025'!$D:$D,0,0)</f>
        <v>0</v>
      </c>
      <c r="AR188">
        <f>_xlfn.XLOOKUP(B188,'[4]june-2025'!$A:$A,'[4]june-2025'!$G:$G,0,0)</f>
        <v>0</v>
      </c>
      <c r="AS188">
        <f t="shared" si="360"/>
        <v>43550</v>
      </c>
      <c r="AT188">
        <f>_xlfn.XLOOKUP(B188,'[4]june-2025'!$A:$A,'[4]june-2025'!$H:$H,0,0)</f>
        <v>2500</v>
      </c>
      <c r="AU188">
        <f>_xlfn.XLOOKUP(B188,'[4]june-2025'!$A:$A,'[4]june-2025'!$I:$I,0,0)</f>
        <v>0</v>
      </c>
      <c r="AV188">
        <f t="shared" si="376"/>
        <v>200</v>
      </c>
      <c r="AW188">
        <f t="shared" si="377"/>
        <v>40850</v>
      </c>
      <c r="AX188">
        <f>_xlfn.XLOOKUP(B188,'[5]july-2025'!$A:$A,'[5]july-2025'!$C:$C,0,0)</f>
        <v>34500</v>
      </c>
      <c r="AY188">
        <f t="shared" si="378"/>
        <v>6210</v>
      </c>
      <c r="AZ188">
        <v>0</v>
      </c>
      <c r="BA188">
        <f t="shared" si="379"/>
        <v>4140</v>
      </c>
      <c r="BB188">
        <f>_xlfn.XLOOKUP(B188,'[5]july-2025'!$A:$A,'[5]july-2025'!$D:$D,0,0)</f>
        <v>0</v>
      </c>
      <c r="BC188">
        <f>_xlfn.XLOOKUP(B188,'[5]july-2025'!$A:$A,'[5]july-2025'!$G:$G,0,0)</f>
        <v>0</v>
      </c>
      <c r="BD188">
        <f>IF(AX188&gt;0,SUM(AX188:BC188),0)</f>
        <v>44850</v>
      </c>
      <c r="BE188">
        <f>_xlfn.XLOOKUP(B188,'[5]july-2025'!$A:$A,'[5]july-2025'!$H:$H,0,0)</f>
        <v>2500</v>
      </c>
      <c r="BF188">
        <f>_xlfn.XLOOKUP(B188,'[5]july-2025'!$A:$A,'[5]july-2025'!$I:$I,0,0)</f>
        <v>0</v>
      </c>
      <c r="BG188">
        <f t="shared" si="380"/>
        <v>200</v>
      </c>
      <c r="BH188">
        <f t="shared" si="381"/>
        <v>42150</v>
      </c>
      <c r="BI188">
        <f>_xlfn.XLOOKUP(B188,'[6]august-2025'!$A:$A,'[6]august-2025'!$C:$C,0,0)</f>
        <v>34500</v>
      </c>
      <c r="BJ188">
        <f t="shared" si="382"/>
        <v>6210</v>
      </c>
      <c r="BK188">
        <f t="shared" si="383"/>
        <v>4140</v>
      </c>
      <c r="BL188">
        <f>_xlfn.XLOOKUP(B188,'[6]august-2025'!$A:$A,'[6]august-2025'!$D:$D,0,0)</f>
        <v>0</v>
      </c>
      <c r="BM188">
        <f>_xlfn.XLOOKUP(B188,'[6]august-2025'!$A:$A,'[6]august-2025'!$G:$G,0,0)</f>
        <v>0</v>
      </c>
      <c r="BN188">
        <f t="shared" si="384"/>
        <v>44850</v>
      </c>
      <c r="BO188">
        <f>_xlfn.XLOOKUP(B188,'[6]august-2025'!$A:$A,'[6]august-2025'!$H:$H,0,0)</f>
        <v>2500</v>
      </c>
      <c r="BP188">
        <f>_xlfn.XLOOKUP(B188,'[6]august-2025'!$A:$A,'[6]august-2025'!$I:$I,0,0)</f>
        <v>0</v>
      </c>
      <c r="BQ188">
        <f>IF($F188="YES",0,IF(BN188&gt;40000,200,IF(BN188&gt;25000,150,IF(BN188&gt;15000,130,IF(BN188&gt;10000,110,0)))))</f>
        <v>200</v>
      </c>
      <c r="BR188">
        <f>BN188-BO188-BP188-BQ188</f>
        <v>42150</v>
      </c>
      <c r="BS188">
        <f>_xlfn.XLOOKUP(B188,'[7]september-2025'!$A:$A,'[7]september-2025'!$C:$C,0,0)</f>
        <v>34500</v>
      </c>
      <c r="BT188">
        <f t="shared" si="385"/>
        <v>6210</v>
      </c>
      <c r="BU188">
        <f t="shared" si="386"/>
        <v>4140</v>
      </c>
      <c r="BV188">
        <f>_xlfn.XLOOKUP(B188,'[7]september-2025'!$A:$A,'[7]september-2025'!$D:$D,0,0)</f>
        <v>0</v>
      </c>
      <c r="BW188">
        <f>_xlfn.XLOOKUP(B188,'[7]september-2025'!$A:$A,'[7]september-2025'!$G:$G,0,0)</f>
        <v>0</v>
      </c>
      <c r="BX188">
        <f>IF(BS188&gt;0,SUM(BS188:BW188),0)</f>
        <v>44850</v>
      </c>
      <c r="BY188">
        <f>_xlfn.XLOOKUP(B188,'[7]september-2025'!$A:$A,'[7]september-2025'!$H:$H,0,0)</f>
        <v>2500</v>
      </c>
      <c r="BZ188">
        <f>_xlfn.XLOOKUP(B188,'[7]september-2025'!$A:$A,'[7]september-2025'!$I:$I,0,0)</f>
        <v>0</v>
      </c>
      <c r="CA188">
        <f t="shared" si="387"/>
        <v>200</v>
      </c>
      <c r="CB188">
        <f t="shared" si="388"/>
        <v>42150</v>
      </c>
      <c r="CC188">
        <f>_xlfn.XLOOKUP(B188,'[8]october-2025'!$A:$A,'[8]october-2025'!$C:$C,0,0)</f>
        <v>34500</v>
      </c>
      <c r="CD188">
        <f t="shared" si="389"/>
        <v>6210</v>
      </c>
      <c r="CE188">
        <f t="shared" si="390"/>
        <v>4140</v>
      </c>
      <c r="CF188">
        <f>_xlfn.XLOOKUP(B188,'[8]october-2025'!$A:$A,'[8]october-2025'!$D:$D,0,0)</f>
        <v>0</v>
      </c>
      <c r="CG188">
        <f>_xlfn.XLOOKUP(B188,'[8]october-2025'!$A:$A,'[8]october-2025'!$G:$G,0,0)</f>
        <v>0</v>
      </c>
      <c r="CH188">
        <f>IF(CC188&gt;0,SUM(CC188:CG188),0)</f>
        <v>44850</v>
      </c>
      <c r="CI188">
        <f>_xlfn.XLOOKUP(B188,'[8]october-2025'!$A:$A,'[8]october-2025'!$H:$H,0,0)</f>
        <v>2500</v>
      </c>
      <c r="CJ188">
        <f>_xlfn.XLOOKUP(B188,'[8]october-2025'!$A:$A,'[8]october-2025'!$I:$I,0,0)</f>
        <v>0</v>
      </c>
      <c r="CK188">
        <f t="shared" si="391"/>
        <v>200</v>
      </c>
      <c r="CL188">
        <f t="shared" si="392"/>
        <v>42150</v>
      </c>
      <c r="CM188">
        <f>_xlfn.XLOOKUP(B188,'[9]november-2025'!$A:$A,'[9]november-2025'!$C:$C,0,0)</f>
        <v>34500</v>
      </c>
      <c r="CN188">
        <f t="shared" si="393"/>
        <v>6210</v>
      </c>
      <c r="CO188">
        <f t="shared" si="394"/>
        <v>4140</v>
      </c>
      <c r="CP188">
        <f>_xlfn.XLOOKUP(B188,'[9]november-2025'!$A:$A,'[9]november-2025'!$D:$D,0,0)</f>
        <v>0</v>
      </c>
      <c r="CQ188">
        <f>_xlfn.XLOOKUP(B188,'[9]november-2025'!$A:$A,'[9]november-2025'!$G:$G,0,0)</f>
        <v>0</v>
      </c>
      <c r="CR188">
        <f>IF(CM188&gt;0,SUM(CM188:CQ188),0)</f>
        <v>44850</v>
      </c>
      <c r="CS188">
        <f>_xlfn.XLOOKUP(B188,'[9]november-2025'!$A:$A,'[9]november-2025'!$H:$H,0,0)</f>
        <v>2500</v>
      </c>
      <c r="CT188">
        <f>_xlfn.XLOOKUP(B188,'[9]november-2025'!$A:$A,'[9]november-2025'!$I:$I,0,0)</f>
        <v>0</v>
      </c>
      <c r="CU188">
        <f t="shared" si="395"/>
        <v>200</v>
      </c>
      <c r="CV188">
        <f t="shared" si="396"/>
        <v>42150</v>
      </c>
      <c r="CW188">
        <f>_xlfn.XLOOKUP(B188,'[10]december-2025'!$A:$A,'[10]december-2025'!$C:$C,0,0)</f>
        <v>34500</v>
      </c>
      <c r="CX188">
        <f t="shared" si="397"/>
        <v>6210</v>
      </c>
      <c r="CY188">
        <f t="shared" si="398"/>
        <v>4140</v>
      </c>
      <c r="CZ188">
        <f>_xlfn.XLOOKUP(B188,'[10]december-2025'!$A:$A,'[10]december-2025'!$D:$D,0,0)</f>
        <v>0</v>
      </c>
      <c r="DA188">
        <f>_xlfn.XLOOKUP(B188,'[10]december-2025'!$A:$A,'[10]december-2025'!$G:$G,0,0)</f>
        <v>0</v>
      </c>
      <c r="DB188">
        <f>IF(CW188&gt;0,SUM(CW188:DA188),0)</f>
        <v>44850</v>
      </c>
      <c r="DC188">
        <f>_xlfn.XLOOKUP(B188,'[10]december-2025'!$A:$A,'[10]december-2025'!$H:$H,0,0)</f>
        <v>2500</v>
      </c>
      <c r="DD188">
        <f>_xlfn.XLOOKUP(B188,'[10]december-2025'!$A:$A,'[10]december-2025'!$I:$I,0,0)</f>
        <v>0</v>
      </c>
      <c r="DE188">
        <f t="shared" si="399"/>
        <v>200</v>
      </c>
      <c r="DF188">
        <f t="shared" si="400"/>
        <v>42150</v>
      </c>
      <c r="DG188">
        <f>_xlfn.XLOOKUP(B188,'[11]january-2026'!$A:$A,'[11]january-2026'!$C:$C,0,0)</f>
        <v>34500</v>
      </c>
      <c r="DH188">
        <f t="shared" si="401"/>
        <v>6210</v>
      </c>
      <c r="DI188">
        <f t="shared" si="402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>IF(DG188&gt;0,SUM(DG188:DK188),0)</f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03"/>
        <v>200</v>
      </c>
      <c r="DP188">
        <f t="shared" si="404"/>
        <v>42150</v>
      </c>
      <c r="DQ188">
        <f>_xlfn.XLOOKUP(B188,'[12]february-2026'!$A:$A,'[12]february-2026'!$C:$C,0,0)</f>
        <v>34500</v>
      </c>
      <c r="DR188">
        <f t="shared" si="405"/>
        <v>6210</v>
      </c>
      <c r="DS188">
        <f t="shared" si="406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>IF(DQ188&gt;0,SUM(DQ188:DU188),0)</f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07"/>
        <v>200</v>
      </c>
      <c r="DZ188">
        <f t="shared" si="408"/>
        <v>42150</v>
      </c>
      <c r="EA188">
        <f>_xlfn.XLOOKUP(B188,'[1]march-2025'!$A:$A,'[1]march-2025'!$J:$J,0,0)</f>
        <v>0</v>
      </c>
      <c r="EB188">
        <f>_xlfn.XLOOKUP(B188,'[2]april-2025'!$A:$A,'[2]april-2025'!$J:$J,0,0)</f>
        <v>0</v>
      </c>
      <c r="EC188">
        <f>_xlfn.XLOOKUP(B188,'[3]may-2025'!$A:$A,'[3]may-2025'!$J:$J,0,0)</f>
        <v>0</v>
      </c>
      <c r="ED188">
        <f>_xlfn.XLOOKUP(B188,'[4]june-2025'!$A:$A,'[4]june-2025'!$J:$J,0,0)</f>
        <v>0</v>
      </c>
      <c r="EE188">
        <f>_xlfn.XLOOKUP(B188,'[5]july-2025'!$A:$A,'[5]july-2025'!$J:$J,0,0)</f>
        <v>0</v>
      </c>
      <c r="EF188">
        <f>_xlfn.XLOOKUP(B188,'[6]august-2025'!$A:$A,'[6]august-2025'!$J:$J,0,0)</f>
        <v>0</v>
      </c>
      <c r="EG188">
        <f>_xlfn.XLOOKUP(B188,'[7]september-2025'!$A:$A,'[7]september-2025'!$J:$J,0,0)</f>
        <v>0</v>
      </c>
      <c r="EH188">
        <f>_xlfn.XLOOKUP(B188,'[8]october-2025'!$A:$A,'[8]october-2025'!$J:$J,0,0)</f>
        <v>0</v>
      </c>
      <c r="EI188">
        <f>_xlfn.XLOOKUP(C188,'[9]november-2025'!$A:$A,'[9]november-2025'!$J:$J,0,0)</f>
        <v>0</v>
      </c>
      <c r="EJ188">
        <f>_xlfn.XLOOKUP(B188,'[10]december-2025'!$A:$A,'[10]december-2025'!$J:$J,0,0)</f>
        <v>0</v>
      </c>
      <c r="EK188">
        <f>_xlfn.XLOOKUP(B188,'[11]january-2026'!$A:$A,'[11]january-2026'!$J:$J,0,0)</f>
        <v>0</v>
      </c>
      <c r="EL188">
        <f>_xlfn.XLOOKUP(B188,'[12]february-2026'!$A:$A,'[12]february-2026'!$J:$J,0,0)</f>
        <v>0</v>
      </c>
      <c r="EM188">
        <f t="shared" si="361"/>
        <v>0</v>
      </c>
      <c r="EN188">
        <f>DV188+DL188+DB188+CR188+CH188+BX188+BN188+BD188+AS188+AI188+Y188+O188+H188+I188</f>
        <v>538460</v>
      </c>
      <c r="EO188">
        <f>DY188+DO188+DE188+CU188+CK188+CA188+BQ188+BG188+AV188+AL188+AB188+R188</f>
        <v>2400</v>
      </c>
      <c r="EP188">
        <f t="shared" si="409"/>
        <v>50000</v>
      </c>
      <c r="EQ188">
        <v>0</v>
      </c>
      <c r="ER188">
        <f t="shared" si="362"/>
        <v>486060</v>
      </c>
      <c r="ES188">
        <f>DW188+DM188+DC188+CS188+CI188+BY188+BO188+BE188+AT188+AJ188+Z188+P188</f>
        <v>30000</v>
      </c>
      <c r="ET188">
        <f>DX188+DN188+DD188+CT188+CJ188+BZ188+BP188+BF188+AU188+AK188+AA188+Q188</f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410"/>
        <v>30000</v>
      </c>
      <c r="FF188">
        <f t="shared" si="411"/>
        <v>30000</v>
      </c>
      <c r="FG188">
        <f t="shared" si="412"/>
        <v>456060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>SUM(FH188:FN188)+(IF(F188="YES",50000,0))</f>
        <v>0</v>
      </c>
      <c r="FP188">
        <f t="shared" si="413"/>
        <v>456060</v>
      </c>
      <c r="FQ188">
        <f t="shared" si="414"/>
        <v>10303</v>
      </c>
      <c r="FR188">
        <f t="shared" si="415"/>
        <v>0</v>
      </c>
      <c r="FS188">
        <f t="shared" si="416"/>
        <v>10303</v>
      </c>
      <c r="FT188">
        <f t="shared" si="417"/>
        <v>0</v>
      </c>
      <c r="FU188">
        <f t="shared" si="418"/>
        <v>0</v>
      </c>
      <c r="FV188">
        <f t="shared" si="419"/>
        <v>0</v>
      </c>
      <c r="FW188">
        <v>0</v>
      </c>
      <c r="FX188">
        <f t="shared" si="420"/>
        <v>0</v>
      </c>
      <c r="FY188" t="b">
        <f t="shared" si="421"/>
        <v>1</v>
      </c>
      <c r="FZ188">
        <f t="shared" ca="1" si="422"/>
        <v>682</v>
      </c>
      <c r="GA188">
        <f t="shared" ca="1" si="423"/>
        <v>539142</v>
      </c>
      <c r="GB188">
        <f t="shared" si="424"/>
        <v>75000</v>
      </c>
      <c r="GC188">
        <f t="shared" ca="1" si="425"/>
        <v>464142</v>
      </c>
      <c r="GD188">
        <f t="shared" ca="1" si="426"/>
        <v>0</v>
      </c>
      <c r="GE188">
        <f t="shared" ca="1" si="427"/>
        <v>0</v>
      </c>
      <c r="GF188">
        <f t="shared" ca="1" si="428"/>
        <v>0</v>
      </c>
      <c r="GG188">
        <f t="shared" ca="1" si="429"/>
        <v>0</v>
      </c>
      <c r="GH188">
        <f t="shared" ca="1" si="430"/>
        <v>0</v>
      </c>
      <c r="GI188">
        <f t="shared" ca="1" si="431"/>
        <v>0</v>
      </c>
      <c r="GJ188">
        <f ca="1">IF(GC188&gt;1200000,GC188-1200000-IF(F188="YES",50000,0)-GH188,0)</f>
        <v>0</v>
      </c>
      <c r="GK188">
        <f t="shared" ca="1" si="432"/>
        <v>0</v>
      </c>
      <c r="GL188">
        <f t="shared" ca="1" si="433"/>
        <v>0</v>
      </c>
      <c r="GM188">
        <f t="shared" ca="1" si="434"/>
        <v>0</v>
      </c>
      <c r="GN188">
        <f t="shared" ca="1" si="435"/>
        <v>64142</v>
      </c>
      <c r="GO188">
        <f t="shared" ca="1" si="436"/>
        <v>3207.1000000000004</v>
      </c>
      <c r="GP188">
        <f t="shared" ca="1" si="437"/>
        <v>3207</v>
      </c>
      <c r="GQ188">
        <f t="shared" ca="1" si="438"/>
        <v>0</v>
      </c>
      <c r="GR188">
        <f t="shared" ca="1" si="439"/>
        <v>0</v>
      </c>
      <c r="GS188">
        <f t="shared" ca="1" si="440"/>
        <v>3207</v>
      </c>
      <c r="GT188">
        <f t="shared" ca="1" si="441"/>
        <v>0</v>
      </c>
      <c r="GU188" t="b">
        <f t="shared" ca="1" si="442"/>
        <v>0</v>
      </c>
      <c r="GV188">
        <f t="shared" ca="1" si="443"/>
        <v>0</v>
      </c>
      <c r="GW188">
        <f t="shared" ca="1" si="444"/>
        <v>3207</v>
      </c>
      <c r="GX188">
        <f t="shared" ca="1" si="445"/>
        <v>0</v>
      </c>
      <c r="GY188">
        <f t="shared" ca="1" si="446"/>
        <v>0</v>
      </c>
      <c r="GZ188">
        <f t="shared" ca="1" si="447"/>
        <v>0</v>
      </c>
    </row>
    <row r="189" spans="1:208" x14ac:dyDescent="0.25">
      <c r="A189">
        <f>_xlfn.AGGREGATE(3,5,$B$2:B189)</f>
        <v>188</v>
      </c>
      <c r="B189" t="s">
        <v>484</v>
      </c>
      <c r="C189" t="s">
        <v>485</v>
      </c>
      <c r="D189" t="s">
        <v>798</v>
      </c>
      <c r="E189" t="s">
        <v>831</v>
      </c>
      <c r="F189" t="s">
        <v>957</v>
      </c>
      <c r="G189" t="s">
        <v>881</v>
      </c>
      <c r="H189">
        <f t="shared" si="450"/>
        <v>6800</v>
      </c>
      <c r="I189">
        <f>_xlfn.XLOOKUP(B189,'[1]march-2025'!$A:$A,'[1]march-2025'!$J:$J,0,0)</f>
        <v>0</v>
      </c>
      <c r="J189">
        <f>_xlfn.XLOOKUP(B189,'[1]march-2025'!$A:$A,'[1]march-2025'!$C:$C,0,0)</f>
        <v>28900</v>
      </c>
      <c r="K189">
        <f t="shared" si="364"/>
        <v>4046.0000000000005</v>
      </c>
      <c r="L189">
        <f t="shared" si="365"/>
        <v>3468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>IF(J189&gt;0,SUM(J189:N189),0)</f>
        <v>36914</v>
      </c>
      <c r="P189">
        <f>_xlfn.XLOOKUP(B189,'[1]march-2025'!$A:$A,'[1]march-2025'!$H:$H,0,0)</f>
        <v>2000</v>
      </c>
      <c r="Q189">
        <f>_xlfn.XLOOKUP(B189,'[1]march-2025'!$A:$A,'[1]march-2025'!$I:$I,0,0)</f>
        <v>0</v>
      </c>
      <c r="R189">
        <f t="shared" si="448"/>
        <v>150</v>
      </c>
      <c r="S189">
        <f t="shared" si="357"/>
        <v>34764</v>
      </c>
      <c r="T189">
        <f>_xlfn.XLOOKUP(B189,'[2]april-2025'!$A:$A,'[2]april-2025'!$C:$C,0,0)</f>
        <v>28900</v>
      </c>
      <c r="U189">
        <f t="shared" si="366"/>
        <v>5202</v>
      </c>
      <c r="V189">
        <f t="shared" si="367"/>
        <v>3468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358"/>
        <v>38070</v>
      </c>
      <c r="Z189">
        <f>_xlfn.XLOOKUP(B189,'[2]april-2025'!$A:$A,'[2]april-2025'!$H:$H,0,0)</f>
        <v>2000</v>
      </c>
      <c r="AA189">
        <f>_xlfn.XLOOKUP(B189,'[2]april-2025'!$A:$A,'[2]april-2025'!$I:$I,0,0)</f>
        <v>0</v>
      </c>
      <c r="AB189">
        <f t="shared" si="368"/>
        <v>150</v>
      </c>
      <c r="AC189">
        <f t="shared" si="369"/>
        <v>35920</v>
      </c>
      <c r="AD189">
        <f>_xlfn.XLOOKUP(B189,'[3]may-2025'!$A:$A,'[3]may-2025'!$C:$C,0,0)</f>
        <v>28900</v>
      </c>
      <c r="AE189">
        <f t="shared" si="370"/>
        <v>5202</v>
      </c>
      <c r="AF189">
        <f t="shared" si="371"/>
        <v>3468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359"/>
        <v>38070</v>
      </c>
      <c r="AJ189">
        <f>_xlfn.XLOOKUP(B189,'[3]may-2025'!$A:$A,'[3]may-2025'!$H:$H,0,0)</f>
        <v>2000</v>
      </c>
      <c r="AK189">
        <f>_xlfn.XLOOKUP(B189,'[3]may-2025'!$A:$A,'[3]may-2025'!$I:$I,0,0)</f>
        <v>0</v>
      </c>
      <c r="AL189">
        <f t="shared" si="372"/>
        <v>150</v>
      </c>
      <c r="AM189">
        <f t="shared" si="373"/>
        <v>35920</v>
      </c>
      <c r="AN189">
        <f>_xlfn.XLOOKUP(B189,'[4]june-2025'!$A:$A,'[4]june-2025'!$C:$C,0,0)</f>
        <v>28900</v>
      </c>
      <c r="AO189">
        <f t="shared" si="374"/>
        <v>5202</v>
      </c>
      <c r="AP189">
        <f t="shared" si="375"/>
        <v>3468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360"/>
        <v>38070</v>
      </c>
      <c r="AT189">
        <f>_xlfn.XLOOKUP(B189,'[4]june-2025'!$A:$A,'[4]june-2025'!$H:$H,0,0)</f>
        <v>2000</v>
      </c>
      <c r="AU189">
        <f>_xlfn.XLOOKUP(B189,'[4]june-2025'!$A:$A,'[4]june-2025'!$I:$I,0,0)</f>
        <v>0</v>
      </c>
      <c r="AV189">
        <f t="shared" si="376"/>
        <v>150</v>
      </c>
      <c r="AW189">
        <f t="shared" si="377"/>
        <v>35920</v>
      </c>
      <c r="AX189">
        <f>_xlfn.XLOOKUP(B189,'[5]july-2025'!$A:$A,'[5]july-2025'!$C:$C,0,0)</f>
        <v>29800</v>
      </c>
      <c r="AY189">
        <f t="shared" si="378"/>
        <v>5364</v>
      </c>
      <c r="AZ189">
        <v>0</v>
      </c>
      <c r="BA189">
        <f t="shared" si="379"/>
        <v>3576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>IF(AX189&gt;0,SUM(AX189:BC189),0)</f>
        <v>39240</v>
      </c>
      <c r="BE189">
        <f>_xlfn.XLOOKUP(B189,'[5]july-2025'!$A:$A,'[5]july-2025'!$H:$H,0,0)</f>
        <v>2000</v>
      </c>
      <c r="BF189">
        <f>_xlfn.XLOOKUP(B189,'[5]july-2025'!$A:$A,'[5]july-2025'!$I:$I,0,0)</f>
        <v>0</v>
      </c>
      <c r="BG189">
        <f t="shared" si="380"/>
        <v>150</v>
      </c>
      <c r="BH189">
        <f t="shared" si="381"/>
        <v>37090</v>
      </c>
      <c r="BI189">
        <f>_xlfn.XLOOKUP(B189,'[6]august-2025'!$A:$A,'[6]august-2025'!$C:$C,0,0)</f>
        <v>29800</v>
      </c>
      <c r="BJ189">
        <f t="shared" si="382"/>
        <v>5364</v>
      </c>
      <c r="BK189">
        <f t="shared" si="383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384"/>
        <v>39240</v>
      </c>
      <c r="BO189">
        <f>_xlfn.XLOOKUP(B189,'[6]august-2025'!$A:$A,'[6]august-2025'!$H:$H,0,0)</f>
        <v>2000</v>
      </c>
      <c r="BP189">
        <f>_xlfn.XLOOKUP(B189,'[6]august-2025'!$A:$A,'[6]august-2025'!$I:$I,0,0)</f>
        <v>0</v>
      </c>
      <c r="BQ189">
        <f>IF($F189="YES",0,IF(BN189&gt;40000,200,IF(BN189&gt;25000,150,IF(BN189&gt;15000,130,IF(BN189&gt;10000,110,0)))))</f>
        <v>150</v>
      </c>
      <c r="BR189">
        <f>BN189-BO189-BP189-BQ189</f>
        <v>37090</v>
      </c>
      <c r="BS189">
        <f>_xlfn.XLOOKUP(B189,'[7]september-2025'!$A:$A,'[7]september-2025'!$C:$C,0,0)</f>
        <v>29800</v>
      </c>
      <c r="BT189">
        <f t="shared" si="385"/>
        <v>5364</v>
      </c>
      <c r="BU189">
        <f t="shared" si="386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>IF(BS189&gt;0,SUM(BS189:BW189),0)</f>
        <v>39240</v>
      </c>
      <c r="BY189">
        <f>_xlfn.XLOOKUP(B189,'[7]september-2025'!$A:$A,'[7]september-2025'!$H:$H,0,0)</f>
        <v>2000</v>
      </c>
      <c r="BZ189">
        <f>_xlfn.XLOOKUP(B189,'[7]september-2025'!$A:$A,'[7]september-2025'!$I:$I,0,0)</f>
        <v>0</v>
      </c>
      <c r="CA189">
        <f t="shared" si="387"/>
        <v>150</v>
      </c>
      <c r="CB189">
        <f t="shared" si="388"/>
        <v>37090</v>
      </c>
      <c r="CC189">
        <f>_xlfn.XLOOKUP(B189,'[8]october-2025'!$A:$A,'[8]october-2025'!$C:$C,0,0)</f>
        <v>29800</v>
      </c>
      <c r="CD189">
        <f t="shared" si="389"/>
        <v>5364</v>
      </c>
      <c r="CE189">
        <f t="shared" si="390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>IF(CC189&gt;0,SUM(CC189:CG189),0)</f>
        <v>39240</v>
      </c>
      <c r="CI189">
        <f>_xlfn.XLOOKUP(B189,'[8]october-2025'!$A:$A,'[8]october-2025'!$H:$H,0,0)</f>
        <v>2000</v>
      </c>
      <c r="CJ189">
        <f>_xlfn.XLOOKUP(B189,'[8]october-2025'!$A:$A,'[8]october-2025'!$I:$I,0,0)</f>
        <v>0</v>
      </c>
      <c r="CK189">
        <f t="shared" si="391"/>
        <v>150</v>
      </c>
      <c r="CL189">
        <f t="shared" si="392"/>
        <v>37090</v>
      </c>
      <c r="CM189">
        <f>_xlfn.XLOOKUP(B189,'[9]november-2025'!$A:$A,'[9]november-2025'!$C:$C,0,0)</f>
        <v>29800</v>
      </c>
      <c r="CN189">
        <f t="shared" si="393"/>
        <v>5364</v>
      </c>
      <c r="CO189">
        <f t="shared" si="394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>IF(CM189&gt;0,SUM(CM189:CQ189),0)</f>
        <v>39240</v>
      </c>
      <c r="CS189">
        <f>_xlfn.XLOOKUP(B189,'[9]november-2025'!$A:$A,'[9]november-2025'!$H:$H,0,0)</f>
        <v>2000</v>
      </c>
      <c r="CT189">
        <f>_xlfn.XLOOKUP(B189,'[9]november-2025'!$A:$A,'[9]november-2025'!$I:$I,0,0)</f>
        <v>0</v>
      </c>
      <c r="CU189">
        <f t="shared" si="395"/>
        <v>150</v>
      </c>
      <c r="CV189">
        <f t="shared" si="396"/>
        <v>37090</v>
      </c>
      <c r="CW189">
        <f>_xlfn.XLOOKUP(B189,'[10]december-2025'!$A:$A,'[10]december-2025'!$C:$C,0,0)</f>
        <v>29800</v>
      </c>
      <c r="CX189">
        <f t="shared" si="397"/>
        <v>5364</v>
      </c>
      <c r="CY189">
        <f t="shared" si="398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>IF(CW189&gt;0,SUM(CW189:DA189),0)</f>
        <v>39240</v>
      </c>
      <c r="DC189">
        <f>_xlfn.XLOOKUP(B189,'[10]december-2025'!$A:$A,'[10]december-2025'!$H:$H,0,0)</f>
        <v>2000</v>
      </c>
      <c r="DD189">
        <f>_xlfn.XLOOKUP(B189,'[10]december-2025'!$A:$A,'[10]december-2025'!$I:$I,0,0)</f>
        <v>0</v>
      </c>
      <c r="DE189">
        <f t="shared" si="399"/>
        <v>150</v>
      </c>
      <c r="DF189">
        <f t="shared" si="400"/>
        <v>37090</v>
      </c>
      <c r="DG189">
        <f>_xlfn.XLOOKUP(B189,'[11]january-2026'!$A:$A,'[11]january-2026'!$C:$C,0,0)</f>
        <v>29800</v>
      </c>
      <c r="DH189">
        <f t="shared" si="401"/>
        <v>5364</v>
      </c>
      <c r="DI189">
        <f t="shared" si="402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>IF(DG189&gt;0,SUM(DG189:DK189),0)</f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03"/>
        <v>150</v>
      </c>
      <c r="DP189">
        <f t="shared" si="404"/>
        <v>37090</v>
      </c>
      <c r="DQ189">
        <f>_xlfn.XLOOKUP(B189,'[12]february-2026'!$A:$A,'[12]february-2026'!$C:$C,0,0)</f>
        <v>29800</v>
      </c>
      <c r="DR189">
        <f t="shared" si="405"/>
        <v>5364</v>
      </c>
      <c r="DS189">
        <f t="shared" si="406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>IF(DQ189&gt;0,SUM(DQ189:DU189),0)</f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07"/>
        <v>150</v>
      </c>
      <c r="DZ189">
        <f t="shared" si="408"/>
        <v>37090</v>
      </c>
      <c r="EA189">
        <f>_xlfn.XLOOKUP(B189,'[1]march-2025'!$A:$A,'[1]march-2025'!$J:$J,0,0)</f>
        <v>0</v>
      </c>
      <c r="EB189">
        <f>_xlfn.XLOOKUP(B189,'[2]april-2025'!$A:$A,'[2]april-2025'!$J:$J,0,0)</f>
        <v>0</v>
      </c>
      <c r="EC189">
        <f>_xlfn.XLOOKUP(B189,'[3]may-2025'!$A:$A,'[3]may-2025'!$J:$J,0,0)</f>
        <v>61490</v>
      </c>
      <c r="ED189">
        <f>_xlfn.XLOOKUP(B189,'[4]june-2025'!$A:$A,'[4]june-2025'!$J:$J,0,0)</f>
        <v>0</v>
      </c>
      <c r="EE189">
        <f>_xlfn.XLOOKUP(B189,'[5]july-2025'!$A:$A,'[5]july-2025'!$J:$J,0,0)</f>
        <v>0</v>
      </c>
      <c r="EF189">
        <f>_xlfn.XLOOKUP(B189,'[6]august-2025'!$A:$A,'[6]august-2025'!$J:$J,0,0)</f>
        <v>0</v>
      </c>
      <c r="EG189">
        <f>_xlfn.XLOOKUP(B189,'[7]september-2025'!$A:$A,'[7]september-2025'!$J:$J,0,0)</f>
        <v>0</v>
      </c>
      <c r="EH189">
        <f>_xlfn.XLOOKUP(B189,'[8]october-2025'!$A:$A,'[8]october-2025'!$J:$J,0,0)</f>
        <v>0</v>
      </c>
      <c r="EI189">
        <f>_xlfn.XLOOKUP(C189,'[9]november-2025'!$A:$A,'[9]november-2025'!$J:$J,0,0)</f>
        <v>0</v>
      </c>
      <c r="EJ189">
        <f>_xlfn.XLOOKUP(B189,'[10]december-2025'!$A:$A,'[10]december-2025'!$J:$J,0,0)</f>
        <v>0</v>
      </c>
      <c r="EK189">
        <f>_xlfn.XLOOKUP(B189,'[11]january-2026'!$A:$A,'[11]january-2026'!$J:$J,0,0)</f>
        <v>0</v>
      </c>
      <c r="EL189">
        <f>_xlfn.XLOOKUP(B189,'[12]february-2026'!$A:$A,'[12]february-2026'!$J:$J,0,0)</f>
        <v>0</v>
      </c>
      <c r="EM189">
        <f t="shared" si="361"/>
        <v>61490</v>
      </c>
      <c r="EN189">
        <f>DV189+DL189+DB189+CR189+CH189+BX189+BN189+BD189+AS189+AI189+Y189+O189+H189+I189</f>
        <v>471844</v>
      </c>
      <c r="EO189">
        <f>DY189+DO189+DE189+CU189+CK189+CA189+BQ189+BG189+AV189+AL189+AB189+R189</f>
        <v>1800</v>
      </c>
      <c r="EP189">
        <f t="shared" si="409"/>
        <v>50000</v>
      </c>
      <c r="EQ189">
        <v>0</v>
      </c>
      <c r="ER189">
        <f t="shared" si="362"/>
        <v>481534</v>
      </c>
      <c r="ES189">
        <f>DW189+DM189+DC189+CS189+CI189+BY189+BO189+BE189+AT189+AJ189+Z189+P189</f>
        <v>24000</v>
      </c>
      <c r="ET189">
        <f>DX189+DN189+DD189+CT189+CJ189+BZ189+BP189+BF189+AU189+AK189+AA189+Q189</f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410"/>
        <v>24000</v>
      </c>
      <c r="FF189">
        <f t="shared" si="411"/>
        <v>24000</v>
      </c>
      <c r="FG189">
        <f t="shared" si="412"/>
        <v>457534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>SUM(FH189:FN189)+(IF(F189="YES",50000,0))</f>
        <v>0</v>
      </c>
      <c r="FP189">
        <f t="shared" si="413"/>
        <v>457534</v>
      </c>
      <c r="FQ189">
        <f t="shared" si="414"/>
        <v>10377</v>
      </c>
      <c r="FR189">
        <f t="shared" si="415"/>
        <v>0</v>
      </c>
      <c r="FS189">
        <f t="shared" si="416"/>
        <v>10377</v>
      </c>
      <c r="FT189">
        <f t="shared" si="417"/>
        <v>0</v>
      </c>
      <c r="FU189">
        <f t="shared" si="418"/>
        <v>0</v>
      </c>
      <c r="FV189">
        <f t="shared" si="419"/>
        <v>0</v>
      </c>
      <c r="FW189">
        <v>0</v>
      </c>
      <c r="FX189">
        <f t="shared" si="420"/>
        <v>0</v>
      </c>
      <c r="FY189" t="b">
        <f t="shared" si="421"/>
        <v>0</v>
      </c>
      <c r="FZ189">
        <f t="shared" ca="1" si="422"/>
        <v>2600</v>
      </c>
      <c r="GA189">
        <f t="shared" ca="1" si="423"/>
        <v>474444</v>
      </c>
      <c r="GB189">
        <f t="shared" si="424"/>
        <v>75000</v>
      </c>
      <c r="GC189">
        <f t="shared" ca="1" si="425"/>
        <v>399444</v>
      </c>
      <c r="GD189">
        <f t="shared" ca="1" si="426"/>
        <v>0</v>
      </c>
      <c r="GE189">
        <f t="shared" ca="1" si="427"/>
        <v>0</v>
      </c>
      <c r="GF189">
        <f t="shared" ca="1" si="428"/>
        <v>0</v>
      </c>
      <c r="GG189">
        <f t="shared" ca="1" si="429"/>
        <v>0</v>
      </c>
      <c r="GH189">
        <f t="shared" ca="1" si="430"/>
        <v>0</v>
      </c>
      <c r="GI189">
        <f t="shared" ca="1" si="431"/>
        <v>0</v>
      </c>
      <c r="GJ189">
        <f ca="1">IF(GC189&gt;1200000,GC189-1200000-IF(F189="YES",50000,0)-GH189,0)</f>
        <v>0</v>
      </c>
      <c r="GK189">
        <f t="shared" ca="1" si="432"/>
        <v>0</v>
      </c>
      <c r="GL189">
        <f t="shared" ca="1" si="433"/>
        <v>0</v>
      </c>
      <c r="GM189">
        <f t="shared" ca="1" si="434"/>
        <v>0</v>
      </c>
      <c r="GN189">
        <f t="shared" ca="1" si="435"/>
        <v>0</v>
      </c>
      <c r="GO189">
        <f t="shared" ca="1" si="436"/>
        <v>0</v>
      </c>
      <c r="GP189">
        <f t="shared" ca="1" si="437"/>
        <v>0</v>
      </c>
      <c r="GQ189">
        <f t="shared" ca="1" si="438"/>
        <v>0</v>
      </c>
      <c r="GR189">
        <f t="shared" ca="1" si="439"/>
        <v>0</v>
      </c>
      <c r="GS189">
        <f t="shared" ca="1" si="440"/>
        <v>0</v>
      </c>
      <c r="GT189">
        <f t="shared" ca="1" si="441"/>
        <v>0</v>
      </c>
      <c r="GU189" t="b">
        <f t="shared" ca="1" si="442"/>
        <v>0</v>
      </c>
      <c r="GV189">
        <f t="shared" ca="1" si="443"/>
        <v>0</v>
      </c>
      <c r="GW189">
        <f t="shared" ca="1" si="444"/>
        <v>0</v>
      </c>
      <c r="GX189">
        <f t="shared" ca="1" si="445"/>
        <v>0</v>
      </c>
      <c r="GY189">
        <f t="shared" ca="1" si="446"/>
        <v>0</v>
      </c>
      <c r="GZ189">
        <f t="shared" ca="1" si="447"/>
        <v>0</v>
      </c>
    </row>
    <row r="190" spans="1:208" x14ac:dyDescent="0.25">
      <c r="A190">
        <f>_xlfn.AGGREGATE(3,5,$B$2:B190)</f>
        <v>189</v>
      </c>
      <c r="B190" t="s">
        <v>486</v>
      </c>
      <c r="C190" t="s">
        <v>487</v>
      </c>
      <c r="D190" t="s">
        <v>798</v>
      </c>
      <c r="E190" t="s">
        <v>831</v>
      </c>
      <c r="F190" t="s">
        <v>957</v>
      </c>
      <c r="G190" t="s">
        <v>931</v>
      </c>
      <c r="H190">
        <f t="shared" si="450"/>
        <v>6800</v>
      </c>
      <c r="I190">
        <f>_xlfn.XLOOKUP(B190,'[1]march-2025'!$A:$A,'[1]march-2025'!$J:$J,0,0)</f>
        <v>0</v>
      </c>
      <c r="J190">
        <f>_xlfn.XLOOKUP(B190,'[1]march-2025'!$A:$A,'[1]march-2025'!$C:$C,0,0)</f>
        <v>24700</v>
      </c>
      <c r="K190">
        <f t="shared" si="364"/>
        <v>3458.0000000000005</v>
      </c>
      <c r="L190">
        <f t="shared" si="365"/>
        <v>2964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>IF(J190&gt;0,SUM(J190:N190),0)</f>
        <v>31622</v>
      </c>
      <c r="P190">
        <f>_xlfn.XLOOKUP(B190,'[1]march-2025'!$A:$A,'[1]march-2025'!$H:$H,0,0)</f>
        <v>0</v>
      </c>
      <c r="Q190">
        <f>_xlfn.XLOOKUP(B190,'[1]march-2025'!$A:$A,'[1]march-2025'!$I:$I,0,0)</f>
        <v>0</v>
      </c>
      <c r="R190">
        <f t="shared" si="448"/>
        <v>150</v>
      </c>
      <c r="S190">
        <f t="shared" si="357"/>
        <v>31472</v>
      </c>
      <c r="T190">
        <f>_xlfn.XLOOKUP(B190,'[2]april-2025'!$A:$A,'[2]april-2025'!$C:$C,0,0)</f>
        <v>24700</v>
      </c>
      <c r="U190">
        <f t="shared" si="366"/>
        <v>4446</v>
      </c>
      <c r="V190">
        <f t="shared" si="367"/>
        <v>2964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358"/>
        <v>32610</v>
      </c>
      <c r="Z190">
        <f>_xlfn.XLOOKUP(B190,'[2]april-2025'!$A:$A,'[2]april-2025'!$H:$H,0,0)</f>
        <v>0</v>
      </c>
      <c r="AA190">
        <f>_xlfn.XLOOKUP(B190,'[2]april-2025'!$A:$A,'[2]april-2025'!$I:$I,0,0)</f>
        <v>0</v>
      </c>
      <c r="AB190">
        <f t="shared" si="368"/>
        <v>150</v>
      </c>
      <c r="AC190">
        <f t="shared" si="369"/>
        <v>32460</v>
      </c>
      <c r="AD190">
        <f>_xlfn.XLOOKUP(B190,'[3]may-2025'!$A:$A,'[3]may-2025'!$C:$C,0,0)</f>
        <v>24700</v>
      </c>
      <c r="AE190">
        <f t="shared" si="370"/>
        <v>4446</v>
      </c>
      <c r="AF190">
        <f t="shared" si="371"/>
        <v>2964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359"/>
        <v>32610</v>
      </c>
      <c r="AJ190">
        <f>_xlfn.XLOOKUP(B190,'[3]may-2025'!$A:$A,'[3]may-2025'!$H:$H,0,0)</f>
        <v>0</v>
      </c>
      <c r="AK190">
        <f>_xlfn.XLOOKUP(B190,'[3]may-2025'!$A:$A,'[3]may-2025'!$I:$I,0,0)</f>
        <v>0</v>
      </c>
      <c r="AL190">
        <f t="shared" si="372"/>
        <v>150</v>
      </c>
      <c r="AM190">
        <f t="shared" si="373"/>
        <v>32460</v>
      </c>
      <c r="AN190">
        <f>_xlfn.XLOOKUP(B190,'[4]june-2025'!$A:$A,'[4]june-2025'!$C:$C,0,0)</f>
        <v>24700</v>
      </c>
      <c r="AO190">
        <f t="shared" si="374"/>
        <v>4446</v>
      </c>
      <c r="AP190">
        <f t="shared" si="375"/>
        <v>2964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360"/>
        <v>32610</v>
      </c>
      <c r="AT190">
        <f>_xlfn.XLOOKUP(B190,'[4]june-2025'!$A:$A,'[4]june-2025'!$H:$H,0,0)</f>
        <v>0</v>
      </c>
      <c r="AU190">
        <f>_xlfn.XLOOKUP(B190,'[4]june-2025'!$A:$A,'[4]june-2025'!$I:$I,0,0)</f>
        <v>0</v>
      </c>
      <c r="AV190">
        <f t="shared" si="376"/>
        <v>150</v>
      </c>
      <c r="AW190">
        <f t="shared" si="377"/>
        <v>32460</v>
      </c>
      <c r="AX190">
        <f>_xlfn.XLOOKUP(B190,'[5]july-2025'!$A:$A,'[5]july-2025'!$C:$C,0,0)</f>
        <v>25400</v>
      </c>
      <c r="AY190">
        <f t="shared" si="378"/>
        <v>4572</v>
      </c>
      <c r="AZ190">
        <v>0</v>
      </c>
      <c r="BA190">
        <f t="shared" si="379"/>
        <v>3048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>IF(AX190&gt;0,SUM(AX190:BC190),0)</f>
        <v>33520</v>
      </c>
      <c r="BE190">
        <f>_xlfn.XLOOKUP(B190,'[5]july-2025'!$A:$A,'[5]july-2025'!$H:$H,0,0)</f>
        <v>0</v>
      </c>
      <c r="BF190">
        <f>_xlfn.XLOOKUP(B190,'[5]july-2025'!$A:$A,'[5]july-2025'!$I:$I,0,0)</f>
        <v>0</v>
      </c>
      <c r="BG190">
        <f t="shared" si="380"/>
        <v>150</v>
      </c>
      <c r="BH190">
        <f t="shared" si="381"/>
        <v>33370</v>
      </c>
      <c r="BI190">
        <f>_xlfn.XLOOKUP(B190,'[6]august-2025'!$A:$A,'[6]august-2025'!$C:$C,0,0)</f>
        <v>29800</v>
      </c>
      <c r="BJ190">
        <f t="shared" si="382"/>
        <v>5364</v>
      </c>
      <c r="BK190">
        <f t="shared" si="383"/>
        <v>3576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384"/>
        <v>39240</v>
      </c>
      <c r="BO190">
        <f>_xlfn.XLOOKUP(B190,'[6]august-2025'!$A:$A,'[6]august-2025'!$H:$H,0,0)</f>
        <v>0</v>
      </c>
      <c r="BP190">
        <f>_xlfn.XLOOKUP(B190,'[6]august-2025'!$A:$A,'[6]august-2025'!$I:$I,0,0)</f>
        <v>0</v>
      </c>
      <c r="BQ190">
        <f>IF($F190="YES",0,IF(BN190&gt;40000,200,IF(BN190&gt;25000,150,IF(BN190&gt;15000,130,IF(BN190&gt;10000,110,0)))))</f>
        <v>150</v>
      </c>
      <c r="BR190">
        <f>BN190-BO190-BP190-BQ190</f>
        <v>39090</v>
      </c>
      <c r="BS190">
        <f>_xlfn.XLOOKUP(B190,'[7]september-2025'!$A:$A,'[7]september-2025'!$C:$C,0,0)</f>
        <v>29800</v>
      </c>
      <c r="BT190">
        <f t="shared" si="385"/>
        <v>5364</v>
      </c>
      <c r="BU190">
        <f t="shared" si="386"/>
        <v>3576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>IF(BS190&gt;0,SUM(BS190:BW190),0)</f>
        <v>39240</v>
      </c>
      <c r="BY190">
        <f>_xlfn.XLOOKUP(B190,'[7]september-2025'!$A:$A,'[7]september-2025'!$H:$H,0,0)</f>
        <v>0</v>
      </c>
      <c r="BZ190">
        <f>_xlfn.XLOOKUP(B190,'[7]september-2025'!$A:$A,'[7]september-2025'!$I:$I,0,0)</f>
        <v>0</v>
      </c>
      <c r="CA190">
        <f t="shared" si="387"/>
        <v>150</v>
      </c>
      <c r="CB190">
        <f t="shared" si="388"/>
        <v>39090</v>
      </c>
      <c r="CC190">
        <f>_xlfn.XLOOKUP(B190,'[8]october-2025'!$A:$A,'[8]october-2025'!$C:$C,0,0)</f>
        <v>29800</v>
      </c>
      <c r="CD190">
        <f t="shared" si="389"/>
        <v>5364</v>
      </c>
      <c r="CE190">
        <f t="shared" si="390"/>
        <v>3576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>IF(CC190&gt;0,SUM(CC190:CG190),0)</f>
        <v>39240</v>
      </c>
      <c r="CI190">
        <f>_xlfn.XLOOKUP(B190,'[8]october-2025'!$A:$A,'[8]october-2025'!$H:$H,0,0)</f>
        <v>0</v>
      </c>
      <c r="CJ190">
        <f>_xlfn.XLOOKUP(B190,'[8]october-2025'!$A:$A,'[8]october-2025'!$I:$I,0,0)</f>
        <v>0</v>
      </c>
      <c r="CK190">
        <f t="shared" si="391"/>
        <v>150</v>
      </c>
      <c r="CL190">
        <f t="shared" si="392"/>
        <v>39090</v>
      </c>
      <c r="CM190">
        <f>_xlfn.XLOOKUP(B190,'[9]november-2025'!$A:$A,'[9]november-2025'!$C:$C,0,0)</f>
        <v>29800</v>
      </c>
      <c r="CN190">
        <f t="shared" si="393"/>
        <v>5364</v>
      </c>
      <c r="CO190">
        <f t="shared" si="394"/>
        <v>3576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>IF(CM190&gt;0,SUM(CM190:CQ190),0)</f>
        <v>39240</v>
      </c>
      <c r="CS190">
        <f>_xlfn.XLOOKUP(B190,'[9]november-2025'!$A:$A,'[9]november-2025'!$H:$H,0,0)</f>
        <v>0</v>
      </c>
      <c r="CT190">
        <f>_xlfn.XLOOKUP(B190,'[9]november-2025'!$A:$A,'[9]november-2025'!$I:$I,0,0)</f>
        <v>0</v>
      </c>
      <c r="CU190">
        <f t="shared" si="395"/>
        <v>150</v>
      </c>
      <c r="CV190">
        <f t="shared" si="396"/>
        <v>39090</v>
      </c>
      <c r="CW190">
        <f>_xlfn.XLOOKUP(B190,'[10]december-2025'!$A:$A,'[10]december-2025'!$C:$C,0,0)</f>
        <v>29800</v>
      </c>
      <c r="CX190">
        <f t="shared" si="397"/>
        <v>5364</v>
      </c>
      <c r="CY190">
        <f t="shared" si="398"/>
        <v>3576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>IF(CW190&gt;0,SUM(CW190:DA190),0)</f>
        <v>39240</v>
      </c>
      <c r="DC190">
        <f>_xlfn.XLOOKUP(B190,'[10]december-2025'!$A:$A,'[10]december-2025'!$H:$H,0,0)</f>
        <v>0</v>
      </c>
      <c r="DD190">
        <f>_xlfn.XLOOKUP(B190,'[10]december-2025'!$A:$A,'[10]december-2025'!$I:$I,0,0)</f>
        <v>0</v>
      </c>
      <c r="DE190">
        <f t="shared" si="399"/>
        <v>150</v>
      </c>
      <c r="DF190">
        <f t="shared" si="400"/>
        <v>39090</v>
      </c>
      <c r="DG190">
        <f>_xlfn.XLOOKUP(B190,'[11]january-2026'!$A:$A,'[11]january-2026'!$C:$C,0,0)</f>
        <v>29800</v>
      </c>
      <c r="DH190">
        <f t="shared" si="401"/>
        <v>5364</v>
      </c>
      <c r="DI190">
        <f t="shared" si="402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>IF(DG190&gt;0,SUM(DG190:DK190),0)</f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03"/>
        <v>150</v>
      </c>
      <c r="DP190">
        <f t="shared" si="404"/>
        <v>39090</v>
      </c>
      <c r="DQ190">
        <f>_xlfn.XLOOKUP(B190,'[12]february-2026'!$A:$A,'[12]february-2026'!$C:$C,0,0)</f>
        <v>29800</v>
      </c>
      <c r="DR190">
        <f t="shared" si="405"/>
        <v>5364</v>
      </c>
      <c r="DS190">
        <f t="shared" si="406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>IF(DQ190&gt;0,SUM(DQ190:DU190),0)</f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07"/>
        <v>150</v>
      </c>
      <c r="DZ190">
        <f t="shared" si="408"/>
        <v>39090</v>
      </c>
      <c r="EA190">
        <f>_xlfn.XLOOKUP(B190,'[1]march-2025'!$A:$A,'[1]march-2025'!$J:$J,0,0)</f>
        <v>0</v>
      </c>
      <c r="EB190">
        <f>_xlfn.XLOOKUP(B190,'[2]april-2025'!$A:$A,'[2]april-2025'!$J:$J,0,0)</f>
        <v>0</v>
      </c>
      <c r="EC190">
        <f>_xlfn.XLOOKUP(B190,'[3]may-2025'!$A:$A,'[3]may-2025'!$J:$J,0,0)</f>
        <v>0</v>
      </c>
      <c r="ED190">
        <f>_xlfn.XLOOKUP(B190,'[4]june-2025'!$A:$A,'[4]june-2025'!$J:$J,0,0)</f>
        <v>0</v>
      </c>
      <c r="EE190">
        <f>_xlfn.XLOOKUP(B190,'[5]july-2025'!$A:$A,'[5]july-2025'!$J:$J,0,0)</f>
        <v>0</v>
      </c>
      <c r="EF190">
        <f>_xlfn.XLOOKUP(B190,'[6]august-2025'!$A:$A,'[6]august-2025'!$J:$J,0,0)</f>
        <v>0</v>
      </c>
      <c r="EG190">
        <f>_xlfn.XLOOKUP(B190,'[7]september-2025'!$A:$A,'[7]september-2025'!$J:$J,0,0)</f>
        <v>0</v>
      </c>
      <c r="EH190">
        <f>_xlfn.XLOOKUP(B190,'[8]october-2025'!$A:$A,'[8]october-2025'!$J:$J,0,0)</f>
        <v>0</v>
      </c>
      <c r="EI190">
        <f>_xlfn.XLOOKUP(C190,'[9]november-2025'!$A:$A,'[9]november-2025'!$J:$J,0,0)</f>
        <v>0</v>
      </c>
      <c r="EJ190">
        <f>_xlfn.XLOOKUP(B190,'[10]december-2025'!$A:$A,'[10]december-2025'!$J:$J,0,0)</f>
        <v>0</v>
      </c>
      <c r="EK190">
        <f>_xlfn.XLOOKUP(B190,'[11]january-2026'!$A:$A,'[11]january-2026'!$J:$J,0,0)</f>
        <v>0</v>
      </c>
      <c r="EL190">
        <f>_xlfn.XLOOKUP(B190,'[12]february-2026'!$A:$A,'[12]february-2026'!$J:$J,0,0)</f>
        <v>0</v>
      </c>
      <c r="EM190">
        <f t="shared" si="361"/>
        <v>0</v>
      </c>
      <c r="EN190">
        <f>DV190+DL190+DB190+CR190+CH190+BX190+BN190+BD190+AS190+AI190+Y190+O190+H190+I190</f>
        <v>444452</v>
      </c>
      <c r="EO190">
        <f>DY190+DO190+DE190+CU190+CK190+CA190+BQ190+BG190+AV190+AL190+AB190+R190</f>
        <v>1800</v>
      </c>
      <c r="EP190">
        <f t="shared" si="409"/>
        <v>50000</v>
      </c>
      <c r="EQ190">
        <v>0</v>
      </c>
      <c r="ER190">
        <f t="shared" si="362"/>
        <v>392652</v>
      </c>
      <c r="ES190">
        <f>DW190+DM190+DC190+CS190+CI190+BY190+BO190+BE190+AT190+AJ190+Z190+P190</f>
        <v>0</v>
      </c>
      <c r="ET190">
        <f>DX190+DN190+DD190+CT190+CJ190+BZ190+BP190+BF190+AU190+AK190+AA190+Q190</f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410"/>
        <v>0</v>
      </c>
      <c r="FF190">
        <f t="shared" si="411"/>
        <v>0</v>
      </c>
      <c r="FG190">
        <f t="shared" si="412"/>
        <v>392652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>SUM(FH190:FN190)+(IF(F190="YES",50000,0))</f>
        <v>0</v>
      </c>
      <c r="FP190">
        <f t="shared" si="413"/>
        <v>392652</v>
      </c>
      <c r="FQ190">
        <f t="shared" si="414"/>
        <v>7133</v>
      </c>
      <c r="FR190">
        <f t="shared" si="415"/>
        <v>0</v>
      </c>
      <c r="FS190">
        <f t="shared" si="416"/>
        <v>7133</v>
      </c>
      <c r="FT190">
        <f t="shared" si="417"/>
        <v>0</v>
      </c>
      <c r="FU190">
        <f t="shared" si="418"/>
        <v>0</v>
      </c>
      <c r="FV190">
        <f t="shared" si="419"/>
        <v>0</v>
      </c>
      <c r="FW190">
        <v>0</v>
      </c>
      <c r="FX190">
        <f t="shared" si="420"/>
        <v>0</v>
      </c>
      <c r="FY190" t="b">
        <f t="shared" si="421"/>
        <v>0</v>
      </c>
      <c r="FZ190">
        <f t="shared" ca="1" si="422"/>
        <v>2437</v>
      </c>
      <c r="GA190">
        <f t="shared" ca="1" si="423"/>
        <v>446889</v>
      </c>
      <c r="GB190">
        <f t="shared" si="424"/>
        <v>75000</v>
      </c>
      <c r="GC190">
        <f t="shared" ca="1" si="425"/>
        <v>371889</v>
      </c>
      <c r="GD190">
        <f t="shared" ca="1" si="426"/>
        <v>0</v>
      </c>
      <c r="GE190">
        <f t="shared" ca="1" si="427"/>
        <v>0</v>
      </c>
      <c r="GF190">
        <f t="shared" ca="1" si="428"/>
        <v>0</v>
      </c>
      <c r="GG190">
        <f t="shared" ca="1" si="429"/>
        <v>0</v>
      </c>
      <c r="GH190">
        <f t="shared" ca="1" si="430"/>
        <v>0</v>
      </c>
      <c r="GI190">
        <f t="shared" ca="1" si="431"/>
        <v>0</v>
      </c>
      <c r="GJ190">
        <f ca="1">IF(GC190&gt;1200000,GC190-1200000-IF(F190="YES",50000,0)-GH190,0)</f>
        <v>0</v>
      </c>
      <c r="GK190">
        <f t="shared" ca="1" si="432"/>
        <v>0</v>
      </c>
      <c r="GL190">
        <f t="shared" ca="1" si="433"/>
        <v>0</v>
      </c>
      <c r="GM190">
        <f t="shared" ca="1" si="434"/>
        <v>0</v>
      </c>
      <c r="GN190">
        <f t="shared" ca="1" si="435"/>
        <v>0</v>
      </c>
      <c r="GO190">
        <f t="shared" ca="1" si="436"/>
        <v>0</v>
      </c>
      <c r="GP190">
        <f t="shared" ca="1" si="437"/>
        <v>0</v>
      </c>
      <c r="GQ190">
        <f t="shared" ca="1" si="438"/>
        <v>0</v>
      </c>
      <c r="GR190">
        <f t="shared" ca="1" si="439"/>
        <v>0</v>
      </c>
      <c r="GS190">
        <f t="shared" ca="1" si="440"/>
        <v>0</v>
      </c>
      <c r="GT190">
        <f t="shared" ca="1" si="441"/>
        <v>0</v>
      </c>
      <c r="GU190" t="b">
        <f t="shared" ca="1" si="442"/>
        <v>0</v>
      </c>
      <c r="GV190">
        <f t="shared" ca="1" si="443"/>
        <v>0</v>
      </c>
      <c r="GW190">
        <f t="shared" ca="1" si="444"/>
        <v>0</v>
      </c>
      <c r="GX190">
        <f t="shared" ca="1" si="445"/>
        <v>0</v>
      </c>
      <c r="GY190">
        <f t="shared" ca="1" si="446"/>
        <v>0</v>
      </c>
      <c r="GZ190">
        <f t="shared" ca="1" si="447"/>
        <v>0</v>
      </c>
    </row>
    <row r="191" spans="1:208" x14ac:dyDescent="0.25">
      <c r="A191">
        <f>_xlfn.AGGREGATE(3,5,$B$2:B191)</f>
        <v>190</v>
      </c>
      <c r="B191" t="s">
        <v>488</v>
      </c>
      <c r="C191" t="s">
        <v>489</v>
      </c>
      <c r="D191" t="s">
        <v>799</v>
      </c>
      <c r="E191" t="s">
        <v>831</v>
      </c>
      <c r="F191" t="s">
        <v>957</v>
      </c>
      <c r="G191" t="s">
        <v>880</v>
      </c>
      <c r="H191">
        <f t="shared" si="450"/>
        <v>6800</v>
      </c>
      <c r="I191">
        <f>_xlfn.XLOOKUP(B191,'[1]march-2025'!$A:$A,'[1]march-2025'!$J:$J,0,0)</f>
        <v>0</v>
      </c>
      <c r="J191">
        <f>_xlfn.XLOOKUP(B191,'[1]march-2025'!$A:$A,'[1]march-2025'!$C:$C,0,0)</f>
        <v>47300</v>
      </c>
      <c r="K191">
        <f t="shared" si="364"/>
        <v>6622.0000000000009</v>
      </c>
      <c r="L191">
        <f t="shared" si="365"/>
        <v>5676</v>
      </c>
      <c r="M191">
        <f>_xlfn.XLOOKUP(B191,'[1]march-2025'!$A:$A,'[1]march-2025'!$D:$D,0,0)</f>
        <v>400</v>
      </c>
      <c r="N191">
        <f>_xlfn.XLOOKUP(B191,'[1]march-2025'!$A:$A,'[1]march-2025'!$G:$G,0,0)</f>
        <v>0</v>
      </c>
      <c r="O191">
        <f>IF(J191&gt;0,SUM(J191:N191),0)</f>
        <v>59998</v>
      </c>
      <c r="P191">
        <f>_xlfn.XLOOKUP(B191,'[1]march-2025'!$A:$A,'[1]march-2025'!$H:$H,0,0)</f>
        <v>4000</v>
      </c>
      <c r="Q191">
        <f>_xlfn.XLOOKUP(B191,'[1]march-2025'!$A:$A,'[1]march-2025'!$I:$I,0,0)</f>
        <v>0</v>
      </c>
      <c r="R191">
        <f t="shared" si="448"/>
        <v>200</v>
      </c>
      <c r="S191">
        <f t="shared" si="357"/>
        <v>55798</v>
      </c>
      <c r="T191">
        <f>_xlfn.XLOOKUP(B191,'[2]april-2025'!$A:$A,'[2]april-2025'!$C:$C,0,0)</f>
        <v>47300</v>
      </c>
      <c r="U191">
        <f t="shared" si="366"/>
        <v>8514</v>
      </c>
      <c r="V191">
        <f t="shared" si="367"/>
        <v>5676</v>
      </c>
      <c r="W191">
        <f>_xlfn.XLOOKUP(B191,'[2]april-2025'!$A:$A,'[2]april-2025'!$D:$D,0,0)</f>
        <v>400</v>
      </c>
      <c r="X191">
        <f>_xlfn.XLOOKUP(B191,'[2]april-2025'!$A:$A,'[2]april-2025'!$G:$G,0,0)</f>
        <v>0</v>
      </c>
      <c r="Y191">
        <f t="shared" si="358"/>
        <v>61890</v>
      </c>
      <c r="Z191">
        <f>_xlfn.XLOOKUP(B191,'[2]april-2025'!$A:$A,'[2]april-2025'!$H:$H,0,0)</f>
        <v>4000</v>
      </c>
      <c r="AA191">
        <f>_xlfn.XLOOKUP(B191,'[2]april-2025'!$A:$A,'[2]april-2025'!$I:$I,0,0)</f>
        <v>0</v>
      </c>
      <c r="AB191">
        <f t="shared" si="368"/>
        <v>200</v>
      </c>
      <c r="AC191">
        <f t="shared" si="369"/>
        <v>57690</v>
      </c>
      <c r="AD191">
        <f>_xlfn.XLOOKUP(B191,'[3]may-2025'!$A:$A,'[3]may-2025'!$C:$C,0,0)</f>
        <v>47300</v>
      </c>
      <c r="AE191">
        <f t="shared" si="370"/>
        <v>8514</v>
      </c>
      <c r="AF191">
        <f t="shared" si="371"/>
        <v>5676</v>
      </c>
      <c r="AG191">
        <f>_xlfn.XLOOKUP(B191,'[3]may-2025'!$A:$A,'[3]may-2025'!$D:$D,0,0)</f>
        <v>400</v>
      </c>
      <c r="AH191">
        <f>_xlfn.XLOOKUP(B191,'[3]may-2025'!$A:$A,'[3]may-2025'!$G:$G,0,0)</f>
        <v>0</v>
      </c>
      <c r="AI191">
        <f t="shared" si="359"/>
        <v>61890</v>
      </c>
      <c r="AJ191">
        <f>_xlfn.XLOOKUP(B191,'[3]may-2025'!$A:$A,'[3]may-2025'!$H:$H,0,0)</f>
        <v>4000</v>
      </c>
      <c r="AK191">
        <f>_xlfn.XLOOKUP(B191,'[3]may-2025'!$A:$A,'[3]may-2025'!$I:$I,0,0)</f>
        <v>0</v>
      </c>
      <c r="AL191">
        <f t="shared" si="372"/>
        <v>200</v>
      </c>
      <c r="AM191">
        <f t="shared" si="373"/>
        <v>57690</v>
      </c>
      <c r="AN191">
        <f>_xlfn.XLOOKUP(B191,'[4]june-2025'!$A:$A,'[4]june-2025'!$C:$C,0,0)</f>
        <v>47300</v>
      </c>
      <c r="AO191">
        <f t="shared" si="374"/>
        <v>8514</v>
      </c>
      <c r="AP191">
        <f t="shared" si="375"/>
        <v>5676</v>
      </c>
      <c r="AQ191">
        <f>_xlfn.XLOOKUP(B191,'[4]june-2025'!$A:$A,'[4]june-2025'!$D:$D,0,0)</f>
        <v>400</v>
      </c>
      <c r="AR191">
        <f>_xlfn.XLOOKUP(B191,'[4]june-2025'!$A:$A,'[4]june-2025'!$G:$G,0,0)</f>
        <v>0</v>
      </c>
      <c r="AS191">
        <f t="shared" si="360"/>
        <v>61890</v>
      </c>
      <c r="AT191">
        <f>_xlfn.XLOOKUP(B191,'[4]june-2025'!$A:$A,'[4]june-2025'!$H:$H,0,0)</f>
        <v>4000</v>
      </c>
      <c r="AU191">
        <f>_xlfn.XLOOKUP(B191,'[4]june-2025'!$A:$A,'[4]june-2025'!$I:$I,0,0)</f>
        <v>0</v>
      </c>
      <c r="AV191">
        <f t="shared" si="376"/>
        <v>200</v>
      </c>
      <c r="AW191">
        <f t="shared" si="377"/>
        <v>57690</v>
      </c>
      <c r="AX191">
        <f>_xlfn.XLOOKUP(B191,'[5]july-2025'!$A:$A,'[5]july-2025'!$C:$C,0,0)</f>
        <v>48700</v>
      </c>
      <c r="AY191">
        <f t="shared" si="378"/>
        <v>8766</v>
      </c>
      <c r="AZ191">
        <v>0</v>
      </c>
      <c r="BA191">
        <f t="shared" si="379"/>
        <v>5844</v>
      </c>
      <c r="BB191">
        <f>_xlfn.XLOOKUP(B191,'[5]july-2025'!$A:$A,'[5]july-2025'!$D:$D,0,0)</f>
        <v>400</v>
      </c>
      <c r="BC191">
        <f>_xlfn.XLOOKUP(B191,'[5]july-2025'!$A:$A,'[5]july-2025'!$G:$G,0,0)</f>
        <v>0</v>
      </c>
      <c r="BD191">
        <f>IF(AX191&gt;0,SUM(AX191:BC191),0)</f>
        <v>63710</v>
      </c>
      <c r="BE191">
        <f>_xlfn.XLOOKUP(B191,'[5]july-2025'!$A:$A,'[5]july-2025'!$H:$H,0,0)</f>
        <v>4000</v>
      </c>
      <c r="BF191">
        <f>_xlfn.XLOOKUP(B191,'[5]july-2025'!$A:$A,'[5]july-2025'!$I:$I,0,0)</f>
        <v>0</v>
      </c>
      <c r="BG191">
        <f t="shared" si="380"/>
        <v>200</v>
      </c>
      <c r="BH191">
        <f t="shared" si="381"/>
        <v>59510</v>
      </c>
      <c r="BI191">
        <f>_xlfn.XLOOKUP(B191,'[6]august-2025'!$A:$A,'[6]august-2025'!$C:$C,0,0)</f>
        <v>48700</v>
      </c>
      <c r="BJ191">
        <f t="shared" si="382"/>
        <v>8766</v>
      </c>
      <c r="BK191">
        <f t="shared" si="383"/>
        <v>5844</v>
      </c>
      <c r="BL191">
        <f>_xlfn.XLOOKUP(B191,'[6]august-2025'!$A:$A,'[6]august-2025'!$D:$D,0,0)</f>
        <v>400</v>
      </c>
      <c r="BM191">
        <f>_xlfn.XLOOKUP(B191,'[6]august-2025'!$A:$A,'[6]august-2025'!$G:$G,0,0)</f>
        <v>0</v>
      </c>
      <c r="BN191">
        <f t="shared" si="384"/>
        <v>63710</v>
      </c>
      <c r="BO191">
        <f>_xlfn.XLOOKUP(B191,'[6]august-2025'!$A:$A,'[6]august-2025'!$H:$H,0,0)</f>
        <v>4000</v>
      </c>
      <c r="BP191">
        <f>_xlfn.XLOOKUP(B191,'[6]august-2025'!$A:$A,'[6]august-2025'!$I:$I,0,0)</f>
        <v>0</v>
      </c>
      <c r="BQ191">
        <f>IF($F191="YES",0,IF(BN191&gt;40000,200,IF(BN191&gt;25000,150,IF(BN191&gt;15000,130,IF(BN191&gt;10000,110,0)))))</f>
        <v>200</v>
      </c>
      <c r="BR191">
        <f>BN191-BO191-BP191-BQ191</f>
        <v>59510</v>
      </c>
      <c r="BS191">
        <f>_xlfn.XLOOKUP(B191,'[7]september-2025'!$A:$A,'[7]september-2025'!$C:$C,0,0)</f>
        <v>48700</v>
      </c>
      <c r="BT191">
        <f t="shared" si="385"/>
        <v>8766</v>
      </c>
      <c r="BU191">
        <f t="shared" si="386"/>
        <v>5844</v>
      </c>
      <c r="BV191">
        <f>_xlfn.XLOOKUP(B191,'[7]september-2025'!$A:$A,'[7]september-2025'!$D:$D,0,0)</f>
        <v>400</v>
      </c>
      <c r="BW191">
        <f>_xlfn.XLOOKUP(B191,'[7]september-2025'!$A:$A,'[7]september-2025'!$G:$G,0,0)</f>
        <v>0</v>
      </c>
      <c r="BX191">
        <f>IF(BS191&gt;0,SUM(BS191:BW191),0)</f>
        <v>63710</v>
      </c>
      <c r="BY191">
        <f>_xlfn.XLOOKUP(B191,'[7]september-2025'!$A:$A,'[7]september-2025'!$H:$H,0,0)</f>
        <v>4000</v>
      </c>
      <c r="BZ191">
        <f>_xlfn.XLOOKUP(B191,'[7]september-2025'!$A:$A,'[7]september-2025'!$I:$I,0,0)</f>
        <v>0</v>
      </c>
      <c r="CA191">
        <f t="shared" si="387"/>
        <v>200</v>
      </c>
      <c r="CB191">
        <f t="shared" si="388"/>
        <v>59510</v>
      </c>
      <c r="CC191">
        <f>_xlfn.XLOOKUP(B191,'[8]october-2025'!$A:$A,'[8]october-2025'!$C:$C,0,0)</f>
        <v>48700</v>
      </c>
      <c r="CD191">
        <f t="shared" si="389"/>
        <v>8766</v>
      </c>
      <c r="CE191">
        <f t="shared" si="390"/>
        <v>5844</v>
      </c>
      <c r="CF191">
        <f>_xlfn.XLOOKUP(B191,'[8]october-2025'!$A:$A,'[8]october-2025'!$D:$D,0,0)</f>
        <v>400</v>
      </c>
      <c r="CG191">
        <f>_xlfn.XLOOKUP(B191,'[8]october-2025'!$A:$A,'[8]october-2025'!$G:$G,0,0)</f>
        <v>0</v>
      </c>
      <c r="CH191">
        <f>IF(CC191&gt;0,SUM(CC191:CG191),0)</f>
        <v>63710</v>
      </c>
      <c r="CI191">
        <f>_xlfn.XLOOKUP(B191,'[8]october-2025'!$A:$A,'[8]october-2025'!$H:$H,0,0)</f>
        <v>4000</v>
      </c>
      <c r="CJ191">
        <f>_xlfn.XLOOKUP(B191,'[8]october-2025'!$A:$A,'[8]october-2025'!$I:$I,0,0)</f>
        <v>0</v>
      </c>
      <c r="CK191">
        <f t="shared" si="391"/>
        <v>200</v>
      </c>
      <c r="CL191">
        <f t="shared" si="392"/>
        <v>59510</v>
      </c>
      <c r="CM191">
        <f>_xlfn.XLOOKUP(B191,'[9]november-2025'!$A:$A,'[9]november-2025'!$C:$C,0,0)</f>
        <v>48700</v>
      </c>
      <c r="CN191">
        <f t="shared" si="393"/>
        <v>8766</v>
      </c>
      <c r="CO191">
        <f t="shared" si="394"/>
        <v>5844</v>
      </c>
      <c r="CP191">
        <f>_xlfn.XLOOKUP(B191,'[9]november-2025'!$A:$A,'[9]november-2025'!$D:$D,0,0)</f>
        <v>400</v>
      </c>
      <c r="CQ191">
        <f>_xlfn.XLOOKUP(B191,'[9]november-2025'!$A:$A,'[9]november-2025'!$G:$G,0,0)</f>
        <v>0</v>
      </c>
      <c r="CR191">
        <f>IF(CM191&gt;0,SUM(CM191:CQ191),0)</f>
        <v>63710</v>
      </c>
      <c r="CS191">
        <f>_xlfn.XLOOKUP(B191,'[9]november-2025'!$A:$A,'[9]november-2025'!$H:$H,0,0)</f>
        <v>4000</v>
      </c>
      <c r="CT191">
        <f>_xlfn.XLOOKUP(B191,'[9]november-2025'!$A:$A,'[9]november-2025'!$I:$I,0,0)</f>
        <v>0</v>
      </c>
      <c r="CU191">
        <f t="shared" si="395"/>
        <v>200</v>
      </c>
      <c r="CV191">
        <f t="shared" si="396"/>
        <v>59510</v>
      </c>
      <c r="CW191">
        <f>_xlfn.XLOOKUP(B191,'[10]december-2025'!$A:$A,'[10]december-2025'!$C:$C,0,0)</f>
        <v>48700</v>
      </c>
      <c r="CX191">
        <f t="shared" si="397"/>
        <v>8766</v>
      </c>
      <c r="CY191">
        <f t="shared" si="398"/>
        <v>5844</v>
      </c>
      <c r="CZ191">
        <f>_xlfn.XLOOKUP(B191,'[10]december-2025'!$A:$A,'[10]december-2025'!$D:$D,0,0)</f>
        <v>400</v>
      </c>
      <c r="DA191">
        <f>_xlfn.XLOOKUP(B191,'[10]december-2025'!$A:$A,'[10]december-2025'!$G:$G,0,0)</f>
        <v>0</v>
      </c>
      <c r="DB191">
        <f>IF(CW191&gt;0,SUM(CW191:DA191),0)</f>
        <v>63710</v>
      </c>
      <c r="DC191">
        <f>_xlfn.XLOOKUP(B191,'[10]december-2025'!$A:$A,'[10]december-2025'!$H:$H,0,0)</f>
        <v>4000</v>
      </c>
      <c r="DD191">
        <f>_xlfn.XLOOKUP(B191,'[10]december-2025'!$A:$A,'[10]december-2025'!$I:$I,0,0)</f>
        <v>0</v>
      </c>
      <c r="DE191">
        <f t="shared" si="399"/>
        <v>200</v>
      </c>
      <c r="DF191">
        <f t="shared" si="400"/>
        <v>59510</v>
      </c>
      <c r="DG191">
        <f>_xlfn.XLOOKUP(B191,'[11]january-2026'!$A:$A,'[11]january-2026'!$C:$C,0,0)</f>
        <v>48700</v>
      </c>
      <c r="DH191">
        <f t="shared" si="401"/>
        <v>8766</v>
      </c>
      <c r="DI191">
        <f t="shared" si="402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>IF(DG191&gt;0,SUM(DG191:DK191),0)</f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03"/>
        <v>200</v>
      </c>
      <c r="DP191">
        <f t="shared" si="404"/>
        <v>59510</v>
      </c>
      <c r="DQ191">
        <f>_xlfn.XLOOKUP(B191,'[12]february-2026'!$A:$A,'[12]february-2026'!$C:$C,0,0)</f>
        <v>48700</v>
      </c>
      <c r="DR191">
        <f t="shared" si="405"/>
        <v>8766</v>
      </c>
      <c r="DS191">
        <f t="shared" si="406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>IF(DQ191&gt;0,SUM(DQ191:DU191),0)</f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07"/>
        <v>200</v>
      </c>
      <c r="DZ191">
        <f t="shared" si="408"/>
        <v>59510</v>
      </c>
      <c r="EA191">
        <f>_xlfn.XLOOKUP(B191,'[1]march-2025'!$A:$A,'[1]march-2025'!$J:$J,0,0)</f>
        <v>0</v>
      </c>
      <c r="EB191">
        <f>_xlfn.XLOOKUP(B191,'[2]april-2025'!$A:$A,'[2]april-2025'!$J:$J,0,0)</f>
        <v>0</v>
      </c>
      <c r="EC191">
        <f>_xlfn.XLOOKUP(B191,'[3]may-2025'!$A:$A,'[3]may-2025'!$J:$J,0,0)</f>
        <v>0</v>
      </c>
      <c r="ED191">
        <f>_xlfn.XLOOKUP(B191,'[4]june-2025'!$A:$A,'[4]june-2025'!$J:$J,0,0)</f>
        <v>0</v>
      </c>
      <c r="EE191">
        <f>_xlfn.XLOOKUP(B191,'[5]july-2025'!$A:$A,'[5]july-2025'!$J:$J,0,0)</f>
        <v>0</v>
      </c>
      <c r="EF191">
        <f>_xlfn.XLOOKUP(B191,'[6]august-2025'!$A:$A,'[6]august-2025'!$J:$J,0,0)</f>
        <v>0</v>
      </c>
      <c r="EG191">
        <f>_xlfn.XLOOKUP(B191,'[7]september-2025'!$A:$A,'[7]september-2025'!$J:$J,0,0)</f>
        <v>0</v>
      </c>
      <c r="EH191">
        <f>_xlfn.XLOOKUP(B191,'[8]october-2025'!$A:$A,'[8]october-2025'!$J:$J,0,0)</f>
        <v>0</v>
      </c>
      <c r="EI191">
        <f>_xlfn.XLOOKUP(C191,'[9]november-2025'!$A:$A,'[9]november-2025'!$J:$J,0,0)</f>
        <v>0</v>
      </c>
      <c r="EJ191">
        <f>_xlfn.XLOOKUP(B191,'[10]december-2025'!$A:$A,'[10]december-2025'!$J:$J,0,0)</f>
        <v>0</v>
      </c>
      <c r="EK191">
        <f>_xlfn.XLOOKUP(B191,'[11]january-2026'!$A:$A,'[11]january-2026'!$J:$J,0,0)</f>
        <v>0</v>
      </c>
      <c r="EL191">
        <f>_xlfn.XLOOKUP(B191,'[12]february-2026'!$A:$A,'[12]february-2026'!$J:$J,0,0)</f>
        <v>0</v>
      </c>
      <c r="EM191">
        <f t="shared" si="361"/>
        <v>0</v>
      </c>
      <c r="EN191">
        <f>DV191+DL191+DB191+CR191+CH191+BX191+BN191+BD191+AS191+AI191+Y191+O191+H191+I191</f>
        <v>762148</v>
      </c>
      <c r="EO191">
        <f>DY191+DO191+DE191+CU191+CK191+CA191+BQ191+BG191+AV191+AL191+AB191+R191</f>
        <v>2400</v>
      </c>
      <c r="EP191">
        <f t="shared" si="409"/>
        <v>50000</v>
      </c>
      <c r="EQ191">
        <v>0</v>
      </c>
      <c r="ER191">
        <f t="shared" si="362"/>
        <v>709748</v>
      </c>
      <c r="ES191">
        <f>DW191+DM191+DC191+CS191+CI191+BY191+BO191+BE191+AT191+AJ191+Z191+P191</f>
        <v>48000</v>
      </c>
      <c r="ET191">
        <f>DX191+DN191+DD191+CT191+CJ191+BZ191+BP191+BF191+AU191+AK191+AA191+Q191</f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410"/>
        <v>48000</v>
      </c>
      <c r="FF191">
        <f t="shared" si="411"/>
        <v>48000</v>
      </c>
      <c r="FG191">
        <f t="shared" si="412"/>
        <v>661748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>SUM(FH191:FN191)+(IF(F191="YES",50000,0))</f>
        <v>0</v>
      </c>
      <c r="FP191">
        <f t="shared" si="413"/>
        <v>661748</v>
      </c>
      <c r="FQ191">
        <f t="shared" si="414"/>
        <v>12500</v>
      </c>
      <c r="FR191">
        <f t="shared" si="415"/>
        <v>32350</v>
      </c>
      <c r="FS191">
        <f t="shared" si="416"/>
        <v>44850</v>
      </c>
      <c r="FT191">
        <f t="shared" si="417"/>
        <v>44850</v>
      </c>
      <c r="FU191">
        <f t="shared" si="418"/>
        <v>1794</v>
      </c>
      <c r="FV191">
        <f t="shared" si="419"/>
        <v>46644</v>
      </c>
      <c r="FW191">
        <v>0</v>
      </c>
      <c r="FX191">
        <f t="shared" si="420"/>
        <v>46644</v>
      </c>
      <c r="FY191" t="b">
        <f t="shared" si="421"/>
        <v>1</v>
      </c>
      <c r="FZ191">
        <f t="shared" ca="1" si="422"/>
        <v>825</v>
      </c>
      <c r="GA191">
        <f t="shared" ca="1" si="423"/>
        <v>762973</v>
      </c>
      <c r="GB191">
        <f t="shared" si="424"/>
        <v>75000</v>
      </c>
      <c r="GC191">
        <f t="shared" ca="1" si="425"/>
        <v>687973</v>
      </c>
      <c r="GD191">
        <f t="shared" ca="1" si="426"/>
        <v>0</v>
      </c>
      <c r="GE191">
        <f t="shared" ca="1" si="427"/>
        <v>0</v>
      </c>
      <c r="GF191">
        <f t="shared" ca="1" si="428"/>
        <v>0</v>
      </c>
      <c r="GG191">
        <f t="shared" ca="1" si="429"/>
        <v>0</v>
      </c>
      <c r="GH191">
        <f t="shared" ca="1" si="430"/>
        <v>0</v>
      </c>
      <c r="GI191">
        <f t="shared" ca="1" si="431"/>
        <v>0</v>
      </c>
      <c r="GJ191">
        <f ca="1">IF(GC191&gt;1200000,GC191-1200000-IF(F191="YES",50000,0)-GH191,0)</f>
        <v>0</v>
      </c>
      <c r="GK191">
        <f t="shared" ca="1" si="432"/>
        <v>0</v>
      </c>
      <c r="GL191">
        <f t="shared" ca="1" si="433"/>
        <v>0</v>
      </c>
      <c r="GM191">
        <f t="shared" ca="1" si="434"/>
        <v>0</v>
      </c>
      <c r="GN191">
        <f t="shared" ca="1" si="435"/>
        <v>287973</v>
      </c>
      <c r="GO191">
        <f t="shared" ca="1" si="436"/>
        <v>14398.650000000001</v>
      </c>
      <c r="GP191">
        <f t="shared" ca="1" si="437"/>
        <v>14399</v>
      </c>
      <c r="GQ191">
        <f t="shared" ca="1" si="438"/>
        <v>0</v>
      </c>
      <c r="GR191">
        <f t="shared" ca="1" si="439"/>
        <v>0</v>
      </c>
      <c r="GS191">
        <f t="shared" ca="1" si="440"/>
        <v>14399</v>
      </c>
      <c r="GT191">
        <f t="shared" ca="1" si="441"/>
        <v>0</v>
      </c>
      <c r="GU191" t="b">
        <f t="shared" ca="1" si="442"/>
        <v>0</v>
      </c>
      <c r="GV191">
        <f t="shared" ca="1" si="443"/>
        <v>0</v>
      </c>
      <c r="GW191">
        <f t="shared" ca="1" si="444"/>
        <v>14399</v>
      </c>
      <c r="GX191">
        <f t="shared" ca="1" si="445"/>
        <v>0</v>
      </c>
      <c r="GY191">
        <f t="shared" ca="1" si="446"/>
        <v>0</v>
      </c>
      <c r="GZ191">
        <f t="shared" ca="1" si="447"/>
        <v>0</v>
      </c>
    </row>
    <row r="192" spans="1:208" x14ac:dyDescent="0.25">
      <c r="A192">
        <f>_xlfn.AGGREGATE(3,5,$B$2:B192)</f>
        <v>191</v>
      </c>
      <c r="B192" t="s">
        <v>490</v>
      </c>
      <c r="C192" t="s">
        <v>491</v>
      </c>
      <c r="D192" t="s">
        <v>799</v>
      </c>
      <c r="E192" t="s">
        <v>831</v>
      </c>
      <c r="F192" t="s">
        <v>957</v>
      </c>
      <c r="G192" t="s">
        <v>924</v>
      </c>
      <c r="H192">
        <f t="shared" si="450"/>
        <v>6800</v>
      </c>
      <c r="I192">
        <f>_xlfn.XLOOKUP(B192,'[1]march-2025'!$A:$A,'[1]march-2025'!$J:$J,0,0)</f>
        <v>0</v>
      </c>
      <c r="J192">
        <f>_xlfn.XLOOKUP(B192,'[1]march-2025'!$A:$A,'[1]march-2025'!$C:$C,0,0)</f>
        <v>33500</v>
      </c>
      <c r="K192">
        <f t="shared" si="364"/>
        <v>4690</v>
      </c>
      <c r="L192">
        <f t="shared" si="365"/>
        <v>4020</v>
      </c>
      <c r="M192">
        <f>_xlfn.XLOOKUP(B192,'[1]march-2025'!$A:$A,'[1]march-2025'!$D:$D,0,0)</f>
        <v>0</v>
      </c>
      <c r="N192">
        <f>_xlfn.XLOOKUP(B192,'[1]march-2025'!$A:$A,'[1]march-2025'!$G:$G,0,0)</f>
        <v>500</v>
      </c>
      <c r="O192">
        <f>IF(J192&gt;0,SUM(J192:N192),0)</f>
        <v>42710</v>
      </c>
      <c r="P192">
        <f>_xlfn.XLOOKUP(B192,'[1]march-2025'!$A:$A,'[1]march-2025'!$H:$H,0,0)</f>
        <v>3000</v>
      </c>
      <c r="Q192">
        <f>_xlfn.XLOOKUP(B192,'[1]march-2025'!$A:$A,'[1]march-2025'!$I:$I,0,0)</f>
        <v>0</v>
      </c>
      <c r="R192">
        <f t="shared" si="448"/>
        <v>200</v>
      </c>
      <c r="S192">
        <f t="shared" si="357"/>
        <v>39510</v>
      </c>
      <c r="T192">
        <f>_xlfn.XLOOKUP(B192,'[2]april-2025'!$A:$A,'[2]april-2025'!$C:$C,0,0)</f>
        <v>33500</v>
      </c>
      <c r="U192">
        <f t="shared" si="366"/>
        <v>6030</v>
      </c>
      <c r="V192">
        <f t="shared" si="367"/>
        <v>4020</v>
      </c>
      <c r="W192">
        <f>_xlfn.XLOOKUP(B192,'[2]april-2025'!$A:$A,'[2]april-2025'!$D:$D,0,0)</f>
        <v>0</v>
      </c>
      <c r="X192">
        <f>_xlfn.XLOOKUP(B192,'[2]april-2025'!$A:$A,'[2]april-2025'!$G:$G,0,0)</f>
        <v>500</v>
      </c>
      <c r="Y192">
        <f t="shared" si="358"/>
        <v>44050</v>
      </c>
      <c r="Z192">
        <f>_xlfn.XLOOKUP(B192,'[2]april-2025'!$A:$A,'[2]april-2025'!$H:$H,0,0)</f>
        <v>3000</v>
      </c>
      <c r="AA192">
        <f>_xlfn.XLOOKUP(B192,'[2]april-2025'!$A:$A,'[2]april-2025'!$I:$I,0,0)</f>
        <v>0</v>
      </c>
      <c r="AB192">
        <f t="shared" si="368"/>
        <v>200</v>
      </c>
      <c r="AC192">
        <f t="shared" si="369"/>
        <v>40850</v>
      </c>
      <c r="AD192">
        <f>_xlfn.XLOOKUP(B192,'[3]may-2025'!$A:$A,'[3]may-2025'!$C:$C,0,0)</f>
        <v>33500</v>
      </c>
      <c r="AE192">
        <f t="shared" si="370"/>
        <v>6030</v>
      </c>
      <c r="AF192">
        <f t="shared" si="371"/>
        <v>4020</v>
      </c>
      <c r="AG192">
        <f>_xlfn.XLOOKUP(B192,'[3]may-2025'!$A:$A,'[3]may-2025'!$D:$D,0,0)</f>
        <v>0</v>
      </c>
      <c r="AH192">
        <f>_xlfn.XLOOKUP(B192,'[3]may-2025'!$A:$A,'[3]may-2025'!$G:$G,0,0)</f>
        <v>500</v>
      </c>
      <c r="AI192">
        <f t="shared" si="359"/>
        <v>44050</v>
      </c>
      <c r="AJ192">
        <f>_xlfn.XLOOKUP(B192,'[3]may-2025'!$A:$A,'[3]may-2025'!$H:$H,0,0)</f>
        <v>3000</v>
      </c>
      <c r="AK192">
        <f>_xlfn.XLOOKUP(B192,'[3]may-2025'!$A:$A,'[3]may-2025'!$I:$I,0,0)</f>
        <v>0</v>
      </c>
      <c r="AL192">
        <f t="shared" si="372"/>
        <v>200</v>
      </c>
      <c r="AM192">
        <f t="shared" si="373"/>
        <v>40850</v>
      </c>
      <c r="AN192">
        <f>_xlfn.XLOOKUP(B192,'[4]june-2025'!$A:$A,'[4]june-2025'!$C:$C,0,0)</f>
        <v>33500</v>
      </c>
      <c r="AO192">
        <f t="shared" si="374"/>
        <v>6030</v>
      </c>
      <c r="AP192">
        <f t="shared" si="375"/>
        <v>4020</v>
      </c>
      <c r="AQ192">
        <f>_xlfn.XLOOKUP(B192,'[4]june-2025'!$A:$A,'[4]june-2025'!$D:$D,0,0)</f>
        <v>0</v>
      </c>
      <c r="AR192">
        <f>_xlfn.XLOOKUP(B192,'[4]june-2025'!$A:$A,'[4]june-2025'!$G:$G,0,0)</f>
        <v>500</v>
      </c>
      <c r="AS192">
        <f t="shared" si="360"/>
        <v>44050</v>
      </c>
      <c r="AT192">
        <f>_xlfn.XLOOKUP(B192,'[4]june-2025'!$A:$A,'[4]june-2025'!$H:$H,0,0)</f>
        <v>3000</v>
      </c>
      <c r="AU192">
        <f>_xlfn.XLOOKUP(B192,'[4]june-2025'!$A:$A,'[4]june-2025'!$I:$I,0,0)</f>
        <v>0</v>
      </c>
      <c r="AV192">
        <f t="shared" si="376"/>
        <v>200</v>
      </c>
      <c r="AW192">
        <f t="shared" si="377"/>
        <v>40850</v>
      </c>
      <c r="AX192">
        <f>_xlfn.XLOOKUP(B192,'[5]july-2025'!$A:$A,'[5]july-2025'!$C:$C,0,0)</f>
        <v>34500</v>
      </c>
      <c r="AY192">
        <f t="shared" si="378"/>
        <v>6210</v>
      </c>
      <c r="AZ192">
        <v>0</v>
      </c>
      <c r="BA192">
        <f t="shared" si="379"/>
        <v>4140</v>
      </c>
      <c r="BB192">
        <f>_xlfn.XLOOKUP(B192,'[5]july-2025'!$A:$A,'[5]july-2025'!$D:$D,0,0)</f>
        <v>0</v>
      </c>
      <c r="BC192">
        <f>_xlfn.XLOOKUP(B192,'[5]july-2025'!$A:$A,'[5]july-2025'!$G:$G,0,0)</f>
        <v>500</v>
      </c>
      <c r="BD192">
        <f>IF(AX192&gt;0,SUM(AX192:BC192),0)</f>
        <v>45350</v>
      </c>
      <c r="BE192">
        <f>_xlfn.XLOOKUP(B192,'[5]july-2025'!$A:$A,'[5]july-2025'!$H:$H,0,0)</f>
        <v>3000</v>
      </c>
      <c r="BF192">
        <f>_xlfn.XLOOKUP(B192,'[5]july-2025'!$A:$A,'[5]july-2025'!$I:$I,0,0)</f>
        <v>0</v>
      </c>
      <c r="BG192">
        <f t="shared" si="380"/>
        <v>200</v>
      </c>
      <c r="BH192">
        <f t="shared" si="381"/>
        <v>42150</v>
      </c>
      <c r="BI192">
        <f>_xlfn.XLOOKUP(B192,'[6]august-2025'!$A:$A,'[6]august-2025'!$C:$C,0,0)</f>
        <v>34500</v>
      </c>
      <c r="BJ192">
        <f t="shared" si="382"/>
        <v>6210</v>
      </c>
      <c r="BK192">
        <f t="shared" si="383"/>
        <v>4140</v>
      </c>
      <c r="BL192">
        <f>_xlfn.XLOOKUP(B192,'[6]august-2025'!$A:$A,'[6]august-2025'!$D:$D,0,0)</f>
        <v>0</v>
      </c>
      <c r="BM192">
        <f>_xlfn.XLOOKUP(B192,'[6]august-2025'!$A:$A,'[6]august-2025'!$G:$G,0,0)</f>
        <v>500</v>
      </c>
      <c r="BN192">
        <f t="shared" si="384"/>
        <v>45350</v>
      </c>
      <c r="BO192">
        <f>_xlfn.XLOOKUP(B192,'[6]august-2025'!$A:$A,'[6]august-2025'!$H:$H,0,0)</f>
        <v>3000</v>
      </c>
      <c r="BP192">
        <f>_xlfn.XLOOKUP(B192,'[6]august-2025'!$A:$A,'[6]august-2025'!$I:$I,0,0)</f>
        <v>0</v>
      </c>
      <c r="BQ192">
        <f>IF($F192="YES",0,IF(BN192&gt;40000,200,IF(BN192&gt;25000,150,IF(BN192&gt;15000,130,IF(BN192&gt;10000,110,0)))))</f>
        <v>200</v>
      </c>
      <c r="BR192">
        <f>BN192-BO192-BP192-BQ192</f>
        <v>42150</v>
      </c>
      <c r="BS192">
        <f>_xlfn.XLOOKUP(B192,'[7]september-2025'!$A:$A,'[7]september-2025'!$C:$C,0,0)</f>
        <v>34500</v>
      </c>
      <c r="BT192">
        <f t="shared" si="385"/>
        <v>6210</v>
      </c>
      <c r="BU192">
        <f t="shared" si="386"/>
        <v>4140</v>
      </c>
      <c r="BV192">
        <f>_xlfn.XLOOKUP(B192,'[7]september-2025'!$A:$A,'[7]september-2025'!$D:$D,0,0)</f>
        <v>0</v>
      </c>
      <c r="BW192">
        <f>_xlfn.XLOOKUP(B192,'[7]september-2025'!$A:$A,'[7]september-2025'!$G:$G,0,0)</f>
        <v>500</v>
      </c>
      <c r="BX192">
        <f>IF(BS192&gt;0,SUM(BS192:BW192),0)</f>
        <v>45350</v>
      </c>
      <c r="BY192">
        <f>_xlfn.XLOOKUP(B192,'[7]september-2025'!$A:$A,'[7]september-2025'!$H:$H,0,0)</f>
        <v>3000</v>
      </c>
      <c r="BZ192">
        <f>_xlfn.XLOOKUP(B192,'[7]september-2025'!$A:$A,'[7]september-2025'!$I:$I,0,0)</f>
        <v>0</v>
      </c>
      <c r="CA192">
        <f t="shared" si="387"/>
        <v>200</v>
      </c>
      <c r="CB192">
        <f t="shared" si="388"/>
        <v>42150</v>
      </c>
      <c r="CC192">
        <f>_xlfn.XLOOKUP(B192,'[8]october-2025'!$A:$A,'[8]october-2025'!$C:$C,0,0)</f>
        <v>34500</v>
      </c>
      <c r="CD192">
        <f t="shared" si="389"/>
        <v>6210</v>
      </c>
      <c r="CE192">
        <f t="shared" si="390"/>
        <v>4140</v>
      </c>
      <c r="CF192">
        <f>_xlfn.XLOOKUP(B192,'[8]october-2025'!$A:$A,'[8]october-2025'!$D:$D,0,0)</f>
        <v>0</v>
      </c>
      <c r="CG192">
        <f>_xlfn.XLOOKUP(B192,'[8]october-2025'!$A:$A,'[8]october-2025'!$G:$G,0,0)</f>
        <v>500</v>
      </c>
      <c r="CH192">
        <f>IF(CC192&gt;0,SUM(CC192:CG192),0)</f>
        <v>45350</v>
      </c>
      <c r="CI192">
        <f>_xlfn.XLOOKUP(B192,'[8]october-2025'!$A:$A,'[8]october-2025'!$H:$H,0,0)</f>
        <v>3000</v>
      </c>
      <c r="CJ192">
        <f>_xlfn.XLOOKUP(B192,'[8]october-2025'!$A:$A,'[8]october-2025'!$I:$I,0,0)</f>
        <v>0</v>
      </c>
      <c r="CK192">
        <f t="shared" si="391"/>
        <v>200</v>
      </c>
      <c r="CL192">
        <f t="shared" si="392"/>
        <v>42150</v>
      </c>
      <c r="CM192">
        <f>_xlfn.XLOOKUP(B192,'[9]november-2025'!$A:$A,'[9]november-2025'!$C:$C,0,0)</f>
        <v>34500</v>
      </c>
      <c r="CN192">
        <f t="shared" si="393"/>
        <v>6210</v>
      </c>
      <c r="CO192">
        <f t="shared" si="394"/>
        <v>4140</v>
      </c>
      <c r="CP192">
        <f>_xlfn.XLOOKUP(B192,'[9]november-2025'!$A:$A,'[9]november-2025'!$D:$D,0,0)</f>
        <v>0</v>
      </c>
      <c r="CQ192">
        <f>_xlfn.XLOOKUP(B192,'[9]november-2025'!$A:$A,'[9]november-2025'!$G:$G,0,0)</f>
        <v>500</v>
      </c>
      <c r="CR192">
        <f>IF(CM192&gt;0,SUM(CM192:CQ192),0)</f>
        <v>45350</v>
      </c>
      <c r="CS192">
        <f>_xlfn.XLOOKUP(B192,'[9]november-2025'!$A:$A,'[9]november-2025'!$H:$H,0,0)</f>
        <v>3000</v>
      </c>
      <c r="CT192">
        <f>_xlfn.XLOOKUP(B192,'[9]november-2025'!$A:$A,'[9]november-2025'!$I:$I,0,0)</f>
        <v>0</v>
      </c>
      <c r="CU192">
        <f t="shared" si="395"/>
        <v>200</v>
      </c>
      <c r="CV192">
        <f t="shared" si="396"/>
        <v>42150</v>
      </c>
      <c r="CW192">
        <f>_xlfn.XLOOKUP(B192,'[10]december-2025'!$A:$A,'[10]december-2025'!$C:$C,0,0)</f>
        <v>34500</v>
      </c>
      <c r="CX192">
        <f t="shared" si="397"/>
        <v>6210</v>
      </c>
      <c r="CY192">
        <f t="shared" si="398"/>
        <v>4140</v>
      </c>
      <c r="CZ192">
        <f>_xlfn.XLOOKUP(B192,'[10]december-2025'!$A:$A,'[10]december-2025'!$D:$D,0,0)</f>
        <v>0</v>
      </c>
      <c r="DA192">
        <f>_xlfn.XLOOKUP(B192,'[10]december-2025'!$A:$A,'[10]december-2025'!$G:$G,0,0)</f>
        <v>500</v>
      </c>
      <c r="DB192">
        <f>IF(CW192&gt;0,SUM(CW192:DA192),0)</f>
        <v>45350</v>
      </c>
      <c r="DC192">
        <f>_xlfn.XLOOKUP(B192,'[10]december-2025'!$A:$A,'[10]december-2025'!$H:$H,0,0)</f>
        <v>3000</v>
      </c>
      <c r="DD192">
        <f>_xlfn.XLOOKUP(B192,'[10]december-2025'!$A:$A,'[10]december-2025'!$I:$I,0,0)</f>
        <v>0</v>
      </c>
      <c r="DE192">
        <f t="shared" si="399"/>
        <v>200</v>
      </c>
      <c r="DF192">
        <f t="shared" si="400"/>
        <v>42150</v>
      </c>
      <c r="DG192">
        <f>_xlfn.XLOOKUP(B192,'[11]january-2026'!$A:$A,'[11]january-2026'!$C:$C,0,0)</f>
        <v>34500</v>
      </c>
      <c r="DH192">
        <f t="shared" si="401"/>
        <v>6210</v>
      </c>
      <c r="DI192">
        <f t="shared" si="402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>IF(DG192&gt;0,SUM(DG192:DK192),0)</f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03"/>
        <v>200</v>
      </c>
      <c r="DP192">
        <f t="shared" si="404"/>
        <v>42150</v>
      </c>
      <c r="DQ192">
        <f>_xlfn.XLOOKUP(B192,'[12]february-2026'!$A:$A,'[12]february-2026'!$C:$C,0,0)</f>
        <v>34500</v>
      </c>
      <c r="DR192">
        <f t="shared" si="405"/>
        <v>6210</v>
      </c>
      <c r="DS192">
        <f t="shared" si="406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>IF(DQ192&gt;0,SUM(DQ192:DU192),0)</f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07"/>
        <v>200</v>
      </c>
      <c r="DZ192">
        <f t="shared" si="408"/>
        <v>42150</v>
      </c>
      <c r="EA192">
        <f>_xlfn.XLOOKUP(B192,'[1]march-2025'!$A:$A,'[1]march-2025'!$J:$J,0,0)</f>
        <v>0</v>
      </c>
      <c r="EB192">
        <f>_xlfn.XLOOKUP(B192,'[2]april-2025'!$A:$A,'[2]april-2025'!$J:$J,0,0)</f>
        <v>0</v>
      </c>
      <c r="EC192">
        <f>_xlfn.XLOOKUP(B192,'[3]may-2025'!$A:$A,'[3]may-2025'!$J:$J,0,0)</f>
        <v>0</v>
      </c>
      <c r="ED192">
        <f>_xlfn.XLOOKUP(B192,'[4]june-2025'!$A:$A,'[4]june-2025'!$J:$J,0,0)</f>
        <v>0</v>
      </c>
      <c r="EE192">
        <f>_xlfn.XLOOKUP(B192,'[5]july-2025'!$A:$A,'[5]july-2025'!$J:$J,0,0)</f>
        <v>0</v>
      </c>
      <c r="EF192">
        <f>_xlfn.XLOOKUP(B192,'[6]august-2025'!$A:$A,'[6]august-2025'!$J:$J,0,0)</f>
        <v>0</v>
      </c>
      <c r="EG192">
        <f>_xlfn.XLOOKUP(B192,'[7]september-2025'!$A:$A,'[7]september-2025'!$J:$J,0,0)</f>
        <v>0</v>
      </c>
      <c r="EH192">
        <f>_xlfn.XLOOKUP(B192,'[8]october-2025'!$A:$A,'[8]october-2025'!$J:$J,0,0)</f>
        <v>0</v>
      </c>
      <c r="EI192">
        <f>_xlfn.XLOOKUP(C192,'[9]november-2025'!$A:$A,'[9]november-2025'!$J:$J,0,0)</f>
        <v>0</v>
      </c>
      <c r="EJ192">
        <f>_xlfn.XLOOKUP(B192,'[10]december-2025'!$A:$A,'[10]december-2025'!$J:$J,0,0)</f>
        <v>0</v>
      </c>
      <c r="EK192">
        <f>_xlfn.XLOOKUP(B192,'[11]january-2026'!$A:$A,'[11]january-2026'!$J:$J,0,0)</f>
        <v>0</v>
      </c>
      <c r="EL192">
        <f>_xlfn.XLOOKUP(B192,'[12]february-2026'!$A:$A,'[12]february-2026'!$J:$J,0,0)</f>
        <v>0</v>
      </c>
      <c r="EM192">
        <f t="shared" si="361"/>
        <v>0</v>
      </c>
      <c r="EN192">
        <f>DV192+DL192+DB192+CR192+CH192+BX192+BN192+BD192+AS192+AI192+Y192+O192+H192+I192</f>
        <v>544460</v>
      </c>
      <c r="EO192">
        <f>DY192+DO192+DE192+CU192+CK192+CA192+BQ192+BG192+AV192+AL192+AB192+R192</f>
        <v>2400</v>
      </c>
      <c r="EP192">
        <f t="shared" si="409"/>
        <v>50000</v>
      </c>
      <c r="EQ192">
        <v>0</v>
      </c>
      <c r="ER192">
        <f t="shared" si="362"/>
        <v>492060</v>
      </c>
      <c r="ES192">
        <f>DW192+DM192+DC192+CS192+CI192+BY192+BO192+BE192+AT192+AJ192+Z192+P192</f>
        <v>36000</v>
      </c>
      <c r="ET192">
        <f>DX192+DN192+DD192+CT192+CJ192+BZ192+BP192+BF192+AU192+AK192+AA192+Q192</f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410"/>
        <v>36000</v>
      </c>
      <c r="FF192">
        <f t="shared" si="411"/>
        <v>36000</v>
      </c>
      <c r="FG192">
        <f t="shared" si="412"/>
        <v>456060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>SUM(FH192:FN192)+(IF(F192="YES",50000,0))</f>
        <v>0</v>
      </c>
      <c r="FP192">
        <f t="shared" si="413"/>
        <v>456060</v>
      </c>
      <c r="FQ192">
        <f t="shared" si="414"/>
        <v>10303</v>
      </c>
      <c r="FR192">
        <f t="shared" si="415"/>
        <v>0</v>
      </c>
      <c r="FS192">
        <f t="shared" si="416"/>
        <v>10303</v>
      </c>
      <c r="FT192">
        <f t="shared" si="417"/>
        <v>0</v>
      </c>
      <c r="FU192">
        <f t="shared" si="418"/>
        <v>0</v>
      </c>
      <c r="FV192">
        <f t="shared" si="419"/>
        <v>0</v>
      </c>
      <c r="FW192">
        <v>0</v>
      </c>
      <c r="FX192">
        <f t="shared" si="420"/>
        <v>0</v>
      </c>
      <c r="FY192" t="b">
        <f t="shared" si="421"/>
        <v>1</v>
      </c>
      <c r="FZ192">
        <f t="shared" ca="1" si="422"/>
        <v>985</v>
      </c>
      <c r="GA192">
        <f t="shared" ca="1" si="423"/>
        <v>545445</v>
      </c>
      <c r="GB192">
        <f t="shared" si="424"/>
        <v>75000</v>
      </c>
      <c r="GC192">
        <f t="shared" ca="1" si="425"/>
        <v>470445</v>
      </c>
      <c r="GD192">
        <f t="shared" ca="1" si="426"/>
        <v>0</v>
      </c>
      <c r="GE192">
        <f t="shared" ca="1" si="427"/>
        <v>0</v>
      </c>
      <c r="GF192">
        <f t="shared" ca="1" si="428"/>
        <v>0</v>
      </c>
      <c r="GG192">
        <f t="shared" ca="1" si="429"/>
        <v>0</v>
      </c>
      <c r="GH192">
        <f t="shared" ca="1" si="430"/>
        <v>0</v>
      </c>
      <c r="GI192">
        <f t="shared" ca="1" si="431"/>
        <v>0</v>
      </c>
      <c r="GJ192">
        <f ca="1">IF(GC192&gt;1200000,GC192-1200000-IF(F192="YES",50000,0)-GH192,0)</f>
        <v>0</v>
      </c>
      <c r="GK192">
        <f t="shared" ca="1" si="432"/>
        <v>0</v>
      </c>
      <c r="GL192">
        <f t="shared" ca="1" si="433"/>
        <v>0</v>
      </c>
      <c r="GM192">
        <f t="shared" ca="1" si="434"/>
        <v>0</v>
      </c>
      <c r="GN192">
        <f t="shared" ca="1" si="435"/>
        <v>70445</v>
      </c>
      <c r="GO192">
        <f t="shared" ca="1" si="436"/>
        <v>3522.25</v>
      </c>
      <c r="GP192">
        <f t="shared" ca="1" si="437"/>
        <v>3522</v>
      </c>
      <c r="GQ192">
        <f t="shared" ca="1" si="438"/>
        <v>0</v>
      </c>
      <c r="GR192">
        <f t="shared" ca="1" si="439"/>
        <v>0</v>
      </c>
      <c r="GS192">
        <f t="shared" ca="1" si="440"/>
        <v>3522</v>
      </c>
      <c r="GT192">
        <f t="shared" ca="1" si="441"/>
        <v>0</v>
      </c>
      <c r="GU192" t="b">
        <f t="shared" ca="1" si="442"/>
        <v>0</v>
      </c>
      <c r="GV192">
        <f t="shared" ca="1" si="443"/>
        <v>0</v>
      </c>
      <c r="GW192">
        <f t="shared" ca="1" si="444"/>
        <v>3522</v>
      </c>
      <c r="GX192">
        <f t="shared" ca="1" si="445"/>
        <v>0</v>
      </c>
      <c r="GY192">
        <f t="shared" ca="1" si="446"/>
        <v>0</v>
      </c>
      <c r="GZ192">
        <f t="shared" ca="1" si="447"/>
        <v>0</v>
      </c>
    </row>
    <row r="193" spans="1:208" x14ac:dyDescent="0.25">
      <c r="A193">
        <f>_xlfn.AGGREGATE(3,5,$B$2:B193)</f>
        <v>192</v>
      </c>
      <c r="B193" t="s">
        <v>492</v>
      </c>
      <c r="C193" t="s">
        <v>493</v>
      </c>
      <c r="D193" t="s">
        <v>799</v>
      </c>
      <c r="E193" t="s">
        <v>831</v>
      </c>
      <c r="F193" t="s">
        <v>957</v>
      </c>
      <c r="G193" t="s">
        <v>916</v>
      </c>
      <c r="H193">
        <f t="shared" si="450"/>
        <v>6800</v>
      </c>
      <c r="I193">
        <f>_xlfn.XLOOKUP(B193,'[1]march-2025'!$A:$A,'[1]march-2025'!$J:$J,0,0)</f>
        <v>0</v>
      </c>
      <c r="J193">
        <f>_xlfn.XLOOKUP(B193,'[1]march-2025'!$A:$A,'[1]march-2025'!$C:$C,0,0)</f>
        <v>28600</v>
      </c>
      <c r="K193">
        <f t="shared" si="364"/>
        <v>4004.0000000000005</v>
      </c>
      <c r="L193">
        <f t="shared" si="365"/>
        <v>3432</v>
      </c>
      <c r="M193">
        <f>_xlfn.XLOOKUP(B193,'[1]march-2025'!$A:$A,'[1]march-2025'!$D:$D,0,0)</f>
        <v>0</v>
      </c>
      <c r="N193">
        <f>_xlfn.XLOOKUP(B193,'[1]march-2025'!$A:$A,'[1]march-2025'!$G:$G,0,0)</f>
        <v>0</v>
      </c>
      <c r="O193">
        <f>IF(J193&gt;0,SUM(J193:N193),0)</f>
        <v>36036</v>
      </c>
      <c r="P193">
        <f>_xlfn.XLOOKUP(B193,'[1]march-2025'!$A:$A,'[1]march-2025'!$H:$H,0,0)</f>
        <v>5000</v>
      </c>
      <c r="Q193">
        <f>_xlfn.XLOOKUP(B193,'[1]march-2025'!$A:$A,'[1]march-2025'!$I:$I,0,0)</f>
        <v>0</v>
      </c>
      <c r="R193">
        <f t="shared" si="448"/>
        <v>150</v>
      </c>
      <c r="S193">
        <f t="shared" si="357"/>
        <v>30886</v>
      </c>
      <c r="T193">
        <f>_xlfn.XLOOKUP(B193,'[2]april-2025'!$A:$A,'[2]april-2025'!$C:$C,0,0)</f>
        <v>28600</v>
      </c>
      <c r="U193">
        <f t="shared" si="366"/>
        <v>5148</v>
      </c>
      <c r="V193">
        <f t="shared" si="367"/>
        <v>3432</v>
      </c>
      <c r="W193">
        <f>_xlfn.XLOOKUP(B193,'[2]april-2025'!$A:$A,'[2]april-2025'!$D:$D,0,0)</f>
        <v>0</v>
      </c>
      <c r="X193">
        <f>_xlfn.XLOOKUP(B193,'[2]april-2025'!$A:$A,'[2]april-2025'!$G:$G,0,0)</f>
        <v>0</v>
      </c>
      <c r="Y193">
        <f t="shared" si="358"/>
        <v>37180</v>
      </c>
      <c r="Z193">
        <f>_xlfn.XLOOKUP(B193,'[2]april-2025'!$A:$A,'[2]april-2025'!$H:$H,0,0)</f>
        <v>5000</v>
      </c>
      <c r="AA193">
        <f>_xlfn.XLOOKUP(B193,'[2]april-2025'!$A:$A,'[2]april-2025'!$I:$I,0,0)</f>
        <v>0</v>
      </c>
      <c r="AB193">
        <f t="shared" si="368"/>
        <v>150</v>
      </c>
      <c r="AC193">
        <f t="shared" si="369"/>
        <v>32030</v>
      </c>
      <c r="AD193">
        <f>_xlfn.XLOOKUP(B193,'[3]may-2025'!$A:$A,'[3]may-2025'!$C:$C,0,0)</f>
        <v>28600</v>
      </c>
      <c r="AE193">
        <f t="shared" si="370"/>
        <v>5148</v>
      </c>
      <c r="AF193">
        <f t="shared" si="371"/>
        <v>3432</v>
      </c>
      <c r="AG193">
        <f>_xlfn.XLOOKUP(B193,'[3]may-2025'!$A:$A,'[3]may-2025'!$D:$D,0,0)</f>
        <v>0</v>
      </c>
      <c r="AH193">
        <f>_xlfn.XLOOKUP(B193,'[3]may-2025'!$A:$A,'[3]may-2025'!$G:$G,0,0)</f>
        <v>0</v>
      </c>
      <c r="AI193">
        <f t="shared" si="359"/>
        <v>37180</v>
      </c>
      <c r="AJ193">
        <f>_xlfn.XLOOKUP(B193,'[3]may-2025'!$A:$A,'[3]may-2025'!$H:$H,0,0)</f>
        <v>5000</v>
      </c>
      <c r="AK193">
        <f>_xlfn.XLOOKUP(B193,'[3]may-2025'!$A:$A,'[3]may-2025'!$I:$I,0,0)</f>
        <v>0</v>
      </c>
      <c r="AL193">
        <f t="shared" si="372"/>
        <v>150</v>
      </c>
      <c r="AM193">
        <f t="shared" si="373"/>
        <v>32030</v>
      </c>
      <c r="AN193">
        <f>_xlfn.XLOOKUP(B193,'[4]june-2025'!$A:$A,'[4]june-2025'!$C:$C,0,0)</f>
        <v>28600</v>
      </c>
      <c r="AO193">
        <f t="shared" si="374"/>
        <v>5148</v>
      </c>
      <c r="AP193">
        <f t="shared" si="375"/>
        <v>3432</v>
      </c>
      <c r="AQ193">
        <f>_xlfn.XLOOKUP(B193,'[4]june-2025'!$A:$A,'[4]june-2025'!$D:$D,0,0)</f>
        <v>0</v>
      </c>
      <c r="AR193">
        <f>_xlfn.XLOOKUP(B193,'[4]june-2025'!$A:$A,'[4]june-2025'!$G:$G,0,0)</f>
        <v>0</v>
      </c>
      <c r="AS193">
        <f t="shared" si="360"/>
        <v>37180</v>
      </c>
      <c r="AT193">
        <f>_xlfn.XLOOKUP(B193,'[4]june-2025'!$A:$A,'[4]june-2025'!$H:$H,0,0)</f>
        <v>5000</v>
      </c>
      <c r="AU193">
        <f>_xlfn.XLOOKUP(B193,'[4]june-2025'!$A:$A,'[4]june-2025'!$I:$I,0,0)</f>
        <v>0</v>
      </c>
      <c r="AV193">
        <f t="shared" si="376"/>
        <v>150</v>
      </c>
      <c r="AW193">
        <f t="shared" si="377"/>
        <v>32030</v>
      </c>
      <c r="AX193">
        <f>_xlfn.XLOOKUP(B193,'[5]july-2025'!$A:$A,'[5]july-2025'!$C:$C,0,0)</f>
        <v>29500</v>
      </c>
      <c r="AY193">
        <f t="shared" si="378"/>
        <v>5310</v>
      </c>
      <c r="AZ193">
        <v>0</v>
      </c>
      <c r="BA193">
        <f t="shared" si="379"/>
        <v>3540</v>
      </c>
      <c r="BB193">
        <f>_xlfn.XLOOKUP(B193,'[5]july-2025'!$A:$A,'[5]july-2025'!$D:$D,0,0)</f>
        <v>0</v>
      </c>
      <c r="BC193">
        <f>_xlfn.XLOOKUP(B193,'[5]july-2025'!$A:$A,'[5]july-2025'!$G:$G,0,0)</f>
        <v>0</v>
      </c>
      <c r="BD193">
        <f>IF(AX193&gt;0,SUM(AX193:BC193),0)</f>
        <v>38350</v>
      </c>
      <c r="BE193">
        <f>_xlfn.XLOOKUP(B193,'[5]july-2025'!$A:$A,'[5]july-2025'!$H:$H,0,0)</f>
        <v>5000</v>
      </c>
      <c r="BF193">
        <f>_xlfn.XLOOKUP(B193,'[5]july-2025'!$A:$A,'[5]july-2025'!$I:$I,0,0)</f>
        <v>0</v>
      </c>
      <c r="BG193">
        <f t="shared" si="380"/>
        <v>150</v>
      </c>
      <c r="BH193">
        <f t="shared" si="381"/>
        <v>33200</v>
      </c>
      <c r="BI193">
        <f>_xlfn.XLOOKUP(B193,'[6]august-2025'!$A:$A,'[6]august-2025'!$C:$C,0,0)</f>
        <v>29500</v>
      </c>
      <c r="BJ193">
        <f t="shared" si="382"/>
        <v>5310</v>
      </c>
      <c r="BK193">
        <f t="shared" si="383"/>
        <v>3540</v>
      </c>
      <c r="BL193">
        <f>_xlfn.XLOOKUP(B193,'[6]august-2025'!$A:$A,'[6]august-2025'!$D:$D,0,0)</f>
        <v>0</v>
      </c>
      <c r="BM193">
        <f>_xlfn.XLOOKUP(B193,'[6]august-2025'!$A:$A,'[6]august-2025'!$G:$G,0,0)</f>
        <v>0</v>
      </c>
      <c r="BN193">
        <f t="shared" si="384"/>
        <v>38350</v>
      </c>
      <c r="BO193">
        <f>_xlfn.XLOOKUP(B193,'[6]august-2025'!$A:$A,'[6]august-2025'!$H:$H,0,0)</f>
        <v>5000</v>
      </c>
      <c r="BP193">
        <f>_xlfn.XLOOKUP(B193,'[6]august-2025'!$A:$A,'[6]august-2025'!$I:$I,0,0)</f>
        <v>0</v>
      </c>
      <c r="BQ193">
        <f>IF($F193="YES",0,IF(BN193&gt;40000,200,IF(BN193&gt;25000,150,IF(BN193&gt;15000,130,IF(BN193&gt;10000,110,0)))))</f>
        <v>150</v>
      </c>
      <c r="BR193">
        <f>BN193-BO193-BP193-BQ193</f>
        <v>33200</v>
      </c>
      <c r="BS193">
        <f>_xlfn.XLOOKUP(B193,'[7]september-2025'!$A:$A,'[7]september-2025'!$C:$C,0,0)</f>
        <v>29500</v>
      </c>
      <c r="BT193">
        <f t="shared" si="385"/>
        <v>5310</v>
      </c>
      <c r="BU193">
        <f t="shared" si="386"/>
        <v>3540</v>
      </c>
      <c r="BV193">
        <f>_xlfn.XLOOKUP(B193,'[7]september-2025'!$A:$A,'[7]september-2025'!$D:$D,0,0)</f>
        <v>0</v>
      </c>
      <c r="BW193">
        <f>_xlfn.XLOOKUP(B193,'[7]september-2025'!$A:$A,'[7]september-2025'!$G:$G,0,0)</f>
        <v>0</v>
      </c>
      <c r="BX193">
        <f>IF(BS193&gt;0,SUM(BS193:BW193),0)</f>
        <v>38350</v>
      </c>
      <c r="BY193">
        <f>_xlfn.XLOOKUP(B193,'[7]september-2025'!$A:$A,'[7]september-2025'!$H:$H,0,0)</f>
        <v>5000</v>
      </c>
      <c r="BZ193">
        <f>_xlfn.XLOOKUP(B193,'[7]september-2025'!$A:$A,'[7]september-2025'!$I:$I,0,0)</f>
        <v>0</v>
      </c>
      <c r="CA193">
        <f t="shared" si="387"/>
        <v>150</v>
      </c>
      <c r="CB193">
        <f t="shared" si="388"/>
        <v>33200</v>
      </c>
      <c r="CC193">
        <f>_xlfn.XLOOKUP(B193,'[8]october-2025'!$A:$A,'[8]october-2025'!$C:$C,0,0)</f>
        <v>29500</v>
      </c>
      <c r="CD193">
        <f t="shared" si="389"/>
        <v>5310</v>
      </c>
      <c r="CE193">
        <f t="shared" si="390"/>
        <v>3540</v>
      </c>
      <c r="CF193">
        <f>_xlfn.XLOOKUP(B193,'[8]october-2025'!$A:$A,'[8]october-2025'!$D:$D,0,0)</f>
        <v>0</v>
      </c>
      <c r="CG193">
        <f>_xlfn.XLOOKUP(B193,'[8]october-2025'!$A:$A,'[8]october-2025'!$G:$G,0,0)</f>
        <v>0</v>
      </c>
      <c r="CH193">
        <f>IF(CC193&gt;0,SUM(CC193:CG193),0)</f>
        <v>38350</v>
      </c>
      <c r="CI193">
        <f>_xlfn.XLOOKUP(B193,'[8]october-2025'!$A:$A,'[8]october-2025'!$H:$H,0,0)</f>
        <v>5000</v>
      </c>
      <c r="CJ193">
        <f>_xlfn.XLOOKUP(B193,'[8]october-2025'!$A:$A,'[8]october-2025'!$I:$I,0,0)</f>
        <v>0</v>
      </c>
      <c r="CK193">
        <f t="shared" si="391"/>
        <v>150</v>
      </c>
      <c r="CL193">
        <f t="shared" si="392"/>
        <v>33200</v>
      </c>
      <c r="CM193">
        <f>_xlfn.XLOOKUP(B193,'[9]november-2025'!$A:$A,'[9]november-2025'!$C:$C,0,0)</f>
        <v>29500</v>
      </c>
      <c r="CN193">
        <f t="shared" si="393"/>
        <v>5310</v>
      </c>
      <c r="CO193">
        <f t="shared" si="394"/>
        <v>3540</v>
      </c>
      <c r="CP193">
        <f>_xlfn.XLOOKUP(B193,'[9]november-2025'!$A:$A,'[9]november-2025'!$D:$D,0,0)</f>
        <v>0</v>
      </c>
      <c r="CQ193">
        <f>_xlfn.XLOOKUP(B193,'[9]november-2025'!$A:$A,'[9]november-2025'!$G:$G,0,0)</f>
        <v>0</v>
      </c>
      <c r="CR193">
        <f>IF(CM193&gt;0,SUM(CM193:CQ193),0)</f>
        <v>38350</v>
      </c>
      <c r="CS193">
        <f>_xlfn.XLOOKUP(B193,'[9]november-2025'!$A:$A,'[9]november-2025'!$H:$H,0,0)</f>
        <v>5000</v>
      </c>
      <c r="CT193">
        <f>_xlfn.XLOOKUP(B193,'[9]november-2025'!$A:$A,'[9]november-2025'!$I:$I,0,0)</f>
        <v>0</v>
      </c>
      <c r="CU193">
        <f t="shared" si="395"/>
        <v>150</v>
      </c>
      <c r="CV193">
        <f t="shared" si="396"/>
        <v>33200</v>
      </c>
      <c r="CW193">
        <f>_xlfn.XLOOKUP(B193,'[10]december-2025'!$A:$A,'[10]december-2025'!$C:$C,0,0)</f>
        <v>29500</v>
      </c>
      <c r="CX193">
        <f t="shared" si="397"/>
        <v>5310</v>
      </c>
      <c r="CY193">
        <f t="shared" si="398"/>
        <v>3540</v>
      </c>
      <c r="CZ193">
        <f>_xlfn.XLOOKUP(B193,'[10]december-2025'!$A:$A,'[10]december-2025'!$D:$D,0,0)</f>
        <v>0</v>
      </c>
      <c r="DA193">
        <f>_xlfn.XLOOKUP(B193,'[10]december-2025'!$A:$A,'[10]december-2025'!$G:$G,0,0)</f>
        <v>0</v>
      </c>
      <c r="DB193">
        <f>IF(CW193&gt;0,SUM(CW193:DA193),0)</f>
        <v>38350</v>
      </c>
      <c r="DC193">
        <f>_xlfn.XLOOKUP(B193,'[10]december-2025'!$A:$A,'[10]december-2025'!$H:$H,0,0)</f>
        <v>5000</v>
      </c>
      <c r="DD193">
        <f>_xlfn.XLOOKUP(B193,'[10]december-2025'!$A:$A,'[10]december-2025'!$I:$I,0,0)</f>
        <v>0</v>
      </c>
      <c r="DE193">
        <f t="shared" si="399"/>
        <v>150</v>
      </c>
      <c r="DF193">
        <f t="shared" si="400"/>
        <v>33200</v>
      </c>
      <c r="DG193">
        <f>_xlfn.XLOOKUP(B193,'[11]january-2026'!$A:$A,'[11]january-2026'!$C:$C,0,0)</f>
        <v>29500</v>
      </c>
      <c r="DH193">
        <f t="shared" si="401"/>
        <v>5310</v>
      </c>
      <c r="DI193">
        <f t="shared" si="402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>IF(DG193&gt;0,SUM(DG193:DK193),0)</f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03"/>
        <v>150</v>
      </c>
      <c r="DP193">
        <f t="shared" si="404"/>
        <v>33200</v>
      </c>
      <c r="DQ193">
        <f>_xlfn.XLOOKUP(B193,'[12]february-2026'!$A:$A,'[12]february-2026'!$C:$C,0,0)</f>
        <v>29500</v>
      </c>
      <c r="DR193">
        <f t="shared" si="405"/>
        <v>5310</v>
      </c>
      <c r="DS193">
        <f t="shared" si="406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>IF(DQ193&gt;0,SUM(DQ193:DU193),0)</f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07"/>
        <v>150</v>
      </c>
      <c r="DZ193">
        <f t="shared" si="408"/>
        <v>33200</v>
      </c>
      <c r="EA193">
        <f>_xlfn.XLOOKUP(B193,'[1]march-2025'!$A:$A,'[1]march-2025'!$J:$J,0,0)</f>
        <v>0</v>
      </c>
      <c r="EB193">
        <f>_xlfn.XLOOKUP(B193,'[2]april-2025'!$A:$A,'[2]april-2025'!$J:$J,0,0)</f>
        <v>0</v>
      </c>
      <c r="EC193">
        <f>_xlfn.XLOOKUP(B193,'[3]may-2025'!$A:$A,'[3]may-2025'!$J:$J,0,0)</f>
        <v>0</v>
      </c>
      <c r="ED193">
        <f>_xlfn.XLOOKUP(B193,'[4]june-2025'!$A:$A,'[4]june-2025'!$J:$J,0,0)</f>
        <v>0</v>
      </c>
      <c r="EE193">
        <f>_xlfn.XLOOKUP(B193,'[5]july-2025'!$A:$A,'[5]july-2025'!$J:$J,0,0)</f>
        <v>0</v>
      </c>
      <c r="EF193">
        <f>_xlfn.XLOOKUP(B193,'[6]august-2025'!$A:$A,'[6]august-2025'!$J:$J,0,0)</f>
        <v>0</v>
      </c>
      <c r="EG193">
        <f>_xlfn.XLOOKUP(B193,'[7]september-2025'!$A:$A,'[7]september-2025'!$J:$J,0,0)</f>
        <v>0</v>
      </c>
      <c r="EH193">
        <f>_xlfn.XLOOKUP(B193,'[8]october-2025'!$A:$A,'[8]october-2025'!$J:$J,0,0)</f>
        <v>0</v>
      </c>
      <c r="EI193">
        <f>_xlfn.XLOOKUP(C193,'[9]november-2025'!$A:$A,'[9]november-2025'!$J:$J,0,0)</f>
        <v>0</v>
      </c>
      <c r="EJ193">
        <f>_xlfn.XLOOKUP(B193,'[10]december-2025'!$A:$A,'[10]december-2025'!$J:$J,0,0)</f>
        <v>0</v>
      </c>
      <c r="EK193">
        <f>_xlfn.XLOOKUP(B193,'[11]january-2026'!$A:$A,'[11]january-2026'!$J:$J,0,0)</f>
        <v>0</v>
      </c>
      <c r="EL193">
        <f>_xlfn.XLOOKUP(B193,'[12]february-2026'!$A:$A,'[12]february-2026'!$J:$J,0,0)</f>
        <v>0</v>
      </c>
      <c r="EM193">
        <f t="shared" si="361"/>
        <v>0</v>
      </c>
      <c r="EN193">
        <f>DV193+DL193+DB193+CR193+CH193+BX193+BN193+BD193+AS193+AI193+Y193+O193+H193+I193</f>
        <v>461176</v>
      </c>
      <c r="EO193">
        <f>DY193+DO193+DE193+CU193+CK193+CA193+BQ193+BG193+AV193+AL193+AB193+R193</f>
        <v>1800</v>
      </c>
      <c r="EP193">
        <f t="shared" si="409"/>
        <v>50000</v>
      </c>
      <c r="EQ193">
        <v>0</v>
      </c>
      <c r="ER193">
        <f t="shared" si="362"/>
        <v>409376</v>
      </c>
      <c r="ES193">
        <f>DW193+DM193+DC193+CS193+CI193+BY193+BO193+BE193+AT193+AJ193+Z193+P193</f>
        <v>60000</v>
      </c>
      <c r="ET193">
        <f>DX193+DN193+DD193+CT193+CJ193+BZ193+BP193+BF193+AU193+AK193+AA193+Q193</f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410"/>
        <v>60000</v>
      </c>
      <c r="FF193">
        <f t="shared" si="411"/>
        <v>60000</v>
      </c>
      <c r="FG193">
        <f t="shared" si="412"/>
        <v>349376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>SUM(FH193:FN193)+(IF(F193="YES",50000,0))</f>
        <v>0</v>
      </c>
      <c r="FP193">
        <f t="shared" si="413"/>
        <v>349376</v>
      </c>
      <c r="FQ193">
        <f t="shared" si="414"/>
        <v>4969</v>
      </c>
      <c r="FR193">
        <f t="shared" si="415"/>
        <v>0</v>
      </c>
      <c r="FS193">
        <f t="shared" si="416"/>
        <v>4969</v>
      </c>
      <c r="FT193">
        <f t="shared" si="417"/>
        <v>0</v>
      </c>
      <c r="FU193">
        <f t="shared" si="418"/>
        <v>0</v>
      </c>
      <c r="FV193">
        <f t="shared" si="419"/>
        <v>0</v>
      </c>
      <c r="FW193">
        <v>0</v>
      </c>
      <c r="FX193">
        <f t="shared" si="420"/>
        <v>0</v>
      </c>
      <c r="FY193" t="b">
        <f t="shared" si="421"/>
        <v>0</v>
      </c>
      <c r="FZ193">
        <f t="shared" ca="1" si="422"/>
        <v>1966</v>
      </c>
      <c r="GA193">
        <f t="shared" ca="1" si="423"/>
        <v>463142</v>
      </c>
      <c r="GB193">
        <f t="shared" si="424"/>
        <v>75000</v>
      </c>
      <c r="GC193">
        <f t="shared" ca="1" si="425"/>
        <v>388142</v>
      </c>
      <c r="GD193">
        <f t="shared" ca="1" si="426"/>
        <v>0</v>
      </c>
      <c r="GE193">
        <f t="shared" ca="1" si="427"/>
        <v>0</v>
      </c>
      <c r="GF193">
        <f t="shared" ca="1" si="428"/>
        <v>0</v>
      </c>
      <c r="GG193">
        <f t="shared" ca="1" si="429"/>
        <v>0</v>
      </c>
      <c r="GH193">
        <f t="shared" ca="1" si="430"/>
        <v>0</v>
      </c>
      <c r="GI193">
        <f t="shared" ca="1" si="431"/>
        <v>0</v>
      </c>
      <c r="GJ193">
        <f ca="1">IF(GC193&gt;1200000,GC193-1200000-IF(F193="YES",50000,0)-GH193,0)</f>
        <v>0</v>
      </c>
      <c r="GK193">
        <f t="shared" ca="1" si="432"/>
        <v>0</v>
      </c>
      <c r="GL193">
        <f t="shared" ca="1" si="433"/>
        <v>0</v>
      </c>
      <c r="GM193">
        <f t="shared" ca="1" si="434"/>
        <v>0</v>
      </c>
      <c r="GN193">
        <f t="shared" ca="1" si="435"/>
        <v>0</v>
      </c>
      <c r="GO193">
        <f t="shared" ca="1" si="436"/>
        <v>0</v>
      </c>
      <c r="GP193">
        <f t="shared" ca="1" si="437"/>
        <v>0</v>
      </c>
      <c r="GQ193">
        <f t="shared" ca="1" si="438"/>
        <v>0</v>
      </c>
      <c r="GR193">
        <f t="shared" ca="1" si="439"/>
        <v>0</v>
      </c>
      <c r="GS193">
        <f t="shared" ca="1" si="440"/>
        <v>0</v>
      </c>
      <c r="GT193">
        <f t="shared" ca="1" si="441"/>
        <v>0</v>
      </c>
      <c r="GU193" t="b">
        <f t="shared" ca="1" si="442"/>
        <v>0</v>
      </c>
      <c r="GV193">
        <f t="shared" ca="1" si="443"/>
        <v>0</v>
      </c>
      <c r="GW193">
        <f t="shared" ca="1" si="444"/>
        <v>0</v>
      </c>
      <c r="GX193">
        <f t="shared" ca="1" si="445"/>
        <v>0</v>
      </c>
      <c r="GY193">
        <f t="shared" ca="1" si="446"/>
        <v>0</v>
      </c>
      <c r="GZ193">
        <f t="shared" ca="1" si="447"/>
        <v>0</v>
      </c>
    </row>
    <row r="194" spans="1:208" x14ac:dyDescent="0.25">
      <c r="A194">
        <f>_xlfn.AGGREGATE(3,5,$B$2:B194)</f>
        <v>193</v>
      </c>
      <c r="B194" t="s">
        <v>494</v>
      </c>
      <c r="C194" t="s">
        <v>495</v>
      </c>
      <c r="D194" t="s">
        <v>800</v>
      </c>
      <c r="E194" t="s">
        <v>831</v>
      </c>
      <c r="F194" t="s">
        <v>958</v>
      </c>
      <c r="G194" t="s">
        <v>936</v>
      </c>
      <c r="H194">
        <f t="shared" si="450"/>
        <v>6800</v>
      </c>
      <c r="I194">
        <f>_xlfn.XLOOKUP(B194,'[1]march-2025'!$A:$A,'[1]march-2025'!$J:$J,0,0)</f>
        <v>0</v>
      </c>
      <c r="J194">
        <f>_xlfn.XLOOKUP(B194,'[1]march-2025'!$A:$A,'[1]march-2025'!$C:$C,0,0)</f>
        <v>58800</v>
      </c>
      <c r="K194">
        <f t="shared" si="364"/>
        <v>8232</v>
      </c>
      <c r="L194">
        <f t="shared" si="365"/>
        <v>7056</v>
      </c>
      <c r="M194">
        <f>_xlfn.XLOOKUP(B194,'[1]march-2025'!$A:$A,'[1]march-2025'!$D:$D,0,0)</f>
        <v>400</v>
      </c>
      <c r="N194">
        <f>_xlfn.XLOOKUP(B194,'[1]march-2025'!$A:$A,'[1]march-2025'!$G:$G,0,0)</f>
        <v>500</v>
      </c>
      <c r="O194">
        <f>IF(J194&gt;0,SUM(J194:N194),0)</f>
        <v>74988</v>
      </c>
      <c r="P194">
        <f>_xlfn.XLOOKUP(B194,'[1]march-2025'!$A:$A,'[1]march-2025'!$H:$H,0,0)</f>
        <v>13000</v>
      </c>
      <c r="Q194">
        <f>_xlfn.XLOOKUP(B194,'[1]march-2025'!$A:$A,'[1]march-2025'!$I:$I,0,0)</f>
        <v>0</v>
      </c>
      <c r="R194">
        <f t="shared" si="448"/>
        <v>0</v>
      </c>
      <c r="S194">
        <f t="shared" si="357"/>
        <v>61988</v>
      </c>
      <c r="T194">
        <f>_xlfn.XLOOKUP(B194,'[2]april-2025'!$A:$A,'[2]april-2025'!$C:$C,0,0)</f>
        <v>58800</v>
      </c>
      <c r="U194">
        <f t="shared" si="366"/>
        <v>10584</v>
      </c>
      <c r="V194">
        <f t="shared" si="367"/>
        <v>7056</v>
      </c>
      <c r="W194">
        <f>_xlfn.XLOOKUP(B194,'[2]april-2025'!$A:$A,'[2]april-2025'!$D:$D,0,0)</f>
        <v>400</v>
      </c>
      <c r="X194">
        <f>_xlfn.XLOOKUP(B194,'[2]april-2025'!$A:$A,'[2]april-2025'!$G:$G,0,0)</f>
        <v>500</v>
      </c>
      <c r="Y194">
        <f t="shared" si="358"/>
        <v>77340</v>
      </c>
      <c r="Z194">
        <f>_xlfn.XLOOKUP(B194,'[2]april-2025'!$A:$A,'[2]april-2025'!$H:$H,0,0)</f>
        <v>13000</v>
      </c>
      <c r="AA194">
        <f>_xlfn.XLOOKUP(B194,'[2]april-2025'!$A:$A,'[2]april-2025'!$I:$I,0,0)</f>
        <v>0</v>
      </c>
      <c r="AB194">
        <f t="shared" si="368"/>
        <v>0</v>
      </c>
      <c r="AC194">
        <f t="shared" si="369"/>
        <v>64340</v>
      </c>
      <c r="AD194">
        <f>_xlfn.XLOOKUP(B194,'[3]may-2025'!$A:$A,'[3]may-2025'!$C:$C,0,0)</f>
        <v>58800</v>
      </c>
      <c r="AE194">
        <f t="shared" si="370"/>
        <v>10584</v>
      </c>
      <c r="AF194">
        <f t="shared" si="371"/>
        <v>7056</v>
      </c>
      <c r="AG194">
        <f>_xlfn.XLOOKUP(B194,'[3]may-2025'!$A:$A,'[3]may-2025'!$D:$D,0,0)</f>
        <v>400</v>
      </c>
      <c r="AH194">
        <f>_xlfn.XLOOKUP(B194,'[3]may-2025'!$A:$A,'[3]may-2025'!$G:$G,0,0)</f>
        <v>500</v>
      </c>
      <c r="AI194">
        <f t="shared" si="359"/>
        <v>77340</v>
      </c>
      <c r="AJ194">
        <f>_xlfn.XLOOKUP(B194,'[3]may-2025'!$A:$A,'[3]may-2025'!$H:$H,0,0)</f>
        <v>13000</v>
      </c>
      <c r="AK194">
        <f>_xlfn.XLOOKUP(B194,'[3]may-2025'!$A:$A,'[3]may-2025'!$I:$I,0,0)</f>
        <v>0</v>
      </c>
      <c r="AL194">
        <f t="shared" si="372"/>
        <v>0</v>
      </c>
      <c r="AM194">
        <f t="shared" si="373"/>
        <v>64340</v>
      </c>
      <c r="AN194">
        <f>_xlfn.XLOOKUP(B194,'[4]june-2025'!$A:$A,'[4]june-2025'!$C:$C,0,0)</f>
        <v>58800</v>
      </c>
      <c r="AO194">
        <f t="shared" si="374"/>
        <v>10584</v>
      </c>
      <c r="AP194">
        <f t="shared" si="375"/>
        <v>7056</v>
      </c>
      <c r="AQ194">
        <f>_xlfn.XLOOKUP(B194,'[4]june-2025'!$A:$A,'[4]june-2025'!$D:$D,0,0)</f>
        <v>400</v>
      </c>
      <c r="AR194">
        <f>_xlfn.XLOOKUP(B194,'[4]june-2025'!$A:$A,'[4]june-2025'!$G:$G,0,0)</f>
        <v>500</v>
      </c>
      <c r="AS194">
        <f t="shared" si="360"/>
        <v>77340</v>
      </c>
      <c r="AT194">
        <f>_xlfn.XLOOKUP(B194,'[4]june-2025'!$A:$A,'[4]june-2025'!$H:$H,0,0)</f>
        <v>13000</v>
      </c>
      <c r="AU194">
        <f>_xlfn.XLOOKUP(B194,'[4]june-2025'!$A:$A,'[4]june-2025'!$I:$I,0,0)</f>
        <v>0</v>
      </c>
      <c r="AV194">
        <f t="shared" si="376"/>
        <v>0</v>
      </c>
      <c r="AW194">
        <f t="shared" si="377"/>
        <v>64340</v>
      </c>
      <c r="AX194">
        <f>_xlfn.XLOOKUP(B194,'[5]july-2025'!$A:$A,'[5]july-2025'!$C:$C,0,0)</f>
        <v>60600</v>
      </c>
      <c r="AY194">
        <f t="shared" si="378"/>
        <v>10908</v>
      </c>
      <c r="AZ194">
        <v>0</v>
      </c>
      <c r="BA194">
        <f t="shared" si="379"/>
        <v>7272</v>
      </c>
      <c r="BB194">
        <f>_xlfn.XLOOKUP(B194,'[5]july-2025'!$A:$A,'[5]july-2025'!$D:$D,0,0)</f>
        <v>400</v>
      </c>
      <c r="BC194">
        <f>_xlfn.XLOOKUP(B194,'[5]july-2025'!$A:$A,'[5]july-2025'!$G:$G,0,0)</f>
        <v>500</v>
      </c>
      <c r="BD194">
        <f>IF(AX194&gt;0,SUM(AX194:BC194),0)</f>
        <v>79680</v>
      </c>
      <c r="BE194">
        <f>_xlfn.XLOOKUP(B194,'[5]july-2025'!$A:$A,'[5]july-2025'!$H:$H,0,0)</f>
        <v>13000</v>
      </c>
      <c r="BF194">
        <f>_xlfn.XLOOKUP(B194,'[5]july-2025'!$A:$A,'[5]july-2025'!$I:$I,0,0)</f>
        <v>0</v>
      </c>
      <c r="BG194">
        <f t="shared" si="380"/>
        <v>0</v>
      </c>
      <c r="BH194">
        <f t="shared" si="381"/>
        <v>66680</v>
      </c>
      <c r="BI194">
        <f>_xlfn.XLOOKUP(B194,'[6]august-2025'!$A:$A,'[6]august-2025'!$C:$C,0,0)</f>
        <v>60600</v>
      </c>
      <c r="BJ194">
        <f t="shared" si="382"/>
        <v>10908</v>
      </c>
      <c r="BK194">
        <f t="shared" si="383"/>
        <v>7272</v>
      </c>
      <c r="BL194">
        <f>_xlfn.XLOOKUP(B194,'[6]august-2025'!$A:$A,'[6]august-2025'!$D:$D,0,0)</f>
        <v>400</v>
      </c>
      <c r="BM194">
        <f>_xlfn.XLOOKUP(B194,'[6]august-2025'!$A:$A,'[6]august-2025'!$G:$G,0,0)</f>
        <v>500</v>
      </c>
      <c r="BN194">
        <f t="shared" si="384"/>
        <v>79680</v>
      </c>
      <c r="BO194">
        <f>_xlfn.XLOOKUP(B194,'[6]august-2025'!$A:$A,'[6]august-2025'!$H:$H,0,0)</f>
        <v>13000</v>
      </c>
      <c r="BP194">
        <f>_xlfn.XLOOKUP(B194,'[6]august-2025'!$A:$A,'[6]august-2025'!$I:$I,0,0)</f>
        <v>0</v>
      </c>
      <c r="BQ194">
        <f>IF($F194="YES",0,IF(BN194&gt;40000,200,IF(BN194&gt;25000,150,IF(BN194&gt;15000,130,IF(BN194&gt;10000,110,0)))))</f>
        <v>0</v>
      </c>
      <c r="BR194">
        <f>BN194-BO194-BP194-BQ194</f>
        <v>66680</v>
      </c>
      <c r="BS194">
        <f>_xlfn.XLOOKUP(B194,'[7]september-2025'!$A:$A,'[7]september-2025'!$C:$C,0,0)</f>
        <v>60600</v>
      </c>
      <c r="BT194">
        <f t="shared" si="385"/>
        <v>10908</v>
      </c>
      <c r="BU194">
        <f t="shared" si="386"/>
        <v>7272</v>
      </c>
      <c r="BV194">
        <f>_xlfn.XLOOKUP(B194,'[7]september-2025'!$A:$A,'[7]september-2025'!$D:$D,0,0)</f>
        <v>400</v>
      </c>
      <c r="BW194">
        <f>_xlfn.XLOOKUP(B194,'[7]september-2025'!$A:$A,'[7]september-2025'!$G:$G,0,0)</f>
        <v>500</v>
      </c>
      <c r="BX194">
        <f>IF(BS194&gt;0,SUM(BS194:BW194),0)</f>
        <v>79680</v>
      </c>
      <c r="BY194">
        <f>_xlfn.XLOOKUP(B194,'[7]september-2025'!$A:$A,'[7]september-2025'!$H:$H,0,0)</f>
        <v>13000</v>
      </c>
      <c r="BZ194">
        <f>_xlfn.XLOOKUP(B194,'[7]september-2025'!$A:$A,'[7]september-2025'!$I:$I,0,0)</f>
        <v>0</v>
      </c>
      <c r="CA194">
        <f t="shared" si="387"/>
        <v>0</v>
      </c>
      <c r="CB194">
        <f t="shared" si="388"/>
        <v>66680</v>
      </c>
      <c r="CC194">
        <f>_xlfn.XLOOKUP(B194,'[8]october-2025'!$A:$A,'[8]october-2025'!$C:$C,0,0)</f>
        <v>60600</v>
      </c>
      <c r="CD194">
        <f t="shared" si="389"/>
        <v>10908</v>
      </c>
      <c r="CE194">
        <f t="shared" si="390"/>
        <v>7272</v>
      </c>
      <c r="CF194">
        <f>_xlfn.XLOOKUP(B194,'[8]october-2025'!$A:$A,'[8]october-2025'!$D:$D,0,0)</f>
        <v>400</v>
      </c>
      <c r="CG194">
        <f>_xlfn.XLOOKUP(B194,'[8]october-2025'!$A:$A,'[8]october-2025'!$G:$G,0,0)</f>
        <v>500</v>
      </c>
      <c r="CH194">
        <f>IF(CC194&gt;0,SUM(CC194:CG194),0)</f>
        <v>79680</v>
      </c>
      <c r="CI194">
        <f>_xlfn.XLOOKUP(B194,'[8]october-2025'!$A:$A,'[8]october-2025'!$H:$H,0,0)</f>
        <v>13000</v>
      </c>
      <c r="CJ194">
        <f>_xlfn.XLOOKUP(B194,'[8]october-2025'!$A:$A,'[8]october-2025'!$I:$I,0,0)</f>
        <v>0</v>
      </c>
      <c r="CK194">
        <f t="shared" si="391"/>
        <v>0</v>
      </c>
      <c r="CL194">
        <f t="shared" si="392"/>
        <v>66680</v>
      </c>
      <c r="CM194">
        <f>_xlfn.XLOOKUP(B194,'[9]november-2025'!$A:$A,'[9]november-2025'!$C:$C,0,0)</f>
        <v>60600</v>
      </c>
      <c r="CN194">
        <f t="shared" si="393"/>
        <v>10908</v>
      </c>
      <c r="CO194">
        <f t="shared" si="394"/>
        <v>7272</v>
      </c>
      <c r="CP194">
        <f>_xlfn.XLOOKUP(B194,'[9]november-2025'!$A:$A,'[9]november-2025'!$D:$D,0,0)</f>
        <v>400</v>
      </c>
      <c r="CQ194">
        <f>_xlfn.XLOOKUP(B194,'[9]november-2025'!$A:$A,'[9]november-2025'!$G:$G,0,0)</f>
        <v>500</v>
      </c>
      <c r="CR194">
        <f>IF(CM194&gt;0,SUM(CM194:CQ194),0)</f>
        <v>79680</v>
      </c>
      <c r="CS194">
        <f>_xlfn.XLOOKUP(B194,'[9]november-2025'!$A:$A,'[9]november-2025'!$H:$H,0,0)</f>
        <v>13000</v>
      </c>
      <c r="CT194">
        <f>_xlfn.XLOOKUP(B194,'[9]november-2025'!$A:$A,'[9]november-2025'!$I:$I,0,0)</f>
        <v>0</v>
      </c>
      <c r="CU194">
        <f t="shared" si="395"/>
        <v>0</v>
      </c>
      <c r="CV194">
        <f t="shared" si="396"/>
        <v>66680</v>
      </c>
      <c r="CW194">
        <f>_xlfn.XLOOKUP(B194,'[10]december-2025'!$A:$A,'[10]december-2025'!$C:$C,0,0)</f>
        <v>60600</v>
      </c>
      <c r="CX194">
        <f t="shared" si="397"/>
        <v>10908</v>
      </c>
      <c r="CY194">
        <f t="shared" si="398"/>
        <v>7272</v>
      </c>
      <c r="CZ194">
        <f>_xlfn.XLOOKUP(B194,'[10]december-2025'!$A:$A,'[10]december-2025'!$D:$D,0,0)</f>
        <v>400</v>
      </c>
      <c r="DA194">
        <f>_xlfn.XLOOKUP(B194,'[10]december-2025'!$A:$A,'[10]december-2025'!$G:$G,0,0)</f>
        <v>500</v>
      </c>
      <c r="DB194">
        <f>IF(CW194&gt;0,SUM(CW194:DA194),0)</f>
        <v>79680</v>
      </c>
      <c r="DC194">
        <f>_xlfn.XLOOKUP(B194,'[10]december-2025'!$A:$A,'[10]december-2025'!$H:$H,0,0)</f>
        <v>13000</v>
      </c>
      <c r="DD194">
        <f>_xlfn.XLOOKUP(B194,'[10]december-2025'!$A:$A,'[10]december-2025'!$I:$I,0,0)</f>
        <v>0</v>
      </c>
      <c r="DE194">
        <f t="shared" si="399"/>
        <v>0</v>
      </c>
      <c r="DF194">
        <f t="shared" si="400"/>
        <v>66680</v>
      </c>
      <c r="DG194">
        <f>_xlfn.XLOOKUP(B194,'[11]january-2026'!$A:$A,'[11]january-2026'!$C:$C,0,0)</f>
        <v>60600</v>
      </c>
      <c r="DH194">
        <f t="shared" si="401"/>
        <v>10908</v>
      </c>
      <c r="DI194">
        <f t="shared" si="402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>IF(DG194&gt;0,SUM(DG194:DK194),0)</f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03"/>
        <v>0</v>
      </c>
      <c r="DP194">
        <f t="shared" si="404"/>
        <v>66680</v>
      </c>
      <c r="DQ194">
        <f>_xlfn.XLOOKUP(B194,'[12]february-2026'!$A:$A,'[12]february-2026'!$C:$C,0,0)</f>
        <v>60600</v>
      </c>
      <c r="DR194">
        <f t="shared" si="405"/>
        <v>10908</v>
      </c>
      <c r="DS194">
        <f t="shared" si="406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>IF(DQ194&gt;0,SUM(DQ194:DU194),0)</f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07"/>
        <v>0</v>
      </c>
      <c r="DZ194">
        <f t="shared" si="408"/>
        <v>66680</v>
      </c>
      <c r="EA194">
        <f>_xlfn.XLOOKUP(B194,'[1]march-2025'!$A:$A,'[1]march-2025'!$J:$J,0,0)</f>
        <v>0</v>
      </c>
      <c r="EB194">
        <f>_xlfn.XLOOKUP(B194,'[2]april-2025'!$A:$A,'[2]april-2025'!$J:$J,0,0)</f>
        <v>0</v>
      </c>
      <c r="EC194">
        <f>_xlfn.XLOOKUP(B194,'[3]may-2025'!$A:$A,'[3]may-2025'!$J:$J,0,0)</f>
        <v>0</v>
      </c>
      <c r="ED194">
        <f>_xlfn.XLOOKUP(B194,'[4]june-2025'!$A:$A,'[4]june-2025'!$J:$J,0,0)</f>
        <v>0</v>
      </c>
      <c r="EE194">
        <f>_xlfn.XLOOKUP(B194,'[5]july-2025'!$A:$A,'[5]july-2025'!$J:$J,0,0)</f>
        <v>0</v>
      </c>
      <c r="EF194">
        <f>_xlfn.XLOOKUP(B194,'[6]august-2025'!$A:$A,'[6]august-2025'!$J:$J,0,0)</f>
        <v>0</v>
      </c>
      <c r="EG194">
        <f>_xlfn.XLOOKUP(B194,'[7]september-2025'!$A:$A,'[7]september-2025'!$J:$J,0,0)</f>
        <v>0</v>
      </c>
      <c r="EH194">
        <f>_xlfn.XLOOKUP(B194,'[8]october-2025'!$A:$A,'[8]october-2025'!$J:$J,0,0)</f>
        <v>0</v>
      </c>
      <c r="EI194">
        <f>_xlfn.XLOOKUP(C194,'[9]november-2025'!$A:$A,'[9]november-2025'!$J:$J,0,0)</f>
        <v>0</v>
      </c>
      <c r="EJ194">
        <f>_xlfn.XLOOKUP(B194,'[10]december-2025'!$A:$A,'[10]december-2025'!$J:$J,0,0)</f>
        <v>0</v>
      </c>
      <c r="EK194">
        <f>_xlfn.XLOOKUP(B194,'[11]january-2026'!$A:$A,'[11]january-2026'!$J:$J,0,0)</f>
        <v>0</v>
      </c>
      <c r="EL194">
        <f>_xlfn.XLOOKUP(B194,'[12]february-2026'!$A:$A,'[12]february-2026'!$J:$J,0,0)</f>
        <v>0</v>
      </c>
      <c r="EM194">
        <f t="shared" si="361"/>
        <v>0</v>
      </c>
      <c r="EN194">
        <f>DV194+DL194+DB194+CR194+CH194+BX194+BN194+BD194+AS194+AI194+Y194+O194+H194+I194</f>
        <v>951248</v>
      </c>
      <c r="EO194">
        <f>DY194+DO194+DE194+CU194+CK194+CA194+BQ194+BG194+AV194+AL194+AB194+R194</f>
        <v>0</v>
      </c>
      <c r="EP194">
        <f t="shared" si="409"/>
        <v>50000</v>
      </c>
      <c r="EQ194">
        <v>0</v>
      </c>
      <c r="ER194">
        <f t="shared" si="362"/>
        <v>901248</v>
      </c>
      <c r="ES194">
        <f>DW194+DM194+DC194+CS194+CI194+BY194+BO194+BE194+AT194+AJ194+Z194+P194</f>
        <v>156000</v>
      </c>
      <c r="ET194">
        <f>DX194+DN194+DD194+CT194+CJ194+BZ194+BP194+BF194+AU194+AK194+AA194+Q194</f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410"/>
        <v>156000</v>
      </c>
      <c r="FF194">
        <f t="shared" si="411"/>
        <v>150000</v>
      </c>
      <c r="FG194">
        <f t="shared" si="412"/>
        <v>751248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>SUM(FH194:FN194)+(IF(F194="YES",50000,0))</f>
        <v>50000</v>
      </c>
      <c r="FP194">
        <f t="shared" si="413"/>
        <v>701248</v>
      </c>
      <c r="FQ194">
        <f t="shared" si="414"/>
        <v>12500</v>
      </c>
      <c r="FR194">
        <f t="shared" si="415"/>
        <v>40250</v>
      </c>
      <c r="FS194">
        <f t="shared" si="416"/>
        <v>52750</v>
      </c>
      <c r="FT194">
        <f t="shared" si="417"/>
        <v>52750</v>
      </c>
      <c r="FU194">
        <f t="shared" si="418"/>
        <v>2110</v>
      </c>
      <c r="FV194">
        <f t="shared" si="419"/>
        <v>54860</v>
      </c>
      <c r="FW194">
        <v>0</v>
      </c>
      <c r="FX194">
        <f t="shared" si="420"/>
        <v>54860</v>
      </c>
      <c r="FY194" t="b">
        <f t="shared" si="421"/>
        <v>1</v>
      </c>
      <c r="FZ194">
        <f t="shared" ca="1" si="422"/>
        <v>629</v>
      </c>
      <c r="GA194">
        <f t="shared" ca="1" si="423"/>
        <v>951877</v>
      </c>
      <c r="GB194">
        <f t="shared" si="424"/>
        <v>75000</v>
      </c>
      <c r="GC194">
        <f t="shared" ca="1" si="425"/>
        <v>876877</v>
      </c>
      <c r="GD194">
        <f t="shared" ca="1" si="426"/>
        <v>0</v>
      </c>
      <c r="GE194">
        <f t="shared" ca="1" si="427"/>
        <v>0</v>
      </c>
      <c r="GF194">
        <f t="shared" ca="1" si="428"/>
        <v>0</v>
      </c>
      <c r="GG194">
        <f t="shared" ca="1" si="429"/>
        <v>0</v>
      </c>
      <c r="GH194">
        <f t="shared" ca="1" si="430"/>
        <v>0</v>
      </c>
      <c r="GI194">
        <f t="shared" ca="1" si="431"/>
        <v>0</v>
      </c>
      <c r="GJ194">
        <f ca="1">IF(GC194&gt;1200000,GC194-1200000-IF(F194="YES",50000,0)-GH194,0)</f>
        <v>0</v>
      </c>
      <c r="GK194">
        <f t="shared" ca="1" si="432"/>
        <v>0</v>
      </c>
      <c r="GL194">
        <f t="shared" ca="1" si="433"/>
        <v>76877</v>
      </c>
      <c r="GM194">
        <f t="shared" ca="1" si="434"/>
        <v>7687.7000000000007</v>
      </c>
      <c r="GN194">
        <f t="shared" ca="1" si="435"/>
        <v>400000</v>
      </c>
      <c r="GO194">
        <f t="shared" ca="1" si="436"/>
        <v>20000</v>
      </c>
      <c r="GP194">
        <f t="shared" ca="1" si="437"/>
        <v>27688</v>
      </c>
      <c r="GQ194">
        <f t="shared" ca="1" si="438"/>
        <v>0</v>
      </c>
      <c r="GR194">
        <f t="shared" ca="1" si="439"/>
        <v>0</v>
      </c>
      <c r="GS194">
        <f t="shared" ca="1" si="440"/>
        <v>27688</v>
      </c>
      <c r="GT194">
        <f t="shared" ca="1" si="441"/>
        <v>0</v>
      </c>
      <c r="GU194" t="b">
        <f t="shared" ca="1" si="442"/>
        <v>0</v>
      </c>
      <c r="GV194">
        <f t="shared" ca="1" si="443"/>
        <v>0</v>
      </c>
      <c r="GW194">
        <f t="shared" ca="1" si="444"/>
        <v>27688</v>
      </c>
      <c r="GX194">
        <f t="shared" ca="1" si="445"/>
        <v>0</v>
      </c>
      <c r="GY194">
        <f t="shared" ca="1" si="446"/>
        <v>0</v>
      </c>
      <c r="GZ194">
        <f t="shared" ca="1" si="447"/>
        <v>0</v>
      </c>
    </row>
    <row r="195" spans="1:208" x14ac:dyDescent="0.25">
      <c r="A195">
        <f>_xlfn.AGGREGATE(3,5,$B$2:B195)</f>
        <v>194</v>
      </c>
      <c r="B195" t="s">
        <v>496</v>
      </c>
      <c r="C195" t="s">
        <v>497</v>
      </c>
      <c r="D195" t="s">
        <v>800</v>
      </c>
      <c r="E195" t="s">
        <v>831</v>
      </c>
      <c r="F195" t="s">
        <v>957</v>
      </c>
      <c r="G195" t="s">
        <v>893</v>
      </c>
      <c r="H195">
        <f t="shared" si="450"/>
        <v>6800</v>
      </c>
      <c r="I195">
        <f>_xlfn.XLOOKUP(B195,'[1]march-2025'!$A:$A,'[1]march-2025'!$J:$J,0,0)</f>
        <v>0</v>
      </c>
      <c r="J195">
        <f>_xlfn.XLOOKUP(B195,'[1]march-2025'!$A:$A,'[1]march-2025'!$C:$C,0,0)</f>
        <v>34500</v>
      </c>
      <c r="K195">
        <f t="shared" si="364"/>
        <v>4830.0000000000009</v>
      </c>
      <c r="L195">
        <f t="shared" si="365"/>
        <v>4140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>IF(J195&gt;0,SUM(J195:N195),0)</f>
        <v>43970</v>
      </c>
      <c r="P195">
        <f>_xlfn.XLOOKUP(B195,'[1]march-2025'!$A:$A,'[1]march-2025'!$H:$H,0,0)</f>
        <v>5500</v>
      </c>
      <c r="Q195">
        <f>_xlfn.XLOOKUP(B195,'[1]march-2025'!$A:$A,'[1]march-2025'!$I:$I,0,0)</f>
        <v>0</v>
      </c>
      <c r="R195">
        <f t="shared" si="448"/>
        <v>200</v>
      </c>
      <c r="S195">
        <f t="shared" ref="S195:S258" si="451">O195-P195-Q195-R195</f>
        <v>38270</v>
      </c>
      <c r="T195">
        <f>_xlfn.XLOOKUP(B195,'[2]april-2025'!$A:$A,'[2]april-2025'!$C:$C,0,0)</f>
        <v>34500</v>
      </c>
      <c r="U195">
        <f t="shared" si="366"/>
        <v>6210</v>
      </c>
      <c r="V195">
        <f t="shared" si="367"/>
        <v>4140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ref="Y195:Y258" si="452">IF(T195&gt;0,SUM(T195:X195),0)</f>
        <v>45350</v>
      </c>
      <c r="Z195">
        <f>_xlfn.XLOOKUP(B195,'[2]april-2025'!$A:$A,'[2]april-2025'!$H:$H,0,0)</f>
        <v>5500</v>
      </c>
      <c r="AA195">
        <f>_xlfn.XLOOKUP(B195,'[2]april-2025'!$A:$A,'[2]april-2025'!$I:$I,0,0)</f>
        <v>0</v>
      </c>
      <c r="AB195">
        <f t="shared" si="368"/>
        <v>200</v>
      </c>
      <c r="AC195">
        <f t="shared" si="369"/>
        <v>39650</v>
      </c>
      <c r="AD195">
        <f>_xlfn.XLOOKUP(B195,'[3]may-2025'!$A:$A,'[3]may-2025'!$C:$C,0,0)</f>
        <v>34500</v>
      </c>
      <c r="AE195">
        <f t="shared" si="370"/>
        <v>6210</v>
      </c>
      <c r="AF195">
        <f t="shared" si="371"/>
        <v>4140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ref="AI195:AI258" si="453">IF(AD195&gt;0,SUM(AD195:AH195),0)</f>
        <v>45350</v>
      </c>
      <c r="AJ195">
        <f>_xlfn.XLOOKUP(B195,'[3]may-2025'!$A:$A,'[3]may-2025'!$H:$H,0,0)</f>
        <v>5500</v>
      </c>
      <c r="AK195">
        <f>_xlfn.XLOOKUP(B195,'[3]may-2025'!$A:$A,'[3]may-2025'!$I:$I,0,0)</f>
        <v>0</v>
      </c>
      <c r="AL195">
        <f t="shared" si="372"/>
        <v>200</v>
      </c>
      <c r="AM195">
        <f t="shared" si="373"/>
        <v>39650</v>
      </c>
      <c r="AN195">
        <f>_xlfn.XLOOKUP(B195,'[4]june-2025'!$A:$A,'[4]june-2025'!$C:$C,0,0)</f>
        <v>34500</v>
      </c>
      <c r="AO195">
        <f t="shared" si="374"/>
        <v>6210</v>
      </c>
      <c r="AP195">
        <f t="shared" si="375"/>
        <v>4140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ref="AS195:AS258" si="454">IF(AN195&gt;0,SUM(AN195:AR195),0)</f>
        <v>45350</v>
      </c>
      <c r="AT195">
        <f>_xlfn.XLOOKUP(B195,'[4]june-2025'!$A:$A,'[4]june-2025'!$H:$H,0,0)</f>
        <v>5500</v>
      </c>
      <c r="AU195">
        <f>_xlfn.XLOOKUP(B195,'[4]june-2025'!$A:$A,'[4]june-2025'!$I:$I,0,0)</f>
        <v>0</v>
      </c>
      <c r="AV195">
        <f t="shared" si="376"/>
        <v>200</v>
      </c>
      <c r="AW195">
        <f t="shared" si="377"/>
        <v>39650</v>
      </c>
      <c r="AX195">
        <f>_xlfn.XLOOKUP(B195,'[5]july-2025'!$A:$A,'[5]july-2025'!$C:$C,0,0)</f>
        <v>35500</v>
      </c>
      <c r="AY195">
        <f t="shared" si="378"/>
        <v>6390</v>
      </c>
      <c r="AZ195">
        <v>0</v>
      </c>
      <c r="BA195">
        <f t="shared" si="379"/>
        <v>4260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>IF(AX195&gt;0,SUM(AX195:BC195),0)</f>
        <v>46650</v>
      </c>
      <c r="BE195">
        <f>_xlfn.XLOOKUP(B195,'[5]july-2025'!$A:$A,'[5]july-2025'!$H:$H,0,0)</f>
        <v>5500</v>
      </c>
      <c r="BF195">
        <f>_xlfn.XLOOKUP(B195,'[5]july-2025'!$A:$A,'[5]july-2025'!$I:$I,0,0)</f>
        <v>0</v>
      </c>
      <c r="BG195">
        <f t="shared" si="380"/>
        <v>200</v>
      </c>
      <c r="BH195">
        <f t="shared" si="381"/>
        <v>40950</v>
      </c>
      <c r="BI195">
        <f>_xlfn.XLOOKUP(B195,'[6]august-2025'!$A:$A,'[6]august-2025'!$C:$C,0,0)</f>
        <v>35500</v>
      </c>
      <c r="BJ195">
        <f t="shared" si="382"/>
        <v>6390</v>
      </c>
      <c r="BK195">
        <f t="shared" si="383"/>
        <v>4260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384"/>
        <v>46650</v>
      </c>
      <c r="BO195">
        <f>_xlfn.XLOOKUP(B195,'[6]august-2025'!$A:$A,'[6]august-2025'!$H:$H,0,0)</f>
        <v>5500</v>
      </c>
      <c r="BP195">
        <f>_xlfn.XLOOKUP(B195,'[6]august-2025'!$A:$A,'[6]august-2025'!$I:$I,0,0)</f>
        <v>0</v>
      </c>
      <c r="BQ195">
        <f>IF($F195="YES",0,IF(BN195&gt;40000,200,IF(BN195&gt;25000,150,IF(BN195&gt;15000,130,IF(BN195&gt;10000,110,0)))))</f>
        <v>200</v>
      </c>
      <c r="BR195">
        <f>BN195-BO195-BP195-BQ195</f>
        <v>40950</v>
      </c>
      <c r="BS195">
        <f>_xlfn.XLOOKUP(B195,'[7]september-2025'!$A:$A,'[7]september-2025'!$C:$C,0,0)</f>
        <v>35500</v>
      </c>
      <c r="BT195">
        <f t="shared" si="385"/>
        <v>6390</v>
      </c>
      <c r="BU195">
        <f t="shared" si="386"/>
        <v>4260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>IF(BS195&gt;0,SUM(BS195:BW195),0)</f>
        <v>46650</v>
      </c>
      <c r="BY195">
        <f>_xlfn.XLOOKUP(B195,'[7]september-2025'!$A:$A,'[7]september-2025'!$H:$H,0,0)</f>
        <v>5500</v>
      </c>
      <c r="BZ195">
        <f>_xlfn.XLOOKUP(B195,'[7]september-2025'!$A:$A,'[7]september-2025'!$I:$I,0,0)</f>
        <v>0</v>
      </c>
      <c r="CA195">
        <f t="shared" si="387"/>
        <v>200</v>
      </c>
      <c r="CB195">
        <f t="shared" si="388"/>
        <v>40950</v>
      </c>
      <c r="CC195">
        <f>_xlfn.XLOOKUP(B195,'[8]october-2025'!$A:$A,'[8]october-2025'!$C:$C,0,0)</f>
        <v>35500</v>
      </c>
      <c r="CD195">
        <f t="shared" si="389"/>
        <v>6390</v>
      </c>
      <c r="CE195">
        <f t="shared" si="390"/>
        <v>4260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>IF(CC195&gt;0,SUM(CC195:CG195),0)</f>
        <v>46650</v>
      </c>
      <c r="CI195">
        <f>_xlfn.XLOOKUP(B195,'[8]october-2025'!$A:$A,'[8]october-2025'!$H:$H,0,0)</f>
        <v>5500</v>
      </c>
      <c r="CJ195">
        <f>_xlfn.XLOOKUP(B195,'[8]october-2025'!$A:$A,'[8]october-2025'!$I:$I,0,0)</f>
        <v>0</v>
      </c>
      <c r="CK195">
        <f t="shared" si="391"/>
        <v>200</v>
      </c>
      <c r="CL195">
        <f t="shared" si="392"/>
        <v>40950</v>
      </c>
      <c r="CM195">
        <f>_xlfn.XLOOKUP(B195,'[9]november-2025'!$A:$A,'[9]november-2025'!$C:$C,0,0)</f>
        <v>35500</v>
      </c>
      <c r="CN195">
        <f t="shared" si="393"/>
        <v>6390</v>
      </c>
      <c r="CO195">
        <f t="shared" si="394"/>
        <v>4260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>IF(CM195&gt;0,SUM(CM195:CQ195),0)</f>
        <v>46650</v>
      </c>
      <c r="CS195">
        <f>_xlfn.XLOOKUP(B195,'[9]november-2025'!$A:$A,'[9]november-2025'!$H:$H,0,0)</f>
        <v>5500</v>
      </c>
      <c r="CT195">
        <f>_xlfn.XLOOKUP(B195,'[9]november-2025'!$A:$A,'[9]november-2025'!$I:$I,0,0)</f>
        <v>0</v>
      </c>
      <c r="CU195">
        <f t="shared" si="395"/>
        <v>200</v>
      </c>
      <c r="CV195">
        <f t="shared" si="396"/>
        <v>40950</v>
      </c>
      <c r="CW195">
        <f>_xlfn.XLOOKUP(B195,'[10]december-2025'!$A:$A,'[10]december-2025'!$C:$C,0,0)</f>
        <v>35500</v>
      </c>
      <c r="CX195">
        <f t="shared" si="397"/>
        <v>6390</v>
      </c>
      <c r="CY195">
        <f t="shared" si="398"/>
        <v>4260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>IF(CW195&gt;0,SUM(CW195:DA195),0)</f>
        <v>46650</v>
      </c>
      <c r="DC195">
        <f>_xlfn.XLOOKUP(B195,'[10]december-2025'!$A:$A,'[10]december-2025'!$H:$H,0,0)</f>
        <v>5500</v>
      </c>
      <c r="DD195">
        <f>_xlfn.XLOOKUP(B195,'[10]december-2025'!$A:$A,'[10]december-2025'!$I:$I,0,0)</f>
        <v>0</v>
      </c>
      <c r="DE195">
        <f t="shared" si="399"/>
        <v>200</v>
      </c>
      <c r="DF195">
        <f t="shared" si="400"/>
        <v>40950</v>
      </c>
      <c r="DG195">
        <f>_xlfn.XLOOKUP(B195,'[11]january-2026'!$A:$A,'[11]january-2026'!$C:$C,0,0)</f>
        <v>35500</v>
      </c>
      <c r="DH195">
        <f t="shared" si="401"/>
        <v>6390</v>
      </c>
      <c r="DI195">
        <f t="shared" si="402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>IF(DG195&gt;0,SUM(DG195:DK195),0)</f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03"/>
        <v>200</v>
      </c>
      <c r="DP195">
        <f t="shared" si="404"/>
        <v>40950</v>
      </c>
      <c r="DQ195">
        <f>_xlfn.XLOOKUP(B195,'[12]february-2026'!$A:$A,'[12]february-2026'!$C:$C,0,0)</f>
        <v>35500</v>
      </c>
      <c r="DR195">
        <f t="shared" si="405"/>
        <v>6390</v>
      </c>
      <c r="DS195">
        <f t="shared" si="406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>IF(DQ195&gt;0,SUM(DQ195:DU195),0)</f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07"/>
        <v>200</v>
      </c>
      <c r="DZ195">
        <f t="shared" si="408"/>
        <v>40950</v>
      </c>
      <c r="EA195">
        <f>_xlfn.XLOOKUP(B195,'[1]march-2025'!$A:$A,'[1]march-2025'!$J:$J,0,0)</f>
        <v>0</v>
      </c>
      <c r="EB195">
        <f>_xlfn.XLOOKUP(B195,'[2]april-2025'!$A:$A,'[2]april-2025'!$J:$J,0,0)</f>
        <v>0</v>
      </c>
      <c r="EC195">
        <f>_xlfn.XLOOKUP(B195,'[3]may-2025'!$A:$A,'[3]may-2025'!$J:$J,0,0)</f>
        <v>0</v>
      </c>
      <c r="ED195">
        <f>_xlfn.XLOOKUP(B195,'[4]june-2025'!$A:$A,'[4]june-2025'!$J:$J,0,0)</f>
        <v>0</v>
      </c>
      <c r="EE195">
        <f>_xlfn.XLOOKUP(B195,'[5]july-2025'!$A:$A,'[5]july-2025'!$J:$J,0,0)</f>
        <v>0</v>
      </c>
      <c r="EF195">
        <f>_xlfn.XLOOKUP(B195,'[6]august-2025'!$A:$A,'[6]august-2025'!$J:$J,0,0)</f>
        <v>0</v>
      </c>
      <c r="EG195">
        <f>_xlfn.XLOOKUP(B195,'[7]september-2025'!$A:$A,'[7]september-2025'!$J:$J,0,0)</f>
        <v>0</v>
      </c>
      <c r="EH195">
        <f>_xlfn.XLOOKUP(B195,'[8]october-2025'!$A:$A,'[8]october-2025'!$J:$J,0,0)</f>
        <v>0</v>
      </c>
      <c r="EI195">
        <f>_xlfn.XLOOKUP(C195,'[9]november-2025'!$A:$A,'[9]november-2025'!$J:$J,0,0)</f>
        <v>0</v>
      </c>
      <c r="EJ195">
        <f>_xlfn.XLOOKUP(B195,'[10]december-2025'!$A:$A,'[10]december-2025'!$J:$J,0,0)</f>
        <v>0</v>
      </c>
      <c r="EK195">
        <f>_xlfn.XLOOKUP(B195,'[11]january-2026'!$A:$A,'[11]january-2026'!$J:$J,0,0)</f>
        <v>0</v>
      </c>
      <c r="EL195">
        <f>_xlfn.XLOOKUP(B195,'[12]february-2026'!$A:$A,'[12]february-2026'!$J:$J,0,0)</f>
        <v>0</v>
      </c>
      <c r="EM195">
        <f t="shared" ref="EM195:EM258" si="455">SUM(EA195:EL195)</f>
        <v>0</v>
      </c>
      <c r="EN195">
        <f>DV195+DL195+DB195+CR195+CH195+BX195+BN195+BD195+AS195+AI195+Y195+O195+H195+I195</f>
        <v>560020</v>
      </c>
      <c r="EO195">
        <f>DY195+DO195+DE195+CU195+CK195+CA195+BQ195+BG195+AV195+AL195+AB195+R195</f>
        <v>2400</v>
      </c>
      <c r="EP195">
        <f t="shared" si="409"/>
        <v>50000</v>
      </c>
      <c r="EQ195">
        <v>0</v>
      </c>
      <c r="ER195">
        <f t="shared" ref="ER195:ER258" si="456">EN195-EO195-EP195+EM195</f>
        <v>507620</v>
      </c>
      <c r="ES195">
        <f>DW195+DM195+DC195+CS195+CI195+BY195+BO195+BE195+AT195+AJ195+Z195+P195</f>
        <v>66000</v>
      </c>
      <c r="ET195">
        <f>DX195+DN195+DD195+CT195+CJ195+BZ195+BP195+BF195+AU195+AK195+AA195+Q195</f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410"/>
        <v>66000</v>
      </c>
      <c r="FF195">
        <f t="shared" si="411"/>
        <v>66000</v>
      </c>
      <c r="FG195">
        <f t="shared" si="412"/>
        <v>441620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>SUM(FH195:FN195)+(IF(F195="YES",50000,0))</f>
        <v>0</v>
      </c>
      <c r="FP195">
        <f t="shared" si="413"/>
        <v>441620</v>
      </c>
      <c r="FQ195">
        <f t="shared" si="414"/>
        <v>9581</v>
      </c>
      <c r="FR195">
        <f t="shared" si="415"/>
        <v>0</v>
      </c>
      <c r="FS195">
        <f t="shared" si="416"/>
        <v>9581</v>
      </c>
      <c r="FT195">
        <f t="shared" si="417"/>
        <v>0</v>
      </c>
      <c r="FU195">
        <f t="shared" si="418"/>
        <v>0</v>
      </c>
      <c r="FV195">
        <f t="shared" si="419"/>
        <v>0</v>
      </c>
      <c r="FW195">
        <v>0</v>
      </c>
      <c r="FX195">
        <f t="shared" si="420"/>
        <v>0</v>
      </c>
      <c r="FY195" t="b">
        <f t="shared" si="421"/>
        <v>1</v>
      </c>
      <c r="FZ195">
        <f t="shared" ca="1" si="422"/>
        <v>837</v>
      </c>
      <c r="GA195">
        <f t="shared" ca="1" si="423"/>
        <v>560857</v>
      </c>
      <c r="GB195">
        <f t="shared" si="424"/>
        <v>75000</v>
      </c>
      <c r="GC195">
        <f t="shared" ca="1" si="425"/>
        <v>485857</v>
      </c>
      <c r="GD195">
        <f t="shared" ca="1" si="426"/>
        <v>0</v>
      </c>
      <c r="GE195">
        <f t="shared" ca="1" si="427"/>
        <v>0</v>
      </c>
      <c r="GF195">
        <f t="shared" ca="1" si="428"/>
        <v>0</v>
      </c>
      <c r="GG195">
        <f t="shared" ca="1" si="429"/>
        <v>0</v>
      </c>
      <c r="GH195">
        <f t="shared" ca="1" si="430"/>
        <v>0</v>
      </c>
      <c r="GI195">
        <f t="shared" ca="1" si="431"/>
        <v>0</v>
      </c>
      <c r="GJ195">
        <f ca="1">IF(GC195&gt;1200000,GC195-1200000-IF(F195="YES",50000,0)-GH195,0)</f>
        <v>0</v>
      </c>
      <c r="GK195">
        <f t="shared" ca="1" si="432"/>
        <v>0</v>
      </c>
      <c r="GL195">
        <f t="shared" ca="1" si="433"/>
        <v>0</v>
      </c>
      <c r="GM195">
        <f t="shared" ca="1" si="434"/>
        <v>0</v>
      </c>
      <c r="GN195">
        <f t="shared" ca="1" si="435"/>
        <v>85857</v>
      </c>
      <c r="GO195">
        <f t="shared" ca="1" si="436"/>
        <v>4292.8500000000004</v>
      </c>
      <c r="GP195">
        <f t="shared" ca="1" si="437"/>
        <v>4293</v>
      </c>
      <c r="GQ195">
        <f t="shared" ca="1" si="438"/>
        <v>0</v>
      </c>
      <c r="GR195">
        <f t="shared" ca="1" si="439"/>
        <v>0</v>
      </c>
      <c r="GS195">
        <f t="shared" ca="1" si="440"/>
        <v>4293</v>
      </c>
      <c r="GT195">
        <f t="shared" ca="1" si="441"/>
        <v>0</v>
      </c>
      <c r="GU195" t="b">
        <f t="shared" ca="1" si="442"/>
        <v>0</v>
      </c>
      <c r="GV195">
        <f t="shared" ca="1" si="443"/>
        <v>0</v>
      </c>
      <c r="GW195">
        <f t="shared" ca="1" si="444"/>
        <v>4293</v>
      </c>
      <c r="GX195">
        <f t="shared" ca="1" si="445"/>
        <v>0</v>
      </c>
      <c r="GY195">
        <f t="shared" ca="1" si="446"/>
        <v>0</v>
      </c>
      <c r="GZ195">
        <f t="shared" ca="1" si="447"/>
        <v>0</v>
      </c>
    </row>
    <row r="196" spans="1:208" x14ac:dyDescent="0.25">
      <c r="A196">
        <f>_xlfn.AGGREGATE(3,5,$B$2:B196)</f>
        <v>195</v>
      </c>
      <c r="B196" t="s">
        <v>498</v>
      </c>
      <c r="C196" t="s">
        <v>499</v>
      </c>
      <c r="D196" t="s">
        <v>800</v>
      </c>
      <c r="E196" t="s">
        <v>831</v>
      </c>
      <c r="F196" t="s">
        <v>957</v>
      </c>
      <c r="G196" t="s">
        <v>880</v>
      </c>
      <c r="H196">
        <f t="shared" si="450"/>
        <v>6800</v>
      </c>
      <c r="I196">
        <f>_xlfn.XLOOKUP(B196,'[1]march-2025'!$A:$A,'[1]march-2025'!$J:$J,0,0)</f>
        <v>0</v>
      </c>
      <c r="J196">
        <f>_xlfn.XLOOKUP(B196,'[1]march-2025'!$A:$A,'[1]march-2025'!$C:$C,0,0)</f>
        <v>50200</v>
      </c>
      <c r="K196">
        <f t="shared" ref="K196:K259" si="457">J196*0.14</f>
        <v>7028.0000000000009</v>
      </c>
      <c r="L196">
        <f t="shared" ref="L196:L259" si="458">J196*0.12</f>
        <v>6024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>IF(J196&gt;0,SUM(J196:N196),0)</f>
        <v>63752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si="448"/>
        <v>200</v>
      </c>
      <c r="S196">
        <f t="shared" si="451"/>
        <v>58552</v>
      </c>
      <c r="T196">
        <f>_xlfn.XLOOKUP(B196,'[2]april-2025'!$A:$A,'[2]april-2025'!$C:$C,0,0)</f>
        <v>50200</v>
      </c>
      <c r="U196">
        <f t="shared" ref="U196:U259" si="459">T196*0.18</f>
        <v>9036</v>
      </c>
      <c r="V196">
        <f t="shared" ref="V196:V259" si="460">T196*0.12</f>
        <v>6024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si="452"/>
        <v>65760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ref="AB196:AB259" si="461">IF($F196="YES",0,IF(Y196&gt;40000,200,IF(Y196&gt;25000,150,IF(Y196&gt;15000,130,IF(Y196&gt;10000,110,0)))))</f>
        <v>200</v>
      </c>
      <c r="AC196">
        <f t="shared" ref="AC196:AC259" si="462">Y196-Z196-AA196-AB196</f>
        <v>60560</v>
      </c>
      <c r="AD196">
        <f>_xlfn.XLOOKUP(B196,'[3]may-2025'!$A:$A,'[3]may-2025'!$C:$C,0,0)</f>
        <v>50200</v>
      </c>
      <c r="AE196">
        <f t="shared" ref="AE196:AE259" si="463">AD196*0.18</f>
        <v>9036</v>
      </c>
      <c r="AF196">
        <f t="shared" ref="AF196:AF259" si="464">AD196*0.12</f>
        <v>6024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si="453"/>
        <v>65760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ref="AL196:AL259" si="465">IF($F196="YES",0,IF(AI196&gt;40000,200,IF(AI196&gt;25000,150,IF(AI196&gt;15000,130,IF(AI196&gt;10000,110,0)))))</f>
        <v>200</v>
      </c>
      <c r="AM196">
        <f t="shared" ref="AM196:AM259" si="466">AI196-AJ196-AK196-AL196</f>
        <v>60560</v>
      </c>
      <c r="AN196">
        <f>_xlfn.XLOOKUP(B196,'[4]june-2025'!$A:$A,'[4]june-2025'!$C:$C,0,0)</f>
        <v>50200</v>
      </c>
      <c r="AO196">
        <f t="shared" ref="AO196:AO259" si="467">AN196*0.18</f>
        <v>9036</v>
      </c>
      <c r="AP196">
        <f t="shared" ref="AP196:AP259" si="468">AN196*0.12</f>
        <v>6024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si="454"/>
        <v>65760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ref="AV196:AV259" si="469">IF($F196="YES",0,IF(AS196&gt;40000,200,IF(AS196&gt;25000,150,IF(AS196&gt;15000,130,IF(AS196&gt;10000,110,0)))))</f>
        <v>200</v>
      </c>
      <c r="AW196">
        <f t="shared" ref="AW196:AW259" si="470">AS196-AT196-AU196-AV196</f>
        <v>60560</v>
      </c>
      <c r="AX196">
        <f>_xlfn.XLOOKUP(B196,'[5]july-2025'!$A:$A,'[5]july-2025'!$C:$C,0,0)</f>
        <v>51700</v>
      </c>
      <c r="AY196">
        <f t="shared" ref="AY196:AY259" si="471">AX196*0.18</f>
        <v>9306</v>
      </c>
      <c r="AZ196">
        <v>0</v>
      </c>
      <c r="BA196">
        <f t="shared" ref="BA196:BA259" si="472">AX196*0.12</f>
        <v>6204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>IF(AX196&gt;0,SUM(AX196:BC196),0)</f>
        <v>67710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ref="BG196:BG259" si="473">IF($F196="YES",0,IF(BD196&gt;40000,200,IF(BD196&gt;25000,150,IF(BD196&gt;15000,130,IF(BD196&gt;10000,110,0)))))</f>
        <v>200</v>
      </c>
      <c r="BH196">
        <f t="shared" ref="BH196:BH259" si="474">BD196-BE196-BF196-BG196</f>
        <v>62510</v>
      </c>
      <c r="BI196">
        <f>_xlfn.XLOOKUP(B196,'[6]august-2025'!$A:$A,'[6]august-2025'!$C:$C,0,0)</f>
        <v>51700</v>
      </c>
      <c r="BJ196">
        <f t="shared" ref="BJ196:BJ259" si="475">BI196*0.18</f>
        <v>9306</v>
      </c>
      <c r="BK196">
        <f t="shared" ref="BK196:BK259" si="476">BI196*0.12</f>
        <v>6204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ref="BN196:BN259" si="477">IF(BI196&gt;0,SUM(BI196:BM196),0)</f>
        <v>67710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>IF($F196="YES",0,IF(BN196&gt;40000,200,IF(BN196&gt;25000,150,IF(BN196&gt;15000,130,IF(BN196&gt;10000,110,0)))))</f>
        <v>200</v>
      </c>
      <c r="BR196">
        <f>BN196-BO196-BP196-BQ196</f>
        <v>62510</v>
      </c>
      <c r="BS196">
        <f>_xlfn.XLOOKUP(B196,'[7]september-2025'!$A:$A,'[7]september-2025'!$C:$C,0,0)</f>
        <v>51700</v>
      </c>
      <c r="BT196">
        <f t="shared" ref="BT196:BT259" si="478">BS196*0.18</f>
        <v>9306</v>
      </c>
      <c r="BU196">
        <f t="shared" ref="BU196:BU259" si="479">BS196*0.12</f>
        <v>6204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>IF(BS196&gt;0,SUM(BS196:BW196),0)</f>
        <v>67710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ref="CA196:CA259" si="480">IF($F196="YES",0,IF(BX196&gt;40000,200,IF(BX196&gt;25000,150,IF(BX196&gt;15000,130,IF(BX196&gt;10000,110,0)))))</f>
        <v>200</v>
      </c>
      <c r="CB196">
        <f t="shared" ref="CB196:CB259" si="481">BX196-BY196-BZ196-CA196</f>
        <v>62510</v>
      </c>
      <c r="CC196">
        <f>_xlfn.XLOOKUP(B196,'[8]october-2025'!$A:$A,'[8]october-2025'!$C:$C,0,0)</f>
        <v>51700</v>
      </c>
      <c r="CD196">
        <f t="shared" ref="CD196:CD259" si="482">CC196*0.18</f>
        <v>9306</v>
      </c>
      <c r="CE196">
        <f t="shared" ref="CE196:CE259" si="483">CC196*0.12</f>
        <v>6204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>IF(CC196&gt;0,SUM(CC196:CG196),0)</f>
        <v>67710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ref="CK196:CK259" si="484">IF($F196="YES",0,IF(CH196&gt;40000,200,IF(CH196&gt;25000,150,IF(CH196&gt;15000,130,IF(CH196&gt;10000,110,0)))))</f>
        <v>200</v>
      </c>
      <c r="CL196">
        <f t="shared" ref="CL196:CL259" si="485">CH196-CI196-CJ196-CK196</f>
        <v>62510</v>
      </c>
      <c r="CM196">
        <f>_xlfn.XLOOKUP(B196,'[9]november-2025'!$A:$A,'[9]november-2025'!$C:$C,0,0)</f>
        <v>51700</v>
      </c>
      <c r="CN196">
        <f t="shared" ref="CN196:CN259" si="486">CM196*0.18</f>
        <v>9306</v>
      </c>
      <c r="CO196">
        <f t="shared" ref="CO196:CO259" si="487">CM196*0.12</f>
        <v>6204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>IF(CM196&gt;0,SUM(CM196:CQ196),0)</f>
        <v>67710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ref="CU196:CU259" si="488">IF($F196="YES",0,IF(CR196&gt;40000,200,IF(CR196&gt;25000,150,IF(CR196&gt;15000,130,IF(CR196&gt;10000,110,0)))))</f>
        <v>200</v>
      </c>
      <c r="CV196">
        <f t="shared" ref="CV196:CV259" si="489">CR196-CS196-CT196-CU196</f>
        <v>62510</v>
      </c>
      <c r="CW196">
        <f>_xlfn.XLOOKUP(B196,'[10]december-2025'!$A:$A,'[10]december-2025'!$C:$C,0,0)</f>
        <v>51700</v>
      </c>
      <c r="CX196">
        <f t="shared" ref="CX196:CX259" si="490">ROUND(CW196*0.18,0)</f>
        <v>9306</v>
      </c>
      <c r="CY196">
        <f t="shared" ref="CY196:CY259" si="491">ROUND(CW196*0.12,0)</f>
        <v>6204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>IF(CW196&gt;0,SUM(CW196:DA196),0)</f>
        <v>67710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ref="DE196:DE259" si="492">IF($F196="YES",0,IF(DB196&gt;40000,200,IF(DB196&gt;25000,150,IF(DB196&gt;15000,130,IF(DB196&gt;10000,110,0)))))</f>
        <v>200</v>
      </c>
      <c r="DF196">
        <f t="shared" ref="DF196:DF259" si="493">DB196-DC196-DD196-DE196</f>
        <v>62510</v>
      </c>
      <c r="DG196">
        <f>_xlfn.XLOOKUP(B196,'[11]january-2026'!$A:$A,'[11]january-2026'!$C:$C,0,0)</f>
        <v>51700</v>
      </c>
      <c r="DH196">
        <f t="shared" ref="DH196:DH259" si="494">DG196*0.18</f>
        <v>9306</v>
      </c>
      <c r="DI196">
        <f t="shared" ref="DI196:DI259" si="495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>IF(DG196&gt;0,SUM(DG196:DK196),0)</f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496">IF($F196="YES",0,IF(DL196&gt;40000,200,IF(DL196&gt;25000,150,IF(DL196&gt;15000,130,IF(DL196&gt;10000,110,0)))))</f>
        <v>200</v>
      </c>
      <c r="DP196">
        <f t="shared" ref="DP196:DP259" si="497">DL196-DM196-DN196-DO196</f>
        <v>62510</v>
      </c>
      <c r="DQ196">
        <f>_xlfn.XLOOKUP(B196,'[12]february-2026'!$A:$A,'[12]february-2026'!$C:$C,0,0)</f>
        <v>51700</v>
      </c>
      <c r="DR196">
        <f t="shared" ref="DR196:DR259" si="498">DQ196*0.18</f>
        <v>9306</v>
      </c>
      <c r="DS196">
        <f t="shared" ref="DS196:DS259" si="499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>IF(DQ196&gt;0,SUM(DQ196:DU196),0)</f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00">IF($F196="YES",0,IF(DV196&gt;40000,200,IF(DV196&gt;25000,150,IF(DV196&gt;15000,130,IF(DV196&gt;10000,110,0)))))</f>
        <v>200</v>
      </c>
      <c r="DZ196">
        <f t="shared" ref="DZ196:DZ259" si="501">DV196-DW196-DX196-DY196</f>
        <v>62510</v>
      </c>
      <c r="EA196">
        <f>_xlfn.XLOOKUP(B196,'[1]march-2025'!$A:$A,'[1]march-2025'!$J:$J,0,0)</f>
        <v>0</v>
      </c>
      <c r="EB196">
        <f>_xlfn.XLOOKUP(B196,'[2]april-2025'!$A:$A,'[2]april-2025'!$J:$J,0,0)</f>
        <v>0</v>
      </c>
      <c r="EC196">
        <f>_xlfn.XLOOKUP(B196,'[3]may-2025'!$A:$A,'[3]may-2025'!$J:$J,0,0)</f>
        <v>0</v>
      </c>
      <c r="ED196">
        <f>_xlfn.XLOOKUP(B196,'[4]june-2025'!$A:$A,'[4]june-2025'!$J:$J,0,0)</f>
        <v>0</v>
      </c>
      <c r="EE196">
        <f>_xlfn.XLOOKUP(B196,'[5]july-2025'!$A:$A,'[5]july-2025'!$J:$J,0,0)</f>
        <v>0</v>
      </c>
      <c r="EF196">
        <f>_xlfn.XLOOKUP(B196,'[6]august-2025'!$A:$A,'[6]august-2025'!$J:$J,0,0)</f>
        <v>0</v>
      </c>
      <c r="EG196">
        <f>_xlfn.XLOOKUP(B196,'[7]september-2025'!$A:$A,'[7]september-2025'!$J:$J,0,0)</f>
        <v>0</v>
      </c>
      <c r="EH196">
        <f>_xlfn.XLOOKUP(B196,'[8]october-2025'!$A:$A,'[8]october-2025'!$J:$J,0,0)</f>
        <v>0</v>
      </c>
      <c r="EI196">
        <f>_xlfn.XLOOKUP(C196,'[9]november-2025'!$A:$A,'[9]november-2025'!$J:$J,0,0)</f>
        <v>0</v>
      </c>
      <c r="EJ196">
        <f>_xlfn.XLOOKUP(B196,'[10]december-2025'!$A:$A,'[10]december-2025'!$J:$J,0,0)</f>
        <v>0</v>
      </c>
      <c r="EK196">
        <f>_xlfn.XLOOKUP(B196,'[11]january-2026'!$A:$A,'[11]january-2026'!$J:$J,0,0)</f>
        <v>0</v>
      </c>
      <c r="EL196">
        <f>_xlfn.XLOOKUP(B196,'[12]february-2026'!$A:$A,'[12]february-2026'!$J:$J,0,0)</f>
        <v>0</v>
      </c>
      <c r="EM196">
        <f t="shared" si="455"/>
        <v>0</v>
      </c>
      <c r="EN196">
        <f>DV196+DL196+DB196+CR196+CH196+BX196+BN196+BD196+AS196+AI196+Y196+O196+H196+I196</f>
        <v>809512</v>
      </c>
      <c r="EO196">
        <f>DY196+DO196+DE196+CU196+CK196+CA196+BQ196+BG196+AV196+AL196+AB196+R196</f>
        <v>2400</v>
      </c>
      <c r="EP196">
        <f t="shared" ref="EP196:EP259" si="502">IF(EN196&gt;0,50000,0)</f>
        <v>50000</v>
      </c>
      <c r="EQ196">
        <v>0</v>
      </c>
      <c r="ER196">
        <f t="shared" si="456"/>
        <v>757112</v>
      </c>
      <c r="ES196">
        <f>DW196+DM196+DC196+CS196+CI196+BY196+BO196+BE196+AT196+AJ196+Z196+P196</f>
        <v>60000</v>
      </c>
      <c r="ET196">
        <f>DX196+DN196+DD196+CT196+CJ196+BZ196+BP196+BF196+AU196+AK196+AA196+Q196</f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ref="FE196:FE259" si="503">SUM(ES196:FD196)</f>
        <v>60000</v>
      </c>
      <c r="FF196">
        <f t="shared" ref="FF196:FF259" si="504">IF(FE196&gt;=150000,150000,FE196)</f>
        <v>60000</v>
      </c>
      <c r="FG196">
        <f t="shared" ref="FG196:FG259" si="505">ER196-FF196</f>
        <v>697112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>SUM(FH196:FN196)+(IF(F196="YES",50000,0))</f>
        <v>0</v>
      </c>
      <c r="FP196">
        <f t="shared" ref="FP196:FP259" si="506">FG196-FO196</f>
        <v>697112</v>
      </c>
      <c r="FQ196">
        <f t="shared" ref="FQ196:FQ259" si="507">ROUND(IF(FP196&gt;0,IF(FP196&gt;500000,12500,(FP196-250000)*0.05),0),0)</f>
        <v>12500</v>
      </c>
      <c r="FR196">
        <f t="shared" ref="FR196:FR259" si="508">IF(ROUND(IF(FP196&gt;0,IF(FP196&gt;1000000,25000,(FP196-500000)*0.2),0),0)&lt;0,0,ROUND(IF(FP196&gt;0,IF(FP196&gt;1000000,25000,(FP196-500000)*0.2),0),0))</f>
        <v>39422</v>
      </c>
      <c r="FS196">
        <f t="shared" ref="FS196:FS259" si="509">FQ196+FR196</f>
        <v>51922</v>
      </c>
      <c r="FT196">
        <f t="shared" ref="FT196:FT259" si="510">IF(FS196&lt;12500,0,FS196)</f>
        <v>51922</v>
      </c>
      <c r="FU196">
        <f t="shared" ref="FU196:FU259" si="511">FT196*0.04</f>
        <v>2076.88</v>
      </c>
      <c r="FV196">
        <f t="shared" ref="FV196:FV259" si="512">ROUND(FU196+FT196,0)</f>
        <v>53999</v>
      </c>
      <c r="FW196">
        <v>0</v>
      </c>
      <c r="FX196">
        <f t="shared" ref="FX196:FX259" si="513">FV196-FW196</f>
        <v>53999</v>
      </c>
      <c r="FY196" t="b">
        <f t="shared" ref="FY196:FY259" si="514">IF(EN196&gt;500000,TRUE,FALSE)</f>
        <v>1</v>
      </c>
      <c r="FZ196">
        <f t="shared" ref="FZ196:FZ259" ca="1" si="515">IF(FY196,RANDBETWEEN(500,1000),RANDBETWEEN(1000,3000))</f>
        <v>656</v>
      </c>
      <c r="GA196">
        <f t="shared" ref="GA196:GA259" ca="1" si="516">EN196+FZ196</f>
        <v>810168</v>
      </c>
      <c r="GB196">
        <f t="shared" ref="GB196:GB259" si="517">IF(EN196&gt;0,75000,0)</f>
        <v>75000</v>
      </c>
      <c r="GC196">
        <f t="shared" ref="GC196:GC259" ca="1" si="518">GA196-GB196</f>
        <v>735168</v>
      </c>
      <c r="GD196">
        <f t="shared" ref="GD196:GD259" ca="1" si="519">IF(GC196&gt;2400000,GC196-2400000,0)</f>
        <v>0</v>
      </c>
      <c r="GE196">
        <f t="shared" ref="GE196:GE259" ca="1" si="520">GD196*0.3</f>
        <v>0</v>
      </c>
      <c r="GF196">
        <f t="shared" ref="GF196:GF259" ca="1" si="521">IF(GC196&gt;2000000,GC196-2000000,0)</f>
        <v>0</v>
      </c>
      <c r="GG196">
        <f t="shared" ref="GG196:GG259" ca="1" si="522">GF196*0.25</f>
        <v>0</v>
      </c>
      <c r="GH196">
        <f t="shared" ref="GH196:GH259" ca="1" si="523">IF(GC196&gt;1600000,GC196-1600000-GD196,0)</f>
        <v>0</v>
      </c>
      <c r="GI196">
        <f t="shared" ref="GI196:GI259" ca="1" si="524">GH196*0.2</f>
        <v>0</v>
      </c>
      <c r="GJ196">
        <f ca="1">IF(GC196&gt;1200000,GC196-1200000-IF(F196="YES",50000,0)-GH196,0)</f>
        <v>0</v>
      </c>
      <c r="GK196">
        <f t="shared" ref="GK196:GK259" ca="1" si="525">GJ196*0.15</f>
        <v>0</v>
      </c>
      <c r="GL196">
        <f t="shared" ref="GL196:GL259" ca="1" si="526">IF(GC196&gt;800000,GC196-800000-GD196-GH196-GJ196,0)</f>
        <v>0</v>
      </c>
      <c r="GM196">
        <f t="shared" ref="GM196:GM259" ca="1" si="527">GL196*0.1</f>
        <v>0</v>
      </c>
      <c r="GN196">
        <f t="shared" ref="GN196:GN259" ca="1" si="528">IF(GC196&gt;400000,GC196-400000-GD196-GH196-GJ196-GL196,0)</f>
        <v>335168</v>
      </c>
      <c r="GO196">
        <f t="shared" ref="GO196:GO259" ca="1" si="529">GN196*0.05</f>
        <v>16758.400000000001</v>
      </c>
      <c r="GP196">
        <f t="shared" ref="GP196:GP259" ca="1" si="530">ROUND(GE196+GG196+GI196+GK196+GM196+GO196,0)</f>
        <v>16758</v>
      </c>
      <c r="GQ196">
        <f t="shared" ref="GQ196:GQ259" ca="1" si="531">IF(GC196&gt;1200000,GC196,0)</f>
        <v>0</v>
      </c>
      <c r="GR196">
        <f t="shared" ref="GR196:GR259" ca="1" si="532">IF(GC196&gt;1200000,GQ196-1200000,0)</f>
        <v>0</v>
      </c>
      <c r="GS196">
        <f t="shared" ref="GS196:GS259" ca="1" si="533">IF(GC196&lt;1200001,MIN(GP196,60000),0)</f>
        <v>16758</v>
      </c>
      <c r="GT196">
        <f t="shared" ref="GT196:GT259" ca="1" si="534">IF(GC196&gt;1200000,GP196-GR196,0)</f>
        <v>0</v>
      </c>
      <c r="GU196" t="b">
        <f t="shared" ref="GU196:GU259" ca="1" si="535">IF(GT196&gt;0,TRUE,FALSE)</f>
        <v>0</v>
      </c>
      <c r="GV196">
        <f t="shared" ref="GV196:GV259" ca="1" si="536">IF(GU196,GT196,0)</f>
        <v>0</v>
      </c>
      <c r="GW196">
        <f t="shared" ref="GW196:GW259" ca="1" si="537">GS196+GV196</f>
        <v>16758</v>
      </c>
      <c r="GX196">
        <f t="shared" ref="GX196:GX259" ca="1" si="538">ROUND(GP196-GW196,0)</f>
        <v>0</v>
      </c>
      <c r="GY196">
        <f t="shared" ref="GY196:GY259" ca="1" si="539">GX196*0.04</f>
        <v>0</v>
      </c>
      <c r="GZ196">
        <f t="shared" ref="GZ196:GZ259" ca="1" si="540">ROUNDUP(GX196+GY196,0)</f>
        <v>0</v>
      </c>
    </row>
    <row r="197" spans="1:208" x14ac:dyDescent="0.25">
      <c r="A197">
        <f>_xlfn.AGGREGATE(3,5,$B$2:B197)</f>
        <v>196</v>
      </c>
      <c r="B197" t="s">
        <v>500</v>
      </c>
      <c r="C197" t="s">
        <v>501</v>
      </c>
      <c r="D197" t="s">
        <v>800</v>
      </c>
      <c r="E197" t="s">
        <v>831</v>
      </c>
      <c r="F197" t="s">
        <v>957</v>
      </c>
      <c r="G197" t="s">
        <v>924</v>
      </c>
      <c r="H197">
        <f t="shared" si="450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457"/>
        <v>4690</v>
      </c>
      <c r="L197">
        <f t="shared" si="458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>IF(J197&gt;0,SUM(J197:N197),0)</f>
        <v>42710</v>
      </c>
      <c r="P197">
        <f>_xlfn.XLOOKUP(B197,'[1]march-2025'!$A:$A,'[1]march-2025'!$H:$H,0,0)</f>
        <v>5000</v>
      </c>
      <c r="Q197">
        <f>_xlfn.XLOOKUP(B197,'[1]march-2025'!$A:$A,'[1]march-2025'!$I:$I,0,0)</f>
        <v>0</v>
      </c>
      <c r="R197">
        <f t="shared" ref="R197:R260" si="541">IF($F197="YES",0,IF(O197&gt;40000,200,IF(O197&gt;25000,150,IF(O197&gt;15000,130,IF(O197&gt;10000,110,0)))))</f>
        <v>200</v>
      </c>
      <c r="S197">
        <f t="shared" si="451"/>
        <v>37510</v>
      </c>
      <c r="T197">
        <f>_xlfn.XLOOKUP(B197,'[2]april-2025'!$A:$A,'[2]april-2025'!$C:$C,0,0)</f>
        <v>33500</v>
      </c>
      <c r="U197">
        <f t="shared" si="459"/>
        <v>6030</v>
      </c>
      <c r="V197">
        <f t="shared" si="460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452"/>
        <v>44050</v>
      </c>
      <c r="Z197">
        <f>_xlfn.XLOOKUP(B197,'[2]april-2025'!$A:$A,'[2]april-2025'!$H:$H,0,0)</f>
        <v>5000</v>
      </c>
      <c r="AA197">
        <f>_xlfn.XLOOKUP(B197,'[2]april-2025'!$A:$A,'[2]april-2025'!$I:$I,0,0)</f>
        <v>0</v>
      </c>
      <c r="AB197">
        <f t="shared" si="461"/>
        <v>200</v>
      </c>
      <c r="AC197">
        <f t="shared" si="462"/>
        <v>38850</v>
      </c>
      <c r="AD197">
        <f>_xlfn.XLOOKUP(B197,'[3]may-2025'!$A:$A,'[3]may-2025'!$C:$C,0,0)</f>
        <v>33500</v>
      </c>
      <c r="AE197">
        <f t="shared" si="463"/>
        <v>6030</v>
      </c>
      <c r="AF197">
        <f t="shared" si="464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453"/>
        <v>44050</v>
      </c>
      <c r="AJ197">
        <f>_xlfn.XLOOKUP(B197,'[3]may-2025'!$A:$A,'[3]may-2025'!$H:$H,0,0)</f>
        <v>5000</v>
      </c>
      <c r="AK197">
        <f>_xlfn.XLOOKUP(B197,'[3]may-2025'!$A:$A,'[3]may-2025'!$I:$I,0,0)</f>
        <v>0</v>
      </c>
      <c r="AL197">
        <f t="shared" si="465"/>
        <v>200</v>
      </c>
      <c r="AM197">
        <f t="shared" si="466"/>
        <v>38850</v>
      </c>
      <c r="AN197">
        <f>_xlfn.XLOOKUP(B197,'[4]june-2025'!$A:$A,'[4]june-2025'!$C:$C,0,0)</f>
        <v>33500</v>
      </c>
      <c r="AO197">
        <f t="shared" si="467"/>
        <v>6030</v>
      </c>
      <c r="AP197">
        <f t="shared" si="468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454"/>
        <v>44050</v>
      </c>
      <c r="AT197">
        <f>_xlfn.XLOOKUP(B197,'[4]june-2025'!$A:$A,'[4]june-2025'!$H:$H,0,0)</f>
        <v>5000</v>
      </c>
      <c r="AU197">
        <f>_xlfn.XLOOKUP(B197,'[4]june-2025'!$A:$A,'[4]june-2025'!$I:$I,0,0)</f>
        <v>0</v>
      </c>
      <c r="AV197">
        <f t="shared" si="469"/>
        <v>200</v>
      </c>
      <c r="AW197">
        <f t="shared" si="470"/>
        <v>38850</v>
      </c>
      <c r="AX197">
        <f>_xlfn.XLOOKUP(B197,'[5]july-2025'!$A:$A,'[5]july-2025'!$C:$C,0,0)</f>
        <v>34500</v>
      </c>
      <c r="AY197">
        <f t="shared" si="471"/>
        <v>6210</v>
      </c>
      <c r="AZ197">
        <v>0</v>
      </c>
      <c r="BA197">
        <f t="shared" si="472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>IF(AX197&gt;0,SUM(AX197:BC197),0)</f>
        <v>45350</v>
      </c>
      <c r="BE197">
        <f>_xlfn.XLOOKUP(B197,'[5]july-2025'!$A:$A,'[5]july-2025'!$H:$H,0,0)</f>
        <v>5000</v>
      </c>
      <c r="BF197">
        <f>_xlfn.XLOOKUP(B197,'[5]july-2025'!$A:$A,'[5]july-2025'!$I:$I,0,0)</f>
        <v>0</v>
      </c>
      <c r="BG197">
        <f t="shared" si="473"/>
        <v>200</v>
      </c>
      <c r="BH197">
        <f t="shared" si="474"/>
        <v>40150</v>
      </c>
      <c r="BI197">
        <f>_xlfn.XLOOKUP(B197,'[6]august-2025'!$A:$A,'[6]august-2025'!$C:$C,0,0)</f>
        <v>34500</v>
      </c>
      <c r="BJ197">
        <f t="shared" si="475"/>
        <v>6210</v>
      </c>
      <c r="BK197">
        <f t="shared" si="476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477"/>
        <v>45350</v>
      </c>
      <c r="BO197">
        <f>_xlfn.XLOOKUP(B197,'[6]august-2025'!$A:$A,'[6]august-2025'!$H:$H,0,0)</f>
        <v>5000</v>
      </c>
      <c r="BP197">
        <f>_xlfn.XLOOKUP(B197,'[6]august-2025'!$A:$A,'[6]august-2025'!$I:$I,0,0)</f>
        <v>0</v>
      </c>
      <c r="BQ197">
        <f>IF($F197="YES",0,IF(BN197&gt;40000,200,IF(BN197&gt;25000,150,IF(BN197&gt;15000,130,IF(BN197&gt;10000,110,0)))))</f>
        <v>200</v>
      </c>
      <c r="BR197">
        <f>BN197-BO197-BP197-BQ197</f>
        <v>40150</v>
      </c>
      <c r="BS197">
        <f>_xlfn.XLOOKUP(B197,'[7]september-2025'!$A:$A,'[7]september-2025'!$C:$C,0,0)</f>
        <v>34500</v>
      </c>
      <c r="BT197">
        <f t="shared" si="478"/>
        <v>6210</v>
      </c>
      <c r="BU197">
        <f t="shared" si="479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>IF(BS197&gt;0,SUM(BS197:BW197),0)</f>
        <v>45350</v>
      </c>
      <c r="BY197">
        <f>_xlfn.XLOOKUP(B197,'[7]september-2025'!$A:$A,'[7]september-2025'!$H:$H,0,0)</f>
        <v>5000</v>
      </c>
      <c r="BZ197">
        <f>_xlfn.XLOOKUP(B197,'[7]september-2025'!$A:$A,'[7]september-2025'!$I:$I,0,0)</f>
        <v>0</v>
      </c>
      <c r="CA197">
        <f t="shared" si="480"/>
        <v>200</v>
      </c>
      <c r="CB197">
        <f t="shared" si="481"/>
        <v>40150</v>
      </c>
      <c r="CC197">
        <f>_xlfn.XLOOKUP(B197,'[8]october-2025'!$A:$A,'[8]october-2025'!$C:$C,0,0)</f>
        <v>34500</v>
      </c>
      <c r="CD197">
        <f t="shared" si="482"/>
        <v>6210</v>
      </c>
      <c r="CE197">
        <f t="shared" si="483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>IF(CC197&gt;0,SUM(CC197:CG197),0)</f>
        <v>45350</v>
      </c>
      <c r="CI197">
        <f>_xlfn.XLOOKUP(B197,'[8]october-2025'!$A:$A,'[8]october-2025'!$H:$H,0,0)</f>
        <v>5000</v>
      </c>
      <c r="CJ197">
        <f>_xlfn.XLOOKUP(B197,'[8]october-2025'!$A:$A,'[8]october-2025'!$I:$I,0,0)</f>
        <v>0</v>
      </c>
      <c r="CK197">
        <f t="shared" si="484"/>
        <v>200</v>
      </c>
      <c r="CL197">
        <f t="shared" si="485"/>
        <v>40150</v>
      </c>
      <c r="CM197">
        <f>_xlfn.XLOOKUP(B197,'[9]november-2025'!$A:$A,'[9]november-2025'!$C:$C,0,0)</f>
        <v>34500</v>
      </c>
      <c r="CN197">
        <f t="shared" si="486"/>
        <v>6210</v>
      </c>
      <c r="CO197">
        <f t="shared" si="487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>IF(CM197&gt;0,SUM(CM197:CQ197),0)</f>
        <v>45350</v>
      </c>
      <c r="CS197">
        <f>_xlfn.XLOOKUP(B197,'[9]november-2025'!$A:$A,'[9]november-2025'!$H:$H,0,0)</f>
        <v>5000</v>
      </c>
      <c r="CT197">
        <f>_xlfn.XLOOKUP(B197,'[9]november-2025'!$A:$A,'[9]november-2025'!$I:$I,0,0)</f>
        <v>0</v>
      </c>
      <c r="CU197">
        <f t="shared" si="488"/>
        <v>200</v>
      </c>
      <c r="CV197">
        <f t="shared" si="489"/>
        <v>40150</v>
      </c>
      <c r="CW197">
        <f>_xlfn.XLOOKUP(B197,'[10]december-2025'!$A:$A,'[10]december-2025'!$C:$C,0,0)</f>
        <v>34500</v>
      </c>
      <c r="CX197">
        <f t="shared" si="490"/>
        <v>6210</v>
      </c>
      <c r="CY197">
        <f t="shared" si="491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>IF(CW197&gt;0,SUM(CW197:DA197),0)</f>
        <v>45350</v>
      </c>
      <c r="DC197">
        <f>_xlfn.XLOOKUP(B197,'[10]december-2025'!$A:$A,'[10]december-2025'!$H:$H,0,0)</f>
        <v>5000</v>
      </c>
      <c r="DD197">
        <f>_xlfn.XLOOKUP(B197,'[10]december-2025'!$A:$A,'[10]december-2025'!$I:$I,0,0)</f>
        <v>0</v>
      </c>
      <c r="DE197">
        <f t="shared" si="492"/>
        <v>200</v>
      </c>
      <c r="DF197">
        <f t="shared" si="493"/>
        <v>40150</v>
      </c>
      <c r="DG197">
        <f>_xlfn.XLOOKUP(B197,'[11]january-2026'!$A:$A,'[11]january-2026'!$C:$C,0,0)</f>
        <v>34500</v>
      </c>
      <c r="DH197">
        <f t="shared" si="494"/>
        <v>6210</v>
      </c>
      <c r="DI197">
        <f t="shared" si="495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>IF(DG197&gt;0,SUM(DG197:DK197),0)</f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496"/>
        <v>200</v>
      </c>
      <c r="DP197">
        <f t="shared" si="497"/>
        <v>40150</v>
      </c>
      <c r="DQ197">
        <f>_xlfn.XLOOKUP(B197,'[12]february-2026'!$A:$A,'[12]february-2026'!$C:$C,0,0)</f>
        <v>34500</v>
      </c>
      <c r="DR197">
        <f t="shared" si="498"/>
        <v>6210</v>
      </c>
      <c r="DS197">
        <f t="shared" si="499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>IF(DQ197&gt;0,SUM(DQ197:DU197),0)</f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00"/>
        <v>200</v>
      </c>
      <c r="DZ197">
        <f t="shared" si="501"/>
        <v>40150</v>
      </c>
      <c r="EA197">
        <f>_xlfn.XLOOKUP(B197,'[1]march-2025'!$A:$A,'[1]march-2025'!$J:$J,0,0)</f>
        <v>0</v>
      </c>
      <c r="EB197">
        <f>_xlfn.XLOOKUP(B197,'[2]april-2025'!$A:$A,'[2]april-2025'!$J:$J,0,0)</f>
        <v>0</v>
      </c>
      <c r="EC197">
        <f>_xlfn.XLOOKUP(B197,'[3]may-2025'!$A:$A,'[3]may-2025'!$J:$J,0,0)</f>
        <v>0</v>
      </c>
      <c r="ED197">
        <f>_xlfn.XLOOKUP(B197,'[4]june-2025'!$A:$A,'[4]june-2025'!$J:$J,0,0)</f>
        <v>0</v>
      </c>
      <c r="EE197">
        <f>_xlfn.XLOOKUP(B197,'[5]july-2025'!$A:$A,'[5]july-2025'!$J:$J,0,0)</f>
        <v>0</v>
      </c>
      <c r="EF197">
        <f>_xlfn.XLOOKUP(B197,'[6]august-2025'!$A:$A,'[6]august-2025'!$J:$J,0,0)</f>
        <v>0</v>
      </c>
      <c r="EG197">
        <f>_xlfn.XLOOKUP(B197,'[7]september-2025'!$A:$A,'[7]september-2025'!$J:$J,0,0)</f>
        <v>0</v>
      </c>
      <c r="EH197">
        <f>_xlfn.XLOOKUP(B197,'[8]october-2025'!$A:$A,'[8]october-2025'!$J:$J,0,0)</f>
        <v>0</v>
      </c>
      <c r="EI197">
        <f>_xlfn.XLOOKUP(C197,'[9]november-2025'!$A:$A,'[9]november-2025'!$J:$J,0,0)</f>
        <v>0</v>
      </c>
      <c r="EJ197">
        <f>_xlfn.XLOOKUP(B197,'[10]december-2025'!$A:$A,'[10]december-2025'!$J:$J,0,0)</f>
        <v>0</v>
      </c>
      <c r="EK197">
        <f>_xlfn.XLOOKUP(B197,'[11]january-2026'!$A:$A,'[11]january-2026'!$J:$J,0,0)</f>
        <v>0</v>
      </c>
      <c r="EL197">
        <f>_xlfn.XLOOKUP(B197,'[12]february-2026'!$A:$A,'[12]february-2026'!$J:$J,0,0)</f>
        <v>0</v>
      </c>
      <c r="EM197">
        <f t="shared" si="455"/>
        <v>0</v>
      </c>
      <c r="EN197">
        <f>DV197+DL197+DB197+CR197+CH197+BX197+BN197+BD197+AS197+AI197+Y197+O197+H197+I197</f>
        <v>544460</v>
      </c>
      <c r="EO197">
        <f>DY197+DO197+DE197+CU197+CK197+CA197+BQ197+BG197+AV197+AL197+AB197+R197</f>
        <v>2400</v>
      </c>
      <c r="EP197">
        <f t="shared" si="502"/>
        <v>50000</v>
      </c>
      <c r="EQ197">
        <v>0</v>
      </c>
      <c r="ER197">
        <f t="shared" si="456"/>
        <v>492060</v>
      </c>
      <c r="ES197">
        <f>DW197+DM197+DC197+CS197+CI197+BY197+BO197+BE197+AT197+AJ197+Z197+P197</f>
        <v>60000</v>
      </c>
      <c r="ET197">
        <f>DX197+DN197+DD197+CT197+CJ197+BZ197+BP197+BF197+AU197+AK197+AA197+Q197</f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503"/>
        <v>60000</v>
      </c>
      <c r="FF197">
        <f t="shared" si="504"/>
        <v>60000</v>
      </c>
      <c r="FG197">
        <f t="shared" si="505"/>
        <v>432060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>SUM(FH197:FN197)+(IF(F197="YES",50000,0))</f>
        <v>0</v>
      </c>
      <c r="FP197">
        <f t="shared" si="506"/>
        <v>432060</v>
      </c>
      <c r="FQ197">
        <f t="shared" si="507"/>
        <v>9103</v>
      </c>
      <c r="FR197">
        <f t="shared" si="508"/>
        <v>0</v>
      </c>
      <c r="FS197">
        <f t="shared" si="509"/>
        <v>9103</v>
      </c>
      <c r="FT197">
        <f t="shared" si="510"/>
        <v>0</v>
      </c>
      <c r="FU197">
        <f t="shared" si="511"/>
        <v>0</v>
      </c>
      <c r="FV197">
        <f t="shared" si="512"/>
        <v>0</v>
      </c>
      <c r="FW197">
        <v>0</v>
      </c>
      <c r="FX197">
        <f t="shared" si="513"/>
        <v>0</v>
      </c>
      <c r="FY197" t="b">
        <f t="shared" si="514"/>
        <v>1</v>
      </c>
      <c r="FZ197">
        <f t="shared" ca="1" si="515"/>
        <v>601</v>
      </c>
      <c r="GA197">
        <f t="shared" ca="1" si="516"/>
        <v>545061</v>
      </c>
      <c r="GB197">
        <f t="shared" si="517"/>
        <v>75000</v>
      </c>
      <c r="GC197">
        <f t="shared" ca="1" si="518"/>
        <v>470061</v>
      </c>
      <c r="GD197">
        <f t="shared" ca="1" si="519"/>
        <v>0</v>
      </c>
      <c r="GE197">
        <f t="shared" ca="1" si="520"/>
        <v>0</v>
      </c>
      <c r="GF197">
        <f t="shared" ca="1" si="521"/>
        <v>0</v>
      </c>
      <c r="GG197">
        <f t="shared" ca="1" si="522"/>
        <v>0</v>
      </c>
      <c r="GH197">
        <f t="shared" ca="1" si="523"/>
        <v>0</v>
      </c>
      <c r="GI197">
        <f t="shared" ca="1" si="524"/>
        <v>0</v>
      </c>
      <c r="GJ197">
        <f ca="1">IF(GC197&gt;1200000,GC197-1200000-IF(F197="YES",50000,0)-GH197,0)</f>
        <v>0</v>
      </c>
      <c r="GK197">
        <f t="shared" ca="1" si="525"/>
        <v>0</v>
      </c>
      <c r="GL197">
        <f t="shared" ca="1" si="526"/>
        <v>0</v>
      </c>
      <c r="GM197">
        <f t="shared" ca="1" si="527"/>
        <v>0</v>
      </c>
      <c r="GN197">
        <f t="shared" ca="1" si="528"/>
        <v>70061</v>
      </c>
      <c r="GO197">
        <f t="shared" ca="1" si="529"/>
        <v>3503.05</v>
      </c>
      <c r="GP197">
        <f t="shared" ca="1" si="530"/>
        <v>3503</v>
      </c>
      <c r="GQ197">
        <f t="shared" ca="1" si="531"/>
        <v>0</v>
      </c>
      <c r="GR197">
        <f t="shared" ca="1" si="532"/>
        <v>0</v>
      </c>
      <c r="GS197">
        <f t="shared" ca="1" si="533"/>
        <v>3503</v>
      </c>
      <c r="GT197">
        <f t="shared" ca="1" si="534"/>
        <v>0</v>
      </c>
      <c r="GU197" t="b">
        <f t="shared" ca="1" si="535"/>
        <v>0</v>
      </c>
      <c r="GV197">
        <f t="shared" ca="1" si="536"/>
        <v>0</v>
      </c>
      <c r="GW197">
        <f t="shared" ca="1" si="537"/>
        <v>3503</v>
      </c>
      <c r="GX197">
        <f t="shared" ca="1" si="538"/>
        <v>0</v>
      </c>
      <c r="GY197">
        <f t="shared" ca="1" si="539"/>
        <v>0</v>
      </c>
      <c r="GZ197">
        <f t="shared" ca="1" si="540"/>
        <v>0</v>
      </c>
    </row>
    <row r="198" spans="1:208" x14ac:dyDescent="0.25">
      <c r="A198">
        <f>_xlfn.AGGREGATE(3,5,$B$2:B198)</f>
        <v>197</v>
      </c>
      <c r="B198" t="s">
        <v>502</v>
      </c>
      <c r="C198" t="s">
        <v>503</v>
      </c>
      <c r="D198" t="s">
        <v>800</v>
      </c>
      <c r="E198" t="s">
        <v>831</v>
      </c>
      <c r="F198" t="s">
        <v>957</v>
      </c>
      <c r="G198" t="s">
        <v>924</v>
      </c>
      <c r="H198">
        <f t="shared" si="450"/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457"/>
        <v>4690</v>
      </c>
      <c r="L198">
        <f t="shared" si="458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>IF(J198&gt;0,SUM(J198:N198),0)</f>
        <v>42710</v>
      </c>
      <c r="P198">
        <f>_xlfn.XLOOKUP(B198,'[1]march-2025'!$A:$A,'[1]march-2025'!$H:$H,0,0)</f>
        <v>2500</v>
      </c>
      <c r="Q198">
        <f>_xlfn.XLOOKUP(B198,'[1]march-2025'!$A:$A,'[1]march-2025'!$I:$I,0,0)</f>
        <v>0</v>
      </c>
      <c r="R198">
        <f t="shared" si="541"/>
        <v>200</v>
      </c>
      <c r="S198">
        <f t="shared" si="451"/>
        <v>40010</v>
      </c>
      <c r="T198">
        <f>_xlfn.XLOOKUP(B198,'[2]april-2025'!$A:$A,'[2]april-2025'!$C:$C,0,0)</f>
        <v>33500</v>
      </c>
      <c r="U198">
        <f t="shared" si="459"/>
        <v>6030</v>
      </c>
      <c r="V198">
        <f t="shared" si="460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452"/>
        <v>44050</v>
      </c>
      <c r="Z198">
        <f>_xlfn.XLOOKUP(B198,'[2]april-2025'!$A:$A,'[2]april-2025'!$H:$H,0,0)</f>
        <v>2500</v>
      </c>
      <c r="AA198">
        <f>_xlfn.XLOOKUP(B198,'[2]april-2025'!$A:$A,'[2]april-2025'!$I:$I,0,0)</f>
        <v>0</v>
      </c>
      <c r="AB198">
        <f t="shared" si="461"/>
        <v>200</v>
      </c>
      <c r="AC198">
        <f t="shared" si="462"/>
        <v>41350</v>
      </c>
      <c r="AD198">
        <f>_xlfn.XLOOKUP(B198,'[3]may-2025'!$A:$A,'[3]may-2025'!$C:$C,0,0)</f>
        <v>33500</v>
      </c>
      <c r="AE198">
        <f t="shared" si="463"/>
        <v>6030</v>
      </c>
      <c r="AF198">
        <f t="shared" si="464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453"/>
        <v>44050</v>
      </c>
      <c r="AJ198">
        <f>_xlfn.XLOOKUP(B198,'[3]may-2025'!$A:$A,'[3]may-2025'!$H:$H,0,0)</f>
        <v>2500</v>
      </c>
      <c r="AK198">
        <f>_xlfn.XLOOKUP(B198,'[3]may-2025'!$A:$A,'[3]may-2025'!$I:$I,0,0)</f>
        <v>0</v>
      </c>
      <c r="AL198">
        <f t="shared" si="465"/>
        <v>200</v>
      </c>
      <c r="AM198">
        <f t="shared" si="466"/>
        <v>41350</v>
      </c>
      <c r="AN198">
        <f>_xlfn.XLOOKUP(B198,'[4]june-2025'!$A:$A,'[4]june-2025'!$C:$C,0,0)</f>
        <v>33500</v>
      </c>
      <c r="AO198">
        <f t="shared" si="467"/>
        <v>6030</v>
      </c>
      <c r="AP198">
        <f t="shared" si="468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454"/>
        <v>44050</v>
      </c>
      <c r="AT198">
        <f>_xlfn.XLOOKUP(B198,'[4]june-2025'!$A:$A,'[4]june-2025'!$H:$H,0,0)</f>
        <v>2500</v>
      </c>
      <c r="AU198">
        <f>_xlfn.XLOOKUP(B198,'[4]june-2025'!$A:$A,'[4]june-2025'!$I:$I,0,0)</f>
        <v>0</v>
      </c>
      <c r="AV198">
        <f t="shared" si="469"/>
        <v>200</v>
      </c>
      <c r="AW198">
        <f t="shared" si="470"/>
        <v>41350</v>
      </c>
      <c r="AX198">
        <f>_xlfn.XLOOKUP(B198,'[5]july-2025'!$A:$A,'[5]july-2025'!$C:$C,0,0)</f>
        <v>34500</v>
      </c>
      <c r="AY198">
        <f t="shared" si="471"/>
        <v>6210</v>
      </c>
      <c r="AZ198">
        <v>0</v>
      </c>
      <c r="BA198">
        <f t="shared" si="472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>IF(AX198&gt;0,SUM(AX198:BC198),0)</f>
        <v>45350</v>
      </c>
      <c r="BE198">
        <f>_xlfn.XLOOKUP(B198,'[5]july-2025'!$A:$A,'[5]july-2025'!$H:$H,0,0)</f>
        <v>2500</v>
      </c>
      <c r="BF198">
        <f>_xlfn.XLOOKUP(B198,'[5]july-2025'!$A:$A,'[5]july-2025'!$I:$I,0,0)</f>
        <v>0</v>
      </c>
      <c r="BG198">
        <f t="shared" si="473"/>
        <v>200</v>
      </c>
      <c r="BH198">
        <f t="shared" si="474"/>
        <v>42650</v>
      </c>
      <c r="BI198">
        <f>_xlfn.XLOOKUP(B198,'[6]august-2025'!$A:$A,'[6]august-2025'!$C:$C,0,0)</f>
        <v>34500</v>
      </c>
      <c r="BJ198">
        <f t="shared" si="475"/>
        <v>6210</v>
      </c>
      <c r="BK198">
        <f t="shared" si="476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477"/>
        <v>45350</v>
      </c>
      <c r="BO198">
        <f>_xlfn.XLOOKUP(B198,'[6]august-2025'!$A:$A,'[6]august-2025'!$H:$H,0,0)</f>
        <v>2500</v>
      </c>
      <c r="BP198">
        <f>_xlfn.XLOOKUP(B198,'[6]august-2025'!$A:$A,'[6]august-2025'!$I:$I,0,0)</f>
        <v>0</v>
      </c>
      <c r="BQ198">
        <f>IF($F198="YES",0,IF(BN198&gt;40000,200,IF(BN198&gt;25000,150,IF(BN198&gt;15000,130,IF(BN198&gt;10000,110,0)))))</f>
        <v>200</v>
      </c>
      <c r="BR198">
        <f>BN198-BO198-BP198-BQ198</f>
        <v>42650</v>
      </c>
      <c r="BS198">
        <f>_xlfn.XLOOKUP(B198,'[7]september-2025'!$A:$A,'[7]september-2025'!$C:$C,0,0)</f>
        <v>34500</v>
      </c>
      <c r="BT198">
        <f t="shared" si="478"/>
        <v>6210</v>
      </c>
      <c r="BU198">
        <f t="shared" si="479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>IF(BS198&gt;0,SUM(BS198:BW198),0)</f>
        <v>45350</v>
      </c>
      <c r="BY198">
        <f>_xlfn.XLOOKUP(B198,'[7]september-2025'!$A:$A,'[7]september-2025'!$H:$H,0,0)</f>
        <v>2500</v>
      </c>
      <c r="BZ198">
        <f>_xlfn.XLOOKUP(B198,'[7]september-2025'!$A:$A,'[7]september-2025'!$I:$I,0,0)</f>
        <v>0</v>
      </c>
      <c r="CA198">
        <f t="shared" si="480"/>
        <v>200</v>
      </c>
      <c r="CB198">
        <f t="shared" si="481"/>
        <v>42650</v>
      </c>
      <c r="CC198">
        <f>_xlfn.XLOOKUP(B198,'[8]october-2025'!$A:$A,'[8]october-2025'!$C:$C,0,0)</f>
        <v>34500</v>
      </c>
      <c r="CD198">
        <f t="shared" si="482"/>
        <v>6210</v>
      </c>
      <c r="CE198">
        <f t="shared" si="483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>IF(CC198&gt;0,SUM(CC198:CG198),0)</f>
        <v>45350</v>
      </c>
      <c r="CI198">
        <f>_xlfn.XLOOKUP(B198,'[8]october-2025'!$A:$A,'[8]october-2025'!$H:$H,0,0)</f>
        <v>2500</v>
      </c>
      <c r="CJ198">
        <f>_xlfn.XLOOKUP(B198,'[8]october-2025'!$A:$A,'[8]october-2025'!$I:$I,0,0)</f>
        <v>0</v>
      </c>
      <c r="CK198">
        <f t="shared" si="484"/>
        <v>200</v>
      </c>
      <c r="CL198">
        <f t="shared" si="485"/>
        <v>42650</v>
      </c>
      <c r="CM198">
        <f>_xlfn.XLOOKUP(B198,'[9]november-2025'!$A:$A,'[9]november-2025'!$C:$C,0,0)</f>
        <v>34500</v>
      </c>
      <c r="CN198">
        <f t="shared" si="486"/>
        <v>6210</v>
      </c>
      <c r="CO198">
        <f t="shared" si="487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>IF(CM198&gt;0,SUM(CM198:CQ198),0)</f>
        <v>45350</v>
      </c>
      <c r="CS198">
        <f>_xlfn.XLOOKUP(B198,'[9]november-2025'!$A:$A,'[9]november-2025'!$H:$H,0,0)</f>
        <v>2500</v>
      </c>
      <c r="CT198">
        <f>_xlfn.XLOOKUP(B198,'[9]november-2025'!$A:$A,'[9]november-2025'!$I:$I,0,0)</f>
        <v>0</v>
      </c>
      <c r="CU198">
        <f t="shared" si="488"/>
        <v>200</v>
      </c>
      <c r="CV198">
        <f t="shared" si="489"/>
        <v>42650</v>
      </c>
      <c r="CW198">
        <f>_xlfn.XLOOKUP(B198,'[10]december-2025'!$A:$A,'[10]december-2025'!$C:$C,0,0)</f>
        <v>34500</v>
      </c>
      <c r="CX198">
        <f t="shared" si="490"/>
        <v>6210</v>
      </c>
      <c r="CY198">
        <f t="shared" si="491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>IF(CW198&gt;0,SUM(CW198:DA198),0)</f>
        <v>45350</v>
      </c>
      <c r="DC198">
        <f>_xlfn.XLOOKUP(B198,'[10]december-2025'!$A:$A,'[10]december-2025'!$H:$H,0,0)</f>
        <v>2500</v>
      </c>
      <c r="DD198">
        <f>_xlfn.XLOOKUP(B198,'[10]december-2025'!$A:$A,'[10]december-2025'!$I:$I,0,0)</f>
        <v>0</v>
      </c>
      <c r="DE198">
        <f t="shared" si="492"/>
        <v>200</v>
      </c>
      <c r="DF198">
        <f t="shared" si="493"/>
        <v>42650</v>
      </c>
      <c r="DG198">
        <f>_xlfn.XLOOKUP(B198,'[11]january-2026'!$A:$A,'[11]january-2026'!$C:$C,0,0)</f>
        <v>34500</v>
      </c>
      <c r="DH198">
        <f t="shared" si="494"/>
        <v>6210</v>
      </c>
      <c r="DI198">
        <f t="shared" si="495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>IF(DG198&gt;0,SUM(DG198:DK198),0)</f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496"/>
        <v>200</v>
      </c>
      <c r="DP198">
        <f t="shared" si="497"/>
        <v>42650</v>
      </c>
      <c r="DQ198">
        <f>_xlfn.XLOOKUP(B198,'[12]february-2026'!$A:$A,'[12]february-2026'!$C:$C,0,0)</f>
        <v>34500</v>
      </c>
      <c r="DR198">
        <f t="shared" si="498"/>
        <v>6210</v>
      </c>
      <c r="DS198">
        <f t="shared" si="499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>IF(DQ198&gt;0,SUM(DQ198:DU198),0)</f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00"/>
        <v>200</v>
      </c>
      <c r="DZ198">
        <f t="shared" si="501"/>
        <v>42650</v>
      </c>
      <c r="EA198">
        <f>_xlfn.XLOOKUP(B198,'[1]march-2025'!$A:$A,'[1]march-2025'!$J:$J,0,0)</f>
        <v>0</v>
      </c>
      <c r="EB198">
        <f>_xlfn.XLOOKUP(B198,'[2]april-2025'!$A:$A,'[2]april-2025'!$J:$J,0,0)</f>
        <v>0</v>
      </c>
      <c r="EC198">
        <f>_xlfn.XLOOKUP(B198,'[3]may-2025'!$A:$A,'[3]may-2025'!$J:$J,0,0)</f>
        <v>0</v>
      </c>
      <c r="ED198">
        <f>_xlfn.XLOOKUP(B198,'[4]june-2025'!$A:$A,'[4]june-2025'!$J:$J,0,0)</f>
        <v>0</v>
      </c>
      <c r="EE198">
        <f>_xlfn.XLOOKUP(B198,'[5]july-2025'!$A:$A,'[5]july-2025'!$J:$J,0,0)</f>
        <v>0</v>
      </c>
      <c r="EF198">
        <f>_xlfn.XLOOKUP(B198,'[6]august-2025'!$A:$A,'[6]august-2025'!$J:$J,0,0)</f>
        <v>0</v>
      </c>
      <c r="EG198">
        <f>_xlfn.XLOOKUP(B198,'[7]september-2025'!$A:$A,'[7]september-2025'!$J:$J,0,0)</f>
        <v>0</v>
      </c>
      <c r="EH198">
        <f>_xlfn.XLOOKUP(B198,'[8]october-2025'!$A:$A,'[8]october-2025'!$J:$J,0,0)</f>
        <v>0</v>
      </c>
      <c r="EI198">
        <f>_xlfn.XLOOKUP(C198,'[9]november-2025'!$A:$A,'[9]november-2025'!$J:$J,0,0)</f>
        <v>0</v>
      </c>
      <c r="EJ198">
        <f>_xlfn.XLOOKUP(B198,'[10]december-2025'!$A:$A,'[10]december-2025'!$J:$J,0,0)</f>
        <v>0</v>
      </c>
      <c r="EK198">
        <f>_xlfn.XLOOKUP(B198,'[11]january-2026'!$A:$A,'[11]january-2026'!$J:$J,0,0)</f>
        <v>0</v>
      </c>
      <c r="EL198">
        <f>_xlfn.XLOOKUP(B198,'[12]february-2026'!$A:$A,'[12]february-2026'!$J:$J,0,0)</f>
        <v>0</v>
      </c>
      <c r="EM198">
        <f t="shared" si="455"/>
        <v>0</v>
      </c>
      <c r="EN198">
        <f>DV198+DL198+DB198+CR198+CH198+BX198+BN198+BD198+AS198+AI198+Y198+O198+H198+I198</f>
        <v>544460</v>
      </c>
      <c r="EO198">
        <f>DY198+DO198+DE198+CU198+CK198+CA198+BQ198+BG198+AV198+AL198+AB198+R198</f>
        <v>2400</v>
      </c>
      <c r="EP198">
        <f t="shared" si="502"/>
        <v>50000</v>
      </c>
      <c r="EQ198">
        <v>0</v>
      </c>
      <c r="ER198">
        <f t="shared" si="456"/>
        <v>492060</v>
      </c>
      <c r="ES198">
        <f>DW198+DM198+DC198+CS198+CI198+BY198+BO198+BE198+AT198+AJ198+Z198+P198</f>
        <v>30000</v>
      </c>
      <c r="ET198">
        <f>DX198+DN198+DD198+CT198+CJ198+BZ198+BP198+BF198+AU198+AK198+AA198+Q198</f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503"/>
        <v>30000</v>
      </c>
      <c r="FF198">
        <f t="shared" si="504"/>
        <v>30000</v>
      </c>
      <c r="FG198">
        <f t="shared" si="505"/>
        <v>462060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>SUM(FH198:FN198)+(IF(F198="YES",50000,0))</f>
        <v>0</v>
      </c>
      <c r="FP198">
        <f t="shared" si="506"/>
        <v>462060</v>
      </c>
      <c r="FQ198">
        <f t="shared" si="507"/>
        <v>10603</v>
      </c>
      <c r="FR198">
        <f t="shared" si="508"/>
        <v>0</v>
      </c>
      <c r="FS198">
        <f t="shared" si="509"/>
        <v>10603</v>
      </c>
      <c r="FT198">
        <f t="shared" si="510"/>
        <v>0</v>
      </c>
      <c r="FU198">
        <f t="shared" si="511"/>
        <v>0</v>
      </c>
      <c r="FV198">
        <f t="shared" si="512"/>
        <v>0</v>
      </c>
      <c r="FW198">
        <v>0</v>
      </c>
      <c r="FX198">
        <f t="shared" si="513"/>
        <v>0</v>
      </c>
      <c r="FY198" t="b">
        <f t="shared" si="514"/>
        <v>1</v>
      </c>
      <c r="FZ198">
        <f t="shared" ca="1" si="515"/>
        <v>952</v>
      </c>
      <c r="GA198">
        <f t="shared" ca="1" si="516"/>
        <v>545412</v>
      </c>
      <c r="GB198">
        <f t="shared" si="517"/>
        <v>75000</v>
      </c>
      <c r="GC198">
        <f t="shared" ca="1" si="518"/>
        <v>470412</v>
      </c>
      <c r="GD198">
        <f t="shared" ca="1" si="519"/>
        <v>0</v>
      </c>
      <c r="GE198">
        <f t="shared" ca="1" si="520"/>
        <v>0</v>
      </c>
      <c r="GF198">
        <f t="shared" ca="1" si="521"/>
        <v>0</v>
      </c>
      <c r="GG198">
        <f t="shared" ca="1" si="522"/>
        <v>0</v>
      </c>
      <c r="GH198">
        <f t="shared" ca="1" si="523"/>
        <v>0</v>
      </c>
      <c r="GI198">
        <f t="shared" ca="1" si="524"/>
        <v>0</v>
      </c>
      <c r="GJ198">
        <f ca="1">IF(GC198&gt;1200000,GC198-1200000-IF(F198="YES",50000,0)-GH198,0)</f>
        <v>0</v>
      </c>
      <c r="GK198">
        <f t="shared" ca="1" si="525"/>
        <v>0</v>
      </c>
      <c r="GL198">
        <f t="shared" ca="1" si="526"/>
        <v>0</v>
      </c>
      <c r="GM198">
        <f t="shared" ca="1" si="527"/>
        <v>0</v>
      </c>
      <c r="GN198">
        <f t="shared" ca="1" si="528"/>
        <v>70412</v>
      </c>
      <c r="GO198">
        <f t="shared" ca="1" si="529"/>
        <v>3520.6000000000004</v>
      </c>
      <c r="GP198">
        <f t="shared" ca="1" si="530"/>
        <v>3521</v>
      </c>
      <c r="GQ198">
        <f t="shared" ca="1" si="531"/>
        <v>0</v>
      </c>
      <c r="GR198">
        <f t="shared" ca="1" si="532"/>
        <v>0</v>
      </c>
      <c r="GS198">
        <f t="shared" ca="1" si="533"/>
        <v>3521</v>
      </c>
      <c r="GT198">
        <f t="shared" ca="1" si="534"/>
        <v>0</v>
      </c>
      <c r="GU198" t="b">
        <f t="shared" ca="1" si="535"/>
        <v>0</v>
      </c>
      <c r="GV198">
        <f t="shared" ca="1" si="536"/>
        <v>0</v>
      </c>
      <c r="GW198">
        <f t="shared" ca="1" si="537"/>
        <v>3521</v>
      </c>
      <c r="GX198">
        <f t="shared" ca="1" si="538"/>
        <v>0</v>
      </c>
      <c r="GY198">
        <f t="shared" ca="1" si="539"/>
        <v>0</v>
      </c>
      <c r="GZ198">
        <f t="shared" ca="1" si="540"/>
        <v>0</v>
      </c>
    </row>
    <row r="199" spans="1:208" x14ac:dyDescent="0.25">
      <c r="A199">
        <f>_xlfn.AGGREGATE(3,5,$B$2:B199)</f>
        <v>198</v>
      </c>
      <c r="B199" t="s">
        <v>504</v>
      </c>
      <c r="C199" t="s">
        <v>505</v>
      </c>
      <c r="D199" t="s">
        <v>800</v>
      </c>
      <c r="E199" t="s">
        <v>831</v>
      </c>
      <c r="F199" t="s">
        <v>957</v>
      </c>
      <c r="G199" t="s">
        <v>924</v>
      </c>
      <c r="H199">
        <f t="shared" ref="H199:H230" si="542"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33500</v>
      </c>
      <c r="K199">
        <f t="shared" si="457"/>
        <v>4690</v>
      </c>
      <c r="L199">
        <f t="shared" si="458"/>
        <v>4020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>IF(J199&gt;0,SUM(J199:N199),0)</f>
        <v>42710</v>
      </c>
      <c r="P199">
        <f>_xlfn.XLOOKUP(B199,'[1]march-2025'!$A:$A,'[1]march-2025'!$H:$H,0,0)</f>
        <v>3000</v>
      </c>
      <c r="Q199">
        <f>_xlfn.XLOOKUP(B199,'[1]march-2025'!$A:$A,'[1]march-2025'!$I:$I,0,0)</f>
        <v>0</v>
      </c>
      <c r="R199">
        <f t="shared" si="541"/>
        <v>200</v>
      </c>
      <c r="S199">
        <f t="shared" si="451"/>
        <v>39510</v>
      </c>
      <c r="T199">
        <f>_xlfn.XLOOKUP(B199,'[2]april-2025'!$A:$A,'[2]april-2025'!$C:$C,0,0)</f>
        <v>33500</v>
      </c>
      <c r="U199">
        <f t="shared" si="459"/>
        <v>6030</v>
      </c>
      <c r="V199">
        <f t="shared" si="460"/>
        <v>4020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452"/>
        <v>44050</v>
      </c>
      <c r="Z199">
        <f>_xlfn.XLOOKUP(B199,'[2]april-2025'!$A:$A,'[2]april-2025'!$H:$H,0,0)</f>
        <v>3000</v>
      </c>
      <c r="AA199">
        <f>_xlfn.XLOOKUP(B199,'[2]april-2025'!$A:$A,'[2]april-2025'!$I:$I,0,0)</f>
        <v>0</v>
      </c>
      <c r="AB199">
        <f t="shared" si="461"/>
        <v>200</v>
      </c>
      <c r="AC199">
        <f t="shared" si="462"/>
        <v>40850</v>
      </c>
      <c r="AD199">
        <f>_xlfn.XLOOKUP(B199,'[3]may-2025'!$A:$A,'[3]may-2025'!$C:$C,0,0)</f>
        <v>33500</v>
      </c>
      <c r="AE199">
        <f t="shared" si="463"/>
        <v>6030</v>
      </c>
      <c r="AF199">
        <f t="shared" si="464"/>
        <v>4020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453"/>
        <v>44050</v>
      </c>
      <c r="AJ199">
        <f>_xlfn.XLOOKUP(B199,'[3]may-2025'!$A:$A,'[3]may-2025'!$H:$H,0,0)</f>
        <v>3000</v>
      </c>
      <c r="AK199">
        <f>_xlfn.XLOOKUP(B199,'[3]may-2025'!$A:$A,'[3]may-2025'!$I:$I,0,0)</f>
        <v>0</v>
      </c>
      <c r="AL199">
        <f t="shared" si="465"/>
        <v>200</v>
      </c>
      <c r="AM199">
        <f t="shared" si="466"/>
        <v>40850</v>
      </c>
      <c r="AN199">
        <f>_xlfn.XLOOKUP(B199,'[4]june-2025'!$A:$A,'[4]june-2025'!$C:$C,0,0)</f>
        <v>33500</v>
      </c>
      <c r="AO199">
        <f t="shared" si="467"/>
        <v>6030</v>
      </c>
      <c r="AP199">
        <f t="shared" si="468"/>
        <v>4020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454"/>
        <v>44050</v>
      </c>
      <c r="AT199">
        <f>_xlfn.XLOOKUP(B199,'[4]june-2025'!$A:$A,'[4]june-2025'!$H:$H,0,0)</f>
        <v>3000</v>
      </c>
      <c r="AU199">
        <f>_xlfn.XLOOKUP(B199,'[4]june-2025'!$A:$A,'[4]june-2025'!$I:$I,0,0)</f>
        <v>0</v>
      </c>
      <c r="AV199">
        <f t="shared" si="469"/>
        <v>200</v>
      </c>
      <c r="AW199">
        <f t="shared" si="470"/>
        <v>40850</v>
      </c>
      <c r="AX199">
        <f>_xlfn.XLOOKUP(B199,'[5]july-2025'!$A:$A,'[5]july-2025'!$C:$C,0,0)</f>
        <v>34500</v>
      </c>
      <c r="AY199">
        <f t="shared" si="471"/>
        <v>6210</v>
      </c>
      <c r="AZ199">
        <v>0</v>
      </c>
      <c r="BA199">
        <f t="shared" si="472"/>
        <v>4140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>IF(AX199&gt;0,SUM(AX199:BC199),0)</f>
        <v>45350</v>
      </c>
      <c r="BE199">
        <f>_xlfn.XLOOKUP(B199,'[5]july-2025'!$A:$A,'[5]july-2025'!$H:$H,0,0)</f>
        <v>3000</v>
      </c>
      <c r="BF199">
        <f>_xlfn.XLOOKUP(B199,'[5]july-2025'!$A:$A,'[5]july-2025'!$I:$I,0,0)</f>
        <v>0</v>
      </c>
      <c r="BG199">
        <f t="shared" si="473"/>
        <v>200</v>
      </c>
      <c r="BH199">
        <f t="shared" si="474"/>
        <v>42150</v>
      </c>
      <c r="BI199">
        <f>_xlfn.XLOOKUP(B199,'[6]august-2025'!$A:$A,'[6]august-2025'!$C:$C,0,0)</f>
        <v>34500</v>
      </c>
      <c r="BJ199">
        <f t="shared" si="475"/>
        <v>6210</v>
      </c>
      <c r="BK199">
        <f t="shared" si="476"/>
        <v>4140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477"/>
        <v>45350</v>
      </c>
      <c r="BO199">
        <f>_xlfn.XLOOKUP(B199,'[6]august-2025'!$A:$A,'[6]august-2025'!$H:$H,0,0)</f>
        <v>3000</v>
      </c>
      <c r="BP199">
        <f>_xlfn.XLOOKUP(B199,'[6]august-2025'!$A:$A,'[6]august-2025'!$I:$I,0,0)</f>
        <v>0</v>
      </c>
      <c r="BQ199">
        <f>IF($F199="YES",0,IF(BN199&gt;40000,200,IF(BN199&gt;25000,150,IF(BN199&gt;15000,130,IF(BN199&gt;10000,110,0)))))</f>
        <v>200</v>
      </c>
      <c r="BR199">
        <f>BN199-BO199-BP199-BQ199</f>
        <v>42150</v>
      </c>
      <c r="BS199">
        <f>_xlfn.XLOOKUP(B199,'[7]september-2025'!$A:$A,'[7]september-2025'!$C:$C,0,0)</f>
        <v>34500</v>
      </c>
      <c r="BT199">
        <f t="shared" si="478"/>
        <v>6210</v>
      </c>
      <c r="BU199">
        <f t="shared" si="479"/>
        <v>4140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>IF(BS199&gt;0,SUM(BS199:BW199),0)</f>
        <v>45350</v>
      </c>
      <c r="BY199">
        <f>_xlfn.XLOOKUP(B199,'[7]september-2025'!$A:$A,'[7]september-2025'!$H:$H,0,0)</f>
        <v>3000</v>
      </c>
      <c r="BZ199">
        <f>_xlfn.XLOOKUP(B199,'[7]september-2025'!$A:$A,'[7]september-2025'!$I:$I,0,0)</f>
        <v>0</v>
      </c>
      <c r="CA199">
        <f t="shared" si="480"/>
        <v>200</v>
      </c>
      <c r="CB199">
        <f t="shared" si="481"/>
        <v>42150</v>
      </c>
      <c r="CC199">
        <f>_xlfn.XLOOKUP(B199,'[8]october-2025'!$A:$A,'[8]october-2025'!$C:$C,0,0)</f>
        <v>34500</v>
      </c>
      <c r="CD199">
        <f t="shared" si="482"/>
        <v>6210</v>
      </c>
      <c r="CE199">
        <f t="shared" si="483"/>
        <v>4140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>IF(CC199&gt;0,SUM(CC199:CG199),0)</f>
        <v>45350</v>
      </c>
      <c r="CI199">
        <f>_xlfn.XLOOKUP(B199,'[8]october-2025'!$A:$A,'[8]october-2025'!$H:$H,0,0)</f>
        <v>3000</v>
      </c>
      <c r="CJ199">
        <f>_xlfn.XLOOKUP(B199,'[8]october-2025'!$A:$A,'[8]october-2025'!$I:$I,0,0)</f>
        <v>0</v>
      </c>
      <c r="CK199">
        <f t="shared" si="484"/>
        <v>200</v>
      </c>
      <c r="CL199">
        <f t="shared" si="485"/>
        <v>42150</v>
      </c>
      <c r="CM199">
        <f>_xlfn.XLOOKUP(B199,'[9]november-2025'!$A:$A,'[9]november-2025'!$C:$C,0,0)</f>
        <v>34500</v>
      </c>
      <c r="CN199">
        <f t="shared" si="486"/>
        <v>6210</v>
      </c>
      <c r="CO199">
        <f t="shared" si="487"/>
        <v>4140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>IF(CM199&gt;0,SUM(CM199:CQ199),0)</f>
        <v>45350</v>
      </c>
      <c r="CS199">
        <f>_xlfn.XLOOKUP(B199,'[9]november-2025'!$A:$A,'[9]november-2025'!$H:$H,0,0)</f>
        <v>3000</v>
      </c>
      <c r="CT199">
        <f>_xlfn.XLOOKUP(B199,'[9]november-2025'!$A:$A,'[9]november-2025'!$I:$I,0,0)</f>
        <v>0</v>
      </c>
      <c r="CU199">
        <f t="shared" si="488"/>
        <v>200</v>
      </c>
      <c r="CV199">
        <f t="shared" si="489"/>
        <v>42150</v>
      </c>
      <c r="CW199">
        <f>_xlfn.XLOOKUP(B199,'[10]december-2025'!$A:$A,'[10]december-2025'!$C:$C,0,0)</f>
        <v>34500</v>
      </c>
      <c r="CX199">
        <f t="shared" si="490"/>
        <v>6210</v>
      </c>
      <c r="CY199">
        <f t="shared" si="491"/>
        <v>4140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>IF(CW199&gt;0,SUM(CW199:DA199),0)</f>
        <v>45350</v>
      </c>
      <c r="DC199">
        <f>_xlfn.XLOOKUP(B199,'[10]december-2025'!$A:$A,'[10]december-2025'!$H:$H,0,0)</f>
        <v>3000</v>
      </c>
      <c r="DD199">
        <f>_xlfn.XLOOKUP(B199,'[10]december-2025'!$A:$A,'[10]december-2025'!$I:$I,0,0)</f>
        <v>0</v>
      </c>
      <c r="DE199">
        <f t="shared" si="492"/>
        <v>200</v>
      </c>
      <c r="DF199">
        <f t="shared" si="493"/>
        <v>42150</v>
      </c>
      <c r="DG199">
        <f>_xlfn.XLOOKUP(B199,'[11]january-2026'!$A:$A,'[11]january-2026'!$C:$C,0,0)</f>
        <v>34500</v>
      </c>
      <c r="DH199">
        <f t="shared" si="494"/>
        <v>6210</v>
      </c>
      <c r="DI199">
        <f t="shared" si="495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>IF(DG199&gt;0,SUM(DG199:DK199),0)</f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496"/>
        <v>200</v>
      </c>
      <c r="DP199">
        <f t="shared" si="497"/>
        <v>42150</v>
      </c>
      <c r="DQ199">
        <f>_xlfn.XLOOKUP(B199,'[12]february-2026'!$A:$A,'[12]february-2026'!$C:$C,0,0)</f>
        <v>34500</v>
      </c>
      <c r="DR199">
        <f t="shared" si="498"/>
        <v>6210</v>
      </c>
      <c r="DS199">
        <f t="shared" si="499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>IF(DQ199&gt;0,SUM(DQ199:DU199),0)</f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00"/>
        <v>200</v>
      </c>
      <c r="DZ199">
        <f t="shared" si="501"/>
        <v>42150</v>
      </c>
      <c r="EA199">
        <f>_xlfn.XLOOKUP(B199,'[1]march-2025'!$A:$A,'[1]march-2025'!$J:$J,0,0)</f>
        <v>0</v>
      </c>
      <c r="EB199">
        <f>_xlfn.XLOOKUP(B199,'[2]april-2025'!$A:$A,'[2]april-2025'!$J:$J,0,0)</f>
        <v>0</v>
      </c>
      <c r="EC199">
        <f>_xlfn.XLOOKUP(B199,'[3]may-2025'!$A:$A,'[3]may-2025'!$J:$J,0,0)</f>
        <v>0</v>
      </c>
      <c r="ED199">
        <f>_xlfn.XLOOKUP(B199,'[4]june-2025'!$A:$A,'[4]june-2025'!$J:$J,0,0)</f>
        <v>0</v>
      </c>
      <c r="EE199">
        <f>_xlfn.XLOOKUP(B199,'[5]july-2025'!$A:$A,'[5]july-2025'!$J:$J,0,0)</f>
        <v>0</v>
      </c>
      <c r="EF199">
        <f>_xlfn.XLOOKUP(B199,'[6]august-2025'!$A:$A,'[6]august-2025'!$J:$J,0,0)</f>
        <v>0</v>
      </c>
      <c r="EG199">
        <f>_xlfn.XLOOKUP(B199,'[7]september-2025'!$A:$A,'[7]september-2025'!$J:$J,0,0)</f>
        <v>0</v>
      </c>
      <c r="EH199">
        <f>_xlfn.XLOOKUP(B199,'[8]october-2025'!$A:$A,'[8]october-2025'!$J:$J,0,0)</f>
        <v>0</v>
      </c>
      <c r="EI199">
        <f>_xlfn.XLOOKUP(C199,'[9]november-2025'!$A:$A,'[9]november-2025'!$J:$J,0,0)</f>
        <v>0</v>
      </c>
      <c r="EJ199">
        <f>_xlfn.XLOOKUP(B199,'[10]december-2025'!$A:$A,'[10]december-2025'!$J:$J,0,0)</f>
        <v>0</v>
      </c>
      <c r="EK199">
        <f>_xlfn.XLOOKUP(B199,'[11]january-2026'!$A:$A,'[11]january-2026'!$J:$J,0,0)</f>
        <v>0</v>
      </c>
      <c r="EL199">
        <f>_xlfn.XLOOKUP(B199,'[12]february-2026'!$A:$A,'[12]february-2026'!$J:$J,0,0)</f>
        <v>0</v>
      </c>
      <c r="EM199">
        <f t="shared" si="455"/>
        <v>0</v>
      </c>
      <c r="EN199">
        <f>DV199+DL199+DB199+CR199+CH199+BX199+BN199+BD199+AS199+AI199+Y199+O199+H199+I199</f>
        <v>544460</v>
      </c>
      <c r="EO199">
        <f>DY199+DO199+DE199+CU199+CK199+CA199+BQ199+BG199+AV199+AL199+AB199+R199</f>
        <v>2400</v>
      </c>
      <c r="EP199">
        <f t="shared" si="502"/>
        <v>50000</v>
      </c>
      <c r="EQ199">
        <v>0</v>
      </c>
      <c r="ER199">
        <f t="shared" si="456"/>
        <v>492060</v>
      </c>
      <c r="ES199">
        <f>DW199+DM199+DC199+CS199+CI199+BY199+BO199+BE199+AT199+AJ199+Z199+P199</f>
        <v>36000</v>
      </c>
      <c r="ET199">
        <f>DX199+DN199+DD199+CT199+CJ199+BZ199+BP199+BF199+AU199+AK199+AA199+Q199</f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503"/>
        <v>36000</v>
      </c>
      <c r="FF199">
        <f t="shared" si="504"/>
        <v>36000</v>
      </c>
      <c r="FG199">
        <f t="shared" si="505"/>
        <v>456060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>SUM(FH199:FN199)+(IF(F199="YES",50000,0))</f>
        <v>0</v>
      </c>
      <c r="FP199">
        <f t="shared" si="506"/>
        <v>456060</v>
      </c>
      <c r="FQ199">
        <f t="shared" si="507"/>
        <v>10303</v>
      </c>
      <c r="FR199">
        <f t="shared" si="508"/>
        <v>0</v>
      </c>
      <c r="FS199">
        <f t="shared" si="509"/>
        <v>10303</v>
      </c>
      <c r="FT199">
        <f t="shared" si="510"/>
        <v>0</v>
      </c>
      <c r="FU199">
        <f t="shared" si="511"/>
        <v>0</v>
      </c>
      <c r="FV199">
        <f t="shared" si="512"/>
        <v>0</v>
      </c>
      <c r="FW199">
        <v>0</v>
      </c>
      <c r="FX199">
        <f t="shared" si="513"/>
        <v>0</v>
      </c>
      <c r="FY199" t="b">
        <f t="shared" si="514"/>
        <v>1</v>
      </c>
      <c r="FZ199">
        <f t="shared" ca="1" si="515"/>
        <v>573</v>
      </c>
      <c r="GA199">
        <f t="shared" ca="1" si="516"/>
        <v>545033</v>
      </c>
      <c r="GB199">
        <f t="shared" si="517"/>
        <v>75000</v>
      </c>
      <c r="GC199">
        <f t="shared" ca="1" si="518"/>
        <v>470033</v>
      </c>
      <c r="GD199">
        <f t="shared" ca="1" si="519"/>
        <v>0</v>
      </c>
      <c r="GE199">
        <f t="shared" ca="1" si="520"/>
        <v>0</v>
      </c>
      <c r="GF199">
        <f t="shared" ca="1" si="521"/>
        <v>0</v>
      </c>
      <c r="GG199">
        <f t="shared" ca="1" si="522"/>
        <v>0</v>
      </c>
      <c r="GH199">
        <f t="shared" ca="1" si="523"/>
        <v>0</v>
      </c>
      <c r="GI199">
        <f t="shared" ca="1" si="524"/>
        <v>0</v>
      </c>
      <c r="GJ199">
        <f ca="1">IF(GC199&gt;1200000,GC199-1200000-IF(F199="YES",50000,0)-GH199,0)</f>
        <v>0</v>
      </c>
      <c r="GK199">
        <f t="shared" ca="1" si="525"/>
        <v>0</v>
      </c>
      <c r="GL199">
        <f t="shared" ca="1" si="526"/>
        <v>0</v>
      </c>
      <c r="GM199">
        <f t="shared" ca="1" si="527"/>
        <v>0</v>
      </c>
      <c r="GN199">
        <f t="shared" ca="1" si="528"/>
        <v>70033</v>
      </c>
      <c r="GO199">
        <f t="shared" ca="1" si="529"/>
        <v>3501.65</v>
      </c>
      <c r="GP199">
        <f t="shared" ca="1" si="530"/>
        <v>3502</v>
      </c>
      <c r="GQ199">
        <f t="shared" ca="1" si="531"/>
        <v>0</v>
      </c>
      <c r="GR199">
        <f t="shared" ca="1" si="532"/>
        <v>0</v>
      </c>
      <c r="GS199">
        <f t="shared" ca="1" si="533"/>
        <v>3502</v>
      </c>
      <c r="GT199">
        <f t="shared" ca="1" si="534"/>
        <v>0</v>
      </c>
      <c r="GU199" t="b">
        <f t="shared" ca="1" si="535"/>
        <v>0</v>
      </c>
      <c r="GV199">
        <f t="shared" ca="1" si="536"/>
        <v>0</v>
      </c>
      <c r="GW199">
        <f t="shared" ca="1" si="537"/>
        <v>3502</v>
      </c>
      <c r="GX199">
        <f t="shared" ca="1" si="538"/>
        <v>0</v>
      </c>
      <c r="GY199">
        <f t="shared" ca="1" si="539"/>
        <v>0</v>
      </c>
      <c r="GZ199">
        <f t="shared" ca="1" si="540"/>
        <v>0</v>
      </c>
    </row>
    <row r="200" spans="1:208" x14ac:dyDescent="0.25">
      <c r="A200">
        <f>_xlfn.AGGREGATE(3,5,$B$2:B200)</f>
        <v>199</v>
      </c>
      <c r="B200" t="s">
        <v>506</v>
      </c>
      <c r="C200" t="s">
        <v>507</v>
      </c>
      <c r="D200" t="s">
        <v>800</v>
      </c>
      <c r="E200" t="s">
        <v>831</v>
      </c>
      <c r="F200" t="s">
        <v>958</v>
      </c>
      <c r="G200" t="s">
        <v>937</v>
      </c>
      <c r="H200">
        <f t="shared" si="542"/>
        <v>6800</v>
      </c>
      <c r="I200">
        <f>_xlfn.XLOOKUP(B200,'[1]march-2025'!$A:$A,'[1]march-2025'!$J:$J,0,0)</f>
        <v>0</v>
      </c>
      <c r="J200">
        <f>_xlfn.XLOOKUP(B200,'[1]march-2025'!$A:$A,'[1]march-2025'!$C:$C,0,0)</f>
        <v>37700</v>
      </c>
      <c r="K200">
        <f t="shared" si="457"/>
        <v>5278.0000000000009</v>
      </c>
      <c r="L200">
        <f t="shared" si="458"/>
        <v>4524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>IF(J200&gt;0,SUM(J200:N200),0)</f>
        <v>48002</v>
      </c>
      <c r="P200">
        <f>_xlfn.XLOOKUP(B200,'[1]march-2025'!$A:$A,'[1]march-2025'!$H:$H,0,0)</f>
        <v>5000</v>
      </c>
      <c r="Q200">
        <f>_xlfn.XLOOKUP(B200,'[1]march-2025'!$A:$A,'[1]march-2025'!$I:$I,0,0)</f>
        <v>0</v>
      </c>
      <c r="R200">
        <f t="shared" si="541"/>
        <v>0</v>
      </c>
      <c r="S200">
        <f t="shared" si="451"/>
        <v>43002</v>
      </c>
      <c r="T200">
        <f>_xlfn.XLOOKUP(B200,'[2]april-2025'!$A:$A,'[2]april-2025'!$C:$C,0,0)</f>
        <v>37700</v>
      </c>
      <c r="U200">
        <f t="shared" si="459"/>
        <v>6786</v>
      </c>
      <c r="V200">
        <f t="shared" si="460"/>
        <v>4524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452"/>
        <v>49510</v>
      </c>
      <c r="Z200">
        <f>_xlfn.XLOOKUP(B200,'[2]april-2025'!$A:$A,'[2]april-2025'!$H:$H,0,0)</f>
        <v>5000</v>
      </c>
      <c r="AA200">
        <f>_xlfn.XLOOKUP(B200,'[2]april-2025'!$A:$A,'[2]april-2025'!$I:$I,0,0)</f>
        <v>0</v>
      </c>
      <c r="AB200">
        <f t="shared" si="461"/>
        <v>0</v>
      </c>
      <c r="AC200">
        <f t="shared" si="462"/>
        <v>44510</v>
      </c>
      <c r="AD200">
        <f>_xlfn.XLOOKUP(B200,'[3]may-2025'!$A:$A,'[3]may-2025'!$C:$C,0,0)</f>
        <v>37700</v>
      </c>
      <c r="AE200">
        <f t="shared" si="463"/>
        <v>6786</v>
      </c>
      <c r="AF200">
        <f t="shared" si="464"/>
        <v>4524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453"/>
        <v>49510</v>
      </c>
      <c r="AJ200">
        <f>_xlfn.XLOOKUP(B200,'[3]may-2025'!$A:$A,'[3]may-2025'!$H:$H,0,0)</f>
        <v>5000</v>
      </c>
      <c r="AK200">
        <f>_xlfn.XLOOKUP(B200,'[3]may-2025'!$A:$A,'[3]may-2025'!$I:$I,0,0)</f>
        <v>0</v>
      </c>
      <c r="AL200">
        <f t="shared" si="465"/>
        <v>0</v>
      </c>
      <c r="AM200">
        <f t="shared" si="466"/>
        <v>44510</v>
      </c>
      <c r="AN200">
        <f>_xlfn.XLOOKUP(B200,'[4]june-2025'!$A:$A,'[4]june-2025'!$C:$C,0,0)</f>
        <v>37700</v>
      </c>
      <c r="AO200">
        <f t="shared" si="467"/>
        <v>6786</v>
      </c>
      <c r="AP200">
        <f t="shared" si="468"/>
        <v>4524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454"/>
        <v>49510</v>
      </c>
      <c r="AT200">
        <f>_xlfn.XLOOKUP(B200,'[4]june-2025'!$A:$A,'[4]june-2025'!$H:$H,0,0)</f>
        <v>5000</v>
      </c>
      <c r="AU200">
        <f>_xlfn.XLOOKUP(B200,'[4]june-2025'!$A:$A,'[4]june-2025'!$I:$I,0,0)</f>
        <v>0</v>
      </c>
      <c r="AV200">
        <f t="shared" si="469"/>
        <v>0</v>
      </c>
      <c r="AW200">
        <f t="shared" si="470"/>
        <v>44510</v>
      </c>
      <c r="AX200">
        <f>_xlfn.XLOOKUP(B200,'[5]july-2025'!$A:$A,'[5]july-2025'!$C:$C,0,0)</f>
        <v>38800</v>
      </c>
      <c r="AY200">
        <f t="shared" si="471"/>
        <v>6984</v>
      </c>
      <c r="AZ200">
        <v>0</v>
      </c>
      <c r="BA200">
        <f t="shared" si="472"/>
        <v>4656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>IF(AX200&gt;0,SUM(AX200:BC200),0)</f>
        <v>50940</v>
      </c>
      <c r="BE200">
        <f>_xlfn.XLOOKUP(B200,'[5]july-2025'!$A:$A,'[5]july-2025'!$H:$H,0,0)</f>
        <v>5000</v>
      </c>
      <c r="BF200">
        <f>_xlfn.XLOOKUP(B200,'[5]july-2025'!$A:$A,'[5]july-2025'!$I:$I,0,0)</f>
        <v>0</v>
      </c>
      <c r="BG200">
        <f t="shared" si="473"/>
        <v>0</v>
      </c>
      <c r="BH200">
        <f t="shared" si="474"/>
        <v>45940</v>
      </c>
      <c r="BI200">
        <f>_xlfn.XLOOKUP(B200,'[6]august-2025'!$A:$A,'[6]august-2025'!$C:$C,0,0)</f>
        <v>38800</v>
      </c>
      <c r="BJ200">
        <f t="shared" si="475"/>
        <v>6984</v>
      </c>
      <c r="BK200">
        <f t="shared" si="476"/>
        <v>4656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477"/>
        <v>50940</v>
      </c>
      <c r="BO200">
        <f>_xlfn.XLOOKUP(B200,'[6]august-2025'!$A:$A,'[6]august-2025'!$H:$H,0,0)</f>
        <v>5000</v>
      </c>
      <c r="BP200">
        <f>_xlfn.XLOOKUP(B200,'[6]august-2025'!$A:$A,'[6]august-2025'!$I:$I,0,0)</f>
        <v>0</v>
      </c>
      <c r="BQ200">
        <f>IF($F200="YES",0,IF(BN200&gt;40000,200,IF(BN200&gt;25000,150,IF(BN200&gt;15000,130,IF(BN200&gt;10000,110,0)))))</f>
        <v>0</v>
      </c>
      <c r="BR200">
        <f>BN200-BO200-BP200-BQ200</f>
        <v>45940</v>
      </c>
      <c r="BS200">
        <f>_xlfn.XLOOKUP(B200,'[7]september-2025'!$A:$A,'[7]september-2025'!$C:$C,0,0)</f>
        <v>38800</v>
      </c>
      <c r="BT200">
        <f t="shared" si="478"/>
        <v>6984</v>
      </c>
      <c r="BU200">
        <f t="shared" si="479"/>
        <v>4656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>IF(BS200&gt;0,SUM(BS200:BW200),0)</f>
        <v>50940</v>
      </c>
      <c r="BY200">
        <f>_xlfn.XLOOKUP(B200,'[7]september-2025'!$A:$A,'[7]september-2025'!$H:$H,0,0)</f>
        <v>5000</v>
      </c>
      <c r="BZ200">
        <f>_xlfn.XLOOKUP(B200,'[7]september-2025'!$A:$A,'[7]september-2025'!$I:$I,0,0)</f>
        <v>0</v>
      </c>
      <c r="CA200">
        <f t="shared" si="480"/>
        <v>0</v>
      </c>
      <c r="CB200">
        <f t="shared" si="481"/>
        <v>45940</v>
      </c>
      <c r="CC200">
        <f>_xlfn.XLOOKUP(B200,'[8]october-2025'!$A:$A,'[8]october-2025'!$C:$C,0,0)</f>
        <v>38800</v>
      </c>
      <c r="CD200">
        <f t="shared" si="482"/>
        <v>6984</v>
      </c>
      <c r="CE200">
        <f t="shared" si="483"/>
        <v>4656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>IF(CC200&gt;0,SUM(CC200:CG200),0)</f>
        <v>50940</v>
      </c>
      <c r="CI200">
        <f>_xlfn.XLOOKUP(B200,'[8]october-2025'!$A:$A,'[8]october-2025'!$H:$H,0,0)</f>
        <v>5000</v>
      </c>
      <c r="CJ200">
        <f>_xlfn.XLOOKUP(B200,'[8]october-2025'!$A:$A,'[8]october-2025'!$I:$I,0,0)</f>
        <v>0</v>
      </c>
      <c r="CK200">
        <f t="shared" si="484"/>
        <v>0</v>
      </c>
      <c r="CL200">
        <f t="shared" si="485"/>
        <v>45940</v>
      </c>
      <c r="CM200">
        <f>_xlfn.XLOOKUP(B200,'[9]november-2025'!$A:$A,'[9]november-2025'!$C:$C,0,0)</f>
        <v>38800</v>
      </c>
      <c r="CN200">
        <f t="shared" si="486"/>
        <v>6984</v>
      </c>
      <c r="CO200">
        <f t="shared" si="487"/>
        <v>4656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>IF(CM200&gt;0,SUM(CM200:CQ200),0)</f>
        <v>50940</v>
      </c>
      <c r="CS200">
        <f>_xlfn.XLOOKUP(B200,'[9]november-2025'!$A:$A,'[9]november-2025'!$H:$H,0,0)</f>
        <v>5000</v>
      </c>
      <c r="CT200">
        <f>_xlfn.XLOOKUP(B200,'[9]november-2025'!$A:$A,'[9]november-2025'!$I:$I,0,0)</f>
        <v>0</v>
      </c>
      <c r="CU200">
        <f t="shared" si="488"/>
        <v>0</v>
      </c>
      <c r="CV200">
        <f t="shared" si="489"/>
        <v>45940</v>
      </c>
      <c r="CW200">
        <f>_xlfn.XLOOKUP(B200,'[10]december-2025'!$A:$A,'[10]december-2025'!$C:$C,0,0)</f>
        <v>38800</v>
      </c>
      <c r="CX200">
        <f t="shared" si="490"/>
        <v>6984</v>
      </c>
      <c r="CY200">
        <f t="shared" si="491"/>
        <v>4656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>IF(CW200&gt;0,SUM(CW200:DA200),0)</f>
        <v>50940</v>
      </c>
      <c r="DC200">
        <f>_xlfn.XLOOKUP(B200,'[10]december-2025'!$A:$A,'[10]december-2025'!$H:$H,0,0)</f>
        <v>5000</v>
      </c>
      <c r="DD200">
        <f>_xlfn.XLOOKUP(B200,'[10]december-2025'!$A:$A,'[10]december-2025'!$I:$I,0,0)</f>
        <v>0</v>
      </c>
      <c r="DE200">
        <f t="shared" si="492"/>
        <v>0</v>
      </c>
      <c r="DF200">
        <f t="shared" si="493"/>
        <v>45940</v>
      </c>
      <c r="DG200">
        <f>_xlfn.XLOOKUP(B200,'[11]january-2026'!$A:$A,'[11]january-2026'!$C:$C,0,0)</f>
        <v>38800</v>
      </c>
      <c r="DH200">
        <f t="shared" si="494"/>
        <v>6984</v>
      </c>
      <c r="DI200">
        <f t="shared" si="495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>IF(DG200&gt;0,SUM(DG200:DK200),0)</f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496"/>
        <v>0</v>
      </c>
      <c r="DP200">
        <f t="shared" si="497"/>
        <v>45940</v>
      </c>
      <c r="DQ200">
        <f>_xlfn.XLOOKUP(B200,'[12]february-2026'!$A:$A,'[12]february-2026'!$C:$C,0,0)</f>
        <v>38800</v>
      </c>
      <c r="DR200">
        <f t="shared" si="498"/>
        <v>6984</v>
      </c>
      <c r="DS200">
        <f t="shared" si="499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>IF(DQ200&gt;0,SUM(DQ200:DU200),0)</f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00"/>
        <v>0</v>
      </c>
      <c r="DZ200">
        <f t="shared" si="501"/>
        <v>45940</v>
      </c>
      <c r="EA200">
        <f>_xlfn.XLOOKUP(B200,'[1]march-2025'!$A:$A,'[1]march-2025'!$J:$J,0,0)</f>
        <v>0</v>
      </c>
      <c r="EB200">
        <f>_xlfn.XLOOKUP(B200,'[2]april-2025'!$A:$A,'[2]april-2025'!$J:$J,0,0)</f>
        <v>0</v>
      </c>
      <c r="EC200">
        <f>_xlfn.XLOOKUP(B200,'[3]may-2025'!$A:$A,'[3]may-2025'!$J:$J,0,0)</f>
        <v>0</v>
      </c>
      <c r="ED200">
        <f>_xlfn.XLOOKUP(B200,'[4]june-2025'!$A:$A,'[4]june-2025'!$J:$J,0,0)</f>
        <v>0</v>
      </c>
      <c r="EE200">
        <f>_xlfn.XLOOKUP(B200,'[5]july-2025'!$A:$A,'[5]july-2025'!$J:$J,0,0)</f>
        <v>0</v>
      </c>
      <c r="EF200">
        <f>_xlfn.XLOOKUP(B200,'[6]august-2025'!$A:$A,'[6]august-2025'!$J:$J,0,0)</f>
        <v>0</v>
      </c>
      <c r="EG200">
        <f>_xlfn.XLOOKUP(B200,'[7]september-2025'!$A:$A,'[7]september-2025'!$J:$J,0,0)</f>
        <v>0</v>
      </c>
      <c r="EH200">
        <f>_xlfn.XLOOKUP(B200,'[8]october-2025'!$A:$A,'[8]october-2025'!$J:$J,0,0)</f>
        <v>0</v>
      </c>
      <c r="EI200">
        <f>_xlfn.XLOOKUP(C200,'[9]november-2025'!$A:$A,'[9]november-2025'!$J:$J,0,0)</f>
        <v>0</v>
      </c>
      <c r="EJ200">
        <f>_xlfn.XLOOKUP(B200,'[10]december-2025'!$A:$A,'[10]december-2025'!$J:$J,0,0)</f>
        <v>0</v>
      </c>
      <c r="EK200">
        <f>_xlfn.XLOOKUP(B200,'[11]january-2026'!$A:$A,'[11]january-2026'!$J:$J,0,0)</f>
        <v>0</v>
      </c>
      <c r="EL200">
        <f>_xlfn.XLOOKUP(B200,'[12]february-2026'!$A:$A,'[12]february-2026'!$J:$J,0,0)</f>
        <v>0</v>
      </c>
      <c r="EM200">
        <f t="shared" si="455"/>
        <v>0</v>
      </c>
      <c r="EN200">
        <f>DV200+DL200+DB200+CR200+CH200+BX200+BN200+BD200+AS200+AI200+Y200+O200+H200+I200</f>
        <v>610852</v>
      </c>
      <c r="EO200">
        <f>DY200+DO200+DE200+CU200+CK200+CA200+BQ200+BG200+AV200+AL200+AB200+R200</f>
        <v>0</v>
      </c>
      <c r="EP200">
        <f t="shared" si="502"/>
        <v>50000</v>
      </c>
      <c r="EQ200">
        <v>0</v>
      </c>
      <c r="ER200">
        <f t="shared" si="456"/>
        <v>560852</v>
      </c>
      <c r="ES200">
        <f>DW200+DM200+DC200+CS200+CI200+BY200+BO200+BE200+AT200+AJ200+Z200+P200</f>
        <v>60000</v>
      </c>
      <c r="ET200">
        <f>DX200+DN200+DD200+CT200+CJ200+BZ200+BP200+BF200+AU200+AK200+AA200+Q200</f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si="503"/>
        <v>60000</v>
      </c>
      <c r="FF200">
        <f t="shared" si="504"/>
        <v>60000</v>
      </c>
      <c r="FG200">
        <f t="shared" si="505"/>
        <v>500852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>SUM(FH200:FN200)+(IF(F200="YES",50000,0))</f>
        <v>50000</v>
      </c>
      <c r="FP200">
        <f t="shared" si="506"/>
        <v>450852</v>
      </c>
      <c r="FQ200">
        <f t="shared" si="507"/>
        <v>10043</v>
      </c>
      <c r="FR200">
        <f t="shared" si="508"/>
        <v>0</v>
      </c>
      <c r="FS200">
        <f t="shared" si="509"/>
        <v>10043</v>
      </c>
      <c r="FT200">
        <f t="shared" si="510"/>
        <v>0</v>
      </c>
      <c r="FU200">
        <f t="shared" si="511"/>
        <v>0</v>
      </c>
      <c r="FV200">
        <f t="shared" si="512"/>
        <v>0</v>
      </c>
      <c r="FW200">
        <v>0</v>
      </c>
      <c r="FX200">
        <f t="shared" si="513"/>
        <v>0</v>
      </c>
      <c r="FY200" t="b">
        <f t="shared" si="514"/>
        <v>1</v>
      </c>
      <c r="FZ200">
        <f t="shared" ca="1" si="515"/>
        <v>750</v>
      </c>
      <c r="GA200">
        <f t="shared" ca="1" si="516"/>
        <v>611602</v>
      </c>
      <c r="GB200">
        <f t="shared" si="517"/>
        <v>75000</v>
      </c>
      <c r="GC200">
        <f t="shared" ca="1" si="518"/>
        <v>536602</v>
      </c>
      <c r="GD200">
        <f t="shared" ca="1" si="519"/>
        <v>0</v>
      </c>
      <c r="GE200">
        <f t="shared" ca="1" si="520"/>
        <v>0</v>
      </c>
      <c r="GF200">
        <f t="shared" ca="1" si="521"/>
        <v>0</v>
      </c>
      <c r="GG200">
        <f t="shared" ca="1" si="522"/>
        <v>0</v>
      </c>
      <c r="GH200">
        <f t="shared" ca="1" si="523"/>
        <v>0</v>
      </c>
      <c r="GI200">
        <f t="shared" ca="1" si="524"/>
        <v>0</v>
      </c>
      <c r="GJ200">
        <f ca="1">IF(GC200&gt;1200000,GC200-1200000-IF(F200="YES",50000,0)-GH200,0)</f>
        <v>0</v>
      </c>
      <c r="GK200">
        <f t="shared" ca="1" si="525"/>
        <v>0</v>
      </c>
      <c r="GL200">
        <f t="shared" ca="1" si="526"/>
        <v>0</v>
      </c>
      <c r="GM200">
        <f t="shared" ca="1" si="527"/>
        <v>0</v>
      </c>
      <c r="GN200">
        <f t="shared" ca="1" si="528"/>
        <v>136602</v>
      </c>
      <c r="GO200">
        <f t="shared" ca="1" si="529"/>
        <v>6830.1</v>
      </c>
      <c r="GP200">
        <f t="shared" ca="1" si="530"/>
        <v>6830</v>
      </c>
      <c r="GQ200">
        <f t="shared" ca="1" si="531"/>
        <v>0</v>
      </c>
      <c r="GR200">
        <f t="shared" ca="1" si="532"/>
        <v>0</v>
      </c>
      <c r="GS200">
        <f t="shared" ca="1" si="533"/>
        <v>6830</v>
      </c>
      <c r="GT200">
        <f t="shared" ca="1" si="534"/>
        <v>0</v>
      </c>
      <c r="GU200" t="b">
        <f t="shared" ca="1" si="535"/>
        <v>0</v>
      </c>
      <c r="GV200">
        <f t="shared" ca="1" si="536"/>
        <v>0</v>
      </c>
      <c r="GW200">
        <f t="shared" ca="1" si="537"/>
        <v>6830</v>
      </c>
      <c r="GX200">
        <f t="shared" ca="1" si="538"/>
        <v>0</v>
      </c>
      <c r="GY200">
        <f t="shared" ca="1" si="539"/>
        <v>0</v>
      </c>
      <c r="GZ200">
        <f t="shared" ca="1" si="540"/>
        <v>0</v>
      </c>
    </row>
    <row r="201" spans="1:208" x14ac:dyDescent="0.25">
      <c r="A201">
        <f>_xlfn.AGGREGATE(3,5,$B$2:B201)</f>
        <v>200</v>
      </c>
      <c r="B201" t="s">
        <v>508</v>
      </c>
      <c r="C201" t="s">
        <v>509</v>
      </c>
      <c r="D201" t="s">
        <v>800</v>
      </c>
      <c r="E201" t="s">
        <v>831</v>
      </c>
      <c r="F201" t="s">
        <v>957</v>
      </c>
      <c r="G201" t="s">
        <v>938</v>
      </c>
      <c r="H201">
        <f t="shared" si="542"/>
        <v>6800</v>
      </c>
      <c r="I201">
        <f>_xlfn.XLOOKUP(B201,'[1]march-2025'!$A:$A,'[1]march-2025'!$J:$J,0,0)</f>
        <v>0</v>
      </c>
      <c r="J201">
        <f>_xlfn.XLOOKUP(B201,'[1]march-2025'!$A:$A,'[1]march-2025'!$C:$C,0,0)</f>
        <v>28900</v>
      </c>
      <c r="K201">
        <f t="shared" si="457"/>
        <v>4046.0000000000005</v>
      </c>
      <c r="L201">
        <f t="shared" si="458"/>
        <v>3468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>IF(J201&gt;0,SUM(J201:N201),0)</f>
        <v>36914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541"/>
        <v>150</v>
      </c>
      <c r="S201">
        <f t="shared" si="451"/>
        <v>34764</v>
      </c>
      <c r="T201">
        <f>_xlfn.XLOOKUP(B201,'[2]april-2025'!$A:$A,'[2]april-2025'!$C:$C,0,0)</f>
        <v>28900</v>
      </c>
      <c r="U201">
        <f t="shared" si="459"/>
        <v>5202</v>
      </c>
      <c r="V201">
        <f t="shared" si="460"/>
        <v>3468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452"/>
        <v>38070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461"/>
        <v>150</v>
      </c>
      <c r="AC201">
        <f t="shared" si="462"/>
        <v>35920</v>
      </c>
      <c r="AD201">
        <f>_xlfn.XLOOKUP(B201,'[3]may-2025'!$A:$A,'[3]may-2025'!$C:$C,0,0)</f>
        <v>28900</v>
      </c>
      <c r="AE201">
        <f t="shared" si="463"/>
        <v>5202</v>
      </c>
      <c r="AF201">
        <f t="shared" si="464"/>
        <v>3468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453"/>
        <v>38070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465"/>
        <v>150</v>
      </c>
      <c r="AM201">
        <f t="shared" si="466"/>
        <v>35920</v>
      </c>
      <c r="AN201">
        <f>_xlfn.XLOOKUP(B201,'[4]june-2025'!$A:$A,'[4]june-2025'!$C:$C,0,0)</f>
        <v>28900</v>
      </c>
      <c r="AO201">
        <f t="shared" si="467"/>
        <v>5202</v>
      </c>
      <c r="AP201">
        <f t="shared" si="468"/>
        <v>3468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454"/>
        <v>38070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469"/>
        <v>150</v>
      </c>
      <c r="AW201">
        <f t="shared" si="470"/>
        <v>35920</v>
      </c>
      <c r="AX201">
        <f>_xlfn.XLOOKUP(B201,'[5]july-2025'!$A:$A,'[5]july-2025'!$C:$C,0,0)</f>
        <v>29800</v>
      </c>
      <c r="AY201">
        <f t="shared" si="471"/>
        <v>5364</v>
      </c>
      <c r="AZ201">
        <v>0</v>
      </c>
      <c r="BA201">
        <f t="shared" si="472"/>
        <v>3576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>IF(AX201&gt;0,SUM(AX201:BC201),0)</f>
        <v>39240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473"/>
        <v>150</v>
      </c>
      <c r="BH201">
        <f t="shared" si="474"/>
        <v>37090</v>
      </c>
      <c r="BI201">
        <f>_xlfn.XLOOKUP(B201,'[6]august-2025'!$A:$A,'[6]august-2025'!$C:$C,0,0)</f>
        <v>29800</v>
      </c>
      <c r="BJ201">
        <f t="shared" si="475"/>
        <v>5364</v>
      </c>
      <c r="BK201">
        <f t="shared" si="476"/>
        <v>3576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477"/>
        <v>39240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>IF($F201="YES",0,IF(BN201&gt;40000,200,IF(BN201&gt;25000,150,IF(BN201&gt;15000,130,IF(BN201&gt;10000,110,0)))))</f>
        <v>150</v>
      </c>
      <c r="BR201">
        <f>BN201-BO201-BP201-BQ201</f>
        <v>37090</v>
      </c>
      <c r="BS201">
        <f>_xlfn.XLOOKUP(B201,'[7]september-2025'!$A:$A,'[7]september-2025'!$C:$C,0,0)</f>
        <v>29800</v>
      </c>
      <c r="BT201">
        <f t="shared" si="478"/>
        <v>5364</v>
      </c>
      <c r="BU201">
        <f t="shared" si="479"/>
        <v>3576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>IF(BS201&gt;0,SUM(BS201:BW201),0)</f>
        <v>39240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480"/>
        <v>150</v>
      </c>
      <c r="CB201">
        <f t="shared" si="481"/>
        <v>37090</v>
      </c>
      <c r="CC201">
        <f>_xlfn.XLOOKUP(B201,'[8]october-2025'!$A:$A,'[8]october-2025'!$C:$C,0,0)</f>
        <v>29800</v>
      </c>
      <c r="CD201">
        <f t="shared" si="482"/>
        <v>5364</v>
      </c>
      <c r="CE201">
        <f t="shared" si="483"/>
        <v>3576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>IF(CC201&gt;0,SUM(CC201:CG201),0)</f>
        <v>39240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484"/>
        <v>150</v>
      </c>
      <c r="CL201">
        <f t="shared" si="485"/>
        <v>37090</v>
      </c>
      <c r="CM201">
        <f>_xlfn.XLOOKUP(B201,'[9]november-2025'!$A:$A,'[9]november-2025'!$C:$C,0,0)</f>
        <v>29800</v>
      </c>
      <c r="CN201">
        <f t="shared" si="486"/>
        <v>5364</v>
      </c>
      <c r="CO201">
        <f t="shared" si="487"/>
        <v>3576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>IF(CM201&gt;0,SUM(CM201:CQ201),0)</f>
        <v>39240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488"/>
        <v>150</v>
      </c>
      <c r="CV201">
        <f t="shared" si="489"/>
        <v>37090</v>
      </c>
      <c r="CW201">
        <f>_xlfn.XLOOKUP(B201,'[10]december-2025'!$A:$A,'[10]december-2025'!$C:$C,0,0)</f>
        <v>29800</v>
      </c>
      <c r="CX201">
        <f t="shared" si="490"/>
        <v>5364</v>
      </c>
      <c r="CY201">
        <f t="shared" si="491"/>
        <v>3576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>IF(CW201&gt;0,SUM(CW201:DA201),0)</f>
        <v>39240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492"/>
        <v>150</v>
      </c>
      <c r="DF201">
        <f t="shared" si="493"/>
        <v>37090</v>
      </c>
      <c r="DG201">
        <f>_xlfn.XLOOKUP(B201,'[11]january-2026'!$A:$A,'[11]january-2026'!$C:$C,0,0)</f>
        <v>29800</v>
      </c>
      <c r="DH201">
        <f t="shared" si="494"/>
        <v>5364</v>
      </c>
      <c r="DI201">
        <f t="shared" si="495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>IF(DG201&gt;0,SUM(DG201:DK201),0)</f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496"/>
        <v>150</v>
      </c>
      <c r="DP201">
        <f t="shared" si="497"/>
        <v>37090</v>
      </c>
      <c r="DQ201">
        <f>_xlfn.XLOOKUP(B201,'[12]february-2026'!$A:$A,'[12]february-2026'!$C:$C,0,0)</f>
        <v>29800</v>
      </c>
      <c r="DR201">
        <f t="shared" si="498"/>
        <v>5364</v>
      </c>
      <c r="DS201">
        <f t="shared" si="499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>IF(DQ201&gt;0,SUM(DQ201:DU201),0)</f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00"/>
        <v>150</v>
      </c>
      <c r="DZ201">
        <f t="shared" si="501"/>
        <v>37090</v>
      </c>
      <c r="EA201">
        <f>_xlfn.XLOOKUP(B201,'[1]march-2025'!$A:$A,'[1]march-2025'!$J:$J,0,0)</f>
        <v>0</v>
      </c>
      <c r="EB201">
        <f>_xlfn.XLOOKUP(B201,'[2]april-2025'!$A:$A,'[2]april-2025'!$J:$J,0,0)</f>
        <v>0</v>
      </c>
      <c r="EC201">
        <f>_xlfn.XLOOKUP(B201,'[3]may-2025'!$A:$A,'[3]may-2025'!$J:$J,0,0)</f>
        <v>0</v>
      </c>
      <c r="ED201">
        <f>_xlfn.XLOOKUP(B201,'[4]june-2025'!$A:$A,'[4]june-2025'!$J:$J,0,0)</f>
        <v>0</v>
      </c>
      <c r="EE201">
        <f>_xlfn.XLOOKUP(B201,'[5]july-2025'!$A:$A,'[5]july-2025'!$J:$J,0,0)</f>
        <v>0</v>
      </c>
      <c r="EF201">
        <f>_xlfn.XLOOKUP(B201,'[6]august-2025'!$A:$A,'[6]august-2025'!$J:$J,0,0)</f>
        <v>0</v>
      </c>
      <c r="EG201">
        <f>_xlfn.XLOOKUP(B201,'[7]september-2025'!$A:$A,'[7]september-2025'!$J:$J,0,0)</f>
        <v>0</v>
      </c>
      <c r="EH201">
        <f>_xlfn.XLOOKUP(B201,'[8]october-2025'!$A:$A,'[8]october-2025'!$J:$J,0,0)</f>
        <v>0</v>
      </c>
      <c r="EI201">
        <f>_xlfn.XLOOKUP(C201,'[9]november-2025'!$A:$A,'[9]november-2025'!$J:$J,0,0)</f>
        <v>0</v>
      </c>
      <c r="EJ201">
        <f>_xlfn.XLOOKUP(B201,'[10]december-2025'!$A:$A,'[10]december-2025'!$J:$J,0,0)</f>
        <v>0</v>
      </c>
      <c r="EK201">
        <f>_xlfn.XLOOKUP(B201,'[11]january-2026'!$A:$A,'[11]january-2026'!$J:$J,0,0)</f>
        <v>0</v>
      </c>
      <c r="EL201">
        <f>_xlfn.XLOOKUP(B201,'[12]february-2026'!$A:$A,'[12]february-2026'!$J:$J,0,0)</f>
        <v>0</v>
      </c>
      <c r="EM201">
        <f t="shared" si="455"/>
        <v>0</v>
      </c>
      <c r="EN201">
        <f>DV201+DL201+DB201+CR201+CH201+BX201+BN201+BD201+AS201+AI201+Y201+O201+H201+I201</f>
        <v>471844</v>
      </c>
      <c r="EO201">
        <f>DY201+DO201+DE201+CU201+CK201+CA201+BQ201+BG201+AV201+AL201+AB201+R201</f>
        <v>1800</v>
      </c>
      <c r="EP201">
        <f t="shared" si="502"/>
        <v>50000</v>
      </c>
      <c r="EQ201">
        <v>0</v>
      </c>
      <c r="ER201">
        <f t="shared" si="456"/>
        <v>420044</v>
      </c>
      <c r="ES201">
        <f>DW201+DM201+DC201+CS201+CI201+BY201+BO201+BE201+AT201+AJ201+Z201+P201</f>
        <v>24000</v>
      </c>
      <c r="ET201">
        <f>DX201+DN201+DD201+CT201+CJ201+BZ201+BP201+BF201+AU201+AK201+AA201+Q201</f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503"/>
        <v>24000</v>
      </c>
      <c r="FF201">
        <f t="shared" si="504"/>
        <v>24000</v>
      </c>
      <c r="FG201">
        <f t="shared" si="505"/>
        <v>396044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>SUM(FH201:FN201)+(IF(F201="YES",50000,0))</f>
        <v>0</v>
      </c>
      <c r="FP201">
        <f t="shared" si="506"/>
        <v>396044</v>
      </c>
      <c r="FQ201">
        <f t="shared" si="507"/>
        <v>7302</v>
      </c>
      <c r="FR201">
        <f t="shared" si="508"/>
        <v>0</v>
      </c>
      <c r="FS201">
        <f t="shared" si="509"/>
        <v>7302</v>
      </c>
      <c r="FT201">
        <f t="shared" si="510"/>
        <v>0</v>
      </c>
      <c r="FU201">
        <f t="shared" si="511"/>
        <v>0</v>
      </c>
      <c r="FV201">
        <f t="shared" si="512"/>
        <v>0</v>
      </c>
      <c r="FW201">
        <v>0</v>
      </c>
      <c r="FX201">
        <f t="shared" si="513"/>
        <v>0</v>
      </c>
      <c r="FY201" t="b">
        <f t="shared" si="514"/>
        <v>0</v>
      </c>
      <c r="FZ201">
        <f t="shared" ca="1" si="515"/>
        <v>1012</v>
      </c>
      <c r="GA201">
        <f t="shared" ca="1" si="516"/>
        <v>472856</v>
      </c>
      <c r="GB201">
        <f t="shared" si="517"/>
        <v>75000</v>
      </c>
      <c r="GC201">
        <f t="shared" ca="1" si="518"/>
        <v>397856</v>
      </c>
      <c r="GD201">
        <f t="shared" ca="1" si="519"/>
        <v>0</v>
      </c>
      <c r="GE201">
        <f t="shared" ca="1" si="520"/>
        <v>0</v>
      </c>
      <c r="GF201">
        <f t="shared" ca="1" si="521"/>
        <v>0</v>
      </c>
      <c r="GG201">
        <f t="shared" ca="1" si="522"/>
        <v>0</v>
      </c>
      <c r="GH201">
        <f t="shared" ca="1" si="523"/>
        <v>0</v>
      </c>
      <c r="GI201">
        <f t="shared" ca="1" si="524"/>
        <v>0</v>
      </c>
      <c r="GJ201">
        <f ca="1">IF(GC201&gt;1200000,GC201-1200000-IF(F201="YES",50000,0)-GH201,0)</f>
        <v>0</v>
      </c>
      <c r="GK201">
        <f t="shared" ca="1" si="525"/>
        <v>0</v>
      </c>
      <c r="GL201">
        <f t="shared" ca="1" si="526"/>
        <v>0</v>
      </c>
      <c r="GM201">
        <f t="shared" ca="1" si="527"/>
        <v>0</v>
      </c>
      <c r="GN201">
        <f t="shared" ca="1" si="528"/>
        <v>0</v>
      </c>
      <c r="GO201">
        <f t="shared" ca="1" si="529"/>
        <v>0</v>
      </c>
      <c r="GP201">
        <f t="shared" ca="1" si="530"/>
        <v>0</v>
      </c>
      <c r="GQ201">
        <f t="shared" ca="1" si="531"/>
        <v>0</v>
      </c>
      <c r="GR201">
        <f t="shared" ca="1" si="532"/>
        <v>0</v>
      </c>
      <c r="GS201">
        <f t="shared" ca="1" si="533"/>
        <v>0</v>
      </c>
      <c r="GT201">
        <f t="shared" ca="1" si="534"/>
        <v>0</v>
      </c>
      <c r="GU201" t="b">
        <f t="shared" ca="1" si="535"/>
        <v>0</v>
      </c>
      <c r="GV201">
        <f t="shared" ca="1" si="536"/>
        <v>0</v>
      </c>
      <c r="GW201">
        <f t="shared" ca="1" si="537"/>
        <v>0</v>
      </c>
      <c r="GX201">
        <f t="shared" ca="1" si="538"/>
        <v>0</v>
      </c>
      <c r="GY201">
        <f t="shared" ca="1" si="539"/>
        <v>0</v>
      </c>
      <c r="GZ201">
        <f t="shared" ca="1" si="540"/>
        <v>0</v>
      </c>
    </row>
    <row r="202" spans="1:208" x14ac:dyDescent="0.25">
      <c r="A202">
        <f>_xlfn.AGGREGATE(3,5,$B$2:B202)</f>
        <v>201</v>
      </c>
      <c r="B202" t="s">
        <v>510</v>
      </c>
      <c r="C202" t="s">
        <v>511</v>
      </c>
      <c r="D202" t="s">
        <v>801</v>
      </c>
      <c r="E202" t="s">
        <v>831</v>
      </c>
      <c r="F202" t="s">
        <v>957</v>
      </c>
      <c r="G202" t="s">
        <v>933</v>
      </c>
      <c r="H202">
        <f t="shared" si="542"/>
        <v>6800</v>
      </c>
      <c r="I202">
        <f>_xlfn.XLOOKUP(B202,'[1]march-2025'!$A:$A,'[1]march-2025'!$J:$J,0,0)</f>
        <v>0</v>
      </c>
      <c r="J202">
        <f>_xlfn.XLOOKUP(B202,'[1]march-2025'!$A:$A,'[1]march-2025'!$C:$C,0,0)</f>
        <v>33500</v>
      </c>
      <c r="K202">
        <f t="shared" si="457"/>
        <v>4690</v>
      </c>
      <c r="L202">
        <f t="shared" si="458"/>
        <v>4020</v>
      </c>
      <c r="M202">
        <f>_xlfn.XLOOKUP(B202,'[1]march-2025'!$A:$A,'[1]march-2025'!$D:$D,0,0)</f>
        <v>400</v>
      </c>
      <c r="N202">
        <f>_xlfn.XLOOKUP(B202,'[1]march-2025'!$A:$A,'[1]march-2025'!$G:$G,0,0)</f>
        <v>500</v>
      </c>
      <c r="O202">
        <f>IF(J202&gt;0,SUM(J202:N202),0)</f>
        <v>43110</v>
      </c>
      <c r="P202">
        <f>_xlfn.XLOOKUP(B202,'[1]march-2025'!$A:$A,'[1]march-2025'!$H:$H,0,0)</f>
        <v>3000</v>
      </c>
      <c r="Q202">
        <f>_xlfn.XLOOKUP(B202,'[1]march-2025'!$A:$A,'[1]march-2025'!$I:$I,0,0)</f>
        <v>0</v>
      </c>
      <c r="R202">
        <f t="shared" si="541"/>
        <v>200</v>
      </c>
      <c r="S202">
        <f t="shared" si="451"/>
        <v>39910</v>
      </c>
      <c r="T202">
        <f>_xlfn.XLOOKUP(B202,'[2]april-2025'!$A:$A,'[2]april-2025'!$C:$C,0,0)</f>
        <v>33500</v>
      </c>
      <c r="U202">
        <f t="shared" si="459"/>
        <v>6030</v>
      </c>
      <c r="V202">
        <f t="shared" si="460"/>
        <v>4020</v>
      </c>
      <c r="W202">
        <f>_xlfn.XLOOKUP(B202,'[2]april-2025'!$A:$A,'[2]april-2025'!$D:$D,0,0)</f>
        <v>400</v>
      </c>
      <c r="X202">
        <f>_xlfn.XLOOKUP(B202,'[2]april-2025'!$A:$A,'[2]april-2025'!$G:$G,0,0)</f>
        <v>500</v>
      </c>
      <c r="Y202">
        <f t="shared" si="452"/>
        <v>44450</v>
      </c>
      <c r="Z202">
        <f>_xlfn.XLOOKUP(B202,'[2]april-2025'!$A:$A,'[2]april-2025'!$H:$H,0,0)</f>
        <v>3000</v>
      </c>
      <c r="AA202">
        <f>_xlfn.XLOOKUP(B202,'[2]april-2025'!$A:$A,'[2]april-2025'!$I:$I,0,0)</f>
        <v>0</v>
      </c>
      <c r="AB202">
        <f t="shared" si="461"/>
        <v>200</v>
      </c>
      <c r="AC202">
        <f t="shared" si="462"/>
        <v>41250</v>
      </c>
      <c r="AD202">
        <f>_xlfn.XLOOKUP(B202,'[3]may-2025'!$A:$A,'[3]may-2025'!$C:$C,0,0)</f>
        <v>33500</v>
      </c>
      <c r="AE202">
        <f t="shared" si="463"/>
        <v>6030</v>
      </c>
      <c r="AF202">
        <f t="shared" si="464"/>
        <v>4020</v>
      </c>
      <c r="AG202">
        <f>_xlfn.XLOOKUP(B202,'[3]may-2025'!$A:$A,'[3]may-2025'!$D:$D,0,0)</f>
        <v>400</v>
      </c>
      <c r="AH202">
        <f>_xlfn.XLOOKUP(B202,'[3]may-2025'!$A:$A,'[3]may-2025'!$G:$G,0,0)</f>
        <v>500</v>
      </c>
      <c r="AI202">
        <f t="shared" si="453"/>
        <v>44450</v>
      </c>
      <c r="AJ202">
        <f>_xlfn.XLOOKUP(B202,'[3]may-2025'!$A:$A,'[3]may-2025'!$H:$H,0,0)</f>
        <v>3000</v>
      </c>
      <c r="AK202">
        <f>_xlfn.XLOOKUP(B202,'[3]may-2025'!$A:$A,'[3]may-2025'!$I:$I,0,0)</f>
        <v>0</v>
      </c>
      <c r="AL202">
        <f t="shared" si="465"/>
        <v>200</v>
      </c>
      <c r="AM202">
        <f t="shared" si="466"/>
        <v>41250</v>
      </c>
      <c r="AN202">
        <f>_xlfn.XLOOKUP(B202,'[4]june-2025'!$A:$A,'[4]june-2025'!$C:$C,0,0)</f>
        <v>33500</v>
      </c>
      <c r="AO202">
        <f t="shared" si="467"/>
        <v>6030</v>
      </c>
      <c r="AP202">
        <f t="shared" si="468"/>
        <v>4020</v>
      </c>
      <c r="AQ202">
        <f>_xlfn.XLOOKUP(B202,'[4]june-2025'!$A:$A,'[4]june-2025'!$D:$D,0,0)</f>
        <v>400</v>
      </c>
      <c r="AR202">
        <f>_xlfn.XLOOKUP(B202,'[4]june-2025'!$A:$A,'[4]june-2025'!$G:$G,0,0)</f>
        <v>500</v>
      </c>
      <c r="AS202">
        <f t="shared" si="454"/>
        <v>44450</v>
      </c>
      <c r="AT202">
        <f>_xlfn.XLOOKUP(B202,'[4]june-2025'!$A:$A,'[4]june-2025'!$H:$H,0,0)</f>
        <v>3000</v>
      </c>
      <c r="AU202">
        <f>_xlfn.XLOOKUP(B202,'[4]june-2025'!$A:$A,'[4]june-2025'!$I:$I,0,0)</f>
        <v>0</v>
      </c>
      <c r="AV202">
        <f t="shared" si="469"/>
        <v>200</v>
      </c>
      <c r="AW202">
        <f t="shared" si="470"/>
        <v>41250</v>
      </c>
      <c r="AX202">
        <f>_xlfn.XLOOKUP(B202,'[5]july-2025'!$A:$A,'[5]july-2025'!$C:$C,0,0)</f>
        <v>34500</v>
      </c>
      <c r="AY202">
        <f t="shared" si="471"/>
        <v>6210</v>
      </c>
      <c r="AZ202">
        <v>0</v>
      </c>
      <c r="BA202">
        <f t="shared" si="472"/>
        <v>4140</v>
      </c>
      <c r="BB202">
        <f>_xlfn.XLOOKUP(B202,'[5]july-2025'!$A:$A,'[5]july-2025'!$D:$D,0,0)</f>
        <v>400</v>
      </c>
      <c r="BC202">
        <f>_xlfn.XLOOKUP(B202,'[5]july-2025'!$A:$A,'[5]july-2025'!$G:$G,0,0)</f>
        <v>500</v>
      </c>
      <c r="BD202">
        <f>IF(AX202&gt;0,SUM(AX202:BC202),0)</f>
        <v>45750</v>
      </c>
      <c r="BE202">
        <f>_xlfn.XLOOKUP(B202,'[5]july-2025'!$A:$A,'[5]july-2025'!$H:$H,0,0)</f>
        <v>3000</v>
      </c>
      <c r="BF202">
        <f>_xlfn.XLOOKUP(B202,'[5]july-2025'!$A:$A,'[5]july-2025'!$I:$I,0,0)</f>
        <v>0</v>
      </c>
      <c r="BG202">
        <f t="shared" si="473"/>
        <v>200</v>
      </c>
      <c r="BH202">
        <f t="shared" si="474"/>
        <v>42550</v>
      </c>
      <c r="BI202">
        <f>_xlfn.XLOOKUP(B202,'[6]august-2025'!$A:$A,'[6]august-2025'!$C:$C,0,0)</f>
        <v>34500</v>
      </c>
      <c r="BJ202">
        <f t="shared" si="475"/>
        <v>6210</v>
      </c>
      <c r="BK202">
        <f t="shared" si="476"/>
        <v>4140</v>
      </c>
      <c r="BL202">
        <f>_xlfn.XLOOKUP(B202,'[6]august-2025'!$A:$A,'[6]august-2025'!$D:$D,0,0)</f>
        <v>400</v>
      </c>
      <c r="BM202">
        <f>_xlfn.XLOOKUP(B202,'[6]august-2025'!$A:$A,'[6]august-2025'!$G:$G,0,0)</f>
        <v>500</v>
      </c>
      <c r="BN202">
        <f t="shared" si="477"/>
        <v>45750</v>
      </c>
      <c r="BO202">
        <f>_xlfn.XLOOKUP(B202,'[6]august-2025'!$A:$A,'[6]august-2025'!$H:$H,0,0)</f>
        <v>3000</v>
      </c>
      <c r="BP202">
        <f>_xlfn.XLOOKUP(B202,'[6]august-2025'!$A:$A,'[6]august-2025'!$I:$I,0,0)</f>
        <v>0</v>
      </c>
      <c r="BQ202">
        <f>IF($F202="YES",0,IF(BN202&gt;40000,200,IF(BN202&gt;25000,150,IF(BN202&gt;15000,130,IF(BN202&gt;10000,110,0)))))</f>
        <v>200</v>
      </c>
      <c r="BR202">
        <f>BN202-BO202-BP202-BQ202</f>
        <v>42550</v>
      </c>
      <c r="BS202">
        <f>_xlfn.XLOOKUP(B202,'[7]september-2025'!$A:$A,'[7]september-2025'!$C:$C,0,0)</f>
        <v>34500</v>
      </c>
      <c r="BT202">
        <f t="shared" si="478"/>
        <v>6210</v>
      </c>
      <c r="BU202">
        <f t="shared" si="479"/>
        <v>4140</v>
      </c>
      <c r="BV202">
        <f>_xlfn.XLOOKUP(B202,'[7]september-2025'!$A:$A,'[7]september-2025'!$D:$D,0,0)</f>
        <v>400</v>
      </c>
      <c r="BW202">
        <f>_xlfn.XLOOKUP(B202,'[7]september-2025'!$A:$A,'[7]september-2025'!$G:$G,0,0)</f>
        <v>500</v>
      </c>
      <c r="BX202">
        <f>IF(BS202&gt;0,SUM(BS202:BW202),0)</f>
        <v>45750</v>
      </c>
      <c r="BY202">
        <f>_xlfn.XLOOKUP(B202,'[7]september-2025'!$A:$A,'[7]september-2025'!$H:$H,0,0)</f>
        <v>3000</v>
      </c>
      <c r="BZ202">
        <f>_xlfn.XLOOKUP(B202,'[7]september-2025'!$A:$A,'[7]september-2025'!$I:$I,0,0)</f>
        <v>0</v>
      </c>
      <c r="CA202">
        <f t="shared" si="480"/>
        <v>200</v>
      </c>
      <c r="CB202">
        <f t="shared" si="481"/>
        <v>42550</v>
      </c>
      <c r="CC202">
        <f>_xlfn.XLOOKUP(B202,'[8]october-2025'!$A:$A,'[8]october-2025'!$C:$C,0,0)</f>
        <v>34500</v>
      </c>
      <c r="CD202">
        <f t="shared" si="482"/>
        <v>6210</v>
      </c>
      <c r="CE202">
        <f t="shared" si="483"/>
        <v>4140</v>
      </c>
      <c r="CF202">
        <f>_xlfn.XLOOKUP(B202,'[8]october-2025'!$A:$A,'[8]october-2025'!$D:$D,0,0)</f>
        <v>400</v>
      </c>
      <c r="CG202">
        <f>_xlfn.XLOOKUP(B202,'[8]october-2025'!$A:$A,'[8]october-2025'!$G:$G,0,0)</f>
        <v>500</v>
      </c>
      <c r="CH202">
        <f>IF(CC202&gt;0,SUM(CC202:CG202),0)</f>
        <v>45750</v>
      </c>
      <c r="CI202">
        <f>_xlfn.XLOOKUP(B202,'[8]october-2025'!$A:$A,'[8]october-2025'!$H:$H,0,0)</f>
        <v>3000</v>
      </c>
      <c r="CJ202">
        <f>_xlfn.XLOOKUP(B202,'[8]october-2025'!$A:$A,'[8]october-2025'!$I:$I,0,0)</f>
        <v>0</v>
      </c>
      <c r="CK202">
        <f t="shared" si="484"/>
        <v>200</v>
      </c>
      <c r="CL202">
        <f t="shared" si="485"/>
        <v>42550</v>
      </c>
      <c r="CM202">
        <f>_xlfn.XLOOKUP(B202,'[9]november-2025'!$A:$A,'[9]november-2025'!$C:$C,0,0)</f>
        <v>34500</v>
      </c>
      <c r="CN202">
        <f t="shared" si="486"/>
        <v>6210</v>
      </c>
      <c r="CO202">
        <f t="shared" si="487"/>
        <v>4140</v>
      </c>
      <c r="CP202">
        <f>_xlfn.XLOOKUP(B202,'[9]november-2025'!$A:$A,'[9]november-2025'!$D:$D,0,0)</f>
        <v>400</v>
      </c>
      <c r="CQ202">
        <f>_xlfn.XLOOKUP(B202,'[9]november-2025'!$A:$A,'[9]november-2025'!$G:$G,0,0)</f>
        <v>500</v>
      </c>
      <c r="CR202">
        <f>IF(CM202&gt;0,SUM(CM202:CQ202),0)</f>
        <v>45750</v>
      </c>
      <c r="CS202">
        <f>_xlfn.XLOOKUP(B202,'[9]november-2025'!$A:$A,'[9]november-2025'!$H:$H,0,0)</f>
        <v>3000</v>
      </c>
      <c r="CT202">
        <f>_xlfn.XLOOKUP(B202,'[9]november-2025'!$A:$A,'[9]november-2025'!$I:$I,0,0)</f>
        <v>0</v>
      </c>
      <c r="CU202">
        <f t="shared" si="488"/>
        <v>200</v>
      </c>
      <c r="CV202">
        <f t="shared" si="489"/>
        <v>42550</v>
      </c>
      <c r="CW202">
        <f>_xlfn.XLOOKUP(B202,'[10]december-2025'!$A:$A,'[10]december-2025'!$C:$C,0,0)</f>
        <v>34500</v>
      </c>
      <c r="CX202">
        <f t="shared" si="490"/>
        <v>6210</v>
      </c>
      <c r="CY202">
        <f t="shared" si="491"/>
        <v>4140</v>
      </c>
      <c r="CZ202">
        <f>_xlfn.XLOOKUP(B202,'[10]december-2025'!$A:$A,'[10]december-2025'!$D:$D,0,0)</f>
        <v>400</v>
      </c>
      <c r="DA202">
        <f>_xlfn.XLOOKUP(B202,'[10]december-2025'!$A:$A,'[10]december-2025'!$G:$G,0,0)</f>
        <v>500</v>
      </c>
      <c r="DB202">
        <f>IF(CW202&gt;0,SUM(CW202:DA202),0)</f>
        <v>45750</v>
      </c>
      <c r="DC202">
        <f>_xlfn.XLOOKUP(B202,'[10]december-2025'!$A:$A,'[10]december-2025'!$H:$H,0,0)</f>
        <v>3000</v>
      </c>
      <c r="DD202">
        <f>_xlfn.XLOOKUP(B202,'[10]december-2025'!$A:$A,'[10]december-2025'!$I:$I,0,0)</f>
        <v>0</v>
      </c>
      <c r="DE202">
        <f t="shared" si="492"/>
        <v>200</v>
      </c>
      <c r="DF202">
        <f t="shared" si="493"/>
        <v>42550</v>
      </c>
      <c r="DG202">
        <f>_xlfn.XLOOKUP(B202,'[11]january-2026'!$A:$A,'[11]january-2026'!$C:$C,0,0)</f>
        <v>34500</v>
      </c>
      <c r="DH202">
        <f t="shared" si="494"/>
        <v>6210</v>
      </c>
      <c r="DI202">
        <f t="shared" si="495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>IF(DG202&gt;0,SUM(DG202:DK202),0)</f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496"/>
        <v>200</v>
      </c>
      <c r="DP202">
        <f t="shared" si="497"/>
        <v>42550</v>
      </c>
      <c r="DQ202">
        <f>_xlfn.XLOOKUP(B202,'[12]february-2026'!$A:$A,'[12]february-2026'!$C:$C,0,0)</f>
        <v>34500</v>
      </c>
      <c r="DR202">
        <f t="shared" si="498"/>
        <v>6210</v>
      </c>
      <c r="DS202">
        <f t="shared" si="499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>IF(DQ202&gt;0,SUM(DQ202:DU202),0)</f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00"/>
        <v>200</v>
      </c>
      <c r="DZ202">
        <f t="shared" si="501"/>
        <v>42550</v>
      </c>
      <c r="EA202">
        <f>_xlfn.XLOOKUP(B202,'[1]march-2025'!$A:$A,'[1]march-2025'!$J:$J,0,0)</f>
        <v>0</v>
      </c>
      <c r="EB202">
        <f>_xlfn.XLOOKUP(B202,'[2]april-2025'!$A:$A,'[2]april-2025'!$J:$J,0,0)</f>
        <v>0</v>
      </c>
      <c r="EC202">
        <f>_xlfn.XLOOKUP(B202,'[3]may-2025'!$A:$A,'[3]may-2025'!$J:$J,0,0)</f>
        <v>0</v>
      </c>
      <c r="ED202">
        <f>_xlfn.XLOOKUP(B202,'[4]june-2025'!$A:$A,'[4]june-2025'!$J:$J,0,0)</f>
        <v>0</v>
      </c>
      <c r="EE202">
        <f>_xlfn.XLOOKUP(B202,'[5]july-2025'!$A:$A,'[5]july-2025'!$J:$J,0,0)</f>
        <v>0</v>
      </c>
      <c r="EF202">
        <f>_xlfn.XLOOKUP(B202,'[6]august-2025'!$A:$A,'[6]august-2025'!$J:$J,0,0)</f>
        <v>0</v>
      </c>
      <c r="EG202">
        <f>_xlfn.XLOOKUP(B202,'[7]september-2025'!$A:$A,'[7]september-2025'!$J:$J,0,0)</f>
        <v>0</v>
      </c>
      <c r="EH202">
        <f>_xlfn.XLOOKUP(B202,'[8]october-2025'!$A:$A,'[8]october-2025'!$J:$J,0,0)</f>
        <v>0</v>
      </c>
      <c r="EI202">
        <f>_xlfn.XLOOKUP(C202,'[9]november-2025'!$A:$A,'[9]november-2025'!$J:$J,0,0)</f>
        <v>0</v>
      </c>
      <c r="EJ202">
        <f>_xlfn.XLOOKUP(B202,'[10]december-2025'!$A:$A,'[10]december-2025'!$J:$J,0,0)</f>
        <v>0</v>
      </c>
      <c r="EK202">
        <f>_xlfn.XLOOKUP(B202,'[11]january-2026'!$A:$A,'[11]january-2026'!$J:$J,0,0)</f>
        <v>0</v>
      </c>
      <c r="EL202">
        <f>_xlfn.XLOOKUP(B202,'[12]february-2026'!$A:$A,'[12]february-2026'!$J:$J,0,0)</f>
        <v>0</v>
      </c>
      <c r="EM202">
        <f t="shared" si="455"/>
        <v>0</v>
      </c>
      <c r="EN202">
        <f>DV202+DL202+DB202+CR202+CH202+BX202+BN202+BD202+AS202+AI202+Y202+O202+H202+I202</f>
        <v>549260</v>
      </c>
      <c r="EO202">
        <f>DY202+DO202+DE202+CU202+CK202+CA202+BQ202+BG202+AV202+AL202+AB202+R202</f>
        <v>2400</v>
      </c>
      <c r="EP202">
        <f t="shared" si="502"/>
        <v>50000</v>
      </c>
      <c r="EQ202">
        <v>0</v>
      </c>
      <c r="ER202">
        <f t="shared" si="456"/>
        <v>496860</v>
      </c>
      <c r="ES202">
        <f>DW202+DM202+DC202+CS202+CI202+BY202+BO202+BE202+AT202+AJ202+Z202+P202</f>
        <v>36000</v>
      </c>
      <c r="ET202">
        <f>DX202+DN202+DD202+CT202+CJ202+BZ202+BP202+BF202+AU202+AK202+AA202+Q202</f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503"/>
        <v>36000</v>
      </c>
      <c r="FF202">
        <f t="shared" si="504"/>
        <v>36000</v>
      </c>
      <c r="FG202">
        <f t="shared" si="505"/>
        <v>460860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>SUM(FH202:FN202)+(IF(F202="YES",50000,0))</f>
        <v>0</v>
      </c>
      <c r="FP202">
        <f t="shared" si="506"/>
        <v>460860</v>
      </c>
      <c r="FQ202">
        <f t="shared" si="507"/>
        <v>10543</v>
      </c>
      <c r="FR202">
        <f t="shared" si="508"/>
        <v>0</v>
      </c>
      <c r="FS202">
        <f t="shared" si="509"/>
        <v>10543</v>
      </c>
      <c r="FT202">
        <f t="shared" si="510"/>
        <v>0</v>
      </c>
      <c r="FU202">
        <f t="shared" si="511"/>
        <v>0</v>
      </c>
      <c r="FV202">
        <f t="shared" si="512"/>
        <v>0</v>
      </c>
      <c r="FW202">
        <v>0</v>
      </c>
      <c r="FX202">
        <f t="shared" si="513"/>
        <v>0</v>
      </c>
      <c r="FY202" t="b">
        <f t="shared" si="514"/>
        <v>1</v>
      </c>
      <c r="FZ202">
        <f t="shared" ca="1" si="515"/>
        <v>689</v>
      </c>
      <c r="GA202">
        <f t="shared" ca="1" si="516"/>
        <v>549949</v>
      </c>
      <c r="GB202">
        <f t="shared" si="517"/>
        <v>75000</v>
      </c>
      <c r="GC202">
        <f t="shared" ca="1" si="518"/>
        <v>474949</v>
      </c>
      <c r="GD202">
        <f t="shared" ca="1" si="519"/>
        <v>0</v>
      </c>
      <c r="GE202">
        <f t="shared" ca="1" si="520"/>
        <v>0</v>
      </c>
      <c r="GF202">
        <f t="shared" ca="1" si="521"/>
        <v>0</v>
      </c>
      <c r="GG202">
        <f t="shared" ca="1" si="522"/>
        <v>0</v>
      </c>
      <c r="GH202">
        <f t="shared" ca="1" si="523"/>
        <v>0</v>
      </c>
      <c r="GI202">
        <f t="shared" ca="1" si="524"/>
        <v>0</v>
      </c>
      <c r="GJ202">
        <f ca="1">IF(GC202&gt;1200000,GC202-1200000-IF(F202="YES",50000,0)-GH202,0)</f>
        <v>0</v>
      </c>
      <c r="GK202">
        <f t="shared" ca="1" si="525"/>
        <v>0</v>
      </c>
      <c r="GL202">
        <f t="shared" ca="1" si="526"/>
        <v>0</v>
      </c>
      <c r="GM202">
        <f t="shared" ca="1" si="527"/>
        <v>0</v>
      </c>
      <c r="GN202">
        <f t="shared" ca="1" si="528"/>
        <v>74949</v>
      </c>
      <c r="GO202">
        <f t="shared" ca="1" si="529"/>
        <v>3747.4500000000003</v>
      </c>
      <c r="GP202">
        <f t="shared" ca="1" si="530"/>
        <v>3747</v>
      </c>
      <c r="GQ202">
        <f t="shared" ca="1" si="531"/>
        <v>0</v>
      </c>
      <c r="GR202">
        <f t="shared" ca="1" si="532"/>
        <v>0</v>
      </c>
      <c r="GS202">
        <f t="shared" ca="1" si="533"/>
        <v>3747</v>
      </c>
      <c r="GT202">
        <f t="shared" ca="1" si="534"/>
        <v>0</v>
      </c>
      <c r="GU202" t="b">
        <f t="shared" ca="1" si="535"/>
        <v>0</v>
      </c>
      <c r="GV202">
        <f t="shared" ca="1" si="536"/>
        <v>0</v>
      </c>
      <c r="GW202">
        <f t="shared" ca="1" si="537"/>
        <v>3747</v>
      </c>
      <c r="GX202">
        <f t="shared" ca="1" si="538"/>
        <v>0</v>
      </c>
      <c r="GY202">
        <f t="shared" ca="1" si="539"/>
        <v>0</v>
      </c>
      <c r="GZ202">
        <f t="shared" ca="1" si="540"/>
        <v>0</v>
      </c>
    </row>
    <row r="203" spans="1:208" x14ac:dyDescent="0.25">
      <c r="A203">
        <f>_xlfn.AGGREGATE(3,5,$B$2:B203)</f>
        <v>202</v>
      </c>
      <c r="B203" t="s">
        <v>512</v>
      </c>
      <c r="C203" t="s">
        <v>513</v>
      </c>
      <c r="D203" t="s">
        <v>801</v>
      </c>
      <c r="E203" t="s">
        <v>831</v>
      </c>
      <c r="F203" t="s">
        <v>957</v>
      </c>
      <c r="G203" t="s">
        <v>879</v>
      </c>
      <c r="H203">
        <f t="shared" si="542"/>
        <v>6800</v>
      </c>
      <c r="I203">
        <f>_xlfn.XLOOKUP(B203,'[1]march-2025'!$A:$A,'[1]march-2025'!$J:$J,0,0)</f>
        <v>0</v>
      </c>
      <c r="J203">
        <f>_xlfn.XLOOKUP(B203,'[1]march-2025'!$A:$A,'[1]march-2025'!$C:$C,0,0)</f>
        <v>27000</v>
      </c>
      <c r="K203">
        <f t="shared" si="457"/>
        <v>3780.0000000000005</v>
      </c>
      <c r="L203">
        <f t="shared" si="458"/>
        <v>3240</v>
      </c>
      <c r="M203">
        <f>_xlfn.XLOOKUP(B203,'[1]march-2025'!$A:$A,'[1]march-2025'!$D:$D,0,0)</f>
        <v>0</v>
      </c>
      <c r="N203">
        <f>_xlfn.XLOOKUP(B203,'[1]march-2025'!$A:$A,'[1]march-2025'!$G:$G,0,0)</f>
        <v>500</v>
      </c>
      <c r="O203">
        <f>IF(J203&gt;0,SUM(J203:N203),0)</f>
        <v>34520</v>
      </c>
      <c r="P203">
        <f>_xlfn.XLOOKUP(B203,'[1]march-2025'!$A:$A,'[1]march-2025'!$H:$H,0,0)</f>
        <v>2000</v>
      </c>
      <c r="Q203">
        <f>_xlfn.XLOOKUP(B203,'[1]march-2025'!$A:$A,'[1]march-2025'!$I:$I,0,0)</f>
        <v>0</v>
      </c>
      <c r="R203">
        <f t="shared" si="541"/>
        <v>150</v>
      </c>
      <c r="S203">
        <f t="shared" si="451"/>
        <v>32370</v>
      </c>
      <c r="T203">
        <f>_xlfn.XLOOKUP(B203,'[2]april-2025'!$A:$A,'[2]april-2025'!$C:$C,0,0)</f>
        <v>27000</v>
      </c>
      <c r="U203">
        <f t="shared" si="459"/>
        <v>4860</v>
      </c>
      <c r="V203">
        <f t="shared" si="460"/>
        <v>3240</v>
      </c>
      <c r="W203">
        <f>_xlfn.XLOOKUP(B203,'[2]april-2025'!$A:$A,'[2]april-2025'!$D:$D,0,0)</f>
        <v>0</v>
      </c>
      <c r="X203">
        <f>_xlfn.XLOOKUP(B203,'[2]april-2025'!$A:$A,'[2]april-2025'!$G:$G,0,0)</f>
        <v>500</v>
      </c>
      <c r="Y203">
        <f t="shared" si="452"/>
        <v>35600</v>
      </c>
      <c r="Z203">
        <f>_xlfn.XLOOKUP(B203,'[2]april-2025'!$A:$A,'[2]april-2025'!$H:$H,0,0)</f>
        <v>2000</v>
      </c>
      <c r="AA203">
        <f>_xlfn.XLOOKUP(B203,'[2]april-2025'!$A:$A,'[2]april-2025'!$I:$I,0,0)</f>
        <v>0</v>
      </c>
      <c r="AB203">
        <f t="shared" si="461"/>
        <v>150</v>
      </c>
      <c r="AC203">
        <f t="shared" si="462"/>
        <v>33450</v>
      </c>
      <c r="AD203">
        <f>_xlfn.XLOOKUP(B203,'[3]may-2025'!$A:$A,'[3]may-2025'!$C:$C,0,0)</f>
        <v>31600</v>
      </c>
      <c r="AE203">
        <f t="shared" si="463"/>
        <v>5688</v>
      </c>
      <c r="AF203">
        <f t="shared" si="464"/>
        <v>3792</v>
      </c>
      <c r="AG203">
        <f>_xlfn.XLOOKUP(B203,'[3]may-2025'!$A:$A,'[3]may-2025'!$D:$D,0,0)</f>
        <v>0</v>
      </c>
      <c r="AH203">
        <f>_xlfn.XLOOKUP(B203,'[3]may-2025'!$A:$A,'[3]may-2025'!$G:$G,0,0)</f>
        <v>500</v>
      </c>
      <c r="AI203">
        <f t="shared" si="453"/>
        <v>41580</v>
      </c>
      <c r="AJ203">
        <f>_xlfn.XLOOKUP(B203,'[3]may-2025'!$A:$A,'[3]may-2025'!$H:$H,0,0)</f>
        <v>2000</v>
      </c>
      <c r="AK203">
        <f>_xlfn.XLOOKUP(B203,'[3]may-2025'!$A:$A,'[3]may-2025'!$I:$I,0,0)</f>
        <v>0</v>
      </c>
      <c r="AL203">
        <f t="shared" si="465"/>
        <v>200</v>
      </c>
      <c r="AM203">
        <f t="shared" si="466"/>
        <v>39380</v>
      </c>
      <c r="AN203">
        <f>_xlfn.XLOOKUP(B203,'[4]june-2025'!$A:$A,'[4]june-2025'!$C:$C,0,0)</f>
        <v>31600</v>
      </c>
      <c r="AO203">
        <f t="shared" si="467"/>
        <v>5688</v>
      </c>
      <c r="AP203">
        <f t="shared" si="468"/>
        <v>3792</v>
      </c>
      <c r="AQ203">
        <f>_xlfn.XLOOKUP(B203,'[4]june-2025'!$A:$A,'[4]june-2025'!$D:$D,0,0)</f>
        <v>0</v>
      </c>
      <c r="AR203">
        <f>_xlfn.XLOOKUP(B203,'[4]june-2025'!$A:$A,'[4]june-2025'!$G:$G,0,0)</f>
        <v>500</v>
      </c>
      <c r="AS203">
        <f t="shared" si="454"/>
        <v>41580</v>
      </c>
      <c r="AT203">
        <f>_xlfn.XLOOKUP(B203,'[4]june-2025'!$A:$A,'[4]june-2025'!$H:$H,0,0)</f>
        <v>2000</v>
      </c>
      <c r="AU203">
        <f>_xlfn.XLOOKUP(B203,'[4]june-2025'!$A:$A,'[4]june-2025'!$I:$I,0,0)</f>
        <v>0</v>
      </c>
      <c r="AV203">
        <f t="shared" si="469"/>
        <v>200</v>
      </c>
      <c r="AW203">
        <f t="shared" si="470"/>
        <v>39380</v>
      </c>
      <c r="AX203">
        <f>_xlfn.XLOOKUP(B203,'[5]july-2025'!$A:$A,'[5]july-2025'!$C:$C,0,0)</f>
        <v>32500</v>
      </c>
      <c r="AY203">
        <f t="shared" si="471"/>
        <v>5850</v>
      </c>
      <c r="AZ203">
        <v>0</v>
      </c>
      <c r="BA203">
        <f t="shared" si="472"/>
        <v>3900</v>
      </c>
      <c r="BB203">
        <f>_xlfn.XLOOKUP(B203,'[5]july-2025'!$A:$A,'[5]july-2025'!$D:$D,0,0)</f>
        <v>0</v>
      </c>
      <c r="BC203">
        <f>_xlfn.XLOOKUP(B203,'[5]july-2025'!$A:$A,'[5]july-2025'!$G:$G,0,0)</f>
        <v>500</v>
      </c>
      <c r="BD203">
        <f>IF(AX203&gt;0,SUM(AX203:BC203),0)</f>
        <v>42750</v>
      </c>
      <c r="BE203">
        <f>_xlfn.XLOOKUP(B203,'[5]july-2025'!$A:$A,'[5]july-2025'!$H:$H,0,0)</f>
        <v>2000</v>
      </c>
      <c r="BF203">
        <f>_xlfn.XLOOKUP(B203,'[5]july-2025'!$A:$A,'[5]july-2025'!$I:$I,0,0)</f>
        <v>0</v>
      </c>
      <c r="BG203">
        <f t="shared" si="473"/>
        <v>200</v>
      </c>
      <c r="BH203">
        <f t="shared" si="474"/>
        <v>40550</v>
      </c>
      <c r="BI203">
        <f>_xlfn.XLOOKUP(B203,'[6]august-2025'!$A:$A,'[6]august-2025'!$C:$C,0,0)</f>
        <v>32500</v>
      </c>
      <c r="BJ203">
        <f t="shared" si="475"/>
        <v>5850</v>
      </c>
      <c r="BK203">
        <f t="shared" si="476"/>
        <v>3900</v>
      </c>
      <c r="BL203">
        <f>_xlfn.XLOOKUP(B203,'[6]august-2025'!$A:$A,'[6]august-2025'!$D:$D,0,0)</f>
        <v>0</v>
      </c>
      <c r="BM203">
        <f>_xlfn.XLOOKUP(B203,'[6]august-2025'!$A:$A,'[6]august-2025'!$G:$G,0,0)</f>
        <v>500</v>
      </c>
      <c r="BN203">
        <f t="shared" si="477"/>
        <v>42750</v>
      </c>
      <c r="BO203">
        <f>_xlfn.XLOOKUP(B203,'[6]august-2025'!$A:$A,'[6]august-2025'!$H:$H,0,0)</f>
        <v>2000</v>
      </c>
      <c r="BP203">
        <f>_xlfn.XLOOKUP(B203,'[6]august-2025'!$A:$A,'[6]august-2025'!$I:$I,0,0)</f>
        <v>0</v>
      </c>
      <c r="BQ203">
        <f>IF($F203="YES",0,IF(BN203&gt;40000,200,IF(BN203&gt;25000,150,IF(BN203&gt;15000,130,IF(BN203&gt;10000,110,0)))))</f>
        <v>200</v>
      </c>
      <c r="BR203">
        <f>BN203-BO203-BP203-BQ203</f>
        <v>40550</v>
      </c>
      <c r="BS203">
        <f>_xlfn.XLOOKUP(B203,'[7]september-2025'!$A:$A,'[7]september-2025'!$C:$C,0,0)</f>
        <v>32500</v>
      </c>
      <c r="BT203">
        <f t="shared" si="478"/>
        <v>5850</v>
      </c>
      <c r="BU203">
        <f t="shared" si="479"/>
        <v>3900</v>
      </c>
      <c r="BV203">
        <f>_xlfn.XLOOKUP(B203,'[7]september-2025'!$A:$A,'[7]september-2025'!$D:$D,0,0)</f>
        <v>0</v>
      </c>
      <c r="BW203">
        <f>_xlfn.XLOOKUP(B203,'[7]september-2025'!$A:$A,'[7]september-2025'!$G:$G,0,0)</f>
        <v>500</v>
      </c>
      <c r="BX203">
        <f>IF(BS203&gt;0,SUM(BS203:BW203),0)</f>
        <v>42750</v>
      </c>
      <c r="BY203">
        <f>_xlfn.XLOOKUP(B203,'[7]september-2025'!$A:$A,'[7]september-2025'!$H:$H,0,0)</f>
        <v>2000</v>
      </c>
      <c r="BZ203">
        <f>_xlfn.XLOOKUP(B203,'[7]september-2025'!$A:$A,'[7]september-2025'!$I:$I,0,0)</f>
        <v>0</v>
      </c>
      <c r="CA203">
        <f t="shared" si="480"/>
        <v>200</v>
      </c>
      <c r="CB203">
        <f t="shared" si="481"/>
        <v>40550</v>
      </c>
      <c r="CC203">
        <f>_xlfn.XLOOKUP(B203,'[8]october-2025'!$A:$A,'[8]october-2025'!$C:$C,0,0)</f>
        <v>32500</v>
      </c>
      <c r="CD203">
        <f t="shared" si="482"/>
        <v>5850</v>
      </c>
      <c r="CE203">
        <f t="shared" si="483"/>
        <v>3900</v>
      </c>
      <c r="CF203">
        <f>_xlfn.XLOOKUP(B203,'[8]october-2025'!$A:$A,'[8]october-2025'!$D:$D,0,0)</f>
        <v>0</v>
      </c>
      <c r="CG203">
        <f>_xlfn.XLOOKUP(B203,'[8]october-2025'!$A:$A,'[8]october-2025'!$G:$G,0,0)</f>
        <v>500</v>
      </c>
      <c r="CH203">
        <f>IF(CC203&gt;0,SUM(CC203:CG203),0)</f>
        <v>42750</v>
      </c>
      <c r="CI203">
        <f>_xlfn.XLOOKUP(B203,'[8]october-2025'!$A:$A,'[8]october-2025'!$H:$H,0,0)</f>
        <v>2000</v>
      </c>
      <c r="CJ203">
        <f>_xlfn.XLOOKUP(B203,'[8]october-2025'!$A:$A,'[8]october-2025'!$I:$I,0,0)</f>
        <v>0</v>
      </c>
      <c r="CK203">
        <f t="shared" si="484"/>
        <v>200</v>
      </c>
      <c r="CL203">
        <f t="shared" si="485"/>
        <v>40550</v>
      </c>
      <c r="CM203">
        <f>_xlfn.XLOOKUP(B203,'[9]november-2025'!$A:$A,'[9]november-2025'!$C:$C,0,0)</f>
        <v>32500</v>
      </c>
      <c r="CN203">
        <f t="shared" si="486"/>
        <v>5850</v>
      </c>
      <c r="CO203">
        <f t="shared" si="487"/>
        <v>3900</v>
      </c>
      <c r="CP203">
        <f>_xlfn.XLOOKUP(B203,'[9]november-2025'!$A:$A,'[9]november-2025'!$D:$D,0,0)</f>
        <v>0</v>
      </c>
      <c r="CQ203">
        <f>_xlfn.XLOOKUP(B203,'[9]november-2025'!$A:$A,'[9]november-2025'!$G:$G,0,0)</f>
        <v>500</v>
      </c>
      <c r="CR203">
        <f>IF(CM203&gt;0,SUM(CM203:CQ203),0)</f>
        <v>42750</v>
      </c>
      <c r="CS203">
        <f>_xlfn.XLOOKUP(B203,'[9]november-2025'!$A:$A,'[9]november-2025'!$H:$H,0,0)</f>
        <v>2000</v>
      </c>
      <c r="CT203">
        <f>_xlfn.XLOOKUP(B203,'[9]november-2025'!$A:$A,'[9]november-2025'!$I:$I,0,0)</f>
        <v>0</v>
      </c>
      <c r="CU203">
        <f t="shared" si="488"/>
        <v>200</v>
      </c>
      <c r="CV203">
        <f t="shared" si="489"/>
        <v>40550</v>
      </c>
      <c r="CW203">
        <f>_xlfn.XLOOKUP(B203,'[10]december-2025'!$A:$A,'[10]december-2025'!$C:$C,0,0)</f>
        <v>32500</v>
      </c>
      <c r="CX203">
        <f t="shared" si="490"/>
        <v>5850</v>
      </c>
      <c r="CY203">
        <f t="shared" si="491"/>
        <v>3900</v>
      </c>
      <c r="CZ203">
        <f>_xlfn.XLOOKUP(B203,'[10]december-2025'!$A:$A,'[10]december-2025'!$D:$D,0,0)</f>
        <v>0</v>
      </c>
      <c r="DA203">
        <f>_xlfn.XLOOKUP(B203,'[10]december-2025'!$A:$A,'[10]december-2025'!$G:$G,0,0)</f>
        <v>500</v>
      </c>
      <c r="DB203">
        <f>IF(CW203&gt;0,SUM(CW203:DA203),0)</f>
        <v>42750</v>
      </c>
      <c r="DC203">
        <f>_xlfn.XLOOKUP(B203,'[10]december-2025'!$A:$A,'[10]december-2025'!$H:$H,0,0)</f>
        <v>2000</v>
      </c>
      <c r="DD203">
        <f>_xlfn.XLOOKUP(B203,'[10]december-2025'!$A:$A,'[10]december-2025'!$I:$I,0,0)</f>
        <v>0</v>
      </c>
      <c r="DE203">
        <f t="shared" si="492"/>
        <v>200</v>
      </c>
      <c r="DF203">
        <f t="shared" si="493"/>
        <v>40550</v>
      </c>
      <c r="DG203">
        <f>_xlfn.XLOOKUP(B203,'[11]january-2026'!$A:$A,'[11]january-2026'!$C:$C,0,0)</f>
        <v>32500</v>
      </c>
      <c r="DH203">
        <f t="shared" si="494"/>
        <v>5850</v>
      </c>
      <c r="DI203">
        <f t="shared" si="495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>IF(DG203&gt;0,SUM(DG203:DK203),0)</f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496"/>
        <v>200</v>
      </c>
      <c r="DP203">
        <f t="shared" si="497"/>
        <v>40550</v>
      </c>
      <c r="DQ203">
        <f>_xlfn.XLOOKUP(B203,'[12]february-2026'!$A:$A,'[12]february-2026'!$C:$C,0,0)</f>
        <v>32500</v>
      </c>
      <c r="DR203">
        <f t="shared" si="498"/>
        <v>5850</v>
      </c>
      <c r="DS203">
        <f t="shared" si="499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>IF(DQ203&gt;0,SUM(DQ203:DU203),0)</f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00"/>
        <v>200</v>
      </c>
      <c r="DZ203">
        <f t="shared" si="501"/>
        <v>40550</v>
      </c>
      <c r="EA203">
        <f>_xlfn.XLOOKUP(B203,'[1]march-2025'!$A:$A,'[1]march-2025'!$J:$J,0,0)</f>
        <v>0</v>
      </c>
      <c r="EB203">
        <f>_xlfn.XLOOKUP(B203,'[2]april-2025'!$A:$A,'[2]april-2025'!$J:$J,0,0)</f>
        <v>0</v>
      </c>
      <c r="EC203">
        <f>_xlfn.XLOOKUP(B203,'[3]may-2025'!$A:$A,'[3]may-2025'!$J:$J,0,0)</f>
        <v>0</v>
      </c>
      <c r="ED203">
        <f>_xlfn.XLOOKUP(B203,'[4]june-2025'!$A:$A,'[4]june-2025'!$J:$J,0,0)</f>
        <v>0</v>
      </c>
      <c r="EE203">
        <f>_xlfn.XLOOKUP(B203,'[5]july-2025'!$A:$A,'[5]july-2025'!$J:$J,0,0)</f>
        <v>0</v>
      </c>
      <c r="EF203">
        <f>_xlfn.XLOOKUP(B203,'[6]august-2025'!$A:$A,'[6]august-2025'!$J:$J,0,0)</f>
        <v>0</v>
      </c>
      <c r="EG203">
        <f>_xlfn.XLOOKUP(B203,'[7]september-2025'!$A:$A,'[7]september-2025'!$J:$J,0,0)</f>
        <v>0</v>
      </c>
      <c r="EH203">
        <f>_xlfn.XLOOKUP(B203,'[8]october-2025'!$A:$A,'[8]october-2025'!$J:$J,0,0)</f>
        <v>0</v>
      </c>
      <c r="EI203">
        <f>_xlfn.XLOOKUP(C203,'[9]november-2025'!$A:$A,'[9]november-2025'!$J:$J,0,0)</f>
        <v>0</v>
      </c>
      <c r="EJ203">
        <f>_xlfn.XLOOKUP(B203,'[10]december-2025'!$A:$A,'[10]december-2025'!$J:$J,0,0)</f>
        <v>0</v>
      </c>
      <c r="EK203">
        <f>_xlfn.XLOOKUP(B203,'[11]january-2026'!$A:$A,'[11]january-2026'!$J:$J,0,0)</f>
        <v>0</v>
      </c>
      <c r="EL203">
        <f>_xlfn.XLOOKUP(B203,'[12]february-2026'!$A:$A,'[12]february-2026'!$J:$J,0,0)</f>
        <v>0</v>
      </c>
      <c r="EM203">
        <f t="shared" si="455"/>
        <v>0</v>
      </c>
      <c r="EN203">
        <f>DV203+DL203+DB203+CR203+CH203+BX203+BN203+BD203+AS203+AI203+Y203+O203+H203+I203</f>
        <v>502080</v>
      </c>
      <c r="EO203">
        <f>DY203+DO203+DE203+CU203+CK203+CA203+BQ203+BG203+AV203+AL203+AB203+R203</f>
        <v>2300</v>
      </c>
      <c r="EP203">
        <f t="shared" si="502"/>
        <v>50000</v>
      </c>
      <c r="EQ203">
        <v>0</v>
      </c>
      <c r="ER203">
        <f t="shared" si="456"/>
        <v>449780</v>
      </c>
      <c r="ES203">
        <f>DW203+DM203+DC203+CS203+CI203+BY203+BO203+BE203+AT203+AJ203+Z203+P203</f>
        <v>24000</v>
      </c>
      <c r="ET203">
        <f>DX203+DN203+DD203+CT203+CJ203+BZ203+BP203+BF203+AU203+AK203+AA203+Q203</f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503"/>
        <v>24000</v>
      </c>
      <c r="FF203">
        <f t="shared" si="504"/>
        <v>24000</v>
      </c>
      <c r="FG203">
        <f t="shared" si="505"/>
        <v>425780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>SUM(FH203:FN203)+(IF(F203="YES",50000,0))</f>
        <v>0</v>
      </c>
      <c r="FP203">
        <f t="shared" si="506"/>
        <v>425780</v>
      </c>
      <c r="FQ203">
        <f t="shared" si="507"/>
        <v>8789</v>
      </c>
      <c r="FR203">
        <f t="shared" si="508"/>
        <v>0</v>
      </c>
      <c r="FS203">
        <f t="shared" si="509"/>
        <v>8789</v>
      </c>
      <c r="FT203">
        <f t="shared" si="510"/>
        <v>0</v>
      </c>
      <c r="FU203">
        <f t="shared" si="511"/>
        <v>0</v>
      </c>
      <c r="FV203">
        <f t="shared" si="512"/>
        <v>0</v>
      </c>
      <c r="FW203">
        <v>0</v>
      </c>
      <c r="FX203">
        <f t="shared" si="513"/>
        <v>0</v>
      </c>
      <c r="FY203" t="b">
        <f t="shared" si="514"/>
        <v>1</v>
      </c>
      <c r="FZ203">
        <f t="shared" ca="1" si="515"/>
        <v>794</v>
      </c>
      <c r="GA203">
        <f t="shared" ca="1" si="516"/>
        <v>502874</v>
      </c>
      <c r="GB203">
        <f t="shared" si="517"/>
        <v>75000</v>
      </c>
      <c r="GC203">
        <f t="shared" ca="1" si="518"/>
        <v>427874</v>
      </c>
      <c r="GD203">
        <f t="shared" ca="1" si="519"/>
        <v>0</v>
      </c>
      <c r="GE203">
        <f t="shared" ca="1" si="520"/>
        <v>0</v>
      </c>
      <c r="GF203">
        <f t="shared" ca="1" si="521"/>
        <v>0</v>
      </c>
      <c r="GG203">
        <f t="shared" ca="1" si="522"/>
        <v>0</v>
      </c>
      <c r="GH203">
        <f t="shared" ca="1" si="523"/>
        <v>0</v>
      </c>
      <c r="GI203">
        <f t="shared" ca="1" si="524"/>
        <v>0</v>
      </c>
      <c r="GJ203">
        <f ca="1">IF(GC203&gt;1200000,GC203-1200000-IF(F203="YES",50000,0)-GH203,0)</f>
        <v>0</v>
      </c>
      <c r="GK203">
        <f t="shared" ca="1" si="525"/>
        <v>0</v>
      </c>
      <c r="GL203">
        <f t="shared" ca="1" si="526"/>
        <v>0</v>
      </c>
      <c r="GM203">
        <f t="shared" ca="1" si="527"/>
        <v>0</v>
      </c>
      <c r="GN203">
        <f t="shared" ca="1" si="528"/>
        <v>27874</v>
      </c>
      <c r="GO203">
        <f t="shared" ca="1" si="529"/>
        <v>1393.7</v>
      </c>
      <c r="GP203">
        <f t="shared" ca="1" si="530"/>
        <v>1394</v>
      </c>
      <c r="GQ203">
        <f t="shared" ca="1" si="531"/>
        <v>0</v>
      </c>
      <c r="GR203">
        <f t="shared" ca="1" si="532"/>
        <v>0</v>
      </c>
      <c r="GS203">
        <f t="shared" ca="1" si="533"/>
        <v>1394</v>
      </c>
      <c r="GT203">
        <f t="shared" ca="1" si="534"/>
        <v>0</v>
      </c>
      <c r="GU203" t="b">
        <f t="shared" ca="1" si="535"/>
        <v>0</v>
      </c>
      <c r="GV203">
        <f t="shared" ca="1" si="536"/>
        <v>0</v>
      </c>
      <c r="GW203">
        <f t="shared" ca="1" si="537"/>
        <v>1394</v>
      </c>
      <c r="GX203">
        <f t="shared" ca="1" si="538"/>
        <v>0</v>
      </c>
      <c r="GY203">
        <f t="shared" ca="1" si="539"/>
        <v>0</v>
      </c>
      <c r="GZ203">
        <f t="shared" ca="1" si="540"/>
        <v>0</v>
      </c>
    </row>
    <row r="204" spans="1:208" x14ac:dyDescent="0.25">
      <c r="A204">
        <f>_xlfn.AGGREGATE(3,5,$B$2:B204)</f>
        <v>203</v>
      </c>
      <c r="B204" t="s">
        <v>867</v>
      </c>
      <c r="C204" t="s">
        <v>868</v>
      </c>
      <c r="D204" t="s">
        <v>801</v>
      </c>
      <c r="E204" t="s">
        <v>831</v>
      </c>
      <c r="F204" t="s">
        <v>958</v>
      </c>
      <c r="G204" t="s">
        <v>939</v>
      </c>
      <c r="H204">
        <f t="shared" si="542"/>
        <v>0</v>
      </c>
      <c r="I204">
        <f>_xlfn.XLOOKUP(B204,'[1]march-2025'!$A:$A,'[1]march-2025'!$J:$J,0,0)</f>
        <v>0</v>
      </c>
      <c r="J204">
        <f>_xlfn.XLOOKUP(B204,'[1]march-2025'!$A:$A,'[1]march-2025'!$C:$C,0,0)</f>
        <v>0</v>
      </c>
      <c r="K204">
        <f t="shared" si="457"/>
        <v>0</v>
      </c>
      <c r="L204">
        <f t="shared" si="458"/>
        <v>0</v>
      </c>
      <c r="M204">
        <f>_xlfn.XLOOKUP(B204,'[1]march-2025'!$A:$A,'[1]march-2025'!$D:$D,0,0)</f>
        <v>0</v>
      </c>
      <c r="N204">
        <f>_xlfn.XLOOKUP(B204,'[1]march-2025'!$A:$A,'[1]march-2025'!$G:$G,0,0)</f>
        <v>0</v>
      </c>
      <c r="O204">
        <f>IF(J204&gt;0,SUM(J204:N204),0)</f>
        <v>0</v>
      </c>
      <c r="P204">
        <f>_xlfn.XLOOKUP(B204,'[1]march-2025'!$A:$A,'[1]march-2025'!$H:$H,0,0)</f>
        <v>0</v>
      </c>
      <c r="Q204">
        <f>_xlfn.XLOOKUP(B204,'[1]march-2025'!$A:$A,'[1]march-2025'!$I:$I,0,0)</f>
        <v>0</v>
      </c>
      <c r="R204">
        <f t="shared" si="541"/>
        <v>0</v>
      </c>
      <c r="S204">
        <f t="shared" si="451"/>
        <v>0</v>
      </c>
      <c r="T204">
        <f>_xlfn.XLOOKUP(B204,'[2]april-2025'!$A:$A,'[2]april-2025'!$C:$C,0,0)</f>
        <v>0</v>
      </c>
      <c r="U204">
        <f t="shared" si="459"/>
        <v>0</v>
      </c>
      <c r="V204">
        <f t="shared" si="460"/>
        <v>0</v>
      </c>
      <c r="W204">
        <f>_xlfn.XLOOKUP(B204,'[2]april-2025'!$A:$A,'[2]april-2025'!$D:$D,0,0)</f>
        <v>0</v>
      </c>
      <c r="X204">
        <f>_xlfn.XLOOKUP(B204,'[2]april-2025'!$A:$A,'[2]april-2025'!$G:$G,0,0)</f>
        <v>0</v>
      </c>
      <c r="Y204">
        <f t="shared" si="452"/>
        <v>0</v>
      </c>
      <c r="Z204">
        <f>_xlfn.XLOOKUP(B204,'[2]april-2025'!$A:$A,'[2]april-2025'!$H:$H,0,0)</f>
        <v>0</v>
      </c>
      <c r="AA204">
        <f>_xlfn.XLOOKUP(B204,'[2]april-2025'!$A:$A,'[2]april-2025'!$I:$I,0,0)</f>
        <v>0</v>
      </c>
      <c r="AB204">
        <f t="shared" si="461"/>
        <v>0</v>
      </c>
      <c r="AC204">
        <f t="shared" si="462"/>
        <v>0</v>
      </c>
      <c r="AD204">
        <f>_xlfn.XLOOKUP(B204,'[3]may-2025'!$A:$A,'[3]may-2025'!$C:$C,0,0)</f>
        <v>24700</v>
      </c>
      <c r="AE204">
        <f t="shared" si="463"/>
        <v>4446</v>
      </c>
      <c r="AF204">
        <f t="shared" si="464"/>
        <v>2964</v>
      </c>
      <c r="AG204">
        <f>_xlfn.XLOOKUP(B204,'[3]may-2025'!$A:$A,'[3]may-2025'!$D:$D,0,0)</f>
        <v>0</v>
      </c>
      <c r="AH204">
        <f>_xlfn.XLOOKUP(B204,'[3]may-2025'!$A:$A,'[3]may-2025'!$G:$G,0,0)</f>
        <v>0</v>
      </c>
      <c r="AI204">
        <f t="shared" si="453"/>
        <v>32110</v>
      </c>
      <c r="AJ204">
        <f>_xlfn.XLOOKUP(B204,'[3]may-2025'!$A:$A,'[3]may-2025'!$H:$H,0,0)</f>
        <v>0</v>
      </c>
      <c r="AK204">
        <f>_xlfn.XLOOKUP(B204,'[3]may-2025'!$A:$A,'[3]may-2025'!$I:$I,0,0)</f>
        <v>0</v>
      </c>
      <c r="AL204">
        <f t="shared" si="465"/>
        <v>0</v>
      </c>
      <c r="AM204">
        <f t="shared" si="466"/>
        <v>32110</v>
      </c>
      <c r="AN204">
        <f>_xlfn.XLOOKUP(B204,'[4]june-2025'!$A:$A,'[4]june-2025'!$C:$C,0,0)</f>
        <v>24700</v>
      </c>
      <c r="AO204">
        <f t="shared" si="467"/>
        <v>4446</v>
      </c>
      <c r="AP204">
        <f t="shared" si="468"/>
        <v>2964</v>
      </c>
      <c r="AQ204">
        <f>_xlfn.XLOOKUP(B204,'[4]june-2025'!$A:$A,'[4]june-2025'!$D:$D,0,0)</f>
        <v>0</v>
      </c>
      <c r="AR204">
        <f>_xlfn.XLOOKUP(B204,'[4]june-2025'!$A:$A,'[4]june-2025'!$G:$G,0,0)</f>
        <v>0</v>
      </c>
      <c r="AS204">
        <f t="shared" si="454"/>
        <v>32110</v>
      </c>
      <c r="AT204">
        <f>_xlfn.XLOOKUP(B204,'[4]june-2025'!$A:$A,'[4]june-2025'!$H:$H,0,0)</f>
        <v>0</v>
      </c>
      <c r="AU204">
        <f>_xlfn.XLOOKUP(B204,'[4]june-2025'!$A:$A,'[4]june-2025'!$I:$I,0,0)</f>
        <v>0</v>
      </c>
      <c r="AV204">
        <f t="shared" si="469"/>
        <v>0</v>
      </c>
      <c r="AW204">
        <f t="shared" si="470"/>
        <v>32110</v>
      </c>
      <c r="AX204">
        <f>_xlfn.XLOOKUP(B204,'[5]july-2025'!$A:$A,'[5]july-2025'!$C:$C,0,0)</f>
        <v>24700</v>
      </c>
      <c r="AY204">
        <f t="shared" si="471"/>
        <v>4446</v>
      </c>
      <c r="AZ204">
        <v>0</v>
      </c>
      <c r="BA204">
        <f t="shared" si="472"/>
        <v>2964</v>
      </c>
      <c r="BB204">
        <f>_xlfn.XLOOKUP(B204,'[5]july-2025'!$A:$A,'[5]july-2025'!$D:$D,0,0)</f>
        <v>0</v>
      </c>
      <c r="BC204">
        <f>_xlfn.XLOOKUP(B204,'[5]july-2025'!$A:$A,'[5]july-2025'!$G:$G,0,0)</f>
        <v>0</v>
      </c>
      <c r="BD204">
        <f>IF(AX204&gt;0,SUM(AX204:BC204),0)</f>
        <v>32110</v>
      </c>
      <c r="BE204">
        <f>_xlfn.XLOOKUP(B204,'[5]july-2025'!$A:$A,'[5]july-2025'!$H:$H,0,0)</f>
        <v>0</v>
      </c>
      <c r="BF204">
        <f>_xlfn.XLOOKUP(B204,'[5]july-2025'!$A:$A,'[5]july-2025'!$I:$I,0,0)</f>
        <v>0</v>
      </c>
      <c r="BG204">
        <f t="shared" si="473"/>
        <v>0</v>
      </c>
      <c r="BH204">
        <f t="shared" si="474"/>
        <v>32110</v>
      </c>
      <c r="BI204">
        <f>_xlfn.XLOOKUP(B204,'[6]august-2025'!$A:$A,'[6]august-2025'!$C:$C,0,0)</f>
        <v>24700</v>
      </c>
      <c r="BJ204">
        <f t="shared" si="475"/>
        <v>4446</v>
      </c>
      <c r="BK204">
        <f t="shared" si="476"/>
        <v>2964</v>
      </c>
      <c r="BL204">
        <f>_xlfn.XLOOKUP(B204,'[6]august-2025'!$A:$A,'[6]august-2025'!$D:$D,0,0)</f>
        <v>0</v>
      </c>
      <c r="BM204">
        <f>_xlfn.XLOOKUP(B204,'[6]august-2025'!$A:$A,'[6]august-2025'!$G:$G,0,0)</f>
        <v>0</v>
      </c>
      <c r="BN204">
        <f t="shared" si="477"/>
        <v>32110</v>
      </c>
      <c r="BO204">
        <f>_xlfn.XLOOKUP(B204,'[6]august-2025'!$A:$A,'[6]august-2025'!$H:$H,0,0)</f>
        <v>0</v>
      </c>
      <c r="BP204">
        <f>_xlfn.XLOOKUP(B204,'[6]august-2025'!$A:$A,'[6]august-2025'!$I:$I,0,0)</f>
        <v>0</v>
      </c>
      <c r="BQ204">
        <f>IF($F204="YES",0,IF(BN204&gt;40000,200,IF(BN204&gt;25000,150,IF(BN204&gt;15000,130,IF(BN204&gt;10000,110,0)))))</f>
        <v>0</v>
      </c>
      <c r="BR204">
        <f>BN204-BO204-BP204-BQ204</f>
        <v>32110</v>
      </c>
      <c r="BS204">
        <f>_xlfn.XLOOKUP(B204,'[7]september-2025'!$A:$A,'[7]september-2025'!$C:$C,0,0)</f>
        <v>24700</v>
      </c>
      <c r="BT204">
        <f t="shared" si="478"/>
        <v>4446</v>
      </c>
      <c r="BU204">
        <f t="shared" si="479"/>
        <v>2964</v>
      </c>
      <c r="BV204">
        <f>_xlfn.XLOOKUP(B204,'[7]september-2025'!$A:$A,'[7]september-2025'!$D:$D,0,0)</f>
        <v>0</v>
      </c>
      <c r="BW204">
        <f>_xlfn.XLOOKUP(B204,'[7]september-2025'!$A:$A,'[7]september-2025'!$G:$G,0,0)</f>
        <v>0</v>
      </c>
      <c r="BX204">
        <f>IF(BS204&gt;0,SUM(BS204:BW204),0)</f>
        <v>32110</v>
      </c>
      <c r="BY204">
        <f>_xlfn.XLOOKUP(B204,'[7]september-2025'!$A:$A,'[7]september-2025'!$H:$H,0,0)</f>
        <v>0</v>
      </c>
      <c r="BZ204">
        <f>_xlfn.XLOOKUP(B204,'[7]september-2025'!$A:$A,'[7]september-2025'!$I:$I,0,0)</f>
        <v>0</v>
      </c>
      <c r="CA204">
        <f t="shared" si="480"/>
        <v>0</v>
      </c>
      <c r="CB204">
        <f t="shared" si="481"/>
        <v>32110</v>
      </c>
      <c r="CC204">
        <f>_xlfn.XLOOKUP(B204,'[8]october-2025'!$A:$A,'[8]october-2025'!$C:$C,0,0)</f>
        <v>24700</v>
      </c>
      <c r="CD204">
        <f t="shared" si="482"/>
        <v>4446</v>
      </c>
      <c r="CE204">
        <f t="shared" si="483"/>
        <v>2964</v>
      </c>
      <c r="CF204">
        <f>_xlfn.XLOOKUP(B204,'[8]october-2025'!$A:$A,'[8]october-2025'!$D:$D,0,0)</f>
        <v>0</v>
      </c>
      <c r="CG204">
        <f>_xlfn.XLOOKUP(B204,'[8]october-2025'!$A:$A,'[8]october-2025'!$G:$G,0,0)</f>
        <v>0</v>
      </c>
      <c r="CH204">
        <f>IF(CC204&gt;0,SUM(CC204:CG204),0)</f>
        <v>32110</v>
      </c>
      <c r="CI204">
        <f>_xlfn.XLOOKUP(B204,'[8]october-2025'!$A:$A,'[8]october-2025'!$H:$H,0,0)</f>
        <v>0</v>
      </c>
      <c r="CJ204">
        <f>_xlfn.XLOOKUP(B204,'[8]october-2025'!$A:$A,'[8]october-2025'!$I:$I,0,0)</f>
        <v>0</v>
      </c>
      <c r="CK204">
        <f t="shared" si="484"/>
        <v>0</v>
      </c>
      <c r="CL204">
        <f t="shared" si="485"/>
        <v>32110</v>
      </c>
      <c r="CM204">
        <f>_xlfn.XLOOKUP(B204,'[9]november-2025'!$A:$A,'[9]november-2025'!$C:$C,0,0)</f>
        <v>24700</v>
      </c>
      <c r="CN204">
        <f t="shared" si="486"/>
        <v>4446</v>
      </c>
      <c r="CO204">
        <f t="shared" si="487"/>
        <v>2964</v>
      </c>
      <c r="CP204">
        <f>_xlfn.XLOOKUP(B204,'[9]november-2025'!$A:$A,'[9]november-2025'!$D:$D,0,0)</f>
        <v>0</v>
      </c>
      <c r="CQ204">
        <f>_xlfn.XLOOKUP(B204,'[9]november-2025'!$A:$A,'[9]november-2025'!$G:$G,0,0)</f>
        <v>0</v>
      </c>
      <c r="CR204">
        <f>IF(CM204&gt;0,SUM(CM204:CQ204),0)</f>
        <v>32110</v>
      </c>
      <c r="CS204">
        <f>_xlfn.XLOOKUP(B204,'[9]november-2025'!$A:$A,'[9]november-2025'!$H:$H,0,0)</f>
        <v>0</v>
      </c>
      <c r="CT204">
        <f>_xlfn.XLOOKUP(B204,'[9]november-2025'!$A:$A,'[9]november-2025'!$I:$I,0,0)</f>
        <v>0</v>
      </c>
      <c r="CU204">
        <f t="shared" si="488"/>
        <v>0</v>
      </c>
      <c r="CV204">
        <f t="shared" si="489"/>
        <v>32110</v>
      </c>
      <c r="CW204">
        <f>_xlfn.XLOOKUP(B204,'[10]december-2025'!$A:$A,'[10]december-2025'!$C:$C,0,0)</f>
        <v>24700</v>
      </c>
      <c r="CX204">
        <f t="shared" si="490"/>
        <v>4446</v>
      </c>
      <c r="CY204">
        <f t="shared" si="491"/>
        <v>2964</v>
      </c>
      <c r="CZ204">
        <f>_xlfn.XLOOKUP(B204,'[10]december-2025'!$A:$A,'[10]december-2025'!$D:$D,0,0)</f>
        <v>0</v>
      </c>
      <c r="DA204">
        <f>_xlfn.XLOOKUP(B204,'[10]december-2025'!$A:$A,'[10]december-2025'!$G:$G,0,0)</f>
        <v>0</v>
      </c>
      <c r="DB204">
        <f>IF(CW204&gt;0,SUM(CW204:DA204),0)</f>
        <v>32110</v>
      </c>
      <c r="DC204">
        <f>_xlfn.XLOOKUP(B204,'[10]december-2025'!$A:$A,'[10]december-2025'!$H:$H,0,0)</f>
        <v>0</v>
      </c>
      <c r="DD204">
        <f>_xlfn.XLOOKUP(B204,'[10]december-2025'!$A:$A,'[10]december-2025'!$I:$I,0,0)</f>
        <v>0</v>
      </c>
      <c r="DE204">
        <f t="shared" si="492"/>
        <v>0</v>
      </c>
      <c r="DF204">
        <f t="shared" si="493"/>
        <v>32110</v>
      </c>
      <c r="DG204">
        <f>_xlfn.XLOOKUP(B204,'[11]january-2026'!$A:$A,'[11]january-2026'!$C:$C,0,0)</f>
        <v>24700</v>
      </c>
      <c r="DH204">
        <f t="shared" si="494"/>
        <v>4446</v>
      </c>
      <c r="DI204">
        <f t="shared" si="495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>IF(DG204&gt;0,SUM(DG204:DK204),0)</f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496"/>
        <v>0</v>
      </c>
      <c r="DP204">
        <f t="shared" si="497"/>
        <v>30110</v>
      </c>
      <c r="DQ204">
        <f>_xlfn.XLOOKUP(B204,'[12]february-2026'!$A:$A,'[12]february-2026'!$C:$C,0,0)</f>
        <v>24700</v>
      </c>
      <c r="DR204">
        <f t="shared" si="498"/>
        <v>4446</v>
      </c>
      <c r="DS204">
        <f t="shared" si="499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>IF(DQ204&gt;0,SUM(DQ204:DU204),0)</f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00"/>
        <v>0</v>
      </c>
      <c r="DZ204">
        <f t="shared" si="501"/>
        <v>30110</v>
      </c>
      <c r="EA204">
        <f>_xlfn.XLOOKUP(B204,'[1]march-2025'!$A:$A,'[1]march-2025'!$J:$J,0,0)</f>
        <v>0</v>
      </c>
      <c r="EB204">
        <f>_xlfn.XLOOKUP(B204,'[2]april-2025'!$A:$A,'[2]april-2025'!$J:$J,0,0)</f>
        <v>0</v>
      </c>
      <c r="EC204">
        <f>_xlfn.XLOOKUP(B204,'[3]may-2025'!$A:$A,'[3]may-2025'!$J:$J,0,0)</f>
        <v>0</v>
      </c>
      <c r="ED204">
        <f>_xlfn.XLOOKUP(B204,'[4]june-2025'!$A:$A,'[4]june-2025'!$J:$J,0,0)</f>
        <v>0</v>
      </c>
      <c r="EE204">
        <f>_xlfn.XLOOKUP(B204,'[5]july-2025'!$A:$A,'[5]july-2025'!$J:$J,0,0)</f>
        <v>0</v>
      </c>
      <c r="EF204">
        <f>_xlfn.XLOOKUP(B204,'[6]august-2025'!$A:$A,'[6]august-2025'!$J:$J,0,0)</f>
        <v>0</v>
      </c>
      <c r="EG204">
        <f>_xlfn.XLOOKUP(B204,'[7]september-2025'!$A:$A,'[7]september-2025'!$J:$J,0,0)</f>
        <v>0</v>
      </c>
      <c r="EH204">
        <f>_xlfn.XLOOKUP(B204,'[8]october-2025'!$A:$A,'[8]october-2025'!$J:$J,0,0)</f>
        <v>0</v>
      </c>
      <c r="EI204">
        <f>_xlfn.XLOOKUP(C204,'[9]november-2025'!$A:$A,'[9]november-2025'!$J:$J,0,0)</f>
        <v>0</v>
      </c>
      <c r="EJ204">
        <f>_xlfn.XLOOKUP(B204,'[10]december-2025'!$A:$A,'[10]december-2025'!$J:$J,0,0)</f>
        <v>0</v>
      </c>
      <c r="EK204">
        <f>_xlfn.XLOOKUP(B204,'[11]january-2026'!$A:$A,'[11]january-2026'!$J:$J,0,0)</f>
        <v>0</v>
      </c>
      <c r="EL204">
        <f>_xlfn.XLOOKUP(B204,'[12]february-2026'!$A:$A,'[12]february-2026'!$J:$J,0,0)</f>
        <v>0</v>
      </c>
      <c r="EM204">
        <f t="shared" si="455"/>
        <v>0</v>
      </c>
      <c r="EN204">
        <f>DV204+DL204+DB204+CR204+CH204+BX204+BN204+BD204+AS204+AI204+Y204+O204+H204+I204</f>
        <v>321100</v>
      </c>
      <c r="EO204">
        <f>DY204+DO204+DE204+CU204+CK204+CA204+BQ204+BG204+AV204+AL204+AB204+R204</f>
        <v>0</v>
      </c>
      <c r="EP204">
        <f t="shared" si="502"/>
        <v>50000</v>
      </c>
      <c r="EQ204">
        <v>0</v>
      </c>
      <c r="ER204">
        <f t="shared" si="456"/>
        <v>271100</v>
      </c>
      <c r="ES204">
        <f>DW204+DM204+DC204+CS204+CI204+BY204+BO204+BE204+AT204+AJ204+Z204+P204</f>
        <v>4000</v>
      </c>
      <c r="ET204">
        <f>DX204+DN204+DD204+CT204+CJ204+BZ204+BP204+BF204+AU204+AK204+AA204+Q204</f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503"/>
        <v>4000</v>
      </c>
      <c r="FF204">
        <f t="shared" si="504"/>
        <v>4000</v>
      </c>
      <c r="FG204">
        <f t="shared" si="505"/>
        <v>267100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>SUM(FH204:FN204)+(IF(F204="YES",50000,0))</f>
        <v>50000</v>
      </c>
      <c r="FP204">
        <f t="shared" si="506"/>
        <v>217100</v>
      </c>
      <c r="FQ204">
        <f t="shared" si="507"/>
        <v>-1645</v>
      </c>
      <c r="FR204">
        <f t="shared" si="508"/>
        <v>0</v>
      </c>
      <c r="FS204">
        <f t="shared" si="509"/>
        <v>-1645</v>
      </c>
      <c r="FT204">
        <f t="shared" si="510"/>
        <v>0</v>
      </c>
      <c r="FU204">
        <f t="shared" si="511"/>
        <v>0</v>
      </c>
      <c r="FV204">
        <f t="shared" si="512"/>
        <v>0</v>
      </c>
      <c r="FW204">
        <v>0</v>
      </c>
      <c r="FX204">
        <f t="shared" si="513"/>
        <v>0</v>
      </c>
      <c r="FY204" t="b">
        <f t="shared" si="514"/>
        <v>0</v>
      </c>
      <c r="FZ204">
        <f t="shared" ca="1" si="515"/>
        <v>1379</v>
      </c>
      <c r="GA204">
        <f t="shared" ca="1" si="516"/>
        <v>322479</v>
      </c>
      <c r="GB204">
        <f t="shared" si="517"/>
        <v>75000</v>
      </c>
      <c r="GC204">
        <f t="shared" ca="1" si="518"/>
        <v>247479</v>
      </c>
      <c r="GD204">
        <f t="shared" ca="1" si="519"/>
        <v>0</v>
      </c>
      <c r="GE204">
        <f t="shared" ca="1" si="520"/>
        <v>0</v>
      </c>
      <c r="GF204">
        <f t="shared" ca="1" si="521"/>
        <v>0</v>
      </c>
      <c r="GG204">
        <f t="shared" ca="1" si="522"/>
        <v>0</v>
      </c>
      <c r="GH204">
        <f t="shared" ca="1" si="523"/>
        <v>0</v>
      </c>
      <c r="GI204">
        <f t="shared" ca="1" si="524"/>
        <v>0</v>
      </c>
      <c r="GJ204">
        <f ca="1">IF(GC204&gt;1200000,GC204-1200000-IF(F204="YES",50000,0)-GH204,0)</f>
        <v>0</v>
      </c>
      <c r="GK204">
        <f t="shared" ca="1" si="525"/>
        <v>0</v>
      </c>
      <c r="GL204">
        <f t="shared" ca="1" si="526"/>
        <v>0</v>
      </c>
      <c r="GM204">
        <f t="shared" ca="1" si="527"/>
        <v>0</v>
      </c>
      <c r="GN204">
        <f t="shared" ca="1" si="528"/>
        <v>0</v>
      </c>
      <c r="GO204">
        <f t="shared" ca="1" si="529"/>
        <v>0</v>
      </c>
      <c r="GP204">
        <f t="shared" ca="1" si="530"/>
        <v>0</v>
      </c>
      <c r="GQ204">
        <f t="shared" ca="1" si="531"/>
        <v>0</v>
      </c>
      <c r="GR204">
        <f t="shared" ca="1" si="532"/>
        <v>0</v>
      </c>
      <c r="GS204">
        <f t="shared" ca="1" si="533"/>
        <v>0</v>
      </c>
      <c r="GT204">
        <f t="shared" ca="1" si="534"/>
        <v>0</v>
      </c>
      <c r="GU204" t="b">
        <f t="shared" ca="1" si="535"/>
        <v>0</v>
      </c>
      <c r="GV204">
        <f t="shared" ca="1" si="536"/>
        <v>0</v>
      </c>
      <c r="GW204">
        <f t="shared" ca="1" si="537"/>
        <v>0</v>
      </c>
      <c r="GX204">
        <f t="shared" ca="1" si="538"/>
        <v>0</v>
      </c>
      <c r="GY204">
        <f t="shared" ca="1" si="539"/>
        <v>0</v>
      </c>
      <c r="GZ204">
        <f t="shared" ca="1" si="540"/>
        <v>0</v>
      </c>
    </row>
    <row r="205" spans="1:208" x14ac:dyDescent="0.25">
      <c r="A205">
        <f>_xlfn.AGGREGATE(3,5,$B$2:B205)</f>
        <v>204</v>
      </c>
      <c r="B205" t="s">
        <v>514</v>
      </c>
      <c r="C205" t="s">
        <v>515</v>
      </c>
      <c r="D205" t="s">
        <v>802</v>
      </c>
      <c r="E205" t="s">
        <v>832</v>
      </c>
      <c r="F205" t="s">
        <v>957</v>
      </c>
      <c r="G205" t="s">
        <v>885</v>
      </c>
      <c r="H205">
        <f t="shared" si="542"/>
        <v>6800</v>
      </c>
      <c r="I205">
        <f>_xlfn.XLOOKUP(B205,'[1]march-2025'!$A:$A,'[1]march-2025'!$J:$J,0,0)</f>
        <v>0</v>
      </c>
      <c r="J205">
        <f>_xlfn.XLOOKUP(B205,'[1]march-2025'!$A:$A,'[1]march-2025'!$C:$C,0,0)</f>
        <v>51700</v>
      </c>
      <c r="K205">
        <f t="shared" si="457"/>
        <v>7238.0000000000009</v>
      </c>
      <c r="L205">
        <f t="shared" si="458"/>
        <v>6204</v>
      </c>
      <c r="M205">
        <f>_xlfn.XLOOKUP(B205,'[1]march-2025'!$A:$A,'[1]march-2025'!$D:$D,0,0)</f>
        <v>400</v>
      </c>
      <c r="N205">
        <f>_xlfn.XLOOKUP(B205,'[1]march-2025'!$A:$A,'[1]march-2025'!$G:$G,0,0)</f>
        <v>500</v>
      </c>
      <c r="O205">
        <f>IF(J205&gt;0,SUM(J205:N205),0)</f>
        <v>66042</v>
      </c>
      <c r="P205">
        <f>_xlfn.XLOOKUP(B205,'[1]march-2025'!$A:$A,'[1]march-2025'!$H:$H,0,0)</f>
        <v>10000</v>
      </c>
      <c r="Q205">
        <f>_xlfn.XLOOKUP(B205,'[1]march-2025'!$A:$A,'[1]march-2025'!$I:$I,0,0)</f>
        <v>0</v>
      </c>
      <c r="R205">
        <f t="shared" si="541"/>
        <v>200</v>
      </c>
      <c r="S205">
        <f t="shared" si="451"/>
        <v>55842</v>
      </c>
      <c r="T205">
        <f>_xlfn.XLOOKUP(B205,'[2]april-2025'!$A:$A,'[2]april-2025'!$C:$C,0,0)</f>
        <v>51700</v>
      </c>
      <c r="U205">
        <f t="shared" si="459"/>
        <v>9306</v>
      </c>
      <c r="V205">
        <f t="shared" si="460"/>
        <v>6204</v>
      </c>
      <c r="W205">
        <f>_xlfn.XLOOKUP(B205,'[2]april-2025'!$A:$A,'[2]april-2025'!$D:$D,0,0)</f>
        <v>400</v>
      </c>
      <c r="X205">
        <f>_xlfn.XLOOKUP(B205,'[2]april-2025'!$A:$A,'[2]april-2025'!$G:$G,0,0)</f>
        <v>500</v>
      </c>
      <c r="Y205">
        <f t="shared" si="452"/>
        <v>68110</v>
      </c>
      <c r="Z205">
        <f>_xlfn.XLOOKUP(B205,'[2]april-2025'!$A:$A,'[2]april-2025'!$H:$H,0,0)</f>
        <v>10000</v>
      </c>
      <c r="AA205">
        <f>_xlfn.XLOOKUP(B205,'[2]april-2025'!$A:$A,'[2]april-2025'!$I:$I,0,0)</f>
        <v>0</v>
      </c>
      <c r="AB205">
        <f t="shared" si="461"/>
        <v>200</v>
      </c>
      <c r="AC205">
        <f t="shared" si="462"/>
        <v>57910</v>
      </c>
      <c r="AD205">
        <f>_xlfn.XLOOKUP(B205,'[3]may-2025'!$A:$A,'[3]may-2025'!$C:$C,0,0)</f>
        <v>51700</v>
      </c>
      <c r="AE205">
        <f t="shared" si="463"/>
        <v>9306</v>
      </c>
      <c r="AF205">
        <f t="shared" si="464"/>
        <v>6204</v>
      </c>
      <c r="AG205">
        <f>_xlfn.XLOOKUP(B205,'[3]may-2025'!$A:$A,'[3]may-2025'!$D:$D,0,0)</f>
        <v>400</v>
      </c>
      <c r="AH205">
        <f>_xlfn.XLOOKUP(B205,'[3]may-2025'!$A:$A,'[3]may-2025'!$G:$G,0,0)</f>
        <v>500</v>
      </c>
      <c r="AI205">
        <f t="shared" si="453"/>
        <v>68110</v>
      </c>
      <c r="AJ205">
        <f>_xlfn.XLOOKUP(B205,'[3]may-2025'!$A:$A,'[3]may-2025'!$H:$H,0,0)</f>
        <v>10000</v>
      </c>
      <c r="AK205">
        <f>_xlfn.XLOOKUP(B205,'[3]may-2025'!$A:$A,'[3]may-2025'!$I:$I,0,0)</f>
        <v>0</v>
      </c>
      <c r="AL205">
        <f t="shared" si="465"/>
        <v>200</v>
      </c>
      <c r="AM205">
        <f t="shared" si="466"/>
        <v>57910</v>
      </c>
      <c r="AN205">
        <f>_xlfn.XLOOKUP(B205,'[4]june-2025'!$A:$A,'[4]june-2025'!$C:$C,0,0)</f>
        <v>51700</v>
      </c>
      <c r="AO205">
        <f t="shared" si="467"/>
        <v>9306</v>
      </c>
      <c r="AP205">
        <f t="shared" si="468"/>
        <v>6204</v>
      </c>
      <c r="AQ205">
        <f>_xlfn.XLOOKUP(B205,'[4]june-2025'!$A:$A,'[4]june-2025'!$D:$D,0,0)</f>
        <v>400</v>
      </c>
      <c r="AR205">
        <f>_xlfn.XLOOKUP(B205,'[4]june-2025'!$A:$A,'[4]june-2025'!$G:$G,0,0)</f>
        <v>500</v>
      </c>
      <c r="AS205">
        <f t="shared" si="454"/>
        <v>68110</v>
      </c>
      <c r="AT205">
        <f>_xlfn.XLOOKUP(B205,'[4]june-2025'!$A:$A,'[4]june-2025'!$H:$H,0,0)</f>
        <v>10000</v>
      </c>
      <c r="AU205">
        <f>_xlfn.XLOOKUP(B205,'[4]june-2025'!$A:$A,'[4]june-2025'!$I:$I,0,0)</f>
        <v>0</v>
      </c>
      <c r="AV205">
        <f t="shared" si="469"/>
        <v>200</v>
      </c>
      <c r="AW205">
        <f t="shared" si="470"/>
        <v>57910</v>
      </c>
      <c r="AX205">
        <f>_xlfn.XLOOKUP(B205,'[5]july-2025'!$A:$A,'[5]july-2025'!$C:$C,0,0)</f>
        <v>53300</v>
      </c>
      <c r="AY205">
        <f t="shared" si="471"/>
        <v>9594</v>
      </c>
      <c r="AZ205">
        <v>0</v>
      </c>
      <c r="BA205">
        <f t="shared" si="472"/>
        <v>6396</v>
      </c>
      <c r="BB205">
        <f>_xlfn.XLOOKUP(B205,'[5]july-2025'!$A:$A,'[5]july-2025'!$D:$D,0,0)</f>
        <v>400</v>
      </c>
      <c r="BC205">
        <f>_xlfn.XLOOKUP(B205,'[5]july-2025'!$A:$A,'[5]july-2025'!$G:$G,0,0)</f>
        <v>500</v>
      </c>
      <c r="BD205">
        <f>IF(AX205&gt;0,SUM(AX205:BC205),0)</f>
        <v>70190</v>
      </c>
      <c r="BE205">
        <f>_xlfn.XLOOKUP(B205,'[5]july-2025'!$A:$A,'[5]july-2025'!$H:$H,0,0)</f>
        <v>10000</v>
      </c>
      <c r="BF205">
        <f>_xlfn.XLOOKUP(B205,'[5]july-2025'!$A:$A,'[5]july-2025'!$I:$I,0,0)</f>
        <v>0</v>
      </c>
      <c r="BG205">
        <f t="shared" si="473"/>
        <v>200</v>
      </c>
      <c r="BH205">
        <f t="shared" si="474"/>
        <v>59990</v>
      </c>
      <c r="BI205">
        <f>_xlfn.XLOOKUP(B205,'[6]august-2025'!$A:$A,'[6]august-2025'!$C:$C,0,0)</f>
        <v>53300</v>
      </c>
      <c r="BJ205">
        <f t="shared" si="475"/>
        <v>9594</v>
      </c>
      <c r="BK205">
        <f t="shared" si="476"/>
        <v>6396</v>
      </c>
      <c r="BL205">
        <f>_xlfn.XLOOKUP(B205,'[6]august-2025'!$A:$A,'[6]august-2025'!$D:$D,0,0)</f>
        <v>400</v>
      </c>
      <c r="BM205">
        <f>_xlfn.XLOOKUP(B205,'[6]august-2025'!$A:$A,'[6]august-2025'!$G:$G,0,0)</f>
        <v>500</v>
      </c>
      <c r="BN205">
        <f t="shared" si="477"/>
        <v>70190</v>
      </c>
      <c r="BO205">
        <f>_xlfn.XLOOKUP(B205,'[6]august-2025'!$A:$A,'[6]august-2025'!$H:$H,0,0)</f>
        <v>10000</v>
      </c>
      <c r="BP205">
        <f>_xlfn.XLOOKUP(B205,'[6]august-2025'!$A:$A,'[6]august-2025'!$I:$I,0,0)</f>
        <v>0</v>
      </c>
      <c r="BQ205">
        <f>IF($F205="YES",0,IF(BN205&gt;40000,200,IF(BN205&gt;25000,150,IF(BN205&gt;15000,130,IF(BN205&gt;10000,110,0)))))</f>
        <v>200</v>
      </c>
      <c r="BR205">
        <f>BN205-BO205-BP205-BQ205</f>
        <v>59990</v>
      </c>
      <c r="BS205">
        <f>_xlfn.XLOOKUP(B205,'[7]september-2025'!$A:$A,'[7]september-2025'!$C:$C,0,0)</f>
        <v>53300</v>
      </c>
      <c r="BT205">
        <f t="shared" si="478"/>
        <v>9594</v>
      </c>
      <c r="BU205">
        <f t="shared" si="479"/>
        <v>6396</v>
      </c>
      <c r="BV205">
        <f>_xlfn.XLOOKUP(B205,'[7]september-2025'!$A:$A,'[7]september-2025'!$D:$D,0,0)</f>
        <v>400</v>
      </c>
      <c r="BW205">
        <f>_xlfn.XLOOKUP(B205,'[7]september-2025'!$A:$A,'[7]september-2025'!$G:$G,0,0)</f>
        <v>500</v>
      </c>
      <c r="BX205">
        <f>IF(BS205&gt;0,SUM(BS205:BW205),0)</f>
        <v>70190</v>
      </c>
      <c r="BY205">
        <f>_xlfn.XLOOKUP(B205,'[7]september-2025'!$A:$A,'[7]september-2025'!$H:$H,0,0)</f>
        <v>10000</v>
      </c>
      <c r="BZ205">
        <f>_xlfn.XLOOKUP(B205,'[7]september-2025'!$A:$A,'[7]september-2025'!$I:$I,0,0)</f>
        <v>0</v>
      </c>
      <c r="CA205">
        <f t="shared" si="480"/>
        <v>200</v>
      </c>
      <c r="CB205">
        <f t="shared" si="481"/>
        <v>59990</v>
      </c>
      <c r="CC205">
        <f>_xlfn.XLOOKUP(B205,'[8]october-2025'!$A:$A,'[8]october-2025'!$C:$C,0,0)</f>
        <v>53300</v>
      </c>
      <c r="CD205">
        <f t="shared" si="482"/>
        <v>9594</v>
      </c>
      <c r="CE205">
        <f t="shared" si="483"/>
        <v>6396</v>
      </c>
      <c r="CF205">
        <f>_xlfn.XLOOKUP(B205,'[8]october-2025'!$A:$A,'[8]october-2025'!$D:$D,0,0)</f>
        <v>400</v>
      </c>
      <c r="CG205">
        <f>_xlfn.XLOOKUP(B205,'[8]october-2025'!$A:$A,'[8]october-2025'!$G:$G,0,0)</f>
        <v>500</v>
      </c>
      <c r="CH205">
        <f>IF(CC205&gt;0,SUM(CC205:CG205),0)</f>
        <v>70190</v>
      </c>
      <c r="CI205">
        <f>_xlfn.XLOOKUP(B205,'[8]october-2025'!$A:$A,'[8]october-2025'!$H:$H,0,0)</f>
        <v>10000</v>
      </c>
      <c r="CJ205">
        <f>_xlfn.XLOOKUP(B205,'[8]october-2025'!$A:$A,'[8]october-2025'!$I:$I,0,0)</f>
        <v>0</v>
      </c>
      <c r="CK205">
        <f t="shared" si="484"/>
        <v>200</v>
      </c>
      <c r="CL205">
        <f t="shared" si="485"/>
        <v>59990</v>
      </c>
      <c r="CM205">
        <f>_xlfn.XLOOKUP(B205,'[9]november-2025'!$A:$A,'[9]november-2025'!$C:$C,0,0)</f>
        <v>53300</v>
      </c>
      <c r="CN205">
        <f t="shared" si="486"/>
        <v>9594</v>
      </c>
      <c r="CO205">
        <f t="shared" si="487"/>
        <v>6396</v>
      </c>
      <c r="CP205">
        <f>_xlfn.XLOOKUP(B205,'[9]november-2025'!$A:$A,'[9]november-2025'!$D:$D,0,0)</f>
        <v>400</v>
      </c>
      <c r="CQ205">
        <f>_xlfn.XLOOKUP(B205,'[9]november-2025'!$A:$A,'[9]november-2025'!$G:$G,0,0)</f>
        <v>500</v>
      </c>
      <c r="CR205">
        <f>IF(CM205&gt;0,SUM(CM205:CQ205),0)</f>
        <v>70190</v>
      </c>
      <c r="CS205">
        <f>_xlfn.XLOOKUP(B205,'[9]november-2025'!$A:$A,'[9]november-2025'!$H:$H,0,0)</f>
        <v>10000</v>
      </c>
      <c r="CT205">
        <f>_xlfn.XLOOKUP(B205,'[9]november-2025'!$A:$A,'[9]november-2025'!$I:$I,0,0)</f>
        <v>0</v>
      </c>
      <c r="CU205">
        <f t="shared" si="488"/>
        <v>200</v>
      </c>
      <c r="CV205">
        <f t="shared" si="489"/>
        <v>59990</v>
      </c>
      <c r="CW205">
        <f>_xlfn.XLOOKUP(B205,'[10]december-2025'!$A:$A,'[10]december-2025'!$C:$C,0,0)</f>
        <v>53300</v>
      </c>
      <c r="CX205">
        <f t="shared" si="490"/>
        <v>9594</v>
      </c>
      <c r="CY205">
        <f t="shared" si="491"/>
        <v>6396</v>
      </c>
      <c r="CZ205">
        <f>_xlfn.XLOOKUP(B205,'[10]december-2025'!$A:$A,'[10]december-2025'!$D:$D,0,0)</f>
        <v>400</v>
      </c>
      <c r="DA205">
        <f>_xlfn.XLOOKUP(B205,'[10]december-2025'!$A:$A,'[10]december-2025'!$G:$G,0,0)</f>
        <v>500</v>
      </c>
      <c r="DB205">
        <f>IF(CW205&gt;0,SUM(CW205:DA205),0)</f>
        <v>70190</v>
      </c>
      <c r="DC205">
        <f>_xlfn.XLOOKUP(B205,'[10]december-2025'!$A:$A,'[10]december-2025'!$H:$H,0,0)</f>
        <v>10000</v>
      </c>
      <c r="DD205">
        <f>_xlfn.XLOOKUP(B205,'[10]december-2025'!$A:$A,'[10]december-2025'!$I:$I,0,0)</f>
        <v>0</v>
      </c>
      <c r="DE205">
        <f t="shared" si="492"/>
        <v>200</v>
      </c>
      <c r="DF205">
        <f t="shared" si="493"/>
        <v>59990</v>
      </c>
      <c r="DG205">
        <f>_xlfn.XLOOKUP(B205,'[11]january-2026'!$A:$A,'[11]january-2026'!$C:$C,0,0)</f>
        <v>53300</v>
      </c>
      <c r="DH205">
        <f t="shared" si="494"/>
        <v>9594</v>
      </c>
      <c r="DI205">
        <f t="shared" si="495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>IF(DG205&gt;0,SUM(DG205:DK205),0)</f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496"/>
        <v>200</v>
      </c>
      <c r="DP205">
        <f t="shared" si="497"/>
        <v>59990</v>
      </c>
      <c r="DQ205">
        <f>_xlfn.XLOOKUP(B205,'[12]february-2026'!$A:$A,'[12]february-2026'!$C:$C,0,0)</f>
        <v>53300</v>
      </c>
      <c r="DR205">
        <f t="shared" si="498"/>
        <v>9594</v>
      </c>
      <c r="DS205">
        <f t="shared" si="499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>IF(DQ205&gt;0,SUM(DQ205:DU205),0)</f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00"/>
        <v>200</v>
      </c>
      <c r="DZ205">
        <f t="shared" si="501"/>
        <v>59990</v>
      </c>
      <c r="EA205">
        <f>_xlfn.XLOOKUP(B205,'[1]march-2025'!$A:$A,'[1]march-2025'!$J:$J,0,0)</f>
        <v>0</v>
      </c>
      <c r="EB205">
        <f>_xlfn.XLOOKUP(B205,'[2]april-2025'!$A:$A,'[2]april-2025'!$J:$J,0,0)</f>
        <v>0</v>
      </c>
      <c r="EC205">
        <f>_xlfn.XLOOKUP(B205,'[3]may-2025'!$A:$A,'[3]may-2025'!$J:$J,0,0)</f>
        <v>0</v>
      </c>
      <c r="ED205">
        <f>_xlfn.XLOOKUP(B205,'[4]june-2025'!$A:$A,'[4]june-2025'!$J:$J,0,0)</f>
        <v>0</v>
      </c>
      <c r="EE205">
        <f>_xlfn.XLOOKUP(B205,'[5]july-2025'!$A:$A,'[5]july-2025'!$J:$J,0,0)</f>
        <v>0</v>
      </c>
      <c r="EF205">
        <f>_xlfn.XLOOKUP(B205,'[6]august-2025'!$A:$A,'[6]august-2025'!$J:$J,0,0)</f>
        <v>0</v>
      </c>
      <c r="EG205">
        <f>_xlfn.XLOOKUP(B205,'[7]september-2025'!$A:$A,'[7]september-2025'!$J:$J,0,0)</f>
        <v>0</v>
      </c>
      <c r="EH205">
        <f>_xlfn.XLOOKUP(B205,'[8]october-2025'!$A:$A,'[8]october-2025'!$J:$J,0,0)</f>
        <v>0</v>
      </c>
      <c r="EI205">
        <f>_xlfn.XLOOKUP(C205,'[9]november-2025'!$A:$A,'[9]november-2025'!$J:$J,0,0)</f>
        <v>0</v>
      </c>
      <c r="EJ205">
        <f>_xlfn.XLOOKUP(B205,'[10]december-2025'!$A:$A,'[10]december-2025'!$J:$J,0,0)</f>
        <v>0</v>
      </c>
      <c r="EK205">
        <f>_xlfn.XLOOKUP(B205,'[11]january-2026'!$A:$A,'[11]january-2026'!$J:$J,0,0)</f>
        <v>0</v>
      </c>
      <c r="EL205">
        <f>_xlfn.XLOOKUP(B205,'[12]february-2026'!$A:$A,'[12]february-2026'!$J:$J,0,0)</f>
        <v>0</v>
      </c>
      <c r="EM205">
        <f t="shared" si="455"/>
        <v>0</v>
      </c>
      <c r="EN205">
        <f>DV205+DL205+DB205+CR205+CH205+BX205+BN205+BD205+AS205+AI205+Y205+O205+H205+I205</f>
        <v>838692</v>
      </c>
      <c r="EO205">
        <f>DY205+DO205+DE205+CU205+CK205+CA205+BQ205+BG205+AV205+AL205+AB205+R205</f>
        <v>2400</v>
      </c>
      <c r="EP205">
        <f t="shared" si="502"/>
        <v>50000</v>
      </c>
      <c r="EQ205">
        <v>0</v>
      </c>
      <c r="ER205">
        <f t="shared" si="456"/>
        <v>786292</v>
      </c>
      <c r="ES205">
        <f>DW205+DM205+DC205+CS205+CI205+BY205+BO205+BE205+AT205+AJ205+Z205+P205</f>
        <v>120000</v>
      </c>
      <c r="ET205">
        <f>DX205+DN205+DD205+CT205+CJ205+BZ205+BP205+BF205+AU205+AK205+AA205+Q205</f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si="503"/>
        <v>120000</v>
      </c>
      <c r="FF205">
        <f t="shared" si="504"/>
        <v>120000</v>
      </c>
      <c r="FG205">
        <f t="shared" si="505"/>
        <v>666292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>SUM(FH205:FN205)+(IF(F205="YES",50000,0))</f>
        <v>0</v>
      </c>
      <c r="FP205">
        <f t="shared" si="506"/>
        <v>666292</v>
      </c>
      <c r="FQ205">
        <f t="shared" si="507"/>
        <v>12500</v>
      </c>
      <c r="FR205">
        <f t="shared" si="508"/>
        <v>33258</v>
      </c>
      <c r="FS205">
        <f t="shared" si="509"/>
        <v>45758</v>
      </c>
      <c r="FT205">
        <f t="shared" si="510"/>
        <v>45758</v>
      </c>
      <c r="FU205">
        <f t="shared" si="511"/>
        <v>1830.32</v>
      </c>
      <c r="FV205">
        <f t="shared" si="512"/>
        <v>47588</v>
      </c>
      <c r="FW205">
        <v>0</v>
      </c>
      <c r="FX205">
        <f t="shared" si="513"/>
        <v>47588</v>
      </c>
      <c r="FY205" t="b">
        <f t="shared" si="514"/>
        <v>1</v>
      </c>
      <c r="FZ205">
        <f t="shared" ca="1" si="515"/>
        <v>901</v>
      </c>
      <c r="GA205">
        <f t="shared" ca="1" si="516"/>
        <v>839593</v>
      </c>
      <c r="GB205">
        <f t="shared" si="517"/>
        <v>75000</v>
      </c>
      <c r="GC205">
        <f t="shared" ca="1" si="518"/>
        <v>764593</v>
      </c>
      <c r="GD205">
        <f t="shared" ca="1" si="519"/>
        <v>0</v>
      </c>
      <c r="GE205">
        <f t="shared" ca="1" si="520"/>
        <v>0</v>
      </c>
      <c r="GF205">
        <f t="shared" ca="1" si="521"/>
        <v>0</v>
      </c>
      <c r="GG205">
        <f t="shared" ca="1" si="522"/>
        <v>0</v>
      </c>
      <c r="GH205">
        <f t="shared" ca="1" si="523"/>
        <v>0</v>
      </c>
      <c r="GI205">
        <f t="shared" ca="1" si="524"/>
        <v>0</v>
      </c>
      <c r="GJ205">
        <f ca="1">IF(GC205&gt;1200000,GC205-1200000-IF(F205="YES",50000,0)-GH205,0)</f>
        <v>0</v>
      </c>
      <c r="GK205">
        <f t="shared" ca="1" si="525"/>
        <v>0</v>
      </c>
      <c r="GL205">
        <f t="shared" ca="1" si="526"/>
        <v>0</v>
      </c>
      <c r="GM205">
        <f t="shared" ca="1" si="527"/>
        <v>0</v>
      </c>
      <c r="GN205">
        <f t="shared" ca="1" si="528"/>
        <v>364593</v>
      </c>
      <c r="GO205">
        <f t="shared" ca="1" si="529"/>
        <v>18229.650000000001</v>
      </c>
      <c r="GP205">
        <f t="shared" ca="1" si="530"/>
        <v>18230</v>
      </c>
      <c r="GQ205">
        <f t="shared" ca="1" si="531"/>
        <v>0</v>
      </c>
      <c r="GR205">
        <f t="shared" ca="1" si="532"/>
        <v>0</v>
      </c>
      <c r="GS205">
        <f t="shared" ca="1" si="533"/>
        <v>18230</v>
      </c>
      <c r="GT205">
        <f t="shared" ca="1" si="534"/>
        <v>0</v>
      </c>
      <c r="GU205" t="b">
        <f t="shared" ca="1" si="535"/>
        <v>0</v>
      </c>
      <c r="GV205">
        <f t="shared" ca="1" si="536"/>
        <v>0</v>
      </c>
      <c r="GW205">
        <f t="shared" ca="1" si="537"/>
        <v>18230</v>
      </c>
      <c r="GX205">
        <f t="shared" ca="1" si="538"/>
        <v>0</v>
      </c>
      <c r="GY205">
        <f t="shared" ca="1" si="539"/>
        <v>0</v>
      </c>
      <c r="GZ205">
        <f t="shared" ca="1" si="540"/>
        <v>0</v>
      </c>
    </row>
    <row r="206" spans="1:208" x14ac:dyDescent="0.25">
      <c r="A206">
        <f>_xlfn.AGGREGATE(3,5,$B$2:B206)</f>
        <v>205</v>
      </c>
      <c r="B206" t="s">
        <v>516</v>
      </c>
      <c r="C206" t="s">
        <v>517</v>
      </c>
      <c r="D206" t="s">
        <v>802</v>
      </c>
      <c r="E206" t="s">
        <v>831</v>
      </c>
      <c r="F206" t="s">
        <v>957</v>
      </c>
      <c r="G206" t="s">
        <v>940</v>
      </c>
      <c r="H206">
        <f t="shared" si="542"/>
        <v>6800</v>
      </c>
      <c r="I206">
        <f>_xlfn.XLOOKUP(B206,'[1]march-2025'!$A:$A,'[1]march-2025'!$J:$J,0,0)</f>
        <v>0</v>
      </c>
      <c r="J206">
        <f>_xlfn.XLOOKUP(B206,'[1]march-2025'!$A:$A,'[1]march-2025'!$C:$C,0,0)</f>
        <v>47300</v>
      </c>
      <c r="K206">
        <f t="shared" si="457"/>
        <v>6622.0000000000009</v>
      </c>
      <c r="L206">
        <f t="shared" si="458"/>
        <v>5676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>IF(J206&gt;0,SUM(J206:N206),0)</f>
        <v>60098</v>
      </c>
      <c r="P206">
        <f>_xlfn.XLOOKUP(B206,'[1]march-2025'!$A:$A,'[1]march-2025'!$H:$H,0,0)</f>
        <v>5000</v>
      </c>
      <c r="Q206">
        <f>_xlfn.XLOOKUP(B206,'[1]march-2025'!$A:$A,'[1]march-2025'!$I:$I,0,0)</f>
        <v>0</v>
      </c>
      <c r="R206">
        <f t="shared" si="541"/>
        <v>200</v>
      </c>
      <c r="S206">
        <f t="shared" si="451"/>
        <v>54898</v>
      </c>
      <c r="T206">
        <f>_xlfn.XLOOKUP(B206,'[2]april-2025'!$A:$A,'[2]april-2025'!$C:$C,0,0)</f>
        <v>47300</v>
      </c>
      <c r="U206">
        <f t="shared" si="459"/>
        <v>8514</v>
      </c>
      <c r="V206">
        <f t="shared" si="460"/>
        <v>5676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452"/>
        <v>61990</v>
      </c>
      <c r="Z206">
        <f>_xlfn.XLOOKUP(B206,'[2]april-2025'!$A:$A,'[2]april-2025'!$H:$H,0,0)</f>
        <v>5000</v>
      </c>
      <c r="AA206">
        <f>_xlfn.XLOOKUP(B206,'[2]april-2025'!$A:$A,'[2]april-2025'!$I:$I,0,0)</f>
        <v>0</v>
      </c>
      <c r="AB206">
        <f t="shared" si="461"/>
        <v>200</v>
      </c>
      <c r="AC206">
        <f t="shared" si="462"/>
        <v>56790</v>
      </c>
      <c r="AD206">
        <f>_xlfn.XLOOKUP(B206,'[3]may-2025'!$A:$A,'[3]may-2025'!$C:$C,0,0)</f>
        <v>47300</v>
      </c>
      <c r="AE206">
        <f t="shared" si="463"/>
        <v>8514</v>
      </c>
      <c r="AF206">
        <f t="shared" si="464"/>
        <v>5676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453"/>
        <v>61990</v>
      </c>
      <c r="AJ206">
        <f>_xlfn.XLOOKUP(B206,'[3]may-2025'!$A:$A,'[3]may-2025'!$H:$H,0,0)</f>
        <v>5000</v>
      </c>
      <c r="AK206">
        <f>_xlfn.XLOOKUP(B206,'[3]may-2025'!$A:$A,'[3]may-2025'!$I:$I,0,0)</f>
        <v>0</v>
      </c>
      <c r="AL206">
        <f t="shared" si="465"/>
        <v>200</v>
      </c>
      <c r="AM206">
        <f t="shared" si="466"/>
        <v>56790</v>
      </c>
      <c r="AN206">
        <f>_xlfn.XLOOKUP(B206,'[4]june-2025'!$A:$A,'[4]june-2025'!$C:$C,0,0)</f>
        <v>47300</v>
      </c>
      <c r="AO206">
        <f t="shared" si="467"/>
        <v>8514</v>
      </c>
      <c r="AP206">
        <f t="shared" si="468"/>
        <v>5676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454"/>
        <v>61990</v>
      </c>
      <c r="AT206">
        <f>_xlfn.XLOOKUP(B206,'[4]june-2025'!$A:$A,'[4]june-2025'!$H:$H,0,0)</f>
        <v>5000</v>
      </c>
      <c r="AU206">
        <f>_xlfn.XLOOKUP(B206,'[4]june-2025'!$A:$A,'[4]june-2025'!$I:$I,0,0)</f>
        <v>0</v>
      </c>
      <c r="AV206">
        <f t="shared" si="469"/>
        <v>200</v>
      </c>
      <c r="AW206">
        <f t="shared" si="470"/>
        <v>56790</v>
      </c>
      <c r="AX206">
        <f>_xlfn.XLOOKUP(B206,'[5]july-2025'!$A:$A,'[5]july-2025'!$C:$C,0,0)</f>
        <v>48700</v>
      </c>
      <c r="AY206">
        <f t="shared" si="471"/>
        <v>8766</v>
      </c>
      <c r="AZ206">
        <v>0</v>
      </c>
      <c r="BA206">
        <f t="shared" si="472"/>
        <v>5844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>IF(AX206&gt;0,SUM(AX206:BC206),0)</f>
        <v>63810</v>
      </c>
      <c r="BE206">
        <f>_xlfn.XLOOKUP(B206,'[5]july-2025'!$A:$A,'[5]july-2025'!$H:$H,0,0)</f>
        <v>5000</v>
      </c>
      <c r="BF206">
        <f>_xlfn.XLOOKUP(B206,'[5]july-2025'!$A:$A,'[5]july-2025'!$I:$I,0,0)</f>
        <v>0</v>
      </c>
      <c r="BG206">
        <f t="shared" si="473"/>
        <v>200</v>
      </c>
      <c r="BH206">
        <f t="shared" si="474"/>
        <v>58610</v>
      </c>
      <c r="BI206">
        <f>_xlfn.XLOOKUP(B206,'[6]august-2025'!$A:$A,'[6]august-2025'!$C:$C,0,0)</f>
        <v>48700</v>
      </c>
      <c r="BJ206">
        <f t="shared" si="475"/>
        <v>8766</v>
      </c>
      <c r="BK206">
        <f t="shared" si="476"/>
        <v>5844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477"/>
        <v>63810</v>
      </c>
      <c r="BO206">
        <f>_xlfn.XLOOKUP(B206,'[6]august-2025'!$A:$A,'[6]august-2025'!$H:$H,0,0)</f>
        <v>5000</v>
      </c>
      <c r="BP206">
        <f>_xlfn.XLOOKUP(B206,'[6]august-2025'!$A:$A,'[6]august-2025'!$I:$I,0,0)</f>
        <v>0</v>
      </c>
      <c r="BQ206">
        <f>IF($F206="YES",0,IF(BN206&gt;40000,200,IF(BN206&gt;25000,150,IF(BN206&gt;15000,130,IF(BN206&gt;10000,110,0)))))</f>
        <v>200</v>
      </c>
      <c r="BR206">
        <f>BN206-BO206-BP206-BQ206</f>
        <v>58610</v>
      </c>
      <c r="BS206">
        <f>_xlfn.XLOOKUP(B206,'[7]september-2025'!$A:$A,'[7]september-2025'!$C:$C,0,0)</f>
        <v>48700</v>
      </c>
      <c r="BT206">
        <f t="shared" si="478"/>
        <v>8766</v>
      </c>
      <c r="BU206">
        <f t="shared" si="479"/>
        <v>5844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>IF(BS206&gt;0,SUM(BS206:BW206),0)</f>
        <v>63810</v>
      </c>
      <c r="BY206">
        <f>_xlfn.XLOOKUP(B206,'[7]september-2025'!$A:$A,'[7]september-2025'!$H:$H,0,0)</f>
        <v>5000</v>
      </c>
      <c r="BZ206">
        <f>_xlfn.XLOOKUP(B206,'[7]september-2025'!$A:$A,'[7]september-2025'!$I:$I,0,0)</f>
        <v>0</v>
      </c>
      <c r="CA206">
        <f t="shared" si="480"/>
        <v>200</v>
      </c>
      <c r="CB206">
        <f t="shared" si="481"/>
        <v>58610</v>
      </c>
      <c r="CC206">
        <f>_xlfn.XLOOKUP(B206,'[8]october-2025'!$A:$A,'[8]october-2025'!$C:$C,0,0)</f>
        <v>48700</v>
      </c>
      <c r="CD206">
        <f t="shared" si="482"/>
        <v>8766</v>
      </c>
      <c r="CE206">
        <f t="shared" si="483"/>
        <v>5844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>IF(CC206&gt;0,SUM(CC206:CG206),0)</f>
        <v>63810</v>
      </c>
      <c r="CI206">
        <f>_xlfn.XLOOKUP(B206,'[8]october-2025'!$A:$A,'[8]october-2025'!$H:$H,0,0)</f>
        <v>5000</v>
      </c>
      <c r="CJ206">
        <f>_xlfn.XLOOKUP(B206,'[8]october-2025'!$A:$A,'[8]october-2025'!$I:$I,0,0)</f>
        <v>0</v>
      </c>
      <c r="CK206">
        <f t="shared" si="484"/>
        <v>200</v>
      </c>
      <c r="CL206">
        <f t="shared" si="485"/>
        <v>58610</v>
      </c>
      <c r="CM206">
        <f>_xlfn.XLOOKUP(B206,'[9]november-2025'!$A:$A,'[9]november-2025'!$C:$C,0,0)</f>
        <v>48700</v>
      </c>
      <c r="CN206">
        <f t="shared" si="486"/>
        <v>8766</v>
      </c>
      <c r="CO206">
        <f t="shared" si="487"/>
        <v>5844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>IF(CM206&gt;0,SUM(CM206:CQ206),0)</f>
        <v>63810</v>
      </c>
      <c r="CS206">
        <f>_xlfn.XLOOKUP(B206,'[9]november-2025'!$A:$A,'[9]november-2025'!$H:$H,0,0)</f>
        <v>5000</v>
      </c>
      <c r="CT206">
        <f>_xlfn.XLOOKUP(B206,'[9]november-2025'!$A:$A,'[9]november-2025'!$I:$I,0,0)</f>
        <v>0</v>
      </c>
      <c r="CU206">
        <f t="shared" si="488"/>
        <v>200</v>
      </c>
      <c r="CV206">
        <f t="shared" si="489"/>
        <v>58610</v>
      </c>
      <c r="CW206">
        <f>_xlfn.XLOOKUP(B206,'[10]december-2025'!$A:$A,'[10]december-2025'!$C:$C,0,0)</f>
        <v>48700</v>
      </c>
      <c r="CX206">
        <f t="shared" si="490"/>
        <v>8766</v>
      </c>
      <c r="CY206">
        <f t="shared" si="491"/>
        <v>5844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>IF(CW206&gt;0,SUM(CW206:DA206),0)</f>
        <v>63810</v>
      </c>
      <c r="DC206">
        <f>_xlfn.XLOOKUP(B206,'[10]december-2025'!$A:$A,'[10]december-2025'!$H:$H,0,0)</f>
        <v>5000</v>
      </c>
      <c r="DD206">
        <f>_xlfn.XLOOKUP(B206,'[10]december-2025'!$A:$A,'[10]december-2025'!$I:$I,0,0)</f>
        <v>0</v>
      </c>
      <c r="DE206">
        <f t="shared" si="492"/>
        <v>200</v>
      </c>
      <c r="DF206">
        <f t="shared" si="493"/>
        <v>58610</v>
      </c>
      <c r="DG206">
        <f>_xlfn.XLOOKUP(B206,'[11]january-2026'!$A:$A,'[11]january-2026'!$C:$C,0,0)</f>
        <v>48700</v>
      </c>
      <c r="DH206">
        <f t="shared" si="494"/>
        <v>8766</v>
      </c>
      <c r="DI206">
        <f t="shared" si="495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>IF(DG206&gt;0,SUM(DG206:DK206),0)</f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496"/>
        <v>200</v>
      </c>
      <c r="DP206">
        <f t="shared" si="497"/>
        <v>58610</v>
      </c>
      <c r="DQ206">
        <f>_xlfn.XLOOKUP(B206,'[12]february-2026'!$A:$A,'[12]february-2026'!$C:$C,0,0)</f>
        <v>48700</v>
      </c>
      <c r="DR206">
        <f t="shared" si="498"/>
        <v>8766</v>
      </c>
      <c r="DS206">
        <f t="shared" si="499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>IF(DQ206&gt;0,SUM(DQ206:DU206),0)</f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00"/>
        <v>200</v>
      </c>
      <c r="DZ206">
        <f t="shared" si="501"/>
        <v>58610</v>
      </c>
      <c r="EA206">
        <f>_xlfn.XLOOKUP(B206,'[1]march-2025'!$A:$A,'[1]march-2025'!$J:$J,0,0)</f>
        <v>0</v>
      </c>
      <c r="EB206">
        <f>_xlfn.XLOOKUP(B206,'[2]april-2025'!$A:$A,'[2]april-2025'!$J:$J,0,0)</f>
        <v>0</v>
      </c>
      <c r="EC206">
        <f>_xlfn.XLOOKUP(B206,'[3]may-2025'!$A:$A,'[3]may-2025'!$J:$J,0,0)</f>
        <v>0</v>
      </c>
      <c r="ED206">
        <f>_xlfn.XLOOKUP(B206,'[4]june-2025'!$A:$A,'[4]june-2025'!$J:$J,0,0)</f>
        <v>0</v>
      </c>
      <c r="EE206">
        <f>_xlfn.XLOOKUP(B206,'[5]july-2025'!$A:$A,'[5]july-2025'!$J:$J,0,0)</f>
        <v>0</v>
      </c>
      <c r="EF206">
        <f>_xlfn.XLOOKUP(B206,'[6]august-2025'!$A:$A,'[6]august-2025'!$J:$J,0,0)</f>
        <v>0</v>
      </c>
      <c r="EG206">
        <f>_xlfn.XLOOKUP(B206,'[7]september-2025'!$A:$A,'[7]september-2025'!$J:$J,0,0)</f>
        <v>0</v>
      </c>
      <c r="EH206">
        <f>_xlfn.XLOOKUP(B206,'[8]october-2025'!$A:$A,'[8]october-2025'!$J:$J,0,0)</f>
        <v>0</v>
      </c>
      <c r="EI206">
        <f>_xlfn.XLOOKUP(C206,'[9]november-2025'!$A:$A,'[9]november-2025'!$J:$J,0,0)</f>
        <v>0</v>
      </c>
      <c r="EJ206">
        <f>_xlfn.XLOOKUP(B206,'[10]december-2025'!$A:$A,'[10]december-2025'!$J:$J,0,0)</f>
        <v>0</v>
      </c>
      <c r="EK206">
        <f>_xlfn.XLOOKUP(B206,'[11]january-2026'!$A:$A,'[11]january-2026'!$J:$J,0,0)</f>
        <v>0</v>
      </c>
      <c r="EL206">
        <f>_xlfn.XLOOKUP(B206,'[12]february-2026'!$A:$A,'[12]february-2026'!$J:$J,0,0)</f>
        <v>0</v>
      </c>
      <c r="EM206">
        <f t="shared" si="455"/>
        <v>0</v>
      </c>
      <c r="EN206">
        <f>DV206+DL206+DB206+CR206+CH206+BX206+BN206+BD206+AS206+AI206+Y206+O206+H206+I206</f>
        <v>763348</v>
      </c>
      <c r="EO206">
        <f>DY206+DO206+DE206+CU206+CK206+CA206+BQ206+BG206+AV206+AL206+AB206+R206</f>
        <v>2400</v>
      </c>
      <c r="EP206">
        <f t="shared" si="502"/>
        <v>50000</v>
      </c>
      <c r="EQ206">
        <v>0</v>
      </c>
      <c r="ER206">
        <f t="shared" si="456"/>
        <v>710948</v>
      </c>
      <c r="ES206">
        <f>DW206+DM206+DC206+CS206+CI206+BY206+BO206+BE206+AT206+AJ206+Z206+P206</f>
        <v>60000</v>
      </c>
      <c r="ET206">
        <f>DX206+DN206+DD206+CT206+CJ206+BZ206+BP206+BF206+AU206+AK206+AA206+Q206</f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503"/>
        <v>60000</v>
      </c>
      <c r="FF206">
        <f t="shared" si="504"/>
        <v>60000</v>
      </c>
      <c r="FG206">
        <f t="shared" si="505"/>
        <v>650948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>SUM(FH206:FN206)+(IF(F206="YES",50000,0))</f>
        <v>0</v>
      </c>
      <c r="FP206">
        <f t="shared" si="506"/>
        <v>650948</v>
      </c>
      <c r="FQ206">
        <f t="shared" si="507"/>
        <v>12500</v>
      </c>
      <c r="FR206">
        <f t="shared" si="508"/>
        <v>30190</v>
      </c>
      <c r="FS206">
        <f t="shared" si="509"/>
        <v>42690</v>
      </c>
      <c r="FT206">
        <f t="shared" si="510"/>
        <v>42690</v>
      </c>
      <c r="FU206">
        <f t="shared" si="511"/>
        <v>1707.6000000000001</v>
      </c>
      <c r="FV206">
        <f t="shared" si="512"/>
        <v>44398</v>
      </c>
      <c r="FW206">
        <v>0</v>
      </c>
      <c r="FX206">
        <f t="shared" si="513"/>
        <v>44398</v>
      </c>
      <c r="FY206" t="b">
        <f t="shared" si="514"/>
        <v>1</v>
      </c>
      <c r="FZ206">
        <f t="shared" ca="1" si="515"/>
        <v>988</v>
      </c>
      <c r="GA206">
        <f t="shared" ca="1" si="516"/>
        <v>764336</v>
      </c>
      <c r="GB206">
        <f t="shared" si="517"/>
        <v>75000</v>
      </c>
      <c r="GC206">
        <f t="shared" ca="1" si="518"/>
        <v>689336</v>
      </c>
      <c r="GD206">
        <f t="shared" ca="1" si="519"/>
        <v>0</v>
      </c>
      <c r="GE206">
        <f t="shared" ca="1" si="520"/>
        <v>0</v>
      </c>
      <c r="GF206">
        <f t="shared" ca="1" si="521"/>
        <v>0</v>
      </c>
      <c r="GG206">
        <f t="shared" ca="1" si="522"/>
        <v>0</v>
      </c>
      <c r="GH206">
        <f t="shared" ca="1" si="523"/>
        <v>0</v>
      </c>
      <c r="GI206">
        <f t="shared" ca="1" si="524"/>
        <v>0</v>
      </c>
      <c r="GJ206">
        <f ca="1">IF(GC206&gt;1200000,GC206-1200000-IF(F206="YES",50000,0)-GH206,0)</f>
        <v>0</v>
      </c>
      <c r="GK206">
        <f t="shared" ca="1" si="525"/>
        <v>0</v>
      </c>
      <c r="GL206">
        <f t="shared" ca="1" si="526"/>
        <v>0</v>
      </c>
      <c r="GM206">
        <f t="shared" ca="1" si="527"/>
        <v>0</v>
      </c>
      <c r="GN206">
        <f t="shared" ca="1" si="528"/>
        <v>289336</v>
      </c>
      <c r="GO206">
        <f t="shared" ca="1" si="529"/>
        <v>14466.800000000001</v>
      </c>
      <c r="GP206">
        <f t="shared" ca="1" si="530"/>
        <v>14467</v>
      </c>
      <c r="GQ206">
        <f t="shared" ca="1" si="531"/>
        <v>0</v>
      </c>
      <c r="GR206">
        <f t="shared" ca="1" si="532"/>
        <v>0</v>
      </c>
      <c r="GS206">
        <f t="shared" ca="1" si="533"/>
        <v>14467</v>
      </c>
      <c r="GT206">
        <f t="shared" ca="1" si="534"/>
        <v>0</v>
      </c>
      <c r="GU206" t="b">
        <f t="shared" ca="1" si="535"/>
        <v>0</v>
      </c>
      <c r="GV206">
        <f t="shared" ca="1" si="536"/>
        <v>0</v>
      </c>
      <c r="GW206">
        <f t="shared" ca="1" si="537"/>
        <v>14467</v>
      </c>
      <c r="GX206">
        <f t="shared" ca="1" si="538"/>
        <v>0</v>
      </c>
      <c r="GY206">
        <f t="shared" ca="1" si="539"/>
        <v>0</v>
      </c>
      <c r="GZ206">
        <f t="shared" ca="1" si="540"/>
        <v>0</v>
      </c>
    </row>
    <row r="207" spans="1:208" x14ac:dyDescent="0.25">
      <c r="A207">
        <f>_xlfn.AGGREGATE(3,5,$B$2:B207)</f>
        <v>206</v>
      </c>
      <c r="B207" t="s">
        <v>518</v>
      </c>
      <c r="C207" t="s">
        <v>519</v>
      </c>
      <c r="D207" t="s">
        <v>802</v>
      </c>
      <c r="E207" t="s">
        <v>831</v>
      </c>
      <c r="F207" t="s">
        <v>957</v>
      </c>
      <c r="G207" t="s">
        <v>941</v>
      </c>
      <c r="H207">
        <f t="shared" si="542"/>
        <v>6800</v>
      </c>
      <c r="I207">
        <f>_xlfn.XLOOKUP(B207,'[1]march-2025'!$A:$A,'[1]march-2025'!$J:$J,0,0)</f>
        <v>0</v>
      </c>
      <c r="J207">
        <f>_xlfn.XLOOKUP(B207,'[1]march-2025'!$A:$A,'[1]march-2025'!$C:$C,0,0)</f>
        <v>33500</v>
      </c>
      <c r="K207">
        <f t="shared" si="457"/>
        <v>4690</v>
      </c>
      <c r="L207">
        <f t="shared" si="458"/>
        <v>4020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>IF(J207&gt;0,SUM(J207:N207),0)</f>
        <v>42710</v>
      </c>
      <c r="P207">
        <f>_xlfn.XLOOKUP(B207,'[1]march-2025'!$A:$A,'[1]march-2025'!$H:$H,0,0)</f>
        <v>3000</v>
      </c>
      <c r="Q207">
        <f>_xlfn.XLOOKUP(B207,'[1]march-2025'!$A:$A,'[1]march-2025'!$I:$I,0,0)</f>
        <v>0</v>
      </c>
      <c r="R207">
        <f t="shared" si="541"/>
        <v>200</v>
      </c>
      <c r="S207">
        <f t="shared" si="451"/>
        <v>39510</v>
      </c>
      <c r="T207">
        <f>_xlfn.XLOOKUP(B207,'[2]april-2025'!$A:$A,'[2]april-2025'!$C:$C,0,0)</f>
        <v>33500</v>
      </c>
      <c r="U207">
        <f t="shared" si="459"/>
        <v>6030</v>
      </c>
      <c r="V207">
        <f t="shared" si="460"/>
        <v>4020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452"/>
        <v>44050</v>
      </c>
      <c r="Z207">
        <f>_xlfn.XLOOKUP(B207,'[2]april-2025'!$A:$A,'[2]april-2025'!$H:$H,0,0)</f>
        <v>3000</v>
      </c>
      <c r="AA207">
        <f>_xlfn.XLOOKUP(B207,'[2]april-2025'!$A:$A,'[2]april-2025'!$I:$I,0,0)</f>
        <v>0</v>
      </c>
      <c r="AB207">
        <f t="shared" si="461"/>
        <v>200</v>
      </c>
      <c r="AC207">
        <f t="shared" si="462"/>
        <v>40850</v>
      </c>
      <c r="AD207">
        <f>_xlfn.XLOOKUP(B207,'[3]may-2025'!$A:$A,'[3]may-2025'!$C:$C,0,0)</f>
        <v>33500</v>
      </c>
      <c r="AE207">
        <f t="shared" si="463"/>
        <v>6030</v>
      </c>
      <c r="AF207">
        <f t="shared" si="464"/>
        <v>4020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453"/>
        <v>44050</v>
      </c>
      <c r="AJ207">
        <f>_xlfn.XLOOKUP(B207,'[3]may-2025'!$A:$A,'[3]may-2025'!$H:$H,0,0)</f>
        <v>3000</v>
      </c>
      <c r="AK207">
        <f>_xlfn.XLOOKUP(B207,'[3]may-2025'!$A:$A,'[3]may-2025'!$I:$I,0,0)</f>
        <v>0</v>
      </c>
      <c r="AL207">
        <f t="shared" si="465"/>
        <v>200</v>
      </c>
      <c r="AM207">
        <f t="shared" si="466"/>
        <v>40850</v>
      </c>
      <c r="AN207">
        <f>_xlfn.XLOOKUP(B207,'[4]june-2025'!$A:$A,'[4]june-2025'!$C:$C,0,0)</f>
        <v>33500</v>
      </c>
      <c r="AO207">
        <f t="shared" si="467"/>
        <v>6030</v>
      </c>
      <c r="AP207">
        <f t="shared" si="468"/>
        <v>4020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454"/>
        <v>44050</v>
      </c>
      <c r="AT207">
        <f>_xlfn.XLOOKUP(B207,'[4]june-2025'!$A:$A,'[4]june-2025'!$H:$H,0,0)</f>
        <v>3000</v>
      </c>
      <c r="AU207">
        <f>_xlfn.XLOOKUP(B207,'[4]june-2025'!$A:$A,'[4]june-2025'!$I:$I,0,0)</f>
        <v>0</v>
      </c>
      <c r="AV207">
        <f t="shared" si="469"/>
        <v>200</v>
      </c>
      <c r="AW207">
        <f t="shared" si="470"/>
        <v>40850</v>
      </c>
      <c r="AX207">
        <f>_xlfn.XLOOKUP(B207,'[5]july-2025'!$A:$A,'[5]july-2025'!$C:$C,0,0)</f>
        <v>34500</v>
      </c>
      <c r="AY207">
        <f t="shared" si="471"/>
        <v>6210</v>
      </c>
      <c r="AZ207">
        <v>0</v>
      </c>
      <c r="BA207">
        <f t="shared" si="472"/>
        <v>4140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>IF(AX207&gt;0,SUM(AX207:BC207),0)</f>
        <v>45350</v>
      </c>
      <c r="BE207">
        <f>_xlfn.XLOOKUP(B207,'[5]july-2025'!$A:$A,'[5]july-2025'!$H:$H,0,0)</f>
        <v>3000</v>
      </c>
      <c r="BF207">
        <f>_xlfn.XLOOKUP(B207,'[5]july-2025'!$A:$A,'[5]july-2025'!$I:$I,0,0)</f>
        <v>0</v>
      </c>
      <c r="BG207">
        <f t="shared" si="473"/>
        <v>200</v>
      </c>
      <c r="BH207">
        <f t="shared" si="474"/>
        <v>42150</v>
      </c>
      <c r="BI207">
        <f>_xlfn.XLOOKUP(B207,'[6]august-2025'!$A:$A,'[6]august-2025'!$C:$C,0,0)</f>
        <v>34500</v>
      </c>
      <c r="BJ207">
        <f t="shared" si="475"/>
        <v>6210</v>
      </c>
      <c r="BK207">
        <f t="shared" si="476"/>
        <v>4140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477"/>
        <v>45350</v>
      </c>
      <c r="BO207">
        <f>_xlfn.XLOOKUP(B207,'[6]august-2025'!$A:$A,'[6]august-2025'!$H:$H,0,0)</f>
        <v>3000</v>
      </c>
      <c r="BP207">
        <f>_xlfn.XLOOKUP(B207,'[6]august-2025'!$A:$A,'[6]august-2025'!$I:$I,0,0)</f>
        <v>0</v>
      </c>
      <c r="BQ207">
        <f>IF($F207="YES",0,IF(BN207&gt;40000,200,IF(BN207&gt;25000,150,IF(BN207&gt;15000,130,IF(BN207&gt;10000,110,0)))))</f>
        <v>200</v>
      </c>
      <c r="BR207">
        <f>BN207-BO207-BP207-BQ207</f>
        <v>42150</v>
      </c>
      <c r="BS207">
        <f>_xlfn.XLOOKUP(B207,'[7]september-2025'!$A:$A,'[7]september-2025'!$C:$C,0,0)</f>
        <v>34500</v>
      </c>
      <c r="BT207">
        <f t="shared" si="478"/>
        <v>6210</v>
      </c>
      <c r="BU207">
        <f t="shared" si="479"/>
        <v>4140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>IF(BS207&gt;0,SUM(BS207:BW207),0)</f>
        <v>45350</v>
      </c>
      <c r="BY207">
        <f>_xlfn.XLOOKUP(B207,'[7]september-2025'!$A:$A,'[7]september-2025'!$H:$H,0,0)</f>
        <v>3000</v>
      </c>
      <c r="BZ207">
        <f>_xlfn.XLOOKUP(B207,'[7]september-2025'!$A:$A,'[7]september-2025'!$I:$I,0,0)</f>
        <v>0</v>
      </c>
      <c r="CA207">
        <f t="shared" si="480"/>
        <v>200</v>
      </c>
      <c r="CB207">
        <f t="shared" si="481"/>
        <v>42150</v>
      </c>
      <c r="CC207">
        <f>_xlfn.XLOOKUP(B207,'[8]october-2025'!$A:$A,'[8]october-2025'!$C:$C,0,0)</f>
        <v>34500</v>
      </c>
      <c r="CD207">
        <f t="shared" si="482"/>
        <v>6210</v>
      </c>
      <c r="CE207">
        <f t="shared" si="483"/>
        <v>4140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>IF(CC207&gt;0,SUM(CC207:CG207),0)</f>
        <v>45350</v>
      </c>
      <c r="CI207">
        <f>_xlfn.XLOOKUP(B207,'[8]october-2025'!$A:$A,'[8]october-2025'!$H:$H,0,0)</f>
        <v>3000</v>
      </c>
      <c r="CJ207">
        <f>_xlfn.XLOOKUP(B207,'[8]october-2025'!$A:$A,'[8]october-2025'!$I:$I,0,0)</f>
        <v>0</v>
      </c>
      <c r="CK207">
        <f t="shared" si="484"/>
        <v>200</v>
      </c>
      <c r="CL207">
        <f t="shared" si="485"/>
        <v>42150</v>
      </c>
      <c r="CM207">
        <f>_xlfn.XLOOKUP(B207,'[9]november-2025'!$A:$A,'[9]november-2025'!$C:$C,0,0)</f>
        <v>34500</v>
      </c>
      <c r="CN207">
        <f t="shared" si="486"/>
        <v>6210</v>
      </c>
      <c r="CO207">
        <f t="shared" si="487"/>
        <v>4140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>IF(CM207&gt;0,SUM(CM207:CQ207),0)</f>
        <v>45350</v>
      </c>
      <c r="CS207">
        <f>_xlfn.XLOOKUP(B207,'[9]november-2025'!$A:$A,'[9]november-2025'!$H:$H,0,0)</f>
        <v>3000</v>
      </c>
      <c r="CT207">
        <f>_xlfn.XLOOKUP(B207,'[9]november-2025'!$A:$A,'[9]november-2025'!$I:$I,0,0)</f>
        <v>0</v>
      </c>
      <c r="CU207">
        <f t="shared" si="488"/>
        <v>200</v>
      </c>
      <c r="CV207">
        <f t="shared" si="489"/>
        <v>42150</v>
      </c>
      <c r="CW207">
        <f>_xlfn.XLOOKUP(B207,'[10]december-2025'!$A:$A,'[10]december-2025'!$C:$C,0,0)</f>
        <v>34500</v>
      </c>
      <c r="CX207">
        <f t="shared" si="490"/>
        <v>6210</v>
      </c>
      <c r="CY207">
        <f t="shared" si="491"/>
        <v>4140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>IF(CW207&gt;0,SUM(CW207:DA207),0)</f>
        <v>45350</v>
      </c>
      <c r="DC207">
        <f>_xlfn.XLOOKUP(B207,'[10]december-2025'!$A:$A,'[10]december-2025'!$H:$H,0,0)</f>
        <v>3000</v>
      </c>
      <c r="DD207">
        <f>_xlfn.XLOOKUP(B207,'[10]december-2025'!$A:$A,'[10]december-2025'!$I:$I,0,0)</f>
        <v>0</v>
      </c>
      <c r="DE207">
        <f t="shared" si="492"/>
        <v>200</v>
      </c>
      <c r="DF207">
        <f t="shared" si="493"/>
        <v>42150</v>
      </c>
      <c r="DG207">
        <f>_xlfn.XLOOKUP(B207,'[11]january-2026'!$A:$A,'[11]january-2026'!$C:$C,0,0)</f>
        <v>34500</v>
      </c>
      <c r="DH207">
        <f t="shared" si="494"/>
        <v>6210</v>
      </c>
      <c r="DI207">
        <f t="shared" si="495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>IF(DG207&gt;0,SUM(DG207:DK207),0)</f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496"/>
        <v>200</v>
      </c>
      <c r="DP207">
        <f t="shared" si="497"/>
        <v>42150</v>
      </c>
      <c r="DQ207">
        <f>_xlfn.XLOOKUP(B207,'[12]february-2026'!$A:$A,'[12]february-2026'!$C:$C,0,0)</f>
        <v>34500</v>
      </c>
      <c r="DR207">
        <f t="shared" si="498"/>
        <v>6210</v>
      </c>
      <c r="DS207">
        <f t="shared" si="499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>IF(DQ207&gt;0,SUM(DQ207:DU207),0)</f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00"/>
        <v>200</v>
      </c>
      <c r="DZ207">
        <f t="shared" si="501"/>
        <v>42150</v>
      </c>
      <c r="EA207">
        <f>_xlfn.XLOOKUP(B207,'[1]march-2025'!$A:$A,'[1]march-2025'!$J:$J,0,0)</f>
        <v>0</v>
      </c>
      <c r="EB207">
        <f>_xlfn.XLOOKUP(B207,'[2]april-2025'!$A:$A,'[2]april-2025'!$J:$J,0,0)</f>
        <v>0</v>
      </c>
      <c r="EC207">
        <f>_xlfn.XLOOKUP(B207,'[3]may-2025'!$A:$A,'[3]may-2025'!$J:$J,0,0)</f>
        <v>0</v>
      </c>
      <c r="ED207">
        <f>_xlfn.XLOOKUP(B207,'[4]june-2025'!$A:$A,'[4]june-2025'!$J:$J,0,0)</f>
        <v>0</v>
      </c>
      <c r="EE207">
        <f>_xlfn.XLOOKUP(B207,'[5]july-2025'!$A:$A,'[5]july-2025'!$J:$J,0,0)</f>
        <v>0</v>
      </c>
      <c r="EF207">
        <f>_xlfn.XLOOKUP(B207,'[6]august-2025'!$A:$A,'[6]august-2025'!$J:$J,0,0)</f>
        <v>0</v>
      </c>
      <c r="EG207">
        <f>_xlfn.XLOOKUP(B207,'[7]september-2025'!$A:$A,'[7]september-2025'!$J:$J,0,0)</f>
        <v>0</v>
      </c>
      <c r="EH207">
        <f>_xlfn.XLOOKUP(B207,'[8]october-2025'!$A:$A,'[8]october-2025'!$J:$J,0,0)</f>
        <v>0</v>
      </c>
      <c r="EI207">
        <f>_xlfn.XLOOKUP(C207,'[9]november-2025'!$A:$A,'[9]november-2025'!$J:$J,0,0)</f>
        <v>0</v>
      </c>
      <c r="EJ207">
        <f>_xlfn.XLOOKUP(B207,'[10]december-2025'!$A:$A,'[10]december-2025'!$J:$J,0,0)</f>
        <v>0</v>
      </c>
      <c r="EK207">
        <f>_xlfn.XLOOKUP(B207,'[11]january-2026'!$A:$A,'[11]january-2026'!$J:$J,0,0)</f>
        <v>0</v>
      </c>
      <c r="EL207">
        <f>_xlfn.XLOOKUP(B207,'[12]february-2026'!$A:$A,'[12]february-2026'!$J:$J,0,0)</f>
        <v>0</v>
      </c>
      <c r="EM207">
        <f t="shared" si="455"/>
        <v>0</v>
      </c>
      <c r="EN207">
        <f>DV207+DL207+DB207+CR207+CH207+BX207+BN207+BD207+AS207+AI207+Y207+O207+H207+I207</f>
        <v>544460</v>
      </c>
      <c r="EO207">
        <f>DY207+DO207+DE207+CU207+CK207+CA207+BQ207+BG207+AV207+AL207+AB207+R207</f>
        <v>2400</v>
      </c>
      <c r="EP207">
        <f t="shared" si="502"/>
        <v>50000</v>
      </c>
      <c r="EQ207">
        <v>0</v>
      </c>
      <c r="ER207">
        <f t="shared" si="456"/>
        <v>492060</v>
      </c>
      <c r="ES207">
        <f>DW207+DM207+DC207+CS207+CI207+BY207+BO207+BE207+AT207+AJ207+Z207+P207</f>
        <v>36000</v>
      </c>
      <c r="ET207">
        <f>DX207+DN207+DD207+CT207+CJ207+BZ207+BP207+BF207+AU207+AK207+AA207+Q207</f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503"/>
        <v>36000</v>
      </c>
      <c r="FF207">
        <f t="shared" si="504"/>
        <v>36000</v>
      </c>
      <c r="FG207">
        <f t="shared" si="505"/>
        <v>456060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>SUM(FH207:FN207)+(IF(F207="YES",50000,0))</f>
        <v>0</v>
      </c>
      <c r="FP207">
        <f t="shared" si="506"/>
        <v>456060</v>
      </c>
      <c r="FQ207">
        <f t="shared" si="507"/>
        <v>10303</v>
      </c>
      <c r="FR207">
        <f t="shared" si="508"/>
        <v>0</v>
      </c>
      <c r="FS207">
        <f t="shared" si="509"/>
        <v>10303</v>
      </c>
      <c r="FT207">
        <f t="shared" si="510"/>
        <v>0</v>
      </c>
      <c r="FU207">
        <f t="shared" si="511"/>
        <v>0</v>
      </c>
      <c r="FV207">
        <f t="shared" si="512"/>
        <v>0</v>
      </c>
      <c r="FW207">
        <v>0</v>
      </c>
      <c r="FX207">
        <f t="shared" si="513"/>
        <v>0</v>
      </c>
      <c r="FY207" t="b">
        <f t="shared" si="514"/>
        <v>1</v>
      </c>
      <c r="FZ207">
        <f t="shared" ca="1" si="515"/>
        <v>612</v>
      </c>
      <c r="GA207">
        <f t="shared" ca="1" si="516"/>
        <v>545072</v>
      </c>
      <c r="GB207">
        <f t="shared" si="517"/>
        <v>75000</v>
      </c>
      <c r="GC207">
        <f t="shared" ca="1" si="518"/>
        <v>470072</v>
      </c>
      <c r="GD207">
        <f t="shared" ca="1" si="519"/>
        <v>0</v>
      </c>
      <c r="GE207">
        <f t="shared" ca="1" si="520"/>
        <v>0</v>
      </c>
      <c r="GF207">
        <f t="shared" ca="1" si="521"/>
        <v>0</v>
      </c>
      <c r="GG207">
        <f t="shared" ca="1" si="522"/>
        <v>0</v>
      </c>
      <c r="GH207">
        <f t="shared" ca="1" si="523"/>
        <v>0</v>
      </c>
      <c r="GI207">
        <f t="shared" ca="1" si="524"/>
        <v>0</v>
      </c>
      <c r="GJ207">
        <f ca="1">IF(GC207&gt;1200000,GC207-1200000-IF(F207="YES",50000,0)-GH207,0)</f>
        <v>0</v>
      </c>
      <c r="GK207">
        <f t="shared" ca="1" si="525"/>
        <v>0</v>
      </c>
      <c r="GL207">
        <f t="shared" ca="1" si="526"/>
        <v>0</v>
      </c>
      <c r="GM207">
        <f t="shared" ca="1" si="527"/>
        <v>0</v>
      </c>
      <c r="GN207">
        <f t="shared" ca="1" si="528"/>
        <v>70072</v>
      </c>
      <c r="GO207">
        <f t="shared" ca="1" si="529"/>
        <v>3503.6000000000004</v>
      </c>
      <c r="GP207">
        <f t="shared" ca="1" si="530"/>
        <v>3504</v>
      </c>
      <c r="GQ207">
        <f t="shared" ca="1" si="531"/>
        <v>0</v>
      </c>
      <c r="GR207">
        <f t="shared" ca="1" si="532"/>
        <v>0</v>
      </c>
      <c r="GS207">
        <f t="shared" ca="1" si="533"/>
        <v>3504</v>
      </c>
      <c r="GT207">
        <f t="shared" ca="1" si="534"/>
        <v>0</v>
      </c>
      <c r="GU207" t="b">
        <f t="shared" ca="1" si="535"/>
        <v>0</v>
      </c>
      <c r="GV207">
        <f t="shared" ca="1" si="536"/>
        <v>0</v>
      </c>
      <c r="GW207">
        <f t="shared" ca="1" si="537"/>
        <v>3504</v>
      </c>
      <c r="GX207">
        <f t="shared" ca="1" si="538"/>
        <v>0</v>
      </c>
      <c r="GY207">
        <f t="shared" ca="1" si="539"/>
        <v>0</v>
      </c>
      <c r="GZ207">
        <f t="shared" ca="1" si="540"/>
        <v>0</v>
      </c>
    </row>
    <row r="208" spans="1:208" x14ac:dyDescent="0.25">
      <c r="A208">
        <f>_xlfn.AGGREGATE(3,5,$B$2:B208)</f>
        <v>207</v>
      </c>
      <c r="B208" t="s">
        <v>520</v>
      </c>
      <c r="C208" t="s">
        <v>521</v>
      </c>
      <c r="D208" t="s">
        <v>802</v>
      </c>
      <c r="E208" t="s">
        <v>831</v>
      </c>
      <c r="F208" t="s">
        <v>957</v>
      </c>
      <c r="G208" t="s">
        <v>879</v>
      </c>
      <c r="H208">
        <f t="shared" si="542"/>
        <v>6800</v>
      </c>
      <c r="I208">
        <f>_xlfn.XLOOKUP(B208,'[1]march-2025'!$A:$A,'[1]march-2025'!$J:$J,0,0)</f>
        <v>0</v>
      </c>
      <c r="J208">
        <f>_xlfn.XLOOKUP(B208,'[1]march-2025'!$A:$A,'[1]march-2025'!$C:$C,0,0)</f>
        <v>31600</v>
      </c>
      <c r="K208">
        <f t="shared" si="457"/>
        <v>4424</v>
      </c>
      <c r="L208">
        <f t="shared" si="458"/>
        <v>3792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>IF(J208&gt;0,SUM(J208:N208),0)</f>
        <v>40316</v>
      </c>
      <c r="P208">
        <f>_xlfn.XLOOKUP(B208,'[1]march-2025'!$A:$A,'[1]march-2025'!$H:$H,0,0)</f>
        <v>2000</v>
      </c>
      <c r="Q208">
        <f>_xlfn.XLOOKUP(B208,'[1]march-2025'!$A:$A,'[1]march-2025'!$I:$I,0,0)</f>
        <v>0</v>
      </c>
      <c r="R208">
        <f t="shared" si="541"/>
        <v>200</v>
      </c>
      <c r="S208">
        <f t="shared" si="451"/>
        <v>38116</v>
      </c>
      <c r="T208">
        <f>_xlfn.XLOOKUP(B208,'[2]april-2025'!$A:$A,'[2]april-2025'!$C:$C,0,0)</f>
        <v>31600</v>
      </c>
      <c r="U208">
        <f t="shared" si="459"/>
        <v>5688</v>
      </c>
      <c r="V208">
        <f t="shared" si="460"/>
        <v>3792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452"/>
        <v>41580</v>
      </c>
      <c r="Z208">
        <f>_xlfn.XLOOKUP(B208,'[2]april-2025'!$A:$A,'[2]april-2025'!$H:$H,0,0)</f>
        <v>2000</v>
      </c>
      <c r="AA208">
        <f>_xlfn.XLOOKUP(B208,'[2]april-2025'!$A:$A,'[2]april-2025'!$I:$I,0,0)</f>
        <v>0</v>
      </c>
      <c r="AB208">
        <f t="shared" si="461"/>
        <v>200</v>
      </c>
      <c r="AC208">
        <f t="shared" si="462"/>
        <v>39380</v>
      </c>
      <c r="AD208">
        <f>_xlfn.XLOOKUP(B208,'[3]may-2025'!$A:$A,'[3]may-2025'!$C:$C,0,0)</f>
        <v>31600</v>
      </c>
      <c r="AE208">
        <f t="shared" si="463"/>
        <v>5688</v>
      </c>
      <c r="AF208">
        <f t="shared" si="464"/>
        <v>3792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453"/>
        <v>41580</v>
      </c>
      <c r="AJ208">
        <f>_xlfn.XLOOKUP(B208,'[3]may-2025'!$A:$A,'[3]may-2025'!$H:$H,0,0)</f>
        <v>2000</v>
      </c>
      <c r="AK208">
        <f>_xlfn.XLOOKUP(B208,'[3]may-2025'!$A:$A,'[3]may-2025'!$I:$I,0,0)</f>
        <v>0</v>
      </c>
      <c r="AL208">
        <f t="shared" si="465"/>
        <v>200</v>
      </c>
      <c r="AM208">
        <f t="shared" si="466"/>
        <v>39380</v>
      </c>
      <c r="AN208">
        <f>_xlfn.XLOOKUP(B208,'[4]june-2025'!$A:$A,'[4]june-2025'!$C:$C,0,0)</f>
        <v>31600</v>
      </c>
      <c r="AO208">
        <f t="shared" si="467"/>
        <v>5688</v>
      </c>
      <c r="AP208">
        <f t="shared" si="468"/>
        <v>3792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454"/>
        <v>41580</v>
      </c>
      <c r="AT208">
        <f>_xlfn.XLOOKUP(B208,'[4]june-2025'!$A:$A,'[4]june-2025'!$H:$H,0,0)</f>
        <v>2000</v>
      </c>
      <c r="AU208">
        <f>_xlfn.XLOOKUP(B208,'[4]june-2025'!$A:$A,'[4]june-2025'!$I:$I,0,0)</f>
        <v>0</v>
      </c>
      <c r="AV208">
        <f t="shared" si="469"/>
        <v>200</v>
      </c>
      <c r="AW208">
        <f t="shared" si="470"/>
        <v>39380</v>
      </c>
      <c r="AX208">
        <f>_xlfn.XLOOKUP(B208,'[5]july-2025'!$A:$A,'[5]july-2025'!$C:$C,0,0)</f>
        <v>32500</v>
      </c>
      <c r="AY208">
        <f t="shared" si="471"/>
        <v>5850</v>
      </c>
      <c r="AZ208">
        <v>0</v>
      </c>
      <c r="BA208">
        <f t="shared" si="472"/>
        <v>3900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>IF(AX208&gt;0,SUM(AX208:BC208),0)</f>
        <v>42750</v>
      </c>
      <c r="BE208">
        <f>_xlfn.XLOOKUP(B208,'[5]july-2025'!$A:$A,'[5]july-2025'!$H:$H,0,0)</f>
        <v>2000</v>
      </c>
      <c r="BF208">
        <f>_xlfn.XLOOKUP(B208,'[5]july-2025'!$A:$A,'[5]july-2025'!$I:$I,0,0)</f>
        <v>0</v>
      </c>
      <c r="BG208">
        <f t="shared" si="473"/>
        <v>200</v>
      </c>
      <c r="BH208">
        <f t="shared" si="474"/>
        <v>40550</v>
      </c>
      <c r="BI208">
        <f>_xlfn.XLOOKUP(B208,'[6]august-2025'!$A:$A,'[6]august-2025'!$C:$C,0,0)</f>
        <v>32500</v>
      </c>
      <c r="BJ208">
        <f t="shared" si="475"/>
        <v>5850</v>
      </c>
      <c r="BK208">
        <f t="shared" si="476"/>
        <v>3900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477"/>
        <v>42750</v>
      </c>
      <c r="BO208">
        <f>_xlfn.XLOOKUP(B208,'[6]august-2025'!$A:$A,'[6]august-2025'!$H:$H,0,0)</f>
        <v>2000</v>
      </c>
      <c r="BP208">
        <f>_xlfn.XLOOKUP(B208,'[6]august-2025'!$A:$A,'[6]august-2025'!$I:$I,0,0)</f>
        <v>0</v>
      </c>
      <c r="BQ208">
        <f>IF($F208="YES",0,IF(BN208&gt;40000,200,IF(BN208&gt;25000,150,IF(BN208&gt;15000,130,IF(BN208&gt;10000,110,0)))))</f>
        <v>200</v>
      </c>
      <c r="BR208">
        <f>BN208-BO208-BP208-BQ208</f>
        <v>40550</v>
      </c>
      <c r="BS208">
        <f>_xlfn.XLOOKUP(B208,'[7]september-2025'!$A:$A,'[7]september-2025'!$C:$C,0,0)</f>
        <v>32500</v>
      </c>
      <c r="BT208">
        <f t="shared" si="478"/>
        <v>5850</v>
      </c>
      <c r="BU208">
        <f t="shared" si="479"/>
        <v>3900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>IF(BS208&gt;0,SUM(BS208:BW208),0)</f>
        <v>42750</v>
      </c>
      <c r="BY208">
        <f>_xlfn.XLOOKUP(B208,'[7]september-2025'!$A:$A,'[7]september-2025'!$H:$H,0,0)</f>
        <v>2000</v>
      </c>
      <c r="BZ208">
        <f>_xlfn.XLOOKUP(B208,'[7]september-2025'!$A:$A,'[7]september-2025'!$I:$I,0,0)</f>
        <v>0</v>
      </c>
      <c r="CA208">
        <f t="shared" si="480"/>
        <v>200</v>
      </c>
      <c r="CB208">
        <f t="shared" si="481"/>
        <v>40550</v>
      </c>
      <c r="CC208">
        <f>_xlfn.XLOOKUP(B208,'[8]october-2025'!$A:$A,'[8]october-2025'!$C:$C,0,0)</f>
        <v>32500</v>
      </c>
      <c r="CD208">
        <f t="shared" si="482"/>
        <v>5850</v>
      </c>
      <c r="CE208">
        <f t="shared" si="483"/>
        <v>3900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>IF(CC208&gt;0,SUM(CC208:CG208),0)</f>
        <v>42750</v>
      </c>
      <c r="CI208">
        <f>_xlfn.XLOOKUP(B208,'[8]october-2025'!$A:$A,'[8]october-2025'!$H:$H,0,0)</f>
        <v>2000</v>
      </c>
      <c r="CJ208">
        <f>_xlfn.XLOOKUP(B208,'[8]october-2025'!$A:$A,'[8]october-2025'!$I:$I,0,0)</f>
        <v>0</v>
      </c>
      <c r="CK208">
        <f t="shared" si="484"/>
        <v>200</v>
      </c>
      <c r="CL208">
        <f t="shared" si="485"/>
        <v>40550</v>
      </c>
      <c r="CM208">
        <f>_xlfn.XLOOKUP(B208,'[9]november-2025'!$A:$A,'[9]november-2025'!$C:$C,0,0)</f>
        <v>32500</v>
      </c>
      <c r="CN208">
        <f t="shared" si="486"/>
        <v>5850</v>
      </c>
      <c r="CO208">
        <f t="shared" si="487"/>
        <v>3900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>IF(CM208&gt;0,SUM(CM208:CQ208),0)</f>
        <v>42750</v>
      </c>
      <c r="CS208">
        <f>_xlfn.XLOOKUP(B208,'[9]november-2025'!$A:$A,'[9]november-2025'!$H:$H,0,0)</f>
        <v>2000</v>
      </c>
      <c r="CT208">
        <f>_xlfn.XLOOKUP(B208,'[9]november-2025'!$A:$A,'[9]november-2025'!$I:$I,0,0)</f>
        <v>0</v>
      </c>
      <c r="CU208">
        <f t="shared" si="488"/>
        <v>200</v>
      </c>
      <c r="CV208">
        <f t="shared" si="489"/>
        <v>40550</v>
      </c>
      <c r="CW208">
        <f>_xlfn.XLOOKUP(B208,'[10]december-2025'!$A:$A,'[10]december-2025'!$C:$C,0,0)</f>
        <v>32500</v>
      </c>
      <c r="CX208">
        <f t="shared" si="490"/>
        <v>5850</v>
      </c>
      <c r="CY208">
        <f t="shared" si="491"/>
        <v>3900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>IF(CW208&gt;0,SUM(CW208:DA208),0)</f>
        <v>42750</v>
      </c>
      <c r="DC208">
        <f>_xlfn.XLOOKUP(B208,'[10]december-2025'!$A:$A,'[10]december-2025'!$H:$H,0,0)</f>
        <v>2000</v>
      </c>
      <c r="DD208">
        <f>_xlfn.XLOOKUP(B208,'[10]december-2025'!$A:$A,'[10]december-2025'!$I:$I,0,0)</f>
        <v>0</v>
      </c>
      <c r="DE208">
        <f t="shared" si="492"/>
        <v>200</v>
      </c>
      <c r="DF208">
        <f t="shared" si="493"/>
        <v>40550</v>
      </c>
      <c r="DG208">
        <f>_xlfn.XLOOKUP(B208,'[11]january-2026'!$A:$A,'[11]january-2026'!$C:$C,0,0)</f>
        <v>32500</v>
      </c>
      <c r="DH208">
        <f t="shared" si="494"/>
        <v>5850</v>
      </c>
      <c r="DI208">
        <f t="shared" si="495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>IF(DG208&gt;0,SUM(DG208:DK208),0)</f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496"/>
        <v>200</v>
      </c>
      <c r="DP208">
        <f t="shared" si="497"/>
        <v>40550</v>
      </c>
      <c r="DQ208">
        <f>_xlfn.XLOOKUP(B208,'[12]february-2026'!$A:$A,'[12]february-2026'!$C:$C,0,0)</f>
        <v>32500</v>
      </c>
      <c r="DR208">
        <f t="shared" si="498"/>
        <v>5850</v>
      </c>
      <c r="DS208">
        <f t="shared" si="499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>IF(DQ208&gt;0,SUM(DQ208:DU208),0)</f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00"/>
        <v>200</v>
      </c>
      <c r="DZ208">
        <f t="shared" si="501"/>
        <v>40550</v>
      </c>
      <c r="EA208">
        <f>_xlfn.XLOOKUP(B208,'[1]march-2025'!$A:$A,'[1]march-2025'!$J:$J,0,0)</f>
        <v>0</v>
      </c>
      <c r="EB208">
        <f>_xlfn.XLOOKUP(B208,'[2]april-2025'!$A:$A,'[2]april-2025'!$J:$J,0,0)</f>
        <v>0</v>
      </c>
      <c r="EC208">
        <f>_xlfn.XLOOKUP(B208,'[3]may-2025'!$A:$A,'[3]may-2025'!$J:$J,0,0)</f>
        <v>0</v>
      </c>
      <c r="ED208">
        <f>_xlfn.XLOOKUP(B208,'[4]june-2025'!$A:$A,'[4]june-2025'!$J:$J,0,0)</f>
        <v>0</v>
      </c>
      <c r="EE208">
        <f>_xlfn.XLOOKUP(B208,'[5]july-2025'!$A:$A,'[5]july-2025'!$J:$J,0,0)</f>
        <v>0</v>
      </c>
      <c r="EF208">
        <f>_xlfn.XLOOKUP(B208,'[6]august-2025'!$A:$A,'[6]august-2025'!$J:$J,0,0)</f>
        <v>0</v>
      </c>
      <c r="EG208">
        <f>_xlfn.XLOOKUP(B208,'[7]september-2025'!$A:$A,'[7]september-2025'!$J:$J,0,0)</f>
        <v>0</v>
      </c>
      <c r="EH208">
        <f>_xlfn.XLOOKUP(B208,'[8]october-2025'!$A:$A,'[8]october-2025'!$J:$J,0,0)</f>
        <v>0</v>
      </c>
      <c r="EI208">
        <f>_xlfn.XLOOKUP(C208,'[9]november-2025'!$A:$A,'[9]november-2025'!$J:$J,0,0)</f>
        <v>0</v>
      </c>
      <c r="EJ208">
        <f>_xlfn.XLOOKUP(B208,'[10]december-2025'!$A:$A,'[10]december-2025'!$J:$J,0,0)</f>
        <v>0</v>
      </c>
      <c r="EK208">
        <f>_xlfn.XLOOKUP(B208,'[11]january-2026'!$A:$A,'[11]january-2026'!$J:$J,0,0)</f>
        <v>0</v>
      </c>
      <c r="EL208">
        <f>_xlfn.XLOOKUP(B208,'[12]february-2026'!$A:$A,'[12]february-2026'!$J:$J,0,0)</f>
        <v>0</v>
      </c>
      <c r="EM208">
        <f t="shared" si="455"/>
        <v>0</v>
      </c>
      <c r="EN208">
        <f>DV208+DL208+DB208+CR208+CH208+BX208+BN208+BD208+AS208+AI208+Y208+O208+H208+I208</f>
        <v>513856</v>
      </c>
      <c r="EO208">
        <f>DY208+DO208+DE208+CU208+CK208+CA208+BQ208+BG208+AV208+AL208+AB208+R208</f>
        <v>2400</v>
      </c>
      <c r="EP208">
        <f t="shared" si="502"/>
        <v>50000</v>
      </c>
      <c r="EQ208">
        <v>0</v>
      </c>
      <c r="ER208">
        <f t="shared" si="456"/>
        <v>461456</v>
      </c>
      <c r="ES208">
        <f>DW208+DM208+DC208+CS208+CI208+BY208+BO208+BE208+AT208+AJ208+Z208+P208</f>
        <v>24000</v>
      </c>
      <c r="ET208">
        <f>DX208+DN208+DD208+CT208+CJ208+BZ208+BP208+BF208+AU208+AK208+AA208+Q208</f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503"/>
        <v>24000</v>
      </c>
      <c r="FF208">
        <f t="shared" si="504"/>
        <v>24000</v>
      </c>
      <c r="FG208">
        <f t="shared" si="505"/>
        <v>437456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>SUM(FH208:FN208)+(IF(F208="YES",50000,0))</f>
        <v>0</v>
      </c>
      <c r="FP208">
        <f t="shared" si="506"/>
        <v>437456</v>
      </c>
      <c r="FQ208">
        <f t="shared" si="507"/>
        <v>9373</v>
      </c>
      <c r="FR208">
        <f t="shared" si="508"/>
        <v>0</v>
      </c>
      <c r="FS208">
        <f t="shared" si="509"/>
        <v>9373</v>
      </c>
      <c r="FT208">
        <f t="shared" si="510"/>
        <v>0</v>
      </c>
      <c r="FU208">
        <f t="shared" si="511"/>
        <v>0</v>
      </c>
      <c r="FV208">
        <f t="shared" si="512"/>
        <v>0</v>
      </c>
      <c r="FW208">
        <v>0</v>
      </c>
      <c r="FX208">
        <f t="shared" si="513"/>
        <v>0</v>
      </c>
      <c r="FY208" t="b">
        <f t="shared" si="514"/>
        <v>1</v>
      </c>
      <c r="FZ208">
        <f t="shared" ca="1" si="515"/>
        <v>641</v>
      </c>
      <c r="GA208">
        <f t="shared" ca="1" si="516"/>
        <v>514497</v>
      </c>
      <c r="GB208">
        <f t="shared" si="517"/>
        <v>75000</v>
      </c>
      <c r="GC208">
        <f t="shared" ca="1" si="518"/>
        <v>439497</v>
      </c>
      <c r="GD208">
        <f t="shared" ca="1" si="519"/>
        <v>0</v>
      </c>
      <c r="GE208">
        <f t="shared" ca="1" si="520"/>
        <v>0</v>
      </c>
      <c r="GF208">
        <f t="shared" ca="1" si="521"/>
        <v>0</v>
      </c>
      <c r="GG208">
        <f t="shared" ca="1" si="522"/>
        <v>0</v>
      </c>
      <c r="GH208">
        <f t="shared" ca="1" si="523"/>
        <v>0</v>
      </c>
      <c r="GI208">
        <f t="shared" ca="1" si="524"/>
        <v>0</v>
      </c>
      <c r="GJ208">
        <f ca="1">IF(GC208&gt;1200000,GC208-1200000-IF(F208="YES",50000,0)-GH208,0)</f>
        <v>0</v>
      </c>
      <c r="GK208">
        <f t="shared" ca="1" si="525"/>
        <v>0</v>
      </c>
      <c r="GL208">
        <f t="shared" ca="1" si="526"/>
        <v>0</v>
      </c>
      <c r="GM208">
        <f t="shared" ca="1" si="527"/>
        <v>0</v>
      </c>
      <c r="GN208">
        <f t="shared" ca="1" si="528"/>
        <v>39497</v>
      </c>
      <c r="GO208">
        <f t="shared" ca="1" si="529"/>
        <v>1974.8500000000001</v>
      </c>
      <c r="GP208">
        <f t="shared" ca="1" si="530"/>
        <v>1975</v>
      </c>
      <c r="GQ208">
        <f t="shared" ca="1" si="531"/>
        <v>0</v>
      </c>
      <c r="GR208">
        <f t="shared" ca="1" si="532"/>
        <v>0</v>
      </c>
      <c r="GS208">
        <f t="shared" ca="1" si="533"/>
        <v>1975</v>
      </c>
      <c r="GT208">
        <f t="shared" ca="1" si="534"/>
        <v>0</v>
      </c>
      <c r="GU208" t="b">
        <f t="shared" ca="1" si="535"/>
        <v>0</v>
      </c>
      <c r="GV208">
        <f t="shared" ca="1" si="536"/>
        <v>0</v>
      </c>
      <c r="GW208">
        <f t="shared" ca="1" si="537"/>
        <v>1975</v>
      </c>
      <c r="GX208">
        <f t="shared" ca="1" si="538"/>
        <v>0</v>
      </c>
      <c r="GY208">
        <f t="shared" ca="1" si="539"/>
        <v>0</v>
      </c>
      <c r="GZ208">
        <f t="shared" ca="1" si="540"/>
        <v>0</v>
      </c>
    </row>
    <row r="209" spans="1:208" x14ac:dyDescent="0.25">
      <c r="A209">
        <f>_xlfn.AGGREGATE(3,5,$B$2:B209)</f>
        <v>208</v>
      </c>
      <c r="B209" t="s">
        <v>522</v>
      </c>
      <c r="C209" t="s">
        <v>523</v>
      </c>
      <c r="D209" t="s">
        <v>803</v>
      </c>
      <c r="E209" t="s">
        <v>833</v>
      </c>
      <c r="F209" t="s">
        <v>957</v>
      </c>
      <c r="G209" t="s">
        <v>876</v>
      </c>
      <c r="H209">
        <f t="shared" si="542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457"/>
        <v>6622.0000000000009</v>
      </c>
      <c r="L209">
        <f t="shared" si="458"/>
        <v>5676</v>
      </c>
      <c r="M209">
        <f>_xlfn.XLOOKUP(B209,'[1]march-2025'!$A:$A,'[1]march-2025'!$D:$D,0,0)</f>
        <v>400</v>
      </c>
      <c r="N209">
        <f>_xlfn.XLOOKUP(B209,'[1]march-2025'!$A:$A,'[1]march-2025'!$G:$G,0,0)</f>
        <v>500</v>
      </c>
      <c r="O209">
        <f>IF(J209&gt;0,SUM(J209:N209),0)</f>
        <v>60498</v>
      </c>
      <c r="P209">
        <f>_xlfn.XLOOKUP(B209,'[1]march-2025'!$A:$A,'[1]march-2025'!$H:$H,0,0)</f>
        <v>5000</v>
      </c>
      <c r="Q209">
        <f>_xlfn.XLOOKUP(B209,'[1]march-2025'!$A:$A,'[1]march-2025'!$I:$I,0,0)</f>
        <v>0</v>
      </c>
      <c r="R209">
        <f t="shared" si="541"/>
        <v>200</v>
      </c>
      <c r="S209">
        <f t="shared" si="451"/>
        <v>55298</v>
      </c>
      <c r="T209">
        <f>_xlfn.XLOOKUP(B209,'[2]april-2025'!$A:$A,'[2]april-2025'!$C:$C,0,0)</f>
        <v>47300</v>
      </c>
      <c r="U209">
        <f t="shared" si="459"/>
        <v>8514</v>
      </c>
      <c r="V209">
        <f t="shared" si="460"/>
        <v>5676</v>
      </c>
      <c r="W209">
        <f>_xlfn.XLOOKUP(B209,'[2]april-2025'!$A:$A,'[2]april-2025'!$D:$D,0,0)</f>
        <v>400</v>
      </c>
      <c r="X209">
        <f>_xlfn.XLOOKUP(B209,'[2]april-2025'!$A:$A,'[2]april-2025'!$G:$G,0,0)</f>
        <v>500</v>
      </c>
      <c r="Y209">
        <f t="shared" si="452"/>
        <v>62390</v>
      </c>
      <c r="Z209">
        <f>_xlfn.XLOOKUP(B209,'[2]april-2025'!$A:$A,'[2]april-2025'!$H:$H,0,0)</f>
        <v>5000</v>
      </c>
      <c r="AA209">
        <f>_xlfn.XLOOKUP(B209,'[2]april-2025'!$A:$A,'[2]april-2025'!$I:$I,0,0)</f>
        <v>0</v>
      </c>
      <c r="AB209">
        <f t="shared" si="461"/>
        <v>200</v>
      </c>
      <c r="AC209">
        <f t="shared" si="462"/>
        <v>57190</v>
      </c>
      <c r="AD209">
        <f>_xlfn.XLOOKUP(B209,'[3]may-2025'!$A:$A,'[3]may-2025'!$C:$C,0,0)</f>
        <v>47300</v>
      </c>
      <c r="AE209">
        <f t="shared" si="463"/>
        <v>8514</v>
      </c>
      <c r="AF209">
        <f t="shared" si="464"/>
        <v>5676</v>
      </c>
      <c r="AG209">
        <f>_xlfn.XLOOKUP(B209,'[3]may-2025'!$A:$A,'[3]may-2025'!$D:$D,0,0)</f>
        <v>400</v>
      </c>
      <c r="AH209">
        <f>_xlfn.XLOOKUP(B209,'[3]may-2025'!$A:$A,'[3]may-2025'!$G:$G,0,0)</f>
        <v>500</v>
      </c>
      <c r="AI209">
        <f t="shared" si="453"/>
        <v>62390</v>
      </c>
      <c r="AJ209">
        <f>_xlfn.XLOOKUP(B209,'[3]may-2025'!$A:$A,'[3]may-2025'!$H:$H,0,0)</f>
        <v>5000</v>
      </c>
      <c r="AK209">
        <f>_xlfn.XLOOKUP(B209,'[3]may-2025'!$A:$A,'[3]may-2025'!$I:$I,0,0)</f>
        <v>0</v>
      </c>
      <c r="AL209">
        <f t="shared" si="465"/>
        <v>200</v>
      </c>
      <c r="AM209">
        <f t="shared" si="466"/>
        <v>57190</v>
      </c>
      <c r="AN209">
        <f>_xlfn.XLOOKUP(B209,'[4]june-2025'!$A:$A,'[4]june-2025'!$C:$C,0,0)</f>
        <v>47300</v>
      </c>
      <c r="AO209">
        <f t="shared" si="467"/>
        <v>8514</v>
      </c>
      <c r="AP209">
        <f t="shared" si="468"/>
        <v>5676</v>
      </c>
      <c r="AQ209">
        <f>_xlfn.XLOOKUP(B209,'[4]june-2025'!$A:$A,'[4]june-2025'!$D:$D,0,0)</f>
        <v>400</v>
      </c>
      <c r="AR209">
        <f>_xlfn.XLOOKUP(B209,'[4]june-2025'!$A:$A,'[4]june-2025'!$G:$G,0,0)</f>
        <v>500</v>
      </c>
      <c r="AS209">
        <f t="shared" si="454"/>
        <v>62390</v>
      </c>
      <c r="AT209">
        <f>_xlfn.XLOOKUP(B209,'[4]june-2025'!$A:$A,'[4]june-2025'!$H:$H,0,0)</f>
        <v>5000</v>
      </c>
      <c r="AU209">
        <f>_xlfn.XLOOKUP(B209,'[4]june-2025'!$A:$A,'[4]june-2025'!$I:$I,0,0)</f>
        <v>0</v>
      </c>
      <c r="AV209">
        <f t="shared" si="469"/>
        <v>200</v>
      </c>
      <c r="AW209">
        <f t="shared" si="470"/>
        <v>57190</v>
      </c>
      <c r="AX209">
        <f>_xlfn.XLOOKUP(B209,'[5]july-2025'!$A:$A,'[5]july-2025'!$C:$C,0,0)</f>
        <v>48700</v>
      </c>
      <c r="AY209">
        <f t="shared" si="471"/>
        <v>8766</v>
      </c>
      <c r="AZ209">
        <v>0</v>
      </c>
      <c r="BA209">
        <f t="shared" si="472"/>
        <v>5844</v>
      </c>
      <c r="BB209">
        <f>_xlfn.XLOOKUP(B209,'[5]july-2025'!$A:$A,'[5]july-2025'!$D:$D,0,0)</f>
        <v>400</v>
      </c>
      <c r="BC209">
        <f>_xlfn.XLOOKUP(B209,'[5]july-2025'!$A:$A,'[5]july-2025'!$G:$G,0,0)</f>
        <v>500</v>
      </c>
      <c r="BD209">
        <f>IF(AX209&gt;0,SUM(AX209:BC209),0)</f>
        <v>64210</v>
      </c>
      <c r="BE209">
        <f>_xlfn.XLOOKUP(B209,'[5]july-2025'!$A:$A,'[5]july-2025'!$H:$H,0,0)</f>
        <v>5000</v>
      </c>
      <c r="BF209">
        <f>_xlfn.XLOOKUP(B209,'[5]july-2025'!$A:$A,'[5]july-2025'!$I:$I,0,0)</f>
        <v>0</v>
      </c>
      <c r="BG209">
        <f t="shared" si="473"/>
        <v>200</v>
      </c>
      <c r="BH209">
        <f t="shared" si="474"/>
        <v>59010</v>
      </c>
      <c r="BI209">
        <f>_xlfn.XLOOKUP(B209,'[6]august-2025'!$A:$A,'[6]august-2025'!$C:$C,0,0)</f>
        <v>48700</v>
      </c>
      <c r="BJ209">
        <f t="shared" si="475"/>
        <v>8766</v>
      </c>
      <c r="BK209">
        <f t="shared" si="476"/>
        <v>5844</v>
      </c>
      <c r="BL209">
        <f>_xlfn.XLOOKUP(B209,'[6]august-2025'!$A:$A,'[6]august-2025'!$D:$D,0,0)</f>
        <v>400</v>
      </c>
      <c r="BM209">
        <f>_xlfn.XLOOKUP(B209,'[6]august-2025'!$A:$A,'[6]august-2025'!$G:$G,0,0)</f>
        <v>500</v>
      </c>
      <c r="BN209">
        <f t="shared" si="477"/>
        <v>64210</v>
      </c>
      <c r="BO209">
        <f>_xlfn.XLOOKUP(B209,'[6]august-2025'!$A:$A,'[6]august-2025'!$H:$H,0,0)</f>
        <v>5000</v>
      </c>
      <c r="BP209">
        <f>_xlfn.XLOOKUP(B209,'[6]august-2025'!$A:$A,'[6]august-2025'!$I:$I,0,0)</f>
        <v>0</v>
      </c>
      <c r="BQ209">
        <f>IF($F209="YES",0,IF(BN209&gt;40000,200,IF(BN209&gt;25000,150,IF(BN209&gt;15000,130,IF(BN209&gt;10000,110,0)))))</f>
        <v>200</v>
      </c>
      <c r="BR209">
        <f>BN209-BO209-BP209-BQ209</f>
        <v>59010</v>
      </c>
      <c r="BS209">
        <f>_xlfn.XLOOKUP(B209,'[7]september-2025'!$A:$A,'[7]september-2025'!$C:$C,0,0)</f>
        <v>48700</v>
      </c>
      <c r="BT209">
        <f t="shared" si="478"/>
        <v>8766</v>
      </c>
      <c r="BU209">
        <f t="shared" si="479"/>
        <v>5844</v>
      </c>
      <c r="BV209">
        <f>_xlfn.XLOOKUP(B209,'[7]september-2025'!$A:$A,'[7]september-2025'!$D:$D,0,0)</f>
        <v>400</v>
      </c>
      <c r="BW209">
        <f>_xlfn.XLOOKUP(B209,'[7]september-2025'!$A:$A,'[7]september-2025'!$G:$G,0,0)</f>
        <v>500</v>
      </c>
      <c r="BX209">
        <f>IF(BS209&gt;0,SUM(BS209:BW209),0)</f>
        <v>64210</v>
      </c>
      <c r="BY209">
        <f>_xlfn.XLOOKUP(B209,'[7]september-2025'!$A:$A,'[7]september-2025'!$H:$H,0,0)</f>
        <v>5000</v>
      </c>
      <c r="BZ209">
        <f>_xlfn.XLOOKUP(B209,'[7]september-2025'!$A:$A,'[7]september-2025'!$I:$I,0,0)</f>
        <v>0</v>
      </c>
      <c r="CA209">
        <f t="shared" si="480"/>
        <v>200</v>
      </c>
      <c r="CB209">
        <f t="shared" si="481"/>
        <v>59010</v>
      </c>
      <c r="CC209">
        <f>_xlfn.XLOOKUP(B209,'[8]october-2025'!$A:$A,'[8]october-2025'!$C:$C,0,0)</f>
        <v>48700</v>
      </c>
      <c r="CD209">
        <f t="shared" si="482"/>
        <v>8766</v>
      </c>
      <c r="CE209">
        <f t="shared" si="483"/>
        <v>5844</v>
      </c>
      <c r="CF209">
        <f>_xlfn.XLOOKUP(B209,'[8]october-2025'!$A:$A,'[8]october-2025'!$D:$D,0,0)</f>
        <v>400</v>
      </c>
      <c r="CG209">
        <f>_xlfn.XLOOKUP(B209,'[8]october-2025'!$A:$A,'[8]october-2025'!$G:$G,0,0)</f>
        <v>500</v>
      </c>
      <c r="CH209">
        <f>IF(CC209&gt;0,SUM(CC209:CG209),0)</f>
        <v>64210</v>
      </c>
      <c r="CI209">
        <f>_xlfn.XLOOKUP(B209,'[8]october-2025'!$A:$A,'[8]october-2025'!$H:$H,0,0)</f>
        <v>5000</v>
      </c>
      <c r="CJ209">
        <f>_xlfn.XLOOKUP(B209,'[8]october-2025'!$A:$A,'[8]october-2025'!$I:$I,0,0)</f>
        <v>0</v>
      </c>
      <c r="CK209">
        <f t="shared" si="484"/>
        <v>200</v>
      </c>
      <c r="CL209">
        <f t="shared" si="485"/>
        <v>59010</v>
      </c>
      <c r="CM209">
        <f>_xlfn.XLOOKUP(B209,'[9]november-2025'!$A:$A,'[9]november-2025'!$C:$C,0,0)</f>
        <v>48700</v>
      </c>
      <c r="CN209">
        <f t="shared" si="486"/>
        <v>8766</v>
      </c>
      <c r="CO209">
        <f t="shared" si="487"/>
        <v>5844</v>
      </c>
      <c r="CP209">
        <f>_xlfn.XLOOKUP(B209,'[9]november-2025'!$A:$A,'[9]november-2025'!$D:$D,0,0)</f>
        <v>400</v>
      </c>
      <c r="CQ209">
        <f>_xlfn.XLOOKUP(B209,'[9]november-2025'!$A:$A,'[9]november-2025'!$G:$G,0,0)</f>
        <v>500</v>
      </c>
      <c r="CR209">
        <f>IF(CM209&gt;0,SUM(CM209:CQ209),0)</f>
        <v>64210</v>
      </c>
      <c r="CS209">
        <f>_xlfn.XLOOKUP(B209,'[9]november-2025'!$A:$A,'[9]november-2025'!$H:$H,0,0)</f>
        <v>5000</v>
      </c>
      <c r="CT209">
        <f>_xlfn.XLOOKUP(B209,'[9]november-2025'!$A:$A,'[9]november-2025'!$I:$I,0,0)</f>
        <v>0</v>
      </c>
      <c r="CU209">
        <f t="shared" si="488"/>
        <v>200</v>
      </c>
      <c r="CV209">
        <f t="shared" si="489"/>
        <v>59010</v>
      </c>
      <c r="CW209">
        <f>_xlfn.XLOOKUP(B209,'[10]december-2025'!$A:$A,'[10]december-2025'!$C:$C,0,0)</f>
        <v>48700</v>
      </c>
      <c r="CX209">
        <f t="shared" si="490"/>
        <v>8766</v>
      </c>
      <c r="CY209">
        <f t="shared" si="491"/>
        <v>5844</v>
      </c>
      <c r="CZ209">
        <f>_xlfn.XLOOKUP(B209,'[10]december-2025'!$A:$A,'[10]december-2025'!$D:$D,0,0)</f>
        <v>400</v>
      </c>
      <c r="DA209">
        <f>_xlfn.XLOOKUP(B209,'[10]december-2025'!$A:$A,'[10]december-2025'!$G:$G,0,0)</f>
        <v>500</v>
      </c>
      <c r="DB209">
        <f>IF(CW209&gt;0,SUM(CW209:DA209),0)</f>
        <v>64210</v>
      </c>
      <c r="DC209">
        <f>_xlfn.XLOOKUP(B209,'[10]december-2025'!$A:$A,'[10]december-2025'!$H:$H,0,0)</f>
        <v>5000</v>
      </c>
      <c r="DD209">
        <f>_xlfn.XLOOKUP(B209,'[10]december-2025'!$A:$A,'[10]december-2025'!$I:$I,0,0)</f>
        <v>0</v>
      </c>
      <c r="DE209">
        <f t="shared" si="492"/>
        <v>200</v>
      </c>
      <c r="DF209">
        <f t="shared" si="493"/>
        <v>59010</v>
      </c>
      <c r="DG209">
        <f>_xlfn.XLOOKUP(B209,'[11]january-2026'!$A:$A,'[11]january-2026'!$C:$C,0,0)</f>
        <v>48700</v>
      </c>
      <c r="DH209">
        <f t="shared" si="494"/>
        <v>8766</v>
      </c>
      <c r="DI209">
        <f t="shared" si="495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>IF(DG209&gt;0,SUM(DG209:DK209),0)</f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496"/>
        <v>200</v>
      </c>
      <c r="DP209">
        <f t="shared" si="497"/>
        <v>59010</v>
      </c>
      <c r="DQ209">
        <f>_xlfn.XLOOKUP(B209,'[12]february-2026'!$A:$A,'[12]february-2026'!$C:$C,0,0)</f>
        <v>48700</v>
      </c>
      <c r="DR209">
        <f t="shared" si="498"/>
        <v>8766</v>
      </c>
      <c r="DS209">
        <f t="shared" si="499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>IF(DQ209&gt;0,SUM(DQ209:DU209),0)</f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00"/>
        <v>200</v>
      </c>
      <c r="DZ209">
        <f t="shared" si="501"/>
        <v>59010</v>
      </c>
      <c r="EA209">
        <f>_xlfn.XLOOKUP(B209,'[1]march-2025'!$A:$A,'[1]march-2025'!$J:$J,0,0)</f>
        <v>0</v>
      </c>
      <c r="EB209">
        <f>_xlfn.XLOOKUP(B209,'[2]april-2025'!$A:$A,'[2]april-2025'!$J:$J,0,0)</f>
        <v>0</v>
      </c>
      <c r="EC209">
        <f>_xlfn.XLOOKUP(B209,'[3]may-2025'!$A:$A,'[3]may-2025'!$J:$J,0,0)</f>
        <v>0</v>
      </c>
      <c r="ED209">
        <f>_xlfn.XLOOKUP(B209,'[4]june-2025'!$A:$A,'[4]june-2025'!$J:$J,0,0)</f>
        <v>0</v>
      </c>
      <c r="EE209">
        <f>_xlfn.XLOOKUP(B209,'[5]july-2025'!$A:$A,'[5]july-2025'!$J:$J,0,0)</f>
        <v>0</v>
      </c>
      <c r="EF209">
        <f>_xlfn.XLOOKUP(B209,'[6]august-2025'!$A:$A,'[6]august-2025'!$J:$J,0,0)</f>
        <v>0</v>
      </c>
      <c r="EG209">
        <f>_xlfn.XLOOKUP(B209,'[7]september-2025'!$A:$A,'[7]september-2025'!$J:$J,0,0)</f>
        <v>0</v>
      </c>
      <c r="EH209">
        <f>_xlfn.XLOOKUP(B209,'[8]october-2025'!$A:$A,'[8]october-2025'!$J:$J,0,0)</f>
        <v>0</v>
      </c>
      <c r="EI209">
        <f>_xlfn.XLOOKUP(C209,'[9]november-2025'!$A:$A,'[9]november-2025'!$J:$J,0,0)</f>
        <v>0</v>
      </c>
      <c r="EJ209">
        <f>_xlfn.XLOOKUP(B209,'[10]december-2025'!$A:$A,'[10]december-2025'!$J:$J,0,0)</f>
        <v>0</v>
      </c>
      <c r="EK209">
        <f>_xlfn.XLOOKUP(B209,'[11]january-2026'!$A:$A,'[11]january-2026'!$J:$J,0,0)</f>
        <v>0</v>
      </c>
      <c r="EL209">
        <f>_xlfn.XLOOKUP(B209,'[12]february-2026'!$A:$A,'[12]february-2026'!$J:$J,0,0)</f>
        <v>0</v>
      </c>
      <c r="EM209">
        <f t="shared" si="455"/>
        <v>0</v>
      </c>
      <c r="EN209">
        <f>DV209+DL209+DB209+CR209+CH209+BX209+BN209+BD209+AS209+AI209+Y209+O209+H209+I209</f>
        <v>768148</v>
      </c>
      <c r="EO209">
        <f>DY209+DO209+DE209+CU209+CK209+CA209+BQ209+BG209+AV209+AL209+AB209+R209</f>
        <v>2400</v>
      </c>
      <c r="EP209">
        <f t="shared" si="502"/>
        <v>50000</v>
      </c>
      <c r="EQ209">
        <v>0</v>
      </c>
      <c r="ER209">
        <f t="shared" si="456"/>
        <v>715748</v>
      </c>
      <c r="ES209">
        <f>DW209+DM209+DC209+CS209+CI209+BY209+BO209+BE209+AT209+AJ209+Z209+P209</f>
        <v>60000</v>
      </c>
      <c r="ET209">
        <f>DX209+DN209+DD209+CT209+CJ209+BZ209+BP209+BF209+AU209+AK209+AA209+Q209</f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503"/>
        <v>60000</v>
      </c>
      <c r="FF209">
        <f t="shared" si="504"/>
        <v>60000</v>
      </c>
      <c r="FG209">
        <f t="shared" si="505"/>
        <v>655748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>SUM(FH209:FN209)+(IF(F209="YES",50000,0))</f>
        <v>0</v>
      </c>
      <c r="FP209">
        <f t="shared" si="506"/>
        <v>655748</v>
      </c>
      <c r="FQ209">
        <f t="shared" si="507"/>
        <v>12500</v>
      </c>
      <c r="FR209">
        <f t="shared" si="508"/>
        <v>31150</v>
      </c>
      <c r="FS209">
        <f t="shared" si="509"/>
        <v>43650</v>
      </c>
      <c r="FT209">
        <f t="shared" si="510"/>
        <v>43650</v>
      </c>
      <c r="FU209">
        <f t="shared" si="511"/>
        <v>1746</v>
      </c>
      <c r="FV209">
        <f t="shared" si="512"/>
        <v>45396</v>
      </c>
      <c r="FW209">
        <v>0</v>
      </c>
      <c r="FX209">
        <f t="shared" si="513"/>
        <v>45396</v>
      </c>
      <c r="FY209" t="b">
        <f t="shared" si="514"/>
        <v>1</v>
      </c>
      <c r="FZ209">
        <f t="shared" ca="1" si="515"/>
        <v>849</v>
      </c>
      <c r="GA209">
        <f t="shared" ca="1" si="516"/>
        <v>768997</v>
      </c>
      <c r="GB209">
        <f t="shared" si="517"/>
        <v>75000</v>
      </c>
      <c r="GC209">
        <f t="shared" ca="1" si="518"/>
        <v>693997</v>
      </c>
      <c r="GD209">
        <f t="shared" ca="1" si="519"/>
        <v>0</v>
      </c>
      <c r="GE209">
        <f t="shared" ca="1" si="520"/>
        <v>0</v>
      </c>
      <c r="GF209">
        <f t="shared" ca="1" si="521"/>
        <v>0</v>
      </c>
      <c r="GG209">
        <f t="shared" ca="1" si="522"/>
        <v>0</v>
      </c>
      <c r="GH209">
        <f t="shared" ca="1" si="523"/>
        <v>0</v>
      </c>
      <c r="GI209">
        <f t="shared" ca="1" si="524"/>
        <v>0</v>
      </c>
      <c r="GJ209">
        <f ca="1">IF(GC209&gt;1200000,GC209-1200000-IF(F209="YES",50000,0)-GH209,0)</f>
        <v>0</v>
      </c>
      <c r="GK209">
        <f t="shared" ca="1" si="525"/>
        <v>0</v>
      </c>
      <c r="GL209">
        <f t="shared" ca="1" si="526"/>
        <v>0</v>
      </c>
      <c r="GM209">
        <f t="shared" ca="1" si="527"/>
        <v>0</v>
      </c>
      <c r="GN209">
        <f t="shared" ca="1" si="528"/>
        <v>293997</v>
      </c>
      <c r="GO209">
        <f t="shared" ca="1" si="529"/>
        <v>14699.85</v>
      </c>
      <c r="GP209">
        <f t="shared" ca="1" si="530"/>
        <v>14700</v>
      </c>
      <c r="GQ209">
        <f t="shared" ca="1" si="531"/>
        <v>0</v>
      </c>
      <c r="GR209">
        <f t="shared" ca="1" si="532"/>
        <v>0</v>
      </c>
      <c r="GS209">
        <f t="shared" ca="1" si="533"/>
        <v>14700</v>
      </c>
      <c r="GT209">
        <f t="shared" ca="1" si="534"/>
        <v>0</v>
      </c>
      <c r="GU209" t="b">
        <f t="shared" ca="1" si="535"/>
        <v>0</v>
      </c>
      <c r="GV209">
        <f t="shared" ca="1" si="536"/>
        <v>0</v>
      </c>
      <c r="GW209">
        <f t="shared" ca="1" si="537"/>
        <v>14700</v>
      </c>
      <c r="GX209">
        <f t="shared" ca="1" si="538"/>
        <v>0</v>
      </c>
      <c r="GY209">
        <f t="shared" ca="1" si="539"/>
        <v>0</v>
      </c>
      <c r="GZ209">
        <f t="shared" ca="1" si="540"/>
        <v>0</v>
      </c>
    </row>
    <row r="210" spans="1:208" x14ac:dyDescent="0.25">
      <c r="A210">
        <f>_xlfn.AGGREGATE(3,5,$B$2:B210)</f>
        <v>209</v>
      </c>
      <c r="B210" t="s">
        <v>524</v>
      </c>
      <c r="C210" t="s">
        <v>525</v>
      </c>
      <c r="D210" t="s">
        <v>803</v>
      </c>
      <c r="E210" t="s">
        <v>831</v>
      </c>
      <c r="F210" t="s">
        <v>957</v>
      </c>
      <c r="G210" t="s">
        <v>876</v>
      </c>
      <c r="H210">
        <f t="shared" si="542"/>
        <v>6800</v>
      </c>
      <c r="I210">
        <f>_xlfn.XLOOKUP(B210,'[1]march-2025'!$A:$A,'[1]march-2025'!$J:$J,0,0)</f>
        <v>0</v>
      </c>
      <c r="J210">
        <f>_xlfn.XLOOKUP(B210,'[1]march-2025'!$A:$A,'[1]march-2025'!$C:$C,0,0)</f>
        <v>47300</v>
      </c>
      <c r="K210">
        <f t="shared" si="457"/>
        <v>6622.0000000000009</v>
      </c>
      <c r="L210">
        <f t="shared" si="458"/>
        <v>5676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>IF(J210&gt;0,SUM(J210:N210),0)</f>
        <v>60098</v>
      </c>
      <c r="P210">
        <f>_xlfn.XLOOKUP(B210,'[1]march-2025'!$A:$A,'[1]march-2025'!$H:$H,0,0)</f>
        <v>6000</v>
      </c>
      <c r="Q210">
        <f>_xlfn.XLOOKUP(B210,'[1]march-2025'!$A:$A,'[1]march-2025'!$I:$I,0,0)</f>
        <v>0</v>
      </c>
      <c r="R210">
        <f t="shared" si="541"/>
        <v>200</v>
      </c>
      <c r="S210">
        <f t="shared" si="451"/>
        <v>53898</v>
      </c>
      <c r="T210">
        <f>_xlfn.XLOOKUP(B210,'[2]april-2025'!$A:$A,'[2]april-2025'!$C:$C,0,0)</f>
        <v>47300</v>
      </c>
      <c r="U210">
        <f t="shared" si="459"/>
        <v>8514</v>
      </c>
      <c r="V210">
        <f t="shared" si="460"/>
        <v>5676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452"/>
        <v>61990</v>
      </c>
      <c r="Z210">
        <f>_xlfn.XLOOKUP(B210,'[2]april-2025'!$A:$A,'[2]april-2025'!$H:$H,0,0)</f>
        <v>6000</v>
      </c>
      <c r="AA210">
        <f>_xlfn.XLOOKUP(B210,'[2]april-2025'!$A:$A,'[2]april-2025'!$I:$I,0,0)</f>
        <v>0</v>
      </c>
      <c r="AB210">
        <f t="shared" si="461"/>
        <v>200</v>
      </c>
      <c r="AC210">
        <f t="shared" si="462"/>
        <v>55790</v>
      </c>
      <c r="AD210">
        <f>_xlfn.XLOOKUP(B210,'[3]may-2025'!$A:$A,'[3]may-2025'!$C:$C,0,0)</f>
        <v>47300</v>
      </c>
      <c r="AE210">
        <f t="shared" si="463"/>
        <v>8514</v>
      </c>
      <c r="AF210">
        <f t="shared" si="464"/>
        <v>5676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453"/>
        <v>61990</v>
      </c>
      <c r="AJ210">
        <f>_xlfn.XLOOKUP(B210,'[3]may-2025'!$A:$A,'[3]may-2025'!$H:$H,0,0)</f>
        <v>6000</v>
      </c>
      <c r="AK210">
        <f>_xlfn.XLOOKUP(B210,'[3]may-2025'!$A:$A,'[3]may-2025'!$I:$I,0,0)</f>
        <v>0</v>
      </c>
      <c r="AL210">
        <f t="shared" si="465"/>
        <v>200</v>
      </c>
      <c r="AM210">
        <f t="shared" si="466"/>
        <v>55790</v>
      </c>
      <c r="AN210">
        <f>_xlfn.XLOOKUP(B210,'[4]june-2025'!$A:$A,'[4]june-2025'!$C:$C,0,0)</f>
        <v>47300</v>
      </c>
      <c r="AO210">
        <f t="shared" si="467"/>
        <v>8514</v>
      </c>
      <c r="AP210">
        <f t="shared" si="468"/>
        <v>5676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454"/>
        <v>61990</v>
      </c>
      <c r="AT210">
        <f>_xlfn.XLOOKUP(B210,'[4]june-2025'!$A:$A,'[4]june-2025'!$H:$H,0,0)</f>
        <v>6000</v>
      </c>
      <c r="AU210">
        <f>_xlfn.XLOOKUP(B210,'[4]june-2025'!$A:$A,'[4]june-2025'!$I:$I,0,0)</f>
        <v>0</v>
      </c>
      <c r="AV210">
        <f t="shared" si="469"/>
        <v>200</v>
      </c>
      <c r="AW210">
        <f t="shared" si="470"/>
        <v>55790</v>
      </c>
      <c r="AX210">
        <f>_xlfn.XLOOKUP(B210,'[5]july-2025'!$A:$A,'[5]july-2025'!$C:$C,0,0)</f>
        <v>48700</v>
      </c>
      <c r="AY210">
        <f t="shared" si="471"/>
        <v>8766</v>
      </c>
      <c r="AZ210">
        <v>0</v>
      </c>
      <c r="BA210">
        <f t="shared" si="472"/>
        <v>5844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>IF(AX210&gt;0,SUM(AX210:BC210),0)</f>
        <v>63810</v>
      </c>
      <c r="BE210">
        <f>_xlfn.XLOOKUP(B210,'[5]july-2025'!$A:$A,'[5]july-2025'!$H:$H,0,0)</f>
        <v>6000</v>
      </c>
      <c r="BF210">
        <f>_xlfn.XLOOKUP(B210,'[5]july-2025'!$A:$A,'[5]july-2025'!$I:$I,0,0)</f>
        <v>0</v>
      </c>
      <c r="BG210">
        <f t="shared" si="473"/>
        <v>200</v>
      </c>
      <c r="BH210">
        <f t="shared" si="474"/>
        <v>57610</v>
      </c>
      <c r="BI210">
        <f>_xlfn.XLOOKUP(B210,'[6]august-2025'!$A:$A,'[6]august-2025'!$C:$C,0,0)</f>
        <v>48700</v>
      </c>
      <c r="BJ210">
        <f t="shared" si="475"/>
        <v>8766</v>
      </c>
      <c r="BK210">
        <f t="shared" si="476"/>
        <v>5844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477"/>
        <v>63810</v>
      </c>
      <c r="BO210">
        <f>_xlfn.XLOOKUP(B210,'[6]august-2025'!$A:$A,'[6]august-2025'!$H:$H,0,0)</f>
        <v>6000</v>
      </c>
      <c r="BP210">
        <f>_xlfn.XLOOKUP(B210,'[6]august-2025'!$A:$A,'[6]august-2025'!$I:$I,0,0)</f>
        <v>0</v>
      </c>
      <c r="BQ210">
        <f>IF($F210="YES",0,IF(BN210&gt;40000,200,IF(BN210&gt;25000,150,IF(BN210&gt;15000,130,IF(BN210&gt;10000,110,0)))))</f>
        <v>200</v>
      </c>
      <c r="BR210">
        <f>BN210-BO210-BP210-BQ210</f>
        <v>57610</v>
      </c>
      <c r="BS210">
        <f>_xlfn.XLOOKUP(B210,'[7]september-2025'!$A:$A,'[7]september-2025'!$C:$C,0,0)</f>
        <v>48700</v>
      </c>
      <c r="BT210">
        <f t="shared" si="478"/>
        <v>8766</v>
      </c>
      <c r="BU210">
        <f t="shared" si="479"/>
        <v>5844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>IF(BS210&gt;0,SUM(BS210:BW210),0)</f>
        <v>63810</v>
      </c>
      <c r="BY210">
        <f>_xlfn.XLOOKUP(B210,'[7]september-2025'!$A:$A,'[7]september-2025'!$H:$H,0,0)</f>
        <v>6000</v>
      </c>
      <c r="BZ210">
        <f>_xlfn.XLOOKUP(B210,'[7]september-2025'!$A:$A,'[7]september-2025'!$I:$I,0,0)</f>
        <v>0</v>
      </c>
      <c r="CA210">
        <f t="shared" si="480"/>
        <v>200</v>
      </c>
      <c r="CB210">
        <f t="shared" si="481"/>
        <v>57610</v>
      </c>
      <c r="CC210">
        <f>_xlfn.XLOOKUP(B210,'[8]october-2025'!$A:$A,'[8]october-2025'!$C:$C,0,0)</f>
        <v>48700</v>
      </c>
      <c r="CD210">
        <f t="shared" si="482"/>
        <v>8766</v>
      </c>
      <c r="CE210">
        <f t="shared" si="483"/>
        <v>5844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>IF(CC210&gt;0,SUM(CC210:CG210),0)</f>
        <v>63810</v>
      </c>
      <c r="CI210">
        <f>_xlfn.XLOOKUP(B210,'[8]october-2025'!$A:$A,'[8]october-2025'!$H:$H,0,0)</f>
        <v>6000</v>
      </c>
      <c r="CJ210">
        <f>_xlfn.XLOOKUP(B210,'[8]october-2025'!$A:$A,'[8]october-2025'!$I:$I,0,0)</f>
        <v>0</v>
      </c>
      <c r="CK210">
        <f t="shared" si="484"/>
        <v>200</v>
      </c>
      <c r="CL210">
        <f t="shared" si="485"/>
        <v>57610</v>
      </c>
      <c r="CM210">
        <f>_xlfn.XLOOKUP(B210,'[9]november-2025'!$A:$A,'[9]november-2025'!$C:$C,0,0)</f>
        <v>48700</v>
      </c>
      <c r="CN210">
        <f t="shared" si="486"/>
        <v>8766</v>
      </c>
      <c r="CO210">
        <f t="shared" si="487"/>
        <v>5844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>IF(CM210&gt;0,SUM(CM210:CQ210),0)</f>
        <v>63810</v>
      </c>
      <c r="CS210">
        <f>_xlfn.XLOOKUP(B210,'[9]november-2025'!$A:$A,'[9]november-2025'!$H:$H,0,0)</f>
        <v>6000</v>
      </c>
      <c r="CT210">
        <f>_xlfn.XLOOKUP(B210,'[9]november-2025'!$A:$A,'[9]november-2025'!$I:$I,0,0)</f>
        <v>0</v>
      </c>
      <c r="CU210">
        <f t="shared" si="488"/>
        <v>200</v>
      </c>
      <c r="CV210">
        <f t="shared" si="489"/>
        <v>57610</v>
      </c>
      <c r="CW210">
        <f>_xlfn.XLOOKUP(B210,'[10]december-2025'!$A:$A,'[10]december-2025'!$C:$C,0,0)</f>
        <v>48700</v>
      </c>
      <c r="CX210">
        <f t="shared" si="490"/>
        <v>8766</v>
      </c>
      <c r="CY210">
        <f t="shared" si="491"/>
        <v>5844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>IF(CW210&gt;0,SUM(CW210:DA210),0)</f>
        <v>63810</v>
      </c>
      <c r="DC210">
        <f>_xlfn.XLOOKUP(B210,'[10]december-2025'!$A:$A,'[10]december-2025'!$H:$H,0,0)</f>
        <v>6000</v>
      </c>
      <c r="DD210">
        <f>_xlfn.XLOOKUP(B210,'[10]december-2025'!$A:$A,'[10]december-2025'!$I:$I,0,0)</f>
        <v>0</v>
      </c>
      <c r="DE210">
        <f t="shared" si="492"/>
        <v>200</v>
      </c>
      <c r="DF210">
        <f t="shared" si="493"/>
        <v>57610</v>
      </c>
      <c r="DG210">
        <f>_xlfn.XLOOKUP(B210,'[11]january-2026'!$A:$A,'[11]january-2026'!$C:$C,0,0)</f>
        <v>48700</v>
      </c>
      <c r="DH210">
        <f t="shared" si="494"/>
        <v>8766</v>
      </c>
      <c r="DI210">
        <f t="shared" si="495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>IF(DG210&gt;0,SUM(DG210:DK210),0)</f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496"/>
        <v>200</v>
      </c>
      <c r="DP210">
        <f t="shared" si="497"/>
        <v>57610</v>
      </c>
      <c r="DQ210">
        <f>_xlfn.XLOOKUP(B210,'[12]february-2026'!$A:$A,'[12]february-2026'!$C:$C,0,0)</f>
        <v>48700</v>
      </c>
      <c r="DR210">
        <f t="shared" si="498"/>
        <v>8766</v>
      </c>
      <c r="DS210">
        <f t="shared" si="499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>IF(DQ210&gt;0,SUM(DQ210:DU210),0)</f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00"/>
        <v>200</v>
      </c>
      <c r="DZ210">
        <f t="shared" si="501"/>
        <v>57610</v>
      </c>
      <c r="EA210">
        <f>_xlfn.XLOOKUP(B210,'[1]march-2025'!$A:$A,'[1]march-2025'!$J:$J,0,0)</f>
        <v>0</v>
      </c>
      <c r="EB210">
        <f>_xlfn.XLOOKUP(B210,'[2]april-2025'!$A:$A,'[2]april-2025'!$J:$J,0,0)</f>
        <v>0</v>
      </c>
      <c r="EC210">
        <f>_xlfn.XLOOKUP(B210,'[3]may-2025'!$A:$A,'[3]may-2025'!$J:$J,0,0)</f>
        <v>0</v>
      </c>
      <c r="ED210">
        <f>_xlfn.XLOOKUP(B210,'[4]june-2025'!$A:$A,'[4]june-2025'!$J:$J,0,0)</f>
        <v>0</v>
      </c>
      <c r="EE210">
        <f>_xlfn.XLOOKUP(B210,'[5]july-2025'!$A:$A,'[5]july-2025'!$J:$J,0,0)</f>
        <v>0</v>
      </c>
      <c r="EF210">
        <f>_xlfn.XLOOKUP(B210,'[6]august-2025'!$A:$A,'[6]august-2025'!$J:$J,0,0)</f>
        <v>0</v>
      </c>
      <c r="EG210">
        <f>_xlfn.XLOOKUP(B210,'[7]september-2025'!$A:$A,'[7]september-2025'!$J:$J,0,0)</f>
        <v>0</v>
      </c>
      <c r="EH210">
        <f>_xlfn.XLOOKUP(B210,'[8]october-2025'!$A:$A,'[8]october-2025'!$J:$J,0,0)</f>
        <v>0</v>
      </c>
      <c r="EI210">
        <f>_xlfn.XLOOKUP(C210,'[9]november-2025'!$A:$A,'[9]november-2025'!$J:$J,0,0)</f>
        <v>0</v>
      </c>
      <c r="EJ210">
        <f>_xlfn.XLOOKUP(B210,'[10]december-2025'!$A:$A,'[10]december-2025'!$J:$J,0,0)</f>
        <v>0</v>
      </c>
      <c r="EK210">
        <f>_xlfn.XLOOKUP(B210,'[11]january-2026'!$A:$A,'[11]january-2026'!$J:$J,0,0)</f>
        <v>0</v>
      </c>
      <c r="EL210">
        <f>_xlfn.XLOOKUP(B210,'[12]february-2026'!$A:$A,'[12]february-2026'!$J:$J,0,0)</f>
        <v>0</v>
      </c>
      <c r="EM210">
        <f t="shared" si="455"/>
        <v>0</v>
      </c>
      <c r="EN210">
        <f>DV210+DL210+DB210+CR210+CH210+BX210+BN210+BD210+AS210+AI210+Y210+O210+H210+I210</f>
        <v>763348</v>
      </c>
      <c r="EO210">
        <f>DY210+DO210+DE210+CU210+CK210+CA210+BQ210+BG210+AV210+AL210+AB210+R210</f>
        <v>2400</v>
      </c>
      <c r="EP210">
        <f t="shared" si="502"/>
        <v>50000</v>
      </c>
      <c r="EQ210">
        <v>0</v>
      </c>
      <c r="ER210">
        <f t="shared" si="456"/>
        <v>710948</v>
      </c>
      <c r="ES210">
        <f>DW210+DM210+DC210+CS210+CI210+BY210+BO210+BE210+AT210+AJ210+Z210+P210</f>
        <v>72000</v>
      </c>
      <c r="ET210">
        <f>DX210+DN210+DD210+CT210+CJ210+BZ210+BP210+BF210+AU210+AK210+AA210+Q210</f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503"/>
        <v>72000</v>
      </c>
      <c r="FF210">
        <f t="shared" si="504"/>
        <v>72000</v>
      </c>
      <c r="FG210">
        <f t="shared" si="505"/>
        <v>638948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>SUM(FH210:FN210)+(IF(F210="YES",50000,0))</f>
        <v>0</v>
      </c>
      <c r="FP210">
        <f t="shared" si="506"/>
        <v>638948</v>
      </c>
      <c r="FQ210">
        <f t="shared" si="507"/>
        <v>12500</v>
      </c>
      <c r="FR210">
        <f t="shared" si="508"/>
        <v>27790</v>
      </c>
      <c r="FS210">
        <f t="shared" si="509"/>
        <v>40290</v>
      </c>
      <c r="FT210">
        <f t="shared" si="510"/>
        <v>40290</v>
      </c>
      <c r="FU210">
        <f t="shared" si="511"/>
        <v>1611.6000000000001</v>
      </c>
      <c r="FV210">
        <f t="shared" si="512"/>
        <v>41902</v>
      </c>
      <c r="FW210">
        <v>0</v>
      </c>
      <c r="FX210">
        <f t="shared" si="513"/>
        <v>41902</v>
      </c>
      <c r="FY210" t="b">
        <f t="shared" si="514"/>
        <v>1</v>
      </c>
      <c r="FZ210">
        <f t="shared" ca="1" si="515"/>
        <v>727</v>
      </c>
      <c r="GA210">
        <f t="shared" ca="1" si="516"/>
        <v>764075</v>
      </c>
      <c r="GB210">
        <f t="shared" si="517"/>
        <v>75000</v>
      </c>
      <c r="GC210">
        <f t="shared" ca="1" si="518"/>
        <v>689075</v>
      </c>
      <c r="GD210">
        <f t="shared" ca="1" si="519"/>
        <v>0</v>
      </c>
      <c r="GE210">
        <f t="shared" ca="1" si="520"/>
        <v>0</v>
      </c>
      <c r="GF210">
        <f t="shared" ca="1" si="521"/>
        <v>0</v>
      </c>
      <c r="GG210">
        <f t="shared" ca="1" si="522"/>
        <v>0</v>
      </c>
      <c r="GH210">
        <f t="shared" ca="1" si="523"/>
        <v>0</v>
      </c>
      <c r="GI210">
        <f t="shared" ca="1" si="524"/>
        <v>0</v>
      </c>
      <c r="GJ210">
        <f ca="1">IF(GC210&gt;1200000,GC210-1200000-IF(F210="YES",50000,0)-GH210,0)</f>
        <v>0</v>
      </c>
      <c r="GK210">
        <f t="shared" ca="1" si="525"/>
        <v>0</v>
      </c>
      <c r="GL210">
        <f t="shared" ca="1" si="526"/>
        <v>0</v>
      </c>
      <c r="GM210">
        <f t="shared" ca="1" si="527"/>
        <v>0</v>
      </c>
      <c r="GN210">
        <f t="shared" ca="1" si="528"/>
        <v>289075</v>
      </c>
      <c r="GO210">
        <f t="shared" ca="1" si="529"/>
        <v>14453.75</v>
      </c>
      <c r="GP210">
        <f t="shared" ca="1" si="530"/>
        <v>14454</v>
      </c>
      <c r="GQ210">
        <f t="shared" ca="1" si="531"/>
        <v>0</v>
      </c>
      <c r="GR210">
        <f t="shared" ca="1" si="532"/>
        <v>0</v>
      </c>
      <c r="GS210">
        <f t="shared" ca="1" si="533"/>
        <v>14454</v>
      </c>
      <c r="GT210">
        <f t="shared" ca="1" si="534"/>
        <v>0</v>
      </c>
      <c r="GU210" t="b">
        <f t="shared" ca="1" si="535"/>
        <v>0</v>
      </c>
      <c r="GV210">
        <f t="shared" ca="1" si="536"/>
        <v>0</v>
      </c>
      <c r="GW210">
        <f t="shared" ca="1" si="537"/>
        <v>14454</v>
      </c>
      <c r="GX210">
        <f t="shared" ca="1" si="538"/>
        <v>0</v>
      </c>
      <c r="GY210">
        <f t="shared" ca="1" si="539"/>
        <v>0</v>
      </c>
      <c r="GZ210">
        <f t="shared" ca="1" si="540"/>
        <v>0</v>
      </c>
    </row>
    <row r="211" spans="1:208" x14ac:dyDescent="0.25">
      <c r="A211">
        <f>_xlfn.AGGREGATE(3,5,$B$2:B211)</f>
        <v>210</v>
      </c>
      <c r="B211" t="s">
        <v>526</v>
      </c>
      <c r="C211" t="s">
        <v>527</v>
      </c>
      <c r="D211" t="s">
        <v>803</v>
      </c>
      <c r="E211" t="s">
        <v>831</v>
      </c>
      <c r="F211" t="s">
        <v>957</v>
      </c>
      <c r="G211" t="s">
        <v>879</v>
      </c>
      <c r="H211">
        <f t="shared" si="542"/>
        <v>6800</v>
      </c>
      <c r="I211">
        <f>_xlfn.XLOOKUP(B211,'[1]march-2025'!$A:$A,'[1]march-2025'!$J:$J,0,0)</f>
        <v>0</v>
      </c>
      <c r="J211">
        <f>_xlfn.XLOOKUP(B211,'[1]march-2025'!$A:$A,'[1]march-2025'!$C:$C,0,0)</f>
        <v>31600</v>
      </c>
      <c r="K211">
        <f t="shared" si="457"/>
        <v>4424</v>
      </c>
      <c r="L211">
        <f t="shared" si="458"/>
        <v>3792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>IF(J211&gt;0,SUM(J211:N211),0)</f>
        <v>40316</v>
      </c>
      <c r="P211">
        <f>_xlfn.XLOOKUP(B211,'[1]march-2025'!$A:$A,'[1]march-2025'!$H:$H,0,0)</f>
        <v>2000</v>
      </c>
      <c r="Q211">
        <f>_xlfn.XLOOKUP(B211,'[1]march-2025'!$A:$A,'[1]march-2025'!$I:$I,0,0)</f>
        <v>0</v>
      </c>
      <c r="R211">
        <f t="shared" si="541"/>
        <v>200</v>
      </c>
      <c r="S211">
        <f t="shared" si="451"/>
        <v>38116</v>
      </c>
      <c r="T211">
        <f>_xlfn.XLOOKUP(B211,'[2]april-2025'!$A:$A,'[2]april-2025'!$C:$C,0,0)</f>
        <v>31600</v>
      </c>
      <c r="U211">
        <f t="shared" si="459"/>
        <v>5688</v>
      </c>
      <c r="V211">
        <f t="shared" si="460"/>
        <v>3792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452"/>
        <v>41580</v>
      </c>
      <c r="Z211">
        <f>_xlfn.XLOOKUP(B211,'[2]april-2025'!$A:$A,'[2]april-2025'!$H:$H,0,0)</f>
        <v>2000</v>
      </c>
      <c r="AA211">
        <f>_xlfn.XLOOKUP(B211,'[2]april-2025'!$A:$A,'[2]april-2025'!$I:$I,0,0)</f>
        <v>0</v>
      </c>
      <c r="AB211">
        <f t="shared" si="461"/>
        <v>200</v>
      </c>
      <c r="AC211">
        <f t="shared" si="462"/>
        <v>39380</v>
      </c>
      <c r="AD211">
        <f>_xlfn.XLOOKUP(B211,'[3]may-2025'!$A:$A,'[3]may-2025'!$C:$C,0,0)</f>
        <v>31600</v>
      </c>
      <c r="AE211">
        <f t="shared" si="463"/>
        <v>5688</v>
      </c>
      <c r="AF211">
        <f t="shared" si="464"/>
        <v>3792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453"/>
        <v>41580</v>
      </c>
      <c r="AJ211">
        <f>_xlfn.XLOOKUP(B211,'[3]may-2025'!$A:$A,'[3]may-2025'!$H:$H,0,0)</f>
        <v>2000</v>
      </c>
      <c r="AK211">
        <f>_xlfn.XLOOKUP(B211,'[3]may-2025'!$A:$A,'[3]may-2025'!$I:$I,0,0)</f>
        <v>0</v>
      </c>
      <c r="AL211">
        <f t="shared" si="465"/>
        <v>200</v>
      </c>
      <c r="AM211">
        <f t="shared" si="466"/>
        <v>39380</v>
      </c>
      <c r="AN211">
        <f>_xlfn.XLOOKUP(B211,'[4]june-2025'!$A:$A,'[4]june-2025'!$C:$C,0,0)</f>
        <v>31600</v>
      </c>
      <c r="AO211">
        <f t="shared" si="467"/>
        <v>5688</v>
      </c>
      <c r="AP211">
        <f t="shared" si="468"/>
        <v>3792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454"/>
        <v>41580</v>
      </c>
      <c r="AT211">
        <f>_xlfn.XLOOKUP(B211,'[4]june-2025'!$A:$A,'[4]june-2025'!$H:$H,0,0)</f>
        <v>2000</v>
      </c>
      <c r="AU211">
        <f>_xlfn.XLOOKUP(B211,'[4]june-2025'!$A:$A,'[4]june-2025'!$I:$I,0,0)</f>
        <v>0</v>
      </c>
      <c r="AV211">
        <f t="shared" si="469"/>
        <v>200</v>
      </c>
      <c r="AW211">
        <f t="shared" si="470"/>
        <v>39380</v>
      </c>
      <c r="AX211">
        <f>_xlfn.XLOOKUP(B211,'[5]july-2025'!$A:$A,'[5]july-2025'!$C:$C,0,0)</f>
        <v>32500</v>
      </c>
      <c r="AY211">
        <f t="shared" si="471"/>
        <v>5850</v>
      </c>
      <c r="AZ211">
        <v>0</v>
      </c>
      <c r="BA211">
        <f t="shared" si="472"/>
        <v>3900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>IF(AX211&gt;0,SUM(AX211:BC211),0)</f>
        <v>42750</v>
      </c>
      <c r="BE211">
        <f>_xlfn.XLOOKUP(B211,'[5]july-2025'!$A:$A,'[5]july-2025'!$H:$H,0,0)</f>
        <v>2000</v>
      </c>
      <c r="BF211">
        <f>_xlfn.XLOOKUP(B211,'[5]july-2025'!$A:$A,'[5]july-2025'!$I:$I,0,0)</f>
        <v>0</v>
      </c>
      <c r="BG211">
        <f t="shared" si="473"/>
        <v>200</v>
      </c>
      <c r="BH211">
        <f t="shared" si="474"/>
        <v>40550</v>
      </c>
      <c r="BI211">
        <f>_xlfn.XLOOKUP(B211,'[6]august-2025'!$A:$A,'[6]august-2025'!$C:$C,0,0)</f>
        <v>32500</v>
      </c>
      <c r="BJ211">
        <f t="shared" si="475"/>
        <v>5850</v>
      </c>
      <c r="BK211">
        <f t="shared" si="476"/>
        <v>3900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477"/>
        <v>42750</v>
      </c>
      <c r="BO211">
        <f>_xlfn.XLOOKUP(B211,'[6]august-2025'!$A:$A,'[6]august-2025'!$H:$H,0,0)</f>
        <v>2000</v>
      </c>
      <c r="BP211">
        <f>_xlfn.XLOOKUP(B211,'[6]august-2025'!$A:$A,'[6]august-2025'!$I:$I,0,0)</f>
        <v>0</v>
      </c>
      <c r="BQ211">
        <f>IF($F211="YES",0,IF(BN211&gt;40000,200,IF(BN211&gt;25000,150,IF(BN211&gt;15000,130,IF(BN211&gt;10000,110,0)))))</f>
        <v>200</v>
      </c>
      <c r="BR211">
        <f>BN211-BO211-BP211-BQ211</f>
        <v>40550</v>
      </c>
      <c r="BS211">
        <f>_xlfn.XLOOKUP(B211,'[7]september-2025'!$A:$A,'[7]september-2025'!$C:$C,0,0)</f>
        <v>32500</v>
      </c>
      <c r="BT211">
        <f t="shared" si="478"/>
        <v>5850</v>
      </c>
      <c r="BU211">
        <f t="shared" si="479"/>
        <v>3900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>IF(BS211&gt;0,SUM(BS211:BW211),0)</f>
        <v>42750</v>
      </c>
      <c r="BY211">
        <f>_xlfn.XLOOKUP(B211,'[7]september-2025'!$A:$A,'[7]september-2025'!$H:$H,0,0)</f>
        <v>2000</v>
      </c>
      <c r="BZ211">
        <f>_xlfn.XLOOKUP(B211,'[7]september-2025'!$A:$A,'[7]september-2025'!$I:$I,0,0)</f>
        <v>0</v>
      </c>
      <c r="CA211">
        <f t="shared" si="480"/>
        <v>200</v>
      </c>
      <c r="CB211">
        <f t="shared" si="481"/>
        <v>40550</v>
      </c>
      <c r="CC211">
        <f>_xlfn.XLOOKUP(B211,'[8]october-2025'!$A:$A,'[8]october-2025'!$C:$C,0,0)</f>
        <v>32500</v>
      </c>
      <c r="CD211">
        <f t="shared" si="482"/>
        <v>5850</v>
      </c>
      <c r="CE211">
        <f t="shared" si="483"/>
        <v>3900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>IF(CC211&gt;0,SUM(CC211:CG211),0)</f>
        <v>42750</v>
      </c>
      <c r="CI211">
        <f>_xlfn.XLOOKUP(B211,'[8]october-2025'!$A:$A,'[8]october-2025'!$H:$H,0,0)</f>
        <v>2000</v>
      </c>
      <c r="CJ211">
        <f>_xlfn.XLOOKUP(B211,'[8]october-2025'!$A:$A,'[8]october-2025'!$I:$I,0,0)</f>
        <v>0</v>
      </c>
      <c r="CK211">
        <f t="shared" si="484"/>
        <v>200</v>
      </c>
      <c r="CL211">
        <f t="shared" si="485"/>
        <v>40550</v>
      </c>
      <c r="CM211">
        <f>_xlfn.XLOOKUP(B211,'[9]november-2025'!$A:$A,'[9]november-2025'!$C:$C,0,0)</f>
        <v>32500</v>
      </c>
      <c r="CN211">
        <f t="shared" si="486"/>
        <v>5850</v>
      </c>
      <c r="CO211">
        <f t="shared" si="487"/>
        <v>3900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>IF(CM211&gt;0,SUM(CM211:CQ211),0)</f>
        <v>42750</v>
      </c>
      <c r="CS211">
        <f>_xlfn.XLOOKUP(B211,'[9]november-2025'!$A:$A,'[9]november-2025'!$H:$H,0,0)</f>
        <v>2000</v>
      </c>
      <c r="CT211">
        <f>_xlfn.XLOOKUP(B211,'[9]november-2025'!$A:$A,'[9]november-2025'!$I:$I,0,0)</f>
        <v>0</v>
      </c>
      <c r="CU211">
        <f t="shared" si="488"/>
        <v>200</v>
      </c>
      <c r="CV211">
        <f t="shared" si="489"/>
        <v>40550</v>
      </c>
      <c r="CW211">
        <f>_xlfn.XLOOKUP(B211,'[10]december-2025'!$A:$A,'[10]december-2025'!$C:$C,0,0)</f>
        <v>32500</v>
      </c>
      <c r="CX211">
        <f t="shared" si="490"/>
        <v>5850</v>
      </c>
      <c r="CY211">
        <f t="shared" si="491"/>
        <v>3900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>IF(CW211&gt;0,SUM(CW211:DA211),0)</f>
        <v>42750</v>
      </c>
      <c r="DC211">
        <f>_xlfn.XLOOKUP(B211,'[10]december-2025'!$A:$A,'[10]december-2025'!$H:$H,0,0)</f>
        <v>2000</v>
      </c>
      <c r="DD211">
        <f>_xlfn.XLOOKUP(B211,'[10]december-2025'!$A:$A,'[10]december-2025'!$I:$I,0,0)</f>
        <v>0</v>
      </c>
      <c r="DE211">
        <f t="shared" si="492"/>
        <v>200</v>
      </c>
      <c r="DF211">
        <f t="shared" si="493"/>
        <v>40550</v>
      </c>
      <c r="DG211">
        <f>_xlfn.XLOOKUP(B211,'[11]january-2026'!$A:$A,'[11]january-2026'!$C:$C,0,0)</f>
        <v>32500</v>
      </c>
      <c r="DH211">
        <f t="shared" si="494"/>
        <v>5850</v>
      </c>
      <c r="DI211">
        <f t="shared" si="495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>IF(DG211&gt;0,SUM(DG211:DK211),0)</f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496"/>
        <v>200</v>
      </c>
      <c r="DP211">
        <f t="shared" si="497"/>
        <v>40550</v>
      </c>
      <c r="DQ211">
        <f>_xlfn.XLOOKUP(B211,'[12]february-2026'!$A:$A,'[12]february-2026'!$C:$C,0,0)</f>
        <v>32500</v>
      </c>
      <c r="DR211">
        <f t="shared" si="498"/>
        <v>5850</v>
      </c>
      <c r="DS211">
        <f t="shared" si="499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>IF(DQ211&gt;0,SUM(DQ211:DU211),0)</f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00"/>
        <v>200</v>
      </c>
      <c r="DZ211">
        <f t="shared" si="501"/>
        <v>40550</v>
      </c>
      <c r="EA211">
        <f>_xlfn.XLOOKUP(B211,'[1]march-2025'!$A:$A,'[1]march-2025'!$J:$J,0,0)</f>
        <v>0</v>
      </c>
      <c r="EB211">
        <f>_xlfn.XLOOKUP(B211,'[2]april-2025'!$A:$A,'[2]april-2025'!$J:$J,0,0)</f>
        <v>0</v>
      </c>
      <c r="EC211">
        <f>_xlfn.XLOOKUP(B211,'[3]may-2025'!$A:$A,'[3]may-2025'!$J:$J,0,0)</f>
        <v>0</v>
      </c>
      <c r="ED211">
        <f>_xlfn.XLOOKUP(B211,'[4]june-2025'!$A:$A,'[4]june-2025'!$J:$J,0,0)</f>
        <v>0</v>
      </c>
      <c r="EE211">
        <f>_xlfn.XLOOKUP(B211,'[5]july-2025'!$A:$A,'[5]july-2025'!$J:$J,0,0)</f>
        <v>0</v>
      </c>
      <c r="EF211">
        <f>_xlfn.XLOOKUP(B211,'[6]august-2025'!$A:$A,'[6]august-2025'!$J:$J,0,0)</f>
        <v>0</v>
      </c>
      <c r="EG211">
        <f>_xlfn.XLOOKUP(B211,'[7]september-2025'!$A:$A,'[7]september-2025'!$J:$J,0,0)</f>
        <v>0</v>
      </c>
      <c r="EH211">
        <f>_xlfn.XLOOKUP(B211,'[8]october-2025'!$A:$A,'[8]october-2025'!$J:$J,0,0)</f>
        <v>0</v>
      </c>
      <c r="EI211">
        <f>_xlfn.XLOOKUP(C211,'[9]november-2025'!$A:$A,'[9]november-2025'!$J:$J,0,0)</f>
        <v>0</v>
      </c>
      <c r="EJ211">
        <f>_xlfn.XLOOKUP(B211,'[10]december-2025'!$A:$A,'[10]december-2025'!$J:$J,0,0)</f>
        <v>0</v>
      </c>
      <c r="EK211">
        <f>_xlfn.XLOOKUP(B211,'[11]january-2026'!$A:$A,'[11]january-2026'!$J:$J,0,0)</f>
        <v>0</v>
      </c>
      <c r="EL211">
        <f>_xlfn.XLOOKUP(B211,'[12]february-2026'!$A:$A,'[12]february-2026'!$J:$J,0,0)</f>
        <v>0</v>
      </c>
      <c r="EM211">
        <f t="shared" si="455"/>
        <v>0</v>
      </c>
      <c r="EN211">
        <f>DV211+DL211+DB211+CR211+CH211+BX211+BN211+BD211+AS211+AI211+Y211+O211+H211+I211</f>
        <v>513856</v>
      </c>
      <c r="EO211">
        <f>DY211+DO211+DE211+CU211+CK211+CA211+BQ211+BG211+AV211+AL211+AB211+R211</f>
        <v>2400</v>
      </c>
      <c r="EP211">
        <f t="shared" si="502"/>
        <v>50000</v>
      </c>
      <c r="EQ211">
        <v>0</v>
      </c>
      <c r="ER211">
        <f t="shared" si="456"/>
        <v>461456</v>
      </c>
      <c r="ES211">
        <f>DW211+DM211+DC211+CS211+CI211+BY211+BO211+BE211+AT211+AJ211+Z211+P211</f>
        <v>24000</v>
      </c>
      <c r="ET211">
        <f>DX211+DN211+DD211+CT211+CJ211+BZ211+BP211+BF211+AU211+AK211+AA211+Q211</f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503"/>
        <v>24000</v>
      </c>
      <c r="FF211">
        <f t="shared" si="504"/>
        <v>24000</v>
      </c>
      <c r="FG211">
        <f t="shared" si="505"/>
        <v>437456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>SUM(FH211:FN211)+(IF(F211="YES",50000,0))</f>
        <v>0</v>
      </c>
      <c r="FP211">
        <f t="shared" si="506"/>
        <v>437456</v>
      </c>
      <c r="FQ211">
        <f t="shared" si="507"/>
        <v>9373</v>
      </c>
      <c r="FR211">
        <f t="shared" si="508"/>
        <v>0</v>
      </c>
      <c r="FS211">
        <f t="shared" si="509"/>
        <v>9373</v>
      </c>
      <c r="FT211">
        <f t="shared" si="510"/>
        <v>0</v>
      </c>
      <c r="FU211">
        <f t="shared" si="511"/>
        <v>0</v>
      </c>
      <c r="FV211">
        <f t="shared" si="512"/>
        <v>0</v>
      </c>
      <c r="FW211">
        <v>0</v>
      </c>
      <c r="FX211">
        <f t="shared" si="513"/>
        <v>0</v>
      </c>
      <c r="FY211" t="b">
        <f t="shared" si="514"/>
        <v>1</v>
      </c>
      <c r="FZ211">
        <f t="shared" ca="1" si="515"/>
        <v>822</v>
      </c>
      <c r="GA211">
        <f t="shared" ca="1" si="516"/>
        <v>514678</v>
      </c>
      <c r="GB211">
        <f t="shared" si="517"/>
        <v>75000</v>
      </c>
      <c r="GC211">
        <f t="shared" ca="1" si="518"/>
        <v>439678</v>
      </c>
      <c r="GD211">
        <f t="shared" ca="1" si="519"/>
        <v>0</v>
      </c>
      <c r="GE211">
        <f t="shared" ca="1" si="520"/>
        <v>0</v>
      </c>
      <c r="GF211">
        <f t="shared" ca="1" si="521"/>
        <v>0</v>
      </c>
      <c r="GG211">
        <f t="shared" ca="1" si="522"/>
        <v>0</v>
      </c>
      <c r="GH211">
        <f t="shared" ca="1" si="523"/>
        <v>0</v>
      </c>
      <c r="GI211">
        <f t="shared" ca="1" si="524"/>
        <v>0</v>
      </c>
      <c r="GJ211">
        <f ca="1">IF(GC211&gt;1200000,GC211-1200000-IF(F211="YES",50000,0)-GH211,0)</f>
        <v>0</v>
      </c>
      <c r="GK211">
        <f t="shared" ca="1" si="525"/>
        <v>0</v>
      </c>
      <c r="GL211">
        <f t="shared" ca="1" si="526"/>
        <v>0</v>
      </c>
      <c r="GM211">
        <f t="shared" ca="1" si="527"/>
        <v>0</v>
      </c>
      <c r="GN211">
        <f t="shared" ca="1" si="528"/>
        <v>39678</v>
      </c>
      <c r="GO211">
        <f t="shared" ca="1" si="529"/>
        <v>1983.9</v>
      </c>
      <c r="GP211">
        <f t="shared" ca="1" si="530"/>
        <v>1984</v>
      </c>
      <c r="GQ211">
        <f t="shared" ca="1" si="531"/>
        <v>0</v>
      </c>
      <c r="GR211">
        <f t="shared" ca="1" si="532"/>
        <v>0</v>
      </c>
      <c r="GS211">
        <f t="shared" ca="1" si="533"/>
        <v>1984</v>
      </c>
      <c r="GT211">
        <f t="shared" ca="1" si="534"/>
        <v>0</v>
      </c>
      <c r="GU211" t="b">
        <f t="shared" ca="1" si="535"/>
        <v>0</v>
      </c>
      <c r="GV211">
        <f t="shared" ca="1" si="536"/>
        <v>0</v>
      </c>
      <c r="GW211">
        <f t="shared" ca="1" si="537"/>
        <v>1984</v>
      </c>
      <c r="GX211">
        <f t="shared" ca="1" si="538"/>
        <v>0</v>
      </c>
      <c r="GY211">
        <f t="shared" ca="1" si="539"/>
        <v>0</v>
      </c>
      <c r="GZ211">
        <f t="shared" ca="1" si="540"/>
        <v>0</v>
      </c>
    </row>
    <row r="212" spans="1:208" x14ac:dyDescent="0.25">
      <c r="A212">
        <f>_xlfn.AGGREGATE(3,5,$B$2:B212)</f>
        <v>211</v>
      </c>
      <c r="B212" t="s">
        <v>528</v>
      </c>
      <c r="C212" t="s">
        <v>529</v>
      </c>
      <c r="D212" t="s">
        <v>804</v>
      </c>
      <c r="E212" t="s">
        <v>832</v>
      </c>
      <c r="F212" t="s">
        <v>957</v>
      </c>
      <c r="G212" t="s">
        <v>885</v>
      </c>
      <c r="H212">
        <f t="shared" si="542"/>
        <v>6800</v>
      </c>
      <c r="I212">
        <f>_xlfn.XLOOKUP(B212,'[1]march-2025'!$A:$A,'[1]march-2025'!$J:$J,0,0)</f>
        <v>0</v>
      </c>
      <c r="J212">
        <f>_xlfn.XLOOKUP(B212,'[1]march-2025'!$A:$A,'[1]march-2025'!$C:$C,0,0)</f>
        <v>48700</v>
      </c>
      <c r="K212">
        <f t="shared" si="457"/>
        <v>6818.0000000000009</v>
      </c>
      <c r="L212">
        <f t="shared" si="458"/>
        <v>5844</v>
      </c>
      <c r="M212">
        <f>_xlfn.XLOOKUP(B212,'[1]march-2025'!$A:$A,'[1]march-2025'!$D:$D,0,0)</f>
        <v>400</v>
      </c>
      <c r="N212">
        <f>_xlfn.XLOOKUP(B212,'[1]march-2025'!$A:$A,'[1]march-2025'!$G:$G,0,0)</f>
        <v>500</v>
      </c>
      <c r="O212">
        <f>IF(J212&gt;0,SUM(J212:N212),0)</f>
        <v>62262</v>
      </c>
      <c r="P212">
        <f>_xlfn.XLOOKUP(B212,'[1]march-2025'!$A:$A,'[1]march-2025'!$H:$H,0,0)</f>
        <v>4000</v>
      </c>
      <c r="Q212">
        <f>_xlfn.XLOOKUP(B212,'[1]march-2025'!$A:$A,'[1]march-2025'!$I:$I,0,0)</f>
        <v>60</v>
      </c>
      <c r="R212">
        <f t="shared" si="541"/>
        <v>200</v>
      </c>
      <c r="S212">
        <f t="shared" si="451"/>
        <v>58002</v>
      </c>
      <c r="T212">
        <f>_xlfn.XLOOKUP(B212,'[2]april-2025'!$A:$A,'[2]april-2025'!$C:$C,0,0)</f>
        <v>48700</v>
      </c>
      <c r="U212">
        <f t="shared" si="459"/>
        <v>8766</v>
      </c>
      <c r="V212">
        <f t="shared" si="460"/>
        <v>5844</v>
      </c>
      <c r="W212">
        <f>_xlfn.XLOOKUP(B212,'[2]april-2025'!$A:$A,'[2]april-2025'!$D:$D,0,0)</f>
        <v>400</v>
      </c>
      <c r="X212">
        <f>_xlfn.XLOOKUP(B212,'[2]april-2025'!$A:$A,'[2]april-2025'!$G:$G,0,0)</f>
        <v>500</v>
      </c>
      <c r="Y212">
        <f t="shared" si="452"/>
        <v>64210</v>
      </c>
      <c r="Z212">
        <f>_xlfn.XLOOKUP(B212,'[2]april-2025'!$A:$A,'[2]april-2025'!$H:$H,0,0)</f>
        <v>4000</v>
      </c>
      <c r="AA212">
        <f>_xlfn.XLOOKUP(B212,'[2]april-2025'!$A:$A,'[2]april-2025'!$I:$I,0,0)</f>
        <v>60</v>
      </c>
      <c r="AB212">
        <f t="shared" si="461"/>
        <v>200</v>
      </c>
      <c r="AC212">
        <f t="shared" si="462"/>
        <v>59950</v>
      </c>
      <c r="AD212">
        <f>_xlfn.XLOOKUP(B212,'[3]may-2025'!$A:$A,'[3]may-2025'!$C:$C,0,0)</f>
        <v>48700</v>
      </c>
      <c r="AE212">
        <f t="shared" si="463"/>
        <v>8766</v>
      </c>
      <c r="AF212">
        <f t="shared" si="464"/>
        <v>5844</v>
      </c>
      <c r="AG212">
        <f>_xlfn.XLOOKUP(B212,'[3]may-2025'!$A:$A,'[3]may-2025'!$D:$D,0,0)</f>
        <v>400</v>
      </c>
      <c r="AH212">
        <f>_xlfn.XLOOKUP(B212,'[3]may-2025'!$A:$A,'[3]may-2025'!$G:$G,0,0)</f>
        <v>500</v>
      </c>
      <c r="AI212">
        <f t="shared" si="453"/>
        <v>64210</v>
      </c>
      <c r="AJ212">
        <f>_xlfn.XLOOKUP(B212,'[3]may-2025'!$A:$A,'[3]may-2025'!$H:$H,0,0)</f>
        <v>4000</v>
      </c>
      <c r="AK212">
        <f>_xlfn.XLOOKUP(B212,'[3]may-2025'!$A:$A,'[3]may-2025'!$I:$I,0,0)</f>
        <v>60</v>
      </c>
      <c r="AL212">
        <f t="shared" si="465"/>
        <v>200</v>
      </c>
      <c r="AM212">
        <f t="shared" si="466"/>
        <v>59950</v>
      </c>
      <c r="AN212">
        <f>_xlfn.XLOOKUP(B212,'[4]june-2025'!$A:$A,'[4]june-2025'!$C:$C,0,0)</f>
        <v>48700</v>
      </c>
      <c r="AO212">
        <f t="shared" si="467"/>
        <v>8766</v>
      </c>
      <c r="AP212">
        <f t="shared" si="468"/>
        <v>5844</v>
      </c>
      <c r="AQ212">
        <f>_xlfn.XLOOKUP(B212,'[4]june-2025'!$A:$A,'[4]june-2025'!$D:$D,0,0)</f>
        <v>400</v>
      </c>
      <c r="AR212">
        <f>_xlfn.XLOOKUP(B212,'[4]june-2025'!$A:$A,'[4]june-2025'!$G:$G,0,0)</f>
        <v>500</v>
      </c>
      <c r="AS212">
        <f t="shared" si="454"/>
        <v>64210</v>
      </c>
      <c r="AT212">
        <f>_xlfn.XLOOKUP(B212,'[4]june-2025'!$A:$A,'[4]june-2025'!$H:$H,0,0)</f>
        <v>4000</v>
      </c>
      <c r="AU212">
        <f>_xlfn.XLOOKUP(B212,'[4]june-2025'!$A:$A,'[4]june-2025'!$I:$I,0,0)</f>
        <v>60</v>
      </c>
      <c r="AV212">
        <f t="shared" si="469"/>
        <v>200</v>
      </c>
      <c r="AW212">
        <f t="shared" si="470"/>
        <v>59950</v>
      </c>
      <c r="AX212">
        <f>_xlfn.XLOOKUP(B212,'[5]july-2025'!$A:$A,'[5]july-2025'!$C:$C,0,0)</f>
        <v>50200</v>
      </c>
      <c r="AY212">
        <f t="shared" si="471"/>
        <v>9036</v>
      </c>
      <c r="AZ212">
        <v>0</v>
      </c>
      <c r="BA212">
        <f t="shared" si="472"/>
        <v>6024</v>
      </c>
      <c r="BB212">
        <f>_xlfn.XLOOKUP(B212,'[5]july-2025'!$A:$A,'[5]july-2025'!$D:$D,0,0)</f>
        <v>400</v>
      </c>
      <c r="BC212">
        <f>_xlfn.XLOOKUP(B212,'[5]july-2025'!$A:$A,'[5]july-2025'!$G:$G,0,0)</f>
        <v>500</v>
      </c>
      <c r="BD212">
        <f>IF(AX212&gt;0,SUM(AX212:BC212),0)</f>
        <v>66160</v>
      </c>
      <c r="BE212">
        <f>_xlfn.XLOOKUP(B212,'[5]july-2025'!$A:$A,'[5]july-2025'!$H:$H,0,0)</f>
        <v>4000</v>
      </c>
      <c r="BF212">
        <f>_xlfn.XLOOKUP(B212,'[5]july-2025'!$A:$A,'[5]july-2025'!$I:$I,0,0)</f>
        <v>60</v>
      </c>
      <c r="BG212">
        <f t="shared" si="473"/>
        <v>200</v>
      </c>
      <c r="BH212">
        <f t="shared" si="474"/>
        <v>61900</v>
      </c>
      <c r="BI212">
        <f>_xlfn.XLOOKUP(B212,'[6]august-2025'!$A:$A,'[6]august-2025'!$C:$C,0,0)</f>
        <v>50200</v>
      </c>
      <c r="BJ212">
        <f t="shared" si="475"/>
        <v>9036</v>
      </c>
      <c r="BK212">
        <f t="shared" si="476"/>
        <v>6024</v>
      </c>
      <c r="BL212">
        <f>_xlfn.XLOOKUP(B212,'[6]august-2025'!$A:$A,'[6]august-2025'!$D:$D,0,0)</f>
        <v>400</v>
      </c>
      <c r="BM212">
        <f>_xlfn.XLOOKUP(B212,'[6]august-2025'!$A:$A,'[6]august-2025'!$G:$G,0,0)</f>
        <v>500</v>
      </c>
      <c r="BN212">
        <f t="shared" si="477"/>
        <v>66160</v>
      </c>
      <c r="BO212">
        <f>_xlfn.XLOOKUP(B212,'[6]august-2025'!$A:$A,'[6]august-2025'!$H:$H,0,0)</f>
        <v>4000</v>
      </c>
      <c r="BP212">
        <f>_xlfn.XLOOKUP(B212,'[6]august-2025'!$A:$A,'[6]august-2025'!$I:$I,0,0)</f>
        <v>60</v>
      </c>
      <c r="BQ212">
        <f>IF($F212="YES",0,IF(BN212&gt;40000,200,IF(BN212&gt;25000,150,IF(BN212&gt;15000,130,IF(BN212&gt;10000,110,0)))))</f>
        <v>200</v>
      </c>
      <c r="BR212">
        <f>BN212-BO212-BP212-BQ212</f>
        <v>61900</v>
      </c>
      <c r="BS212">
        <f>_xlfn.XLOOKUP(B212,'[7]september-2025'!$A:$A,'[7]september-2025'!$C:$C,0,0)</f>
        <v>50200</v>
      </c>
      <c r="BT212">
        <f t="shared" si="478"/>
        <v>9036</v>
      </c>
      <c r="BU212">
        <f t="shared" si="479"/>
        <v>6024</v>
      </c>
      <c r="BV212">
        <f>_xlfn.XLOOKUP(B212,'[7]september-2025'!$A:$A,'[7]september-2025'!$D:$D,0,0)</f>
        <v>400</v>
      </c>
      <c r="BW212">
        <f>_xlfn.XLOOKUP(B212,'[7]september-2025'!$A:$A,'[7]september-2025'!$G:$G,0,0)</f>
        <v>500</v>
      </c>
      <c r="BX212">
        <f>IF(BS212&gt;0,SUM(BS212:BW212),0)</f>
        <v>66160</v>
      </c>
      <c r="BY212">
        <f>_xlfn.XLOOKUP(B212,'[7]september-2025'!$A:$A,'[7]september-2025'!$H:$H,0,0)</f>
        <v>4000</v>
      </c>
      <c r="BZ212">
        <f>_xlfn.XLOOKUP(B212,'[7]september-2025'!$A:$A,'[7]september-2025'!$I:$I,0,0)</f>
        <v>60</v>
      </c>
      <c r="CA212">
        <f t="shared" si="480"/>
        <v>200</v>
      </c>
      <c r="CB212">
        <f t="shared" si="481"/>
        <v>61900</v>
      </c>
      <c r="CC212">
        <f>_xlfn.XLOOKUP(B212,'[8]october-2025'!$A:$A,'[8]october-2025'!$C:$C,0,0)</f>
        <v>50200</v>
      </c>
      <c r="CD212">
        <f t="shared" si="482"/>
        <v>9036</v>
      </c>
      <c r="CE212">
        <f t="shared" si="483"/>
        <v>6024</v>
      </c>
      <c r="CF212">
        <f>_xlfn.XLOOKUP(B212,'[8]october-2025'!$A:$A,'[8]october-2025'!$D:$D,0,0)</f>
        <v>400</v>
      </c>
      <c r="CG212">
        <f>_xlfn.XLOOKUP(B212,'[8]october-2025'!$A:$A,'[8]october-2025'!$G:$G,0,0)</f>
        <v>500</v>
      </c>
      <c r="CH212">
        <f>IF(CC212&gt;0,SUM(CC212:CG212),0)</f>
        <v>66160</v>
      </c>
      <c r="CI212">
        <f>_xlfn.XLOOKUP(B212,'[8]october-2025'!$A:$A,'[8]october-2025'!$H:$H,0,0)</f>
        <v>4000</v>
      </c>
      <c r="CJ212">
        <f>_xlfn.XLOOKUP(B212,'[8]october-2025'!$A:$A,'[8]october-2025'!$I:$I,0,0)</f>
        <v>60</v>
      </c>
      <c r="CK212">
        <f t="shared" si="484"/>
        <v>200</v>
      </c>
      <c r="CL212">
        <f t="shared" si="485"/>
        <v>61900</v>
      </c>
      <c r="CM212">
        <f>_xlfn.XLOOKUP(B212,'[9]november-2025'!$A:$A,'[9]november-2025'!$C:$C,0,0)</f>
        <v>50200</v>
      </c>
      <c r="CN212">
        <f t="shared" si="486"/>
        <v>9036</v>
      </c>
      <c r="CO212">
        <f t="shared" si="487"/>
        <v>6024</v>
      </c>
      <c r="CP212">
        <f>_xlfn.XLOOKUP(B212,'[9]november-2025'!$A:$A,'[9]november-2025'!$D:$D,0,0)</f>
        <v>400</v>
      </c>
      <c r="CQ212">
        <f>_xlfn.XLOOKUP(B212,'[9]november-2025'!$A:$A,'[9]november-2025'!$G:$G,0,0)</f>
        <v>500</v>
      </c>
      <c r="CR212">
        <f>IF(CM212&gt;0,SUM(CM212:CQ212),0)</f>
        <v>66160</v>
      </c>
      <c r="CS212">
        <f>_xlfn.XLOOKUP(B212,'[9]november-2025'!$A:$A,'[9]november-2025'!$H:$H,0,0)</f>
        <v>4000</v>
      </c>
      <c r="CT212">
        <f>_xlfn.XLOOKUP(B212,'[9]november-2025'!$A:$A,'[9]november-2025'!$I:$I,0,0)</f>
        <v>60</v>
      </c>
      <c r="CU212">
        <f t="shared" si="488"/>
        <v>200</v>
      </c>
      <c r="CV212">
        <f t="shared" si="489"/>
        <v>61900</v>
      </c>
      <c r="CW212">
        <f>_xlfn.XLOOKUP(B212,'[10]december-2025'!$A:$A,'[10]december-2025'!$C:$C,0,0)</f>
        <v>50200</v>
      </c>
      <c r="CX212">
        <f t="shared" si="490"/>
        <v>9036</v>
      </c>
      <c r="CY212">
        <f t="shared" si="491"/>
        <v>6024</v>
      </c>
      <c r="CZ212">
        <f>_xlfn.XLOOKUP(B212,'[10]december-2025'!$A:$A,'[10]december-2025'!$D:$D,0,0)</f>
        <v>400</v>
      </c>
      <c r="DA212">
        <f>_xlfn.XLOOKUP(B212,'[10]december-2025'!$A:$A,'[10]december-2025'!$G:$G,0,0)</f>
        <v>500</v>
      </c>
      <c r="DB212">
        <f>IF(CW212&gt;0,SUM(CW212:DA212),0)</f>
        <v>66160</v>
      </c>
      <c r="DC212">
        <f>_xlfn.XLOOKUP(B212,'[10]december-2025'!$A:$A,'[10]december-2025'!$H:$H,0,0)</f>
        <v>4000</v>
      </c>
      <c r="DD212">
        <f>_xlfn.XLOOKUP(B212,'[10]december-2025'!$A:$A,'[10]december-2025'!$I:$I,0,0)</f>
        <v>60</v>
      </c>
      <c r="DE212">
        <f t="shared" si="492"/>
        <v>200</v>
      </c>
      <c r="DF212">
        <f t="shared" si="493"/>
        <v>61900</v>
      </c>
      <c r="DG212">
        <f>_xlfn.XLOOKUP(B212,'[11]january-2026'!$A:$A,'[11]january-2026'!$C:$C,0,0)</f>
        <v>50200</v>
      </c>
      <c r="DH212">
        <f t="shared" si="494"/>
        <v>9036</v>
      </c>
      <c r="DI212">
        <f t="shared" si="495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>IF(DG212&gt;0,SUM(DG212:DK212),0)</f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496"/>
        <v>200</v>
      </c>
      <c r="DP212">
        <f t="shared" si="497"/>
        <v>61900</v>
      </c>
      <c r="DQ212">
        <f>_xlfn.XLOOKUP(B212,'[12]february-2026'!$A:$A,'[12]february-2026'!$C:$C,0,0)</f>
        <v>50200</v>
      </c>
      <c r="DR212">
        <f t="shared" si="498"/>
        <v>9036</v>
      </c>
      <c r="DS212">
        <f t="shared" si="499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>IF(DQ212&gt;0,SUM(DQ212:DU212),0)</f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00"/>
        <v>200</v>
      </c>
      <c r="DZ212">
        <f t="shared" si="501"/>
        <v>61900</v>
      </c>
      <c r="EA212">
        <f>_xlfn.XLOOKUP(B212,'[1]march-2025'!$A:$A,'[1]march-2025'!$J:$J,0,0)</f>
        <v>0</v>
      </c>
      <c r="EB212">
        <f>_xlfn.XLOOKUP(B212,'[2]april-2025'!$A:$A,'[2]april-2025'!$J:$J,0,0)</f>
        <v>0</v>
      </c>
      <c r="EC212">
        <f>_xlfn.XLOOKUP(B212,'[3]may-2025'!$A:$A,'[3]may-2025'!$J:$J,0,0)</f>
        <v>0</v>
      </c>
      <c r="ED212">
        <f>_xlfn.XLOOKUP(B212,'[4]june-2025'!$A:$A,'[4]june-2025'!$J:$J,0,0)</f>
        <v>0</v>
      </c>
      <c r="EE212">
        <f>_xlfn.XLOOKUP(B212,'[5]july-2025'!$A:$A,'[5]july-2025'!$J:$J,0,0)</f>
        <v>0</v>
      </c>
      <c r="EF212">
        <f>_xlfn.XLOOKUP(B212,'[6]august-2025'!$A:$A,'[6]august-2025'!$J:$J,0,0)</f>
        <v>0</v>
      </c>
      <c r="EG212">
        <f>_xlfn.XLOOKUP(B212,'[7]september-2025'!$A:$A,'[7]september-2025'!$J:$J,0,0)</f>
        <v>0</v>
      </c>
      <c r="EH212">
        <f>_xlfn.XLOOKUP(B212,'[8]october-2025'!$A:$A,'[8]october-2025'!$J:$J,0,0)</f>
        <v>0</v>
      </c>
      <c r="EI212">
        <f>_xlfn.XLOOKUP(C212,'[9]november-2025'!$A:$A,'[9]november-2025'!$J:$J,0,0)</f>
        <v>0</v>
      </c>
      <c r="EJ212">
        <f>_xlfn.XLOOKUP(B212,'[10]december-2025'!$A:$A,'[10]december-2025'!$J:$J,0,0)</f>
        <v>0</v>
      </c>
      <c r="EK212">
        <f>_xlfn.XLOOKUP(B212,'[11]january-2026'!$A:$A,'[11]january-2026'!$J:$J,0,0)</f>
        <v>0</v>
      </c>
      <c r="EL212">
        <f>_xlfn.XLOOKUP(B212,'[12]february-2026'!$A:$A,'[12]february-2026'!$J:$J,0,0)</f>
        <v>0</v>
      </c>
      <c r="EM212">
        <f t="shared" si="455"/>
        <v>0</v>
      </c>
      <c r="EN212">
        <f>DV212+DL212+DB212+CR212+CH212+BX212+BN212+BD212+AS212+AI212+Y212+O212+H212+I212</f>
        <v>790972</v>
      </c>
      <c r="EO212">
        <f>DY212+DO212+DE212+CU212+CK212+CA212+BQ212+BG212+AV212+AL212+AB212+R212</f>
        <v>2400</v>
      </c>
      <c r="EP212">
        <f t="shared" si="502"/>
        <v>50000</v>
      </c>
      <c r="EQ212">
        <v>0</v>
      </c>
      <c r="ER212">
        <f t="shared" si="456"/>
        <v>738572</v>
      </c>
      <c r="ES212">
        <f>DW212+DM212+DC212+CS212+CI212+BY212+BO212+BE212+AT212+AJ212+Z212+P212</f>
        <v>48000</v>
      </c>
      <c r="ET212">
        <f>DX212+DN212+DD212+CT212+CJ212+BZ212+BP212+BF212+AU212+AK212+AA212+Q212</f>
        <v>720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503"/>
        <v>48720</v>
      </c>
      <c r="FF212">
        <f t="shared" si="504"/>
        <v>48720</v>
      </c>
      <c r="FG212">
        <f t="shared" si="505"/>
        <v>689852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>SUM(FH212:FN212)+(IF(F212="YES",50000,0))</f>
        <v>0</v>
      </c>
      <c r="FP212">
        <f t="shared" si="506"/>
        <v>689852</v>
      </c>
      <c r="FQ212">
        <f t="shared" si="507"/>
        <v>12500</v>
      </c>
      <c r="FR212">
        <f t="shared" si="508"/>
        <v>37970</v>
      </c>
      <c r="FS212">
        <f t="shared" si="509"/>
        <v>50470</v>
      </c>
      <c r="FT212">
        <f t="shared" si="510"/>
        <v>50470</v>
      </c>
      <c r="FU212">
        <f t="shared" si="511"/>
        <v>2018.8</v>
      </c>
      <c r="FV212">
        <f t="shared" si="512"/>
        <v>52489</v>
      </c>
      <c r="FW212">
        <v>0</v>
      </c>
      <c r="FX212">
        <f t="shared" si="513"/>
        <v>52489</v>
      </c>
      <c r="FY212" t="b">
        <f t="shared" si="514"/>
        <v>1</v>
      </c>
      <c r="FZ212">
        <f t="shared" ca="1" si="515"/>
        <v>724</v>
      </c>
      <c r="GA212">
        <f t="shared" ca="1" si="516"/>
        <v>791696</v>
      </c>
      <c r="GB212">
        <f t="shared" si="517"/>
        <v>75000</v>
      </c>
      <c r="GC212">
        <f t="shared" ca="1" si="518"/>
        <v>716696</v>
      </c>
      <c r="GD212">
        <f t="shared" ca="1" si="519"/>
        <v>0</v>
      </c>
      <c r="GE212">
        <f t="shared" ca="1" si="520"/>
        <v>0</v>
      </c>
      <c r="GF212">
        <f t="shared" ca="1" si="521"/>
        <v>0</v>
      </c>
      <c r="GG212">
        <f t="shared" ca="1" si="522"/>
        <v>0</v>
      </c>
      <c r="GH212">
        <f t="shared" ca="1" si="523"/>
        <v>0</v>
      </c>
      <c r="GI212">
        <f t="shared" ca="1" si="524"/>
        <v>0</v>
      </c>
      <c r="GJ212">
        <f ca="1">IF(GC212&gt;1200000,GC212-1200000-IF(F212="YES",50000,0)-GH212,0)</f>
        <v>0</v>
      </c>
      <c r="GK212">
        <f t="shared" ca="1" si="525"/>
        <v>0</v>
      </c>
      <c r="GL212">
        <f t="shared" ca="1" si="526"/>
        <v>0</v>
      </c>
      <c r="GM212">
        <f t="shared" ca="1" si="527"/>
        <v>0</v>
      </c>
      <c r="GN212">
        <f t="shared" ca="1" si="528"/>
        <v>316696</v>
      </c>
      <c r="GO212">
        <f t="shared" ca="1" si="529"/>
        <v>15834.800000000001</v>
      </c>
      <c r="GP212">
        <f t="shared" ca="1" si="530"/>
        <v>15835</v>
      </c>
      <c r="GQ212">
        <f t="shared" ca="1" si="531"/>
        <v>0</v>
      </c>
      <c r="GR212">
        <f t="shared" ca="1" si="532"/>
        <v>0</v>
      </c>
      <c r="GS212">
        <f t="shared" ca="1" si="533"/>
        <v>15835</v>
      </c>
      <c r="GT212">
        <f t="shared" ca="1" si="534"/>
        <v>0</v>
      </c>
      <c r="GU212" t="b">
        <f t="shared" ca="1" si="535"/>
        <v>0</v>
      </c>
      <c r="GV212">
        <f t="shared" ca="1" si="536"/>
        <v>0</v>
      </c>
      <c r="GW212">
        <f t="shared" ca="1" si="537"/>
        <v>15835</v>
      </c>
      <c r="GX212">
        <f t="shared" ca="1" si="538"/>
        <v>0</v>
      </c>
      <c r="GY212">
        <f t="shared" ca="1" si="539"/>
        <v>0</v>
      </c>
      <c r="GZ212">
        <f t="shared" ca="1" si="540"/>
        <v>0</v>
      </c>
    </row>
    <row r="213" spans="1:208" x14ac:dyDescent="0.25">
      <c r="A213">
        <f>_xlfn.AGGREGATE(3,5,$B$2:B213)</f>
        <v>212</v>
      </c>
      <c r="B213" t="s">
        <v>530</v>
      </c>
      <c r="C213" t="s">
        <v>531</v>
      </c>
      <c r="D213" t="s">
        <v>804</v>
      </c>
      <c r="E213" t="s">
        <v>831</v>
      </c>
      <c r="F213" t="s">
        <v>957</v>
      </c>
      <c r="G213" t="s">
        <v>891</v>
      </c>
      <c r="H213">
        <f t="shared" si="542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457"/>
        <v>4830.0000000000009</v>
      </c>
      <c r="L213">
        <f t="shared" si="458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>IF(J213&gt;0,SUM(J213:N213),0)</f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541"/>
        <v>200</v>
      </c>
      <c r="S213">
        <f t="shared" si="451"/>
        <v>41270</v>
      </c>
      <c r="T213">
        <f>_xlfn.XLOOKUP(B213,'[2]april-2025'!$A:$A,'[2]april-2025'!$C:$C,0,0)</f>
        <v>34500</v>
      </c>
      <c r="U213">
        <f t="shared" si="459"/>
        <v>6210</v>
      </c>
      <c r="V213">
        <f t="shared" si="460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452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461"/>
        <v>200</v>
      </c>
      <c r="AC213">
        <f t="shared" si="462"/>
        <v>42650</v>
      </c>
      <c r="AD213">
        <f>_xlfn.XLOOKUP(B213,'[3]may-2025'!$A:$A,'[3]may-2025'!$C:$C,0,0)</f>
        <v>34500</v>
      </c>
      <c r="AE213">
        <f t="shared" si="463"/>
        <v>6210</v>
      </c>
      <c r="AF213">
        <f t="shared" si="464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453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465"/>
        <v>200</v>
      </c>
      <c r="AM213">
        <f t="shared" si="466"/>
        <v>42650</v>
      </c>
      <c r="AN213">
        <f>_xlfn.XLOOKUP(B213,'[4]june-2025'!$A:$A,'[4]june-2025'!$C:$C,0,0)</f>
        <v>34500</v>
      </c>
      <c r="AO213">
        <f t="shared" si="467"/>
        <v>6210</v>
      </c>
      <c r="AP213">
        <f t="shared" si="468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454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469"/>
        <v>200</v>
      </c>
      <c r="AW213">
        <f t="shared" si="470"/>
        <v>42650</v>
      </c>
      <c r="AX213">
        <f>_xlfn.XLOOKUP(B213,'[5]july-2025'!$A:$A,'[5]july-2025'!$C:$C,0,0)</f>
        <v>35500</v>
      </c>
      <c r="AY213">
        <f t="shared" si="471"/>
        <v>6390</v>
      </c>
      <c r="AZ213">
        <v>0</v>
      </c>
      <c r="BA213">
        <f t="shared" si="472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>IF(AX213&gt;0,SUM(AX213:BC213),0)</f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473"/>
        <v>200</v>
      </c>
      <c r="BH213">
        <f t="shared" si="474"/>
        <v>43950</v>
      </c>
      <c r="BI213">
        <f>_xlfn.XLOOKUP(B213,'[6]august-2025'!$A:$A,'[6]august-2025'!$C:$C,0,0)</f>
        <v>35500</v>
      </c>
      <c r="BJ213">
        <f t="shared" si="475"/>
        <v>6390</v>
      </c>
      <c r="BK213">
        <f t="shared" si="476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477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>IF($F213="YES",0,IF(BN213&gt;40000,200,IF(BN213&gt;25000,150,IF(BN213&gt;15000,130,IF(BN213&gt;10000,110,0)))))</f>
        <v>200</v>
      </c>
      <c r="BR213">
        <f>BN213-BO213-BP213-BQ213</f>
        <v>43950</v>
      </c>
      <c r="BS213">
        <f>_xlfn.XLOOKUP(B213,'[7]september-2025'!$A:$A,'[7]september-2025'!$C:$C,0,0)</f>
        <v>35500</v>
      </c>
      <c r="BT213">
        <f t="shared" si="478"/>
        <v>6390</v>
      </c>
      <c r="BU213">
        <f t="shared" si="479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>IF(BS213&gt;0,SUM(BS213:BW213),0)</f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480"/>
        <v>200</v>
      </c>
      <c r="CB213">
        <f t="shared" si="481"/>
        <v>43950</v>
      </c>
      <c r="CC213">
        <f>_xlfn.XLOOKUP(B213,'[8]october-2025'!$A:$A,'[8]october-2025'!$C:$C,0,0)</f>
        <v>35500</v>
      </c>
      <c r="CD213">
        <f t="shared" si="482"/>
        <v>6390</v>
      </c>
      <c r="CE213">
        <f t="shared" si="483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>IF(CC213&gt;0,SUM(CC213:CG213),0)</f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484"/>
        <v>200</v>
      </c>
      <c r="CL213">
        <f t="shared" si="485"/>
        <v>43950</v>
      </c>
      <c r="CM213">
        <f>_xlfn.XLOOKUP(B213,'[9]november-2025'!$A:$A,'[9]november-2025'!$C:$C,0,0)</f>
        <v>35500</v>
      </c>
      <c r="CN213">
        <f t="shared" si="486"/>
        <v>6390</v>
      </c>
      <c r="CO213">
        <f t="shared" si="487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>IF(CM213&gt;0,SUM(CM213:CQ213),0)</f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488"/>
        <v>200</v>
      </c>
      <c r="CV213">
        <f t="shared" si="489"/>
        <v>43950</v>
      </c>
      <c r="CW213">
        <f>_xlfn.XLOOKUP(B213,'[10]december-2025'!$A:$A,'[10]december-2025'!$C:$C,0,0)</f>
        <v>35500</v>
      </c>
      <c r="CX213">
        <f t="shared" si="490"/>
        <v>6390</v>
      </c>
      <c r="CY213">
        <f t="shared" si="491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>IF(CW213&gt;0,SUM(CW213:DA213),0)</f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492"/>
        <v>200</v>
      </c>
      <c r="DF213">
        <f t="shared" si="493"/>
        <v>43950</v>
      </c>
      <c r="DG213">
        <f>_xlfn.XLOOKUP(B213,'[11]january-2026'!$A:$A,'[11]january-2026'!$C:$C,0,0)</f>
        <v>35500</v>
      </c>
      <c r="DH213">
        <f t="shared" si="494"/>
        <v>6390</v>
      </c>
      <c r="DI213">
        <f t="shared" si="495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>IF(DG213&gt;0,SUM(DG213:DK213),0)</f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496"/>
        <v>200</v>
      </c>
      <c r="DP213">
        <f t="shared" si="497"/>
        <v>43950</v>
      </c>
      <c r="DQ213">
        <f>_xlfn.XLOOKUP(B213,'[12]february-2026'!$A:$A,'[12]february-2026'!$C:$C,0,0)</f>
        <v>35500</v>
      </c>
      <c r="DR213">
        <f t="shared" si="498"/>
        <v>6390</v>
      </c>
      <c r="DS213">
        <f t="shared" si="499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>IF(DQ213&gt;0,SUM(DQ213:DU213),0)</f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00"/>
        <v>200</v>
      </c>
      <c r="DZ213">
        <f t="shared" si="501"/>
        <v>43950</v>
      </c>
      <c r="EA213">
        <f>_xlfn.XLOOKUP(B213,'[1]march-2025'!$A:$A,'[1]march-2025'!$J:$J,0,0)</f>
        <v>0</v>
      </c>
      <c r="EB213">
        <f>_xlfn.XLOOKUP(B213,'[2]april-2025'!$A:$A,'[2]april-2025'!$J:$J,0,0)</f>
        <v>0</v>
      </c>
      <c r="EC213">
        <f>_xlfn.XLOOKUP(B213,'[3]may-2025'!$A:$A,'[3]may-2025'!$J:$J,0,0)</f>
        <v>0</v>
      </c>
      <c r="ED213">
        <f>_xlfn.XLOOKUP(B213,'[4]june-2025'!$A:$A,'[4]june-2025'!$J:$J,0,0)</f>
        <v>0</v>
      </c>
      <c r="EE213">
        <f>_xlfn.XLOOKUP(B213,'[5]july-2025'!$A:$A,'[5]july-2025'!$J:$J,0,0)</f>
        <v>0</v>
      </c>
      <c r="EF213">
        <f>_xlfn.XLOOKUP(B213,'[6]august-2025'!$A:$A,'[6]august-2025'!$J:$J,0,0)</f>
        <v>0</v>
      </c>
      <c r="EG213">
        <f>_xlfn.XLOOKUP(B213,'[7]september-2025'!$A:$A,'[7]september-2025'!$J:$J,0,0)</f>
        <v>0</v>
      </c>
      <c r="EH213">
        <f>_xlfn.XLOOKUP(B213,'[8]october-2025'!$A:$A,'[8]october-2025'!$J:$J,0,0)</f>
        <v>0</v>
      </c>
      <c r="EI213">
        <f>_xlfn.XLOOKUP(C213,'[9]november-2025'!$A:$A,'[9]november-2025'!$J:$J,0,0)</f>
        <v>0</v>
      </c>
      <c r="EJ213">
        <f>_xlfn.XLOOKUP(B213,'[10]december-2025'!$A:$A,'[10]december-2025'!$J:$J,0,0)</f>
        <v>0</v>
      </c>
      <c r="EK213">
        <f>_xlfn.XLOOKUP(B213,'[11]january-2026'!$A:$A,'[11]january-2026'!$J:$J,0,0)</f>
        <v>0</v>
      </c>
      <c r="EL213">
        <f>_xlfn.XLOOKUP(B213,'[12]february-2026'!$A:$A,'[12]february-2026'!$J:$J,0,0)</f>
        <v>0</v>
      </c>
      <c r="EM213">
        <f t="shared" si="455"/>
        <v>0</v>
      </c>
      <c r="EN213">
        <f>DV213+DL213+DB213+CR213+CH213+BX213+BN213+BD213+AS213+AI213+Y213+O213+H213+I213</f>
        <v>560020</v>
      </c>
      <c r="EO213">
        <f>DY213+DO213+DE213+CU213+CK213+CA213+BQ213+BG213+AV213+AL213+AB213+R213</f>
        <v>2400</v>
      </c>
      <c r="EP213">
        <f t="shared" si="502"/>
        <v>50000</v>
      </c>
      <c r="EQ213">
        <v>0</v>
      </c>
      <c r="ER213">
        <f t="shared" si="456"/>
        <v>507620</v>
      </c>
      <c r="ES213">
        <f>DW213+DM213+DC213+CS213+CI213+BY213+BO213+BE213+AT213+AJ213+Z213+P213</f>
        <v>30000</v>
      </c>
      <c r="ET213">
        <f>DX213+DN213+DD213+CT213+CJ213+BZ213+BP213+BF213+AU213+AK213+AA213+Q213</f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503"/>
        <v>30000</v>
      </c>
      <c r="FF213">
        <f t="shared" si="504"/>
        <v>30000</v>
      </c>
      <c r="FG213">
        <f t="shared" si="505"/>
        <v>477620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>SUM(FH213:FN213)+(IF(F213="YES",50000,0))</f>
        <v>0</v>
      </c>
      <c r="FP213">
        <f t="shared" si="506"/>
        <v>477620</v>
      </c>
      <c r="FQ213">
        <f t="shared" si="507"/>
        <v>11381</v>
      </c>
      <c r="FR213">
        <f t="shared" si="508"/>
        <v>0</v>
      </c>
      <c r="FS213">
        <f t="shared" si="509"/>
        <v>11381</v>
      </c>
      <c r="FT213">
        <f t="shared" si="510"/>
        <v>0</v>
      </c>
      <c r="FU213">
        <f t="shared" si="511"/>
        <v>0</v>
      </c>
      <c r="FV213">
        <f t="shared" si="512"/>
        <v>0</v>
      </c>
      <c r="FW213">
        <v>0</v>
      </c>
      <c r="FX213">
        <f t="shared" si="513"/>
        <v>0</v>
      </c>
      <c r="FY213" t="b">
        <f t="shared" si="514"/>
        <v>1</v>
      </c>
      <c r="FZ213">
        <f t="shared" ca="1" si="515"/>
        <v>930</v>
      </c>
      <c r="GA213">
        <f t="shared" ca="1" si="516"/>
        <v>560950</v>
      </c>
      <c r="GB213">
        <f t="shared" si="517"/>
        <v>75000</v>
      </c>
      <c r="GC213">
        <f t="shared" ca="1" si="518"/>
        <v>485950</v>
      </c>
      <c r="GD213">
        <f t="shared" ca="1" si="519"/>
        <v>0</v>
      </c>
      <c r="GE213">
        <f t="shared" ca="1" si="520"/>
        <v>0</v>
      </c>
      <c r="GF213">
        <f t="shared" ca="1" si="521"/>
        <v>0</v>
      </c>
      <c r="GG213">
        <f t="shared" ca="1" si="522"/>
        <v>0</v>
      </c>
      <c r="GH213">
        <f t="shared" ca="1" si="523"/>
        <v>0</v>
      </c>
      <c r="GI213">
        <f t="shared" ca="1" si="524"/>
        <v>0</v>
      </c>
      <c r="GJ213">
        <f ca="1">IF(GC213&gt;1200000,GC213-1200000-IF(F213="YES",50000,0)-GH213,0)</f>
        <v>0</v>
      </c>
      <c r="GK213">
        <f t="shared" ca="1" si="525"/>
        <v>0</v>
      </c>
      <c r="GL213">
        <f t="shared" ca="1" si="526"/>
        <v>0</v>
      </c>
      <c r="GM213">
        <f t="shared" ca="1" si="527"/>
        <v>0</v>
      </c>
      <c r="GN213">
        <f t="shared" ca="1" si="528"/>
        <v>85950</v>
      </c>
      <c r="GO213">
        <f t="shared" ca="1" si="529"/>
        <v>4297.5</v>
      </c>
      <c r="GP213">
        <f t="shared" ca="1" si="530"/>
        <v>4298</v>
      </c>
      <c r="GQ213">
        <f t="shared" ca="1" si="531"/>
        <v>0</v>
      </c>
      <c r="GR213">
        <f t="shared" ca="1" si="532"/>
        <v>0</v>
      </c>
      <c r="GS213">
        <f t="shared" ca="1" si="533"/>
        <v>4298</v>
      </c>
      <c r="GT213">
        <f t="shared" ca="1" si="534"/>
        <v>0</v>
      </c>
      <c r="GU213" t="b">
        <f t="shared" ca="1" si="535"/>
        <v>0</v>
      </c>
      <c r="GV213">
        <f t="shared" ca="1" si="536"/>
        <v>0</v>
      </c>
      <c r="GW213">
        <f t="shared" ca="1" si="537"/>
        <v>4298</v>
      </c>
      <c r="GX213">
        <f t="shared" ca="1" si="538"/>
        <v>0</v>
      </c>
      <c r="GY213">
        <f t="shared" ca="1" si="539"/>
        <v>0</v>
      </c>
      <c r="GZ213">
        <f t="shared" ca="1" si="540"/>
        <v>0</v>
      </c>
    </row>
    <row r="214" spans="1:208" x14ac:dyDescent="0.25">
      <c r="A214">
        <f>_xlfn.AGGREGATE(3,5,$B$2:B214)</f>
        <v>213</v>
      </c>
      <c r="B214" t="s">
        <v>532</v>
      </c>
      <c r="C214" t="s">
        <v>533</v>
      </c>
      <c r="D214" t="s">
        <v>804</v>
      </c>
      <c r="E214" t="s">
        <v>831</v>
      </c>
      <c r="F214" t="s">
        <v>957</v>
      </c>
      <c r="G214" t="s">
        <v>891</v>
      </c>
      <c r="H214">
        <f t="shared" si="542"/>
        <v>6800</v>
      </c>
      <c r="I214">
        <f>_xlfn.XLOOKUP(B214,'[1]march-2025'!$A:$A,'[1]march-2025'!$J:$J,0,0)</f>
        <v>0</v>
      </c>
      <c r="J214">
        <f>_xlfn.XLOOKUP(B214,'[1]march-2025'!$A:$A,'[1]march-2025'!$C:$C,0,0)</f>
        <v>34500</v>
      </c>
      <c r="K214">
        <f t="shared" si="457"/>
        <v>4830.0000000000009</v>
      </c>
      <c r="L214">
        <f t="shared" si="458"/>
        <v>4140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>IF(J214&gt;0,SUM(J214:N214),0)</f>
        <v>43970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541"/>
        <v>200</v>
      </c>
      <c r="S214">
        <f t="shared" si="451"/>
        <v>41270</v>
      </c>
      <c r="T214">
        <f>_xlfn.XLOOKUP(B214,'[2]april-2025'!$A:$A,'[2]april-2025'!$C:$C,0,0)</f>
        <v>34500</v>
      </c>
      <c r="U214">
        <f t="shared" si="459"/>
        <v>6210</v>
      </c>
      <c r="V214">
        <f t="shared" si="460"/>
        <v>4140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452"/>
        <v>45350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461"/>
        <v>200</v>
      </c>
      <c r="AC214">
        <f t="shared" si="462"/>
        <v>42650</v>
      </c>
      <c r="AD214">
        <f>_xlfn.XLOOKUP(B214,'[3]may-2025'!$A:$A,'[3]may-2025'!$C:$C,0,0)</f>
        <v>34500</v>
      </c>
      <c r="AE214">
        <f t="shared" si="463"/>
        <v>6210</v>
      </c>
      <c r="AF214">
        <f t="shared" si="464"/>
        <v>4140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453"/>
        <v>45350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465"/>
        <v>200</v>
      </c>
      <c r="AM214">
        <f t="shared" si="466"/>
        <v>42650</v>
      </c>
      <c r="AN214">
        <f>_xlfn.XLOOKUP(B214,'[4]june-2025'!$A:$A,'[4]june-2025'!$C:$C,0,0)</f>
        <v>34500</v>
      </c>
      <c r="AO214">
        <f t="shared" si="467"/>
        <v>6210</v>
      </c>
      <c r="AP214">
        <f t="shared" si="468"/>
        <v>4140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454"/>
        <v>45350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469"/>
        <v>200</v>
      </c>
      <c r="AW214">
        <f t="shared" si="470"/>
        <v>42650</v>
      </c>
      <c r="AX214">
        <f>_xlfn.XLOOKUP(B214,'[5]july-2025'!$A:$A,'[5]july-2025'!$C:$C,0,0)</f>
        <v>35500</v>
      </c>
      <c r="AY214">
        <f t="shared" si="471"/>
        <v>6390</v>
      </c>
      <c r="AZ214">
        <v>0</v>
      </c>
      <c r="BA214">
        <f t="shared" si="472"/>
        <v>4260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>IF(AX214&gt;0,SUM(AX214:BC214),0)</f>
        <v>46650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473"/>
        <v>200</v>
      </c>
      <c r="BH214">
        <f t="shared" si="474"/>
        <v>43950</v>
      </c>
      <c r="BI214">
        <f>_xlfn.XLOOKUP(B214,'[6]august-2025'!$A:$A,'[6]august-2025'!$C:$C,0,0)</f>
        <v>35500</v>
      </c>
      <c r="BJ214">
        <f t="shared" si="475"/>
        <v>6390</v>
      </c>
      <c r="BK214">
        <f t="shared" si="476"/>
        <v>4260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477"/>
        <v>46650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>IF($F214="YES",0,IF(BN214&gt;40000,200,IF(BN214&gt;25000,150,IF(BN214&gt;15000,130,IF(BN214&gt;10000,110,0)))))</f>
        <v>200</v>
      </c>
      <c r="BR214">
        <f>BN214-BO214-BP214-BQ214</f>
        <v>43950</v>
      </c>
      <c r="BS214">
        <f>_xlfn.XLOOKUP(B214,'[7]september-2025'!$A:$A,'[7]september-2025'!$C:$C,0,0)</f>
        <v>35500</v>
      </c>
      <c r="BT214">
        <f t="shared" si="478"/>
        <v>6390</v>
      </c>
      <c r="BU214">
        <f t="shared" si="479"/>
        <v>4260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>IF(BS214&gt;0,SUM(BS214:BW214),0)</f>
        <v>46650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480"/>
        <v>200</v>
      </c>
      <c r="CB214">
        <f t="shared" si="481"/>
        <v>43950</v>
      </c>
      <c r="CC214">
        <f>_xlfn.XLOOKUP(B214,'[8]october-2025'!$A:$A,'[8]october-2025'!$C:$C,0,0)</f>
        <v>35500</v>
      </c>
      <c r="CD214">
        <f t="shared" si="482"/>
        <v>6390</v>
      </c>
      <c r="CE214">
        <f t="shared" si="483"/>
        <v>4260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>IF(CC214&gt;0,SUM(CC214:CG214),0)</f>
        <v>46650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484"/>
        <v>200</v>
      </c>
      <c r="CL214">
        <f t="shared" si="485"/>
        <v>43950</v>
      </c>
      <c r="CM214">
        <f>_xlfn.XLOOKUP(B214,'[9]november-2025'!$A:$A,'[9]november-2025'!$C:$C,0,0)</f>
        <v>35500</v>
      </c>
      <c r="CN214">
        <f t="shared" si="486"/>
        <v>6390</v>
      </c>
      <c r="CO214">
        <f t="shared" si="487"/>
        <v>4260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>IF(CM214&gt;0,SUM(CM214:CQ214),0)</f>
        <v>46650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488"/>
        <v>200</v>
      </c>
      <c r="CV214">
        <f t="shared" si="489"/>
        <v>43950</v>
      </c>
      <c r="CW214">
        <f>_xlfn.XLOOKUP(B214,'[10]december-2025'!$A:$A,'[10]december-2025'!$C:$C,0,0)</f>
        <v>35500</v>
      </c>
      <c r="CX214">
        <f t="shared" si="490"/>
        <v>6390</v>
      </c>
      <c r="CY214">
        <f t="shared" si="491"/>
        <v>4260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>IF(CW214&gt;0,SUM(CW214:DA214),0)</f>
        <v>46650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492"/>
        <v>200</v>
      </c>
      <c r="DF214">
        <f t="shared" si="493"/>
        <v>43950</v>
      </c>
      <c r="DG214">
        <f>_xlfn.XLOOKUP(B214,'[11]january-2026'!$A:$A,'[11]january-2026'!$C:$C,0,0)</f>
        <v>35500</v>
      </c>
      <c r="DH214">
        <f t="shared" si="494"/>
        <v>6390</v>
      </c>
      <c r="DI214">
        <f t="shared" si="495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>IF(DG214&gt;0,SUM(DG214:DK214),0)</f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496"/>
        <v>200</v>
      </c>
      <c r="DP214">
        <f t="shared" si="497"/>
        <v>43950</v>
      </c>
      <c r="DQ214">
        <f>_xlfn.XLOOKUP(B214,'[12]february-2026'!$A:$A,'[12]february-2026'!$C:$C,0,0)</f>
        <v>35500</v>
      </c>
      <c r="DR214">
        <f t="shared" si="498"/>
        <v>6390</v>
      </c>
      <c r="DS214">
        <f t="shared" si="499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>IF(DQ214&gt;0,SUM(DQ214:DU214),0)</f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00"/>
        <v>200</v>
      </c>
      <c r="DZ214">
        <f t="shared" si="501"/>
        <v>43950</v>
      </c>
      <c r="EA214">
        <f>_xlfn.XLOOKUP(B214,'[1]march-2025'!$A:$A,'[1]march-2025'!$J:$J,0,0)</f>
        <v>0</v>
      </c>
      <c r="EB214">
        <f>_xlfn.XLOOKUP(B214,'[2]april-2025'!$A:$A,'[2]april-2025'!$J:$J,0,0)</f>
        <v>0</v>
      </c>
      <c r="EC214">
        <f>_xlfn.XLOOKUP(B214,'[3]may-2025'!$A:$A,'[3]may-2025'!$J:$J,0,0)</f>
        <v>0</v>
      </c>
      <c r="ED214">
        <f>_xlfn.XLOOKUP(B214,'[4]june-2025'!$A:$A,'[4]june-2025'!$J:$J,0,0)</f>
        <v>0</v>
      </c>
      <c r="EE214">
        <f>_xlfn.XLOOKUP(B214,'[5]july-2025'!$A:$A,'[5]july-2025'!$J:$J,0,0)</f>
        <v>0</v>
      </c>
      <c r="EF214">
        <f>_xlfn.XLOOKUP(B214,'[6]august-2025'!$A:$A,'[6]august-2025'!$J:$J,0,0)</f>
        <v>0</v>
      </c>
      <c r="EG214">
        <f>_xlfn.XLOOKUP(B214,'[7]september-2025'!$A:$A,'[7]september-2025'!$J:$J,0,0)</f>
        <v>0</v>
      </c>
      <c r="EH214">
        <f>_xlfn.XLOOKUP(B214,'[8]october-2025'!$A:$A,'[8]october-2025'!$J:$J,0,0)</f>
        <v>0</v>
      </c>
      <c r="EI214">
        <f>_xlfn.XLOOKUP(C214,'[9]november-2025'!$A:$A,'[9]november-2025'!$J:$J,0,0)</f>
        <v>0</v>
      </c>
      <c r="EJ214">
        <f>_xlfn.XLOOKUP(B214,'[10]december-2025'!$A:$A,'[10]december-2025'!$J:$J,0,0)</f>
        <v>0</v>
      </c>
      <c r="EK214">
        <f>_xlfn.XLOOKUP(B214,'[11]january-2026'!$A:$A,'[11]january-2026'!$J:$J,0,0)</f>
        <v>0</v>
      </c>
      <c r="EL214">
        <f>_xlfn.XLOOKUP(B214,'[12]february-2026'!$A:$A,'[12]february-2026'!$J:$J,0,0)</f>
        <v>0</v>
      </c>
      <c r="EM214">
        <f t="shared" si="455"/>
        <v>0</v>
      </c>
      <c r="EN214">
        <f>DV214+DL214+DB214+CR214+CH214+BX214+BN214+BD214+AS214+AI214+Y214+O214+H214+I214</f>
        <v>560020</v>
      </c>
      <c r="EO214">
        <f>DY214+DO214+DE214+CU214+CK214+CA214+BQ214+BG214+AV214+AL214+AB214+R214</f>
        <v>2400</v>
      </c>
      <c r="EP214">
        <f t="shared" si="502"/>
        <v>50000</v>
      </c>
      <c r="EQ214">
        <v>0</v>
      </c>
      <c r="ER214">
        <f t="shared" si="456"/>
        <v>507620</v>
      </c>
      <c r="ES214">
        <f>DW214+DM214+DC214+CS214+CI214+BY214+BO214+BE214+AT214+AJ214+Z214+P214</f>
        <v>30000</v>
      </c>
      <c r="ET214">
        <f>DX214+DN214+DD214+CT214+CJ214+BZ214+BP214+BF214+AU214+AK214+AA214+Q214</f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503"/>
        <v>30000</v>
      </c>
      <c r="FF214">
        <f t="shared" si="504"/>
        <v>30000</v>
      </c>
      <c r="FG214">
        <f t="shared" si="505"/>
        <v>477620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>SUM(FH214:FN214)+(IF(F214="YES",50000,0))</f>
        <v>0</v>
      </c>
      <c r="FP214">
        <f t="shared" si="506"/>
        <v>477620</v>
      </c>
      <c r="FQ214">
        <f t="shared" si="507"/>
        <v>11381</v>
      </c>
      <c r="FR214">
        <f t="shared" si="508"/>
        <v>0</v>
      </c>
      <c r="FS214">
        <f t="shared" si="509"/>
        <v>11381</v>
      </c>
      <c r="FT214">
        <f t="shared" si="510"/>
        <v>0</v>
      </c>
      <c r="FU214">
        <f t="shared" si="511"/>
        <v>0</v>
      </c>
      <c r="FV214">
        <f t="shared" si="512"/>
        <v>0</v>
      </c>
      <c r="FW214">
        <v>0</v>
      </c>
      <c r="FX214">
        <f t="shared" si="513"/>
        <v>0</v>
      </c>
      <c r="FY214" t="b">
        <f t="shared" si="514"/>
        <v>1</v>
      </c>
      <c r="FZ214">
        <f t="shared" ca="1" si="515"/>
        <v>716</v>
      </c>
      <c r="GA214">
        <f t="shared" ca="1" si="516"/>
        <v>560736</v>
      </c>
      <c r="GB214">
        <f t="shared" si="517"/>
        <v>75000</v>
      </c>
      <c r="GC214">
        <f t="shared" ca="1" si="518"/>
        <v>485736</v>
      </c>
      <c r="GD214">
        <f t="shared" ca="1" si="519"/>
        <v>0</v>
      </c>
      <c r="GE214">
        <f t="shared" ca="1" si="520"/>
        <v>0</v>
      </c>
      <c r="GF214">
        <f t="shared" ca="1" si="521"/>
        <v>0</v>
      </c>
      <c r="GG214">
        <f t="shared" ca="1" si="522"/>
        <v>0</v>
      </c>
      <c r="GH214">
        <f t="shared" ca="1" si="523"/>
        <v>0</v>
      </c>
      <c r="GI214">
        <f t="shared" ca="1" si="524"/>
        <v>0</v>
      </c>
      <c r="GJ214">
        <f ca="1">IF(GC214&gt;1200000,GC214-1200000-IF(F214="YES",50000,0)-GH214,0)</f>
        <v>0</v>
      </c>
      <c r="GK214">
        <f t="shared" ca="1" si="525"/>
        <v>0</v>
      </c>
      <c r="GL214">
        <f t="shared" ca="1" si="526"/>
        <v>0</v>
      </c>
      <c r="GM214">
        <f t="shared" ca="1" si="527"/>
        <v>0</v>
      </c>
      <c r="GN214">
        <f t="shared" ca="1" si="528"/>
        <v>85736</v>
      </c>
      <c r="GO214">
        <f t="shared" ca="1" si="529"/>
        <v>4286.8</v>
      </c>
      <c r="GP214">
        <f t="shared" ca="1" si="530"/>
        <v>4287</v>
      </c>
      <c r="GQ214">
        <f t="shared" ca="1" si="531"/>
        <v>0</v>
      </c>
      <c r="GR214">
        <f t="shared" ca="1" si="532"/>
        <v>0</v>
      </c>
      <c r="GS214">
        <f t="shared" ca="1" si="533"/>
        <v>4287</v>
      </c>
      <c r="GT214">
        <f t="shared" ca="1" si="534"/>
        <v>0</v>
      </c>
      <c r="GU214" t="b">
        <f t="shared" ca="1" si="535"/>
        <v>0</v>
      </c>
      <c r="GV214">
        <f t="shared" ca="1" si="536"/>
        <v>0</v>
      </c>
      <c r="GW214">
        <f t="shared" ca="1" si="537"/>
        <v>4287</v>
      </c>
      <c r="GX214">
        <f t="shared" ca="1" si="538"/>
        <v>0</v>
      </c>
      <c r="GY214">
        <f t="shared" ca="1" si="539"/>
        <v>0</v>
      </c>
      <c r="GZ214">
        <f t="shared" ca="1" si="540"/>
        <v>0</v>
      </c>
    </row>
    <row r="215" spans="1:208" x14ac:dyDescent="0.25">
      <c r="A215">
        <f>_xlfn.AGGREGATE(3,5,$B$2:B215)</f>
        <v>214</v>
      </c>
      <c r="B215" t="s">
        <v>534</v>
      </c>
      <c r="C215" t="s">
        <v>535</v>
      </c>
      <c r="D215" t="s">
        <v>804</v>
      </c>
      <c r="E215" t="s">
        <v>831</v>
      </c>
      <c r="F215" t="s">
        <v>957</v>
      </c>
      <c r="G215" t="s">
        <v>897</v>
      </c>
      <c r="H215">
        <f t="shared" si="542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457"/>
        <v>4690</v>
      </c>
      <c r="L215">
        <f t="shared" si="458"/>
        <v>4020</v>
      </c>
      <c r="M215">
        <f>_xlfn.XLOOKUP(B215,'[1]march-2025'!$A:$A,'[1]march-2025'!$D:$D,0,0)</f>
        <v>0</v>
      </c>
      <c r="N215">
        <f>_xlfn.XLOOKUP(B215,'[1]march-2025'!$A:$A,'[1]march-2025'!$G:$G,0,0)</f>
        <v>0</v>
      </c>
      <c r="O215">
        <f>IF(J215&gt;0,SUM(J215:N215),0)</f>
        <v>42210</v>
      </c>
      <c r="P215">
        <f>_xlfn.XLOOKUP(B215,'[1]march-2025'!$A:$A,'[1]march-2025'!$H:$H,0,0)</f>
        <v>2500</v>
      </c>
      <c r="Q215">
        <f>_xlfn.XLOOKUP(B215,'[1]march-2025'!$A:$A,'[1]march-2025'!$I:$I,0,0)</f>
        <v>0</v>
      </c>
      <c r="R215">
        <f t="shared" si="541"/>
        <v>200</v>
      </c>
      <c r="S215">
        <f t="shared" si="451"/>
        <v>39510</v>
      </c>
      <c r="T215">
        <f>_xlfn.XLOOKUP(B215,'[2]april-2025'!$A:$A,'[2]april-2025'!$C:$C,0,0)</f>
        <v>33500</v>
      </c>
      <c r="U215">
        <f t="shared" si="459"/>
        <v>6030</v>
      </c>
      <c r="V215">
        <f t="shared" si="460"/>
        <v>4020</v>
      </c>
      <c r="W215">
        <f>_xlfn.XLOOKUP(B215,'[2]april-2025'!$A:$A,'[2]april-2025'!$D:$D,0,0)</f>
        <v>0</v>
      </c>
      <c r="X215">
        <f>_xlfn.XLOOKUP(B215,'[2]april-2025'!$A:$A,'[2]april-2025'!$G:$G,0,0)</f>
        <v>0</v>
      </c>
      <c r="Y215">
        <f t="shared" si="452"/>
        <v>43550</v>
      </c>
      <c r="Z215">
        <f>_xlfn.XLOOKUP(B215,'[2]april-2025'!$A:$A,'[2]april-2025'!$H:$H,0,0)</f>
        <v>2500</v>
      </c>
      <c r="AA215">
        <f>_xlfn.XLOOKUP(B215,'[2]april-2025'!$A:$A,'[2]april-2025'!$I:$I,0,0)</f>
        <v>0</v>
      </c>
      <c r="AB215">
        <f t="shared" si="461"/>
        <v>200</v>
      </c>
      <c r="AC215">
        <f t="shared" si="462"/>
        <v>40850</v>
      </c>
      <c r="AD215">
        <f>_xlfn.XLOOKUP(B215,'[3]may-2025'!$A:$A,'[3]may-2025'!$C:$C,0,0)</f>
        <v>33500</v>
      </c>
      <c r="AE215">
        <f t="shared" si="463"/>
        <v>6030</v>
      </c>
      <c r="AF215">
        <f t="shared" si="464"/>
        <v>4020</v>
      </c>
      <c r="AG215">
        <f>_xlfn.XLOOKUP(B215,'[3]may-2025'!$A:$A,'[3]may-2025'!$D:$D,0,0)</f>
        <v>0</v>
      </c>
      <c r="AH215">
        <f>_xlfn.XLOOKUP(B215,'[3]may-2025'!$A:$A,'[3]may-2025'!$G:$G,0,0)</f>
        <v>0</v>
      </c>
      <c r="AI215">
        <f t="shared" si="453"/>
        <v>43550</v>
      </c>
      <c r="AJ215">
        <f>_xlfn.XLOOKUP(B215,'[3]may-2025'!$A:$A,'[3]may-2025'!$H:$H,0,0)</f>
        <v>2500</v>
      </c>
      <c r="AK215">
        <f>_xlfn.XLOOKUP(B215,'[3]may-2025'!$A:$A,'[3]may-2025'!$I:$I,0,0)</f>
        <v>0</v>
      </c>
      <c r="AL215">
        <f t="shared" si="465"/>
        <v>200</v>
      </c>
      <c r="AM215">
        <f t="shared" si="466"/>
        <v>40850</v>
      </c>
      <c r="AN215">
        <f>_xlfn.XLOOKUP(B215,'[4]june-2025'!$A:$A,'[4]june-2025'!$C:$C,0,0)</f>
        <v>33500</v>
      </c>
      <c r="AO215">
        <f t="shared" si="467"/>
        <v>6030</v>
      </c>
      <c r="AP215">
        <f t="shared" si="468"/>
        <v>4020</v>
      </c>
      <c r="AQ215">
        <f>_xlfn.XLOOKUP(B215,'[4]june-2025'!$A:$A,'[4]june-2025'!$D:$D,0,0)</f>
        <v>0</v>
      </c>
      <c r="AR215">
        <f>_xlfn.XLOOKUP(B215,'[4]june-2025'!$A:$A,'[4]june-2025'!$G:$G,0,0)</f>
        <v>0</v>
      </c>
      <c r="AS215">
        <f t="shared" si="454"/>
        <v>43550</v>
      </c>
      <c r="AT215">
        <f>_xlfn.XLOOKUP(B215,'[4]june-2025'!$A:$A,'[4]june-2025'!$H:$H,0,0)</f>
        <v>2500</v>
      </c>
      <c r="AU215">
        <f>_xlfn.XLOOKUP(B215,'[4]june-2025'!$A:$A,'[4]june-2025'!$I:$I,0,0)</f>
        <v>0</v>
      </c>
      <c r="AV215">
        <f t="shared" si="469"/>
        <v>200</v>
      </c>
      <c r="AW215">
        <f t="shared" si="470"/>
        <v>40850</v>
      </c>
      <c r="AX215">
        <f>_xlfn.XLOOKUP(B215,'[5]july-2025'!$A:$A,'[5]july-2025'!$C:$C,0,0)</f>
        <v>34500</v>
      </c>
      <c r="AY215">
        <f t="shared" si="471"/>
        <v>6210</v>
      </c>
      <c r="AZ215">
        <v>0</v>
      </c>
      <c r="BA215">
        <f t="shared" si="472"/>
        <v>4140</v>
      </c>
      <c r="BB215">
        <f>_xlfn.XLOOKUP(B215,'[5]july-2025'!$A:$A,'[5]july-2025'!$D:$D,0,0)</f>
        <v>0</v>
      </c>
      <c r="BC215">
        <f>_xlfn.XLOOKUP(B215,'[5]july-2025'!$A:$A,'[5]july-2025'!$G:$G,0,0)</f>
        <v>0</v>
      </c>
      <c r="BD215">
        <f>IF(AX215&gt;0,SUM(AX215:BC215),0)</f>
        <v>44850</v>
      </c>
      <c r="BE215">
        <f>_xlfn.XLOOKUP(B215,'[5]july-2025'!$A:$A,'[5]july-2025'!$H:$H,0,0)</f>
        <v>2500</v>
      </c>
      <c r="BF215">
        <f>_xlfn.XLOOKUP(B215,'[5]july-2025'!$A:$A,'[5]july-2025'!$I:$I,0,0)</f>
        <v>0</v>
      </c>
      <c r="BG215">
        <f t="shared" si="473"/>
        <v>200</v>
      </c>
      <c r="BH215">
        <f t="shared" si="474"/>
        <v>42150</v>
      </c>
      <c r="BI215">
        <f>_xlfn.XLOOKUP(B215,'[6]august-2025'!$A:$A,'[6]august-2025'!$C:$C,0,0)</f>
        <v>34500</v>
      </c>
      <c r="BJ215">
        <f t="shared" si="475"/>
        <v>6210</v>
      </c>
      <c r="BK215">
        <f t="shared" si="476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0</v>
      </c>
      <c r="BN215">
        <f t="shared" si="477"/>
        <v>44850</v>
      </c>
      <c r="BO215">
        <f>_xlfn.XLOOKUP(B215,'[6]august-2025'!$A:$A,'[6]august-2025'!$H:$H,0,0)</f>
        <v>2500</v>
      </c>
      <c r="BP215">
        <f>_xlfn.XLOOKUP(B215,'[6]august-2025'!$A:$A,'[6]august-2025'!$I:$I,0,0)</f>
        <v>0</v>
      </c>
      <c r="BQ215">
        <f>IF($F215="YES",0,IF(BN215&gt;40000,200,IF(BN215&gt;25000,150,IF(BN215&gt;15000,130,IF(BN215&gt;10000,110,0)))))</f>
        <v>200</v>
      </c>
      <c r="BR215">
        <f>BN215-BO215-BP215-BQ215</f>
        <v>42150</v>
      </c>
      <c r="BS215">
        <f>_xlfn.XLOOKUP(B215,'[7]september-2025'!$A:$A,'[7]september-2025'!$C:$C,0,0)</f>
        <v>34500</v>
      </c>
      <c r="BT215">
        <f t="shared" si="478"/>
        <v>6210</v>
      </c>
      <c r="BU215">
        <f t="shared" si="479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0</v>
      </c>
      <c r="BX215">
        <f>IF(BS215&gt;0,SUM(BS215:BW215),0)</f>
        <v>44850</v>
      </c>
      <c r="BY215">
        <f>_xlfn.XLOOKUP(B215,'[7]september-2025'!$A:$A,'[7]september-2025'!$H:$H,0,0)</f>
        <v>2500</v>
      </c>
      <c r="BZ215">
        <f>_xlfn.XLOOKUP(B215,'[7]september-2025'!$A:$A,'[7]september-2025'!$I:$I,0,0)</f>
        <v>0</v>
      </c>
      <c r="CA215">
        <f t="shared" si="480"/>
        <v>200</v>
      </c>
      <c r="CB215">
        <f t="shared" si="481"/>
        <v>42150</v>
      </c>
      <c r="CC215">
        <f>_xlfn.XLOOKUP(B215,'[8]october-2025'!$A:$A,'[8]october-2025'!$C:$C,0,0)</f>
        <v>34500</v>
      </c>
      <c r="CD215">
        <f t="shared" si="482"/>
        <v>6210</v>
      </c>
      <c r="CE215">
        <f t="shared" si="483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0</v>
      </c>
      <c r="CH215">
        <f>IF(CC215&gt;0,SUM(CC215:CG215),0)</f>
        <v>44850</v>
      </c>
      <c r="CI215">
        <f>_xlfn.XLOOKUP(B215,'[8]october-2025'!$A:$A,'[8]october-2025'!$H:$H,0,0)</f>
        <v>2500</v>
      </c>
      <c r="CJ215">
        <f>_xlfn.XLOOKUP(B215,'[8]october-2025'!$A:$A,'[8]october-2025'!$I:$I,0,0)</f>
        <v>0</v>
      </c>
      <c r="CK215">
        <f t="shared" si="484"/>
        <v>200</v>
      </c>
      <c r="CL215">
        <f t="shared" si="485"/>
        <v>42150</v>
      </c>
      <c r="CM215">
        <f>_xlfn.XLOOKUP(B215,'[9]november-2025'!$A:$A,'[9]november-2025'!$C:$C,0,0)</f>
        <v>34500</v>
      </c>
      <c r="CN215">
        <f t="shared" si="486"/>
        <v>6210</v>
      </c>
      <c r="CO215">
        <f t="shared" si="487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0</v>
      </c>
      <c r="CR215">
        <f>IF(CM215&gt;0,SUM(CM215:CQ215),0)</f>
        <v>44850</v>
      </c>
      <c r="CS215">
        <f>_xlfn.XLOOKUP(B215,'[9]november-2025'!$A:$A,'[9]november-2025'!$H:$H,0,0)</f>
        <v>2500</v>
      </c>
      <c r="CT215">
        <f>_xlfn.XLOOKUP(B215,'[9]november-2025'!$A:$A,'[9]november-2025'!$I:$I,0,0)</f>
        <v>0</v>
      </c>
      <c r="CU215">
        <f t="shared" si="488"/>
        <v>200</v>
      </c>
      <c r="CV215">
        <f t="shared" si="489"/>
        <v>42150</v>
      </c>
      <c r="CW215">
        <f>_xlfn.XLOOKUP(B215,'[10]december-2025'!$A:$A,'[10]december-2025'!$C:$C,0,0)</f>
        <v>34500</v>
      </c>
      <c r="CX215">
        <f t="shared" si="490"/>
        <v>6210</v>
      </c>
      <c r="CY215">
        <f t="shared" si="491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0</v>
      </c>
      <c r="DB215">
        <f>IF(CW215&gt;0,SUM(CW215:DA215),0)</f>
        <v>44850</v>
      </c>
      <c r="DC215">
        <f>_xlfn.XLOOKUP(B215,'[10]december-2025'!$A:$A,'[10]december-2025'!$H:$H,0,0)</f>
        <v>2500</v>
      </c>
      <c r="DD215">
        <f>_xlfn.XLOOKUP(B215,'[10]december-2025'!$A:$A,'[10]december-2025'!$I:$I,0,0)</f>
        <v>0</v>
      </c>
      <c r="DE215">
        <f t="shared" si="492"/>
        <v>200</v>
      </c>
      <c r="DF215">
        <f t="shared" si="493"/>
        <v>42150</v>
      </c>
      <c r="DG215">
        <f>_xlfn.XLOOKUP(B215,'[11]january-2026'!$A:$A,'[11]january-2026'!$C:$C,0,0)</f>
        <v>34500</v>
      </c>
      <c r="DH215">
        <f t="shared" si="494"/>
        <v>6210</v>
      </c>
      <c r="DI215">
        <f t="shared" si="495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>IF(DG215&gt;0,SUM(DG215:DK215),0)</f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496"/>
        <v>200</v>
      </c>
      <c r="DP215">
        <f t="shared" si="497"/>
        <v>42150</v>
      </c>
      <c r="DQ215">
        <f>_xlfn.XLOOKUP(B215,'[12]february-2026'!$A:$A,'[12]february-2026'!$C:$C,0,0)</f>
        <v>34500</v>
      </c>
      <c r="DR215">
        <f t="shared" si="498"/>
        <v>6210</v>
      </c>
      <c r="DS215">
        <f t="shared" si="499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>IF(DQ215&gt;0,SUM(DQ215:DU215),0)</f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00"/>
        <v>200</v>
      </c>
      <c r="DZ215">
        <f t="shared" si="501"/>
        <v>42150</v>
      </c>
      <c r="EA215">
        <f>_xlfn.XLOOKUP(B215,'[1]march-2025'!$A:$A,'[1]march-2025'!$J:$J,0,0)</f>
        <v>0</v>
      </c>
      <c r="EB215">
        <f>_xlfn.XLOOKUP(B215,'[2]april-2025'!$A:$A,'[2]april-2025'!$J:$J,0,0)</f>
        <v>0</v>
      </c>
      <c r="EC215">
        <f>_xlfn.XLOOKUP(B215,'[3]may-2025'!$A:$A,'[3]may-2025'!$J:$J,0,0)</f>
        <v>0</v>
      </c>
      <c r="ED215">
        <f>_xlfn.XLOOKUP(B215,'[4]june-2025'!$A:$A,'[4]june-2025'!$J:$J,0,0)</f>
        <v>0</v>
      </c>
      <c r="EE215">
        <f>_xlfn.XLOOKUP(B215,'[5]july-2025'!$A:$A,'[5]july-2025'!$J:$J,0,0)</f>
        <v>0</v>
      </c>
      <c r="EF215">
        <f>_xlfn.XLOOKUP(B215,'[6]august-2025'!$A:$A,'[6]august-2025'!$J:$J,0,0)</f>
        <v>0</v>
      </c>
      <c r="EG215">
        <f>_xlfn.XLOOKUP(B215,'[7]september-2025'!$A:$A,'[7]september-2025'!$J:$J,0,0)</f>
        <v>0</v>
      </c>
      <c r="EH215">
        <f>_xlfn.XLOOKUP(B215,'[8]october-2025'!$A:$A,'[8]october-2025'!$J:$J,0,0)</f>
        <v>0</v>
      </c>
      <c r="EI215">
        <f>_xlfn.XLOOKUP(C215,'[9]november-2025'!$A:$A,'[9]november-2025'!$J:$J,0,0)</f>
        <v>0</v>
      </c>
      <c r="EJ215">
        <f>_xlfn.XLOOKUP(B215,'[10]december-2025'!$A:$A,'[10]december-2025'!$J:$J,0,0)</f>
        <v>0</v>
      </c>
      <c r="EK215">
        <f>_xlfn.XLOOKUP(B215,'[11]january-2026'!$A:$A,'[11]january-2026'!$J:$J,0,0)</f>
        <v>0</v>
      </c>
      <c r="EL215">
        <f>_xlfn.XLOOKUP(B215,'[12]february-2026'!$A:$A,'[12]february-2026'!$J:$J,0,0)</f>
        <v>0</v>
      </c>
      <c r="EM215">
        <f t="shared" si="455"/>
        <v>0</v>
      </c>
      <c r="EN215">
        <f>DV215+DL215+DB215+CR215+CH215+BX215+BN215+BD215+AS215+AI215+Y215+O215+H215+I215</f>
        <v>538460</v>
      </c>
      <c r="EO215">
        <f>DY215+DO215+DE215+CU215+CK215+CA215+BQ215+BG215+AV215+AL215+AB215+R215</f>
        <v>2400</v>
      </c>
      <c r="EP215">
        <f t="shared" si="502"/>
        <v>50000</v>
      </c>
      <c r="EQ215">
        <v>0</v>
      </c>
      <c r="ER215">
        <f t="shared" si="456"/>
        <v>486060</v>
      </c>
      <c r="ES215">
        <f>DW215+DM215+DC215+CS215+CI215+BY215+BO215+BE215+AT215+AJ215+Z215+P215</f>
        <v>30000</v>
      </c>
      <c r="ET215">
        <f>DX215+DN215+DD215+CT215+CJ215+BZ215+BP215+BF215+AU215+AK215+AA215+Q215</f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503"/>
        <v>30000</v>
      </c>
      <c r="FF215">
        <f t="shared" si="504"/>
        <v>30000</v>
      </c>
      <c r="FG215">
        <f t="shared" si="505"/>
        <v>456060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>SUM(FH215:FN215)+(IF(F215="YES",50000,0))</f>
        <v>0</v>
      </c>
      <c r="FP215">
        <f t="shared" si="506"/>
        <v>456060</v>
      </c>
      <c r="FQ215">
        <f t="shared" si="507"/>
        <v>10303</v>
      </c>
      <c r="FR215">
        <f t="shared" si="508"/>
        <v>0</v>
      </c>
      <c r="FS215">
        <f t="shared" si="509"/>
        <v>10303</v>
      </c>
      <c r="FT215">
        <f t="shared" si="510"/>
        <v>0</v>
      </c>
      <c r="FU215">
        <f t="shared" si="511"/>
        <v>0</v>
      </c>
      <c r="FV215">
        <f t="shared" si="512"/>
        <v>0</v>
      </c>
      <c r="FW215">
        <v>0</v>
      </c>
      <c r="FX215">
        <f t="shared" si="513"/>
        <v>0</v>
      </c>
      <c r="FY215" t="b">
        <f t="shared" si="514"/>
        <v>1</v>
      </c>
      <c r="FZ215">
        <f t="shared" ca="1" si="515"/>
        <v>721</v>
      </c>
      <c r="GA215">
        <f t="shared" ca="1" si="516"/>
        <v>539181</v>
      </c>
      <c r="GB215">
        <f t="shared" si="517"/>
        <v>75000</v>
      </c>
      <c r="GC215">
        <f t="shared" ca="1" si="518"/>
        <v>464181</v>
      </c>
      <c r="GD215">
        <f t="shared" ca="1" si="519"/>
        <v>0</v>
      </c>
      <c r="GE215">
        <f t="shared" ca="1" si="520"/>
        <v>0</v>
      </c>
      <c r="GF215">
        <f t="shared" ca="1" si="521"/>
        <v>0</v>
      </c>
      <c r="GG215">
        <f t="shared" ca="1" si="522"/>
        <v>0</v>
      </c>
      <c r="GH215">
        <f t="shared" ca="1" si="523"/>
        <v>0</v>
      </c>
      <c r="GI215">
        <f t="shared" ca="1" si="524"/>
        <v>0</v>
      </c>
      <c r="GJ215">
        <f ca="1">IF(GC215&gt;1200000,GC215-1200000-IF(F215="YES",50000,0)-GH215,0)</f>
        <v>0</v>
      </c>
      <c r="GK215">
        <f t="shared" ca="1" si="525"/>
        <v>0</v>
      </c>
      <c r="GL215">
        <f t="shared" ca="1" si="526"/>
        <v>0</v>
      </c>
      <c r="GM215">
        <f t="shared" ca="1" si="527"/>
        <v>0</v>
      </c>
      <c r="GN215">
        <f t="shared" ca="1" si="528"/>
        <v>64181</v>
      </c>
      <c r="GO215">
        <f t="shared" ca="1" si="529"/>
        <v>3209.05</v>
      </c>
      <c r="GP215">
        <f t="shared" ca="1" si="530"/>
        <v>3209</v>
      </c>
      <c r="GQ215">
        <f t="shared" ca="1" si="531"/>
        <v>0</v>
      </c>
      <c r="GR215">
        <f t="shared" ca="1" si="532"/>
        <v>0</v>
      </c>
      <c r="GS215">
        <f t="shared" ca="1" si="533"/>
        <v>3209</v>
      </c>
      <c r="GT215">
        <f t="shared" ca="1" si="534"/>
        <v>0</v>
      </c>
      <c r="GU215" t="b">
        <f t="shared" ca="1" si="535"/>
        <v>0</v>
      </c>
      <c r="GV215">
        <f t="shared" ca="1" si="536"/>
        <v>0</v>
      </c>
      <c r="GW215">
        <f t="shared" ca="1" si="537"/>
        <v>3209</v>
      </c>
      <c r="GX215">
        <f t="shared" ca="1" si="538"/>
        <v>0</v>
      </c>
      <c r="GY215">
        <f t="shared" ca="1" si="539"/>
        <v>0</v>
      </c>
      <c r="GZ215">
        <f t="shared" ca="1" si="540"/>
        <v>0</v>
      </c>
    </row>
    <row r="216" spans="1:208" x14ac:dyDescent="0.25">
      <c r="A216">
        <f>_xlfn.AGGREGATE(3,5,$B$2:B216)</f>
        <v>215</v>
      </c>
      <c r="B216" t="s">
        <v>536</v>
      </c>
      <c r="C216" t="s">
        <v>537</v>
      </c>
      <c r="D216" t="s">
        <v>804</v>
      </c>
      <c r="E216" t="s">
        <v>831</v>
      </c>
      <c r="F216" t="s">
        <v>957</v>
      </c>
      <c r="G216" t="s">
        <v>924</v>
      </c>
      <c r="H216">
        <f t="shared" si="542"/>
        <v>6800</v>
      </c>
      <c r="I216">
        <f>_xlfn.XLOOKUP(B216,'[1]march-2025'!$A:$A,'[1]march-2025'!$J:$J,0,0)</f>
        <v>0</v>
      </c>
      <c r="J216">
        <f>_xlfn.XLOOKUP(B216,'[1]march-2025'!$A:$A,'[1]march-2025'!$C:$C,0,0)</f>
        <v>33500</v>
      </c>
      <c r="K216">
        <f t="shared" si="457"/>
        <v>4690</v>
      </c>
      <c r="L216">
        <f t="shared" si="458"/>
        <v>4020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>IF(J216&gt;0,SUM(J216:N216),0)</f>
        <v>42710</v>
      </c>
      <c r="P216">
        <f>_xlfn.XLOOKUP(B216,'[1]march-2025'!$A:$A,'[1]march-2025'!$H:$H,0,0)</f>
        <v>4000</v>
      </c>
      <c r="Q216">
        <f>_xlfn.XLOOKUP(B216,'[1]march-2025'!$A:$A,'[1]march-2025'!$I:$I,0,0)</f>
        <v>0</v>
      </c>
      <c r="R216">
        <f t="shared" si="541"/>
        <v>200</v>
      </c>
      <c r="S216">
        <f t="shared" si="451"/>
        <v>38510</v>
      </c>
      <c r="T216">
        <f>_xlfn.XLOOKUP(B216,'[2]april-2025'!$A:$A,'[2]april-2025'!$C:$C,0,0)</f>
        <v>33500</v>
      </c>
      <c r="U216">
        <f t="shared" si="459"/>
        <v>6030</v>
      </c>
      <c r="V216">
        <f t="shared" si="460"/>
        <v>4020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452"/>
        <v>44050</v>
      </c>
      <c r="Z216">
        <f>_xlfn.XLOOKUP(B216,'[2]april-2025'!$A:$A,'[2]april-2025'!$H:$H,0,0)</f>
        <v>4000</v>
      </c>
      <c r="AA216">
        <f>_xlfn.XLOOKUP(B216,'[2]april-2025'!$A:$A,'[2]april-2025'!$I:$I,0,0)</f>
        <v>0</v>
      </c>
      <c r="AB216">
        <f t="shared" si="461"/>
        <v>200</v>
      </c>
      <c r="AC216">
        <f t="shared" si="462"/>
        <v>39850</v>
      </c>
      <c r="AD216">
        <f>_xlfn.XLOOKUP(B216,'[3]may-2025'!$A:$A,'[3]may-2025'!$C:$C,0,0)</f>
        <v>33500</v>
      </c>
      <c r="AE216">
        <f t="shared" si="463"/>
        <v>6030</v>
      </c>
      <c r="AF216">
        <f t="shared" si="464"/>
        <v>4020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453"/>
        <v>44050</v>
      </c>
      <c r="AJ216">
        <f>_xlfn.XLOOKUP(B216,'[3]may-2025'!$A:$A,'[3]may-2025'!$H:$H,0,0)</f>
        <v>4000</v>
      </c>
      <c r="AK216">
        <f>_xlfn.XLOOKUP(B216,'[3]may-2025'!$A:$A,'[3]may-2025'!$I:$I,0,0)</f>
        <v>0</v>
      </c>
      <c r="AL216">
        <f t="shared" si="465"/>
        <v>200</v>
      </c>
      <c r="AM216">
        <f t="shared" si="466"/>
        <v>39850</v>
      </c>
      <c r="AN216">
        <f>_xlfn.XLOOKUP(B216,'[4]june-2025'!$A:$A,'[4]june-2025'!$C:$C,0,0)</f>
        <v>33500</v>
      </c>
      <c r="AO216">
        <f t="shared" si="467"/>
        <v>6030</v>
      </c>
      <c r="AP216">
        <f t="shared" si="468"/>
        <v>4020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454"/>
        <v>44050</v>
      </c>
      <c r="AT216">
        <f>_xlfn.XLOOKUP(B216,'[4]june-2025'!$A:$A,'[4]june-2025'!$H:$H,0,0)</f>
        <v>4000</v>
      </c>
      <c r="AU216">
        <f>_xlfn.XLOOKUP(B216,'[4]june-2025'!$A:$A,'[4]june-2025'!$I:$I,0,0)</f>
        <v>0</v>
      </c>
      <c r="AV216">
        <f t="shared" si="469"/>
        <v>200</v>
      </c>
      <c r="AW216">
        <f t="shared" si="470"/>
        <v>39850</v>
      </c>
      <c r="AX216">
        <f>_xlfn.XLOOKUP(B216,'[5]july-2025'!$A:$A,'[5]july-2025'!$C:$C,0,0)</f>
        <v>34500</v>
      </c>
      <c r="AY216">
        <f t="shared" si="471"/>
        <v>6210</v>
      </c>
      <c r="AZ216">
        <v>0</v>
      </c>
      <c r="BA216">
        <f t="shared" si="472"/>
        <v>4140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>IF(AX216&gt;0,SUM(AX216:BC216),0)</f>
        <v>45350</v>
      </c>
      <c r="BE216">
        <f>_xlfn.XLOOKUP(B216,'[5]july-2025'!$A:$A,'[5]july-2025'!$H:$H,0,0)</f>
        <v>4000</v>
      </c>
      <c r="BF216">
        <f>_xlfn.XLOOKUP(B216,'[5]july-2025'!$A:$A,'[5]july-2025'!$I:$I,0,0)</f>
        <v>0</v>
      </c>
      <c r="BG216">
        <f t="shared" si="473"/>
        <v>200</v>
      </c>
      <c r="BH216">
        <f t="shared" si="474"/>
        <v>41150</v>
      </c>
      <c r="BI216">
        <f>_xlfn.XLOOKUP(B216,'[6]august-2025'!$A:$A,'[6]august-2025'!$C:$C,0,0)</f>
        <v>34500</v>
      </c>
      <c r="BJ216">
        <f t="shared" si="475"/>
        <v>6210</v>
      </c>
      <c r="BK216">
        <f t="shared" si="476"/>
        <v>4140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477"/>
        <v>45350</v>
      </c>
      <c r="BO216">
        <f>_xlfn.XLOOKUP(B216,'[6]august-2025'!$A:$A,'[6]august-2025'!$H:$H,0,0)</f>
        <v>4000</v>
      </c>
      <c r="BP216">
        <f>_xlfn.XLOOKUP(B216,'[6]august-2025'!$A:$A,'[6]august-2025'!$I:$I,0,0)</f>
        <v>0</v>
      </c>
      <c r="BQ216">
        <f>IF($F216="YES",0,IF(BN216&gt;40000,200,IF(BN216&gt;25000,150,IF(BN216&gt;15000,130,IF(BN216&gt;10000,110,0)))))</f>
        <v>200</v>
      </c>
      <c r="BR216">
        <f>BN216-BO216-BP216-BQ216</f>
        <v>41150</v>
      </c>
      <c r="BS216">
        <f>_xlfn.XLOOKUP(B216,'[7]september-2025'!$A:$A,'[7]september-2025'!$C:$C,0,0)</f>
        <v>34500</v>
      </c>
      <c r="BT216">
        <f t="shared" si="478"/>
        <v>6210</v>
      </c>
      <c r="BU216">
        <f t="shared" si="479"/>
        <v>4140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>IF(BS216&gt;0,SUM(BS216:BW216),0)</f>
        <v>45350</v>
      </c>
      <c r="BY216">
        <f>_xlfn.XLOOKUP(B216,'[7]september-2025'!$A:$A,'[7]september-2025'!$H:$H,0,0)</f>
        <v>4000</v>
      </c>
      <c r="BZ216">
        <f>_xlfn.XLOOKUP(B216,'[7]september-2025'!$A:$A,'[7]september-2025'!$I:$I,0,0)</f>
        <v>0</v>
      </c>
      <c r="CA216">
        <f t="shared" si="480"/>
        <v>200</v>
      </c>
      <c r="CB216">
        <f t="shared" si="481"/>
        <v>41150</v>
      </c>
      <c r="CC216">
        <f>_xlfn.XLOOKUP(B216,'[8]october-2025'!$A:$A,'[8]october-2025'!$C:$C,0,0)</f>
        <v>34500</v>
      </c>
      <c r="CD216">
        <f t="shared" si="482"/>
        <v>6210</v>
      </c>
      <c r="CE216">
        <f t="shared" si="483"/>
        <v>4140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>IF(CC216&gt;0,SUM(CC216:CG216),0)</f>
        <v>45350</v>
      </c>
      <c r="CI216">
        <f>_xlfn.XLOOKUP(B216,'[8]october-2025'!$A:$A,'[8]october-2025'!$H:$H,0,0)</f>
        <v>4000</v>
      </c>
      <c r="CJ216">
        <f>_xlfn.XLOOKUP(B216,'[8]october-2025'!$A:$A,'[8]october-2025'!$I:$I,0,0)</f>
        <v>0</v>
      </c>
      <c r="CK216">
        <f t="shared" si="484"/>
        <v>200</v>
      </c>
      <c r="CL216">
        <f t="shared" si="485"/>
        <v>41150</v>
      </c>
      <c r="CM216">
        <f>_xlfn.XLOOKUP(B216,'[9]november-2025'!$A:$A,'[9]november-2025'!$C:$C,0,0)</f>
        <v>34500</v>
      </c>
      <c r="CN216">
        <f t="shared" si="486"/>
        <v>6210</v>
      </c>
      <c r="CO216">
        <f t="shared" si="487"/>
        <v>4140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>IF(CM216&gt;0,SUM(CM216:CQ216),0)</f>
        <v>45350</v>
      </c>
      <c r="CS216">
        <f>_xlfn.XLOOKUP(B216,'[9]november-2025'!$A:$A,'[9]november-2025'!$H:$H,0,0)</f>
        <v>4000</v>
      </c>
      <c r="CT216">
        <f>_xlfn.XLOOKUP(B216,'[9]november-2025'!$A:$A,'[9]november-2025'!$I:$I,0,0)</f>
        <v>0</v>
      </c>
      <c r="CU216">
        <f t="shared" si="488"/>
        <v>200</v>
      </c>
      <c r="CV216">
        <f t="shared" si="489"/>
        <v>41150</v>
      </c>
      <c r="CW216">
        <f>_xlfn.XLOOKUP(B216,'[10]december-2025'!$A:$A,'[10]december-2025'!$C:$C,0,0)</f>
        <v>34500</v>
      </c>
      <c r="CX216">
        <f t="shared" si="490"/>
        <v>6210</v>
      </c>
      <c r="CY216">
        <f t="shared" si="491"/>
        <v>4140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>IF(CW216&gt;0,SUM(CW216:DA216),0)</f>
        <v>45350</v>
      </c>
      <c r="DC216">
        <f>_xlfn.XLOOKUP(B216,'[10]december-2025'!$A:$A,'[10]december-2025'!$H:$H,0,0)</f>
        <v>4000</v>
      </c>
      <c r="DD216">
        <f>_xlfn.XLOOKUP(B216,'[10]december-2025'!$A:$A,'[10]december-2025'!$I:$I,0,0)</f>
        <v>0</v>
      </c>
      <c r="DE216">
        <f t="shared" si="492"/>
        <v>200</v>
      </c>
      <c r="DF216">
        <f t="shared" si="493"/>
        <v>41150</v>
      </c>
      <c r="DG216">
        <f>_xlfn.XLOOKUP(B216,'[11]january-2026'!$A:$A,'[11]january-2026'!$C:$C,0,0)</f>
        <v>34500</v>
      </c>
      <c r="DH216">
        <f t="shared" si="494"/>
        <v>6210</v>
      </c>
      <c r="DI216">
        <f t="shared" si="495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>IF(DG216&gt;0,SUM(DG216:DK216),0)</f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496"/>
        <v>200</v>
      </c>
      <c r="DP216">
        <f t="shared" si="497"/>
        <v>41150</v>
      </c>
      <c r="DQ216">
        <f>_xlfn.XLOOKUP(B216,'[12]february-2026'!$A:$A,'[12]february-2026'!$C:$C,0,0)</f>
        <v>34500</v>
      </c>
      <c r="DR216">
        <f t="shared" si="498"/>
        <v>6210</v>
      </c>
      <c r="DS216">
        <f t="shared" si="499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>IF(DQ216&gt;0,SUM(DQ216:DU216),0)</f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00"/>
        <v>200</v>
      </c>
      <c r="DZ216">
        <f t="shared" si="501"/>
        <v>41150</v>
      </c>
      <c r="EA216">
        <f>_xlfn.XLOOKUP(B216,'[1]march-2025'!$A:$A,'[1]march-2025'!$J:$J,0,0)</f>
        <v>0</v>
      </c>
      <c r="EB216">
        <f>_xlfn.XLOOKUP(B216,'[2]april-2025'!$A:$A,'[2]april-2025'!$J:$J,0,0)</f>
        <v>0</v>
      </c>
      <c r="EC216">
        <f>_xlfn.XLOOKUP(B216,'[3]may-2025'!$A:$A,'[3]may-2025'!$J:$J,0,0)</f>
        <v>0</v>
      </c>
      <c r="ED216">
        <f>_xlfn.XLOOKUP(B216,'[4]june-2025'!$A:$A,'[4]june-2025'!$J:$J,0,0)</f>
        <v>0</v>
      </c>
      <c r="EE216">
        <f>_xlfn.XLOOKUP(B216,'[5]july-2025'!$A:$A,'[5]july-2025'!$J:$J,0,0)</f>
        <v>0</v>
      </c>
      <c r="EF216">
        <f>_xlfn.XLOOKUP(B216,'[6]august-2025'!$A:$A,'[6]august-2025'!$J:$J,0,0)</f>
        <v>0</v>
      </c>
      <c r="EG216">
        <f>_xlfn.XLOOKUP(B216,'[7]september-2025'!$A:$A,'[7]september-2025'!$J:$J,0,0)</f>
        <v>0</v>
      </c>
      <c r="EH216">
        <f>_xlfn.XLOOKUP(B216,'[8]october-2025'!$A:$A,'[8]october-2025'!$J:$J,0,0)</f>
        <v>0</v>
      </c>
      <c r="EI216">
        <f>_xlfn.XLOOKUP(C216,'[9]november-2025'!$A:$A,'[9]november-2025'!$J:$J,0,0)</f>
        <v>0</v>
      </c>
      <c r="EJ216">
        <f>_xlfn.XLOOKUP(B216,'[10]december-2025'!$A:$A,'[10]december-2025'!$J:$J,0,0)</f>
        <v>0</v>
      </c>
      <c r="EK216">
        <f>_xlfn.XLOOKUP(B216,'[11]january-2026'!$A:$A,'[11]january-2026'!$J:$J,0,0)</f>
        <v>0</v>
      </c>
      <c r="EL216">
        <f>_xlfn.XLOOKUP(B216,'[12]february-2026'!$A:$A,'[12]february-2026'!$J:$J,0,0)</f>
        <v>0</v>
      </c>
      <c r="EM216">
        <f t="shared" si="455"/>
        <v>0</v>
      </c>
      <c r="EN216">
        <f>DV216+DL216+DB216+CR216+CH216+BX216+BN216+BD216+AS216+AI216+Y216+O216+H216+I216</f>
        <v>544460</v>
      </c>
      <c r="EO216">
        <f>DY216+DO216+DE216+CU216+CK216+CA216+BQ216+BG216+AV216+AL216+AB216+R216</f>
        <v>2400</v>
      </c>
      <c r="EP216">
        <f t="shared" si="502"/>
        <v>50000</v>
      </c>
      <c r="EQ216">
        <v>0</v>
      </c>
      <c r="ER216">
        <f t="shared" si="456"/>
        <v>492060</v>
      </c>
      <c r="ES216">
        <f>DW216+DM216+DC216+CS216+CI216+BY216+BO216+BE216+AT216+AJ216+Z216+P216</f>
        <v>48000</v>
      </c>
      <c r="ET216">
        <f>DX216+DN216+DD216+CT216+CJ216+BZ216+BP216+BF216+AU216+AK216+AA216+Q216</f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503"/>
        <v>48000</v>
      </c>
      <c r="FF216">
        <f t="shared" si="504"/>
        <v>48000</v>
      </c>
      <c r="FG216">
        <f t="shared" si="505"/>
        <v>444060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>SUM(FH216:FN216)+(IF(F216="YES",50000,0))</f>
        <v>0</v>
      </c>
      <c r="FP216">
        <f t="shared" si="506"/>
        <v>444060</v>
      </c>
      <c r="FQ216">
        <f t="shared" si="507"/>
        <v>9703</v>
      </c>
      <c r="FR216">
        <f t="shared" si="508"/>
        <v>0</v>
      </c>
      <c r="FS216">
        <f t="shared" si="509"/>
        <v>9703</v>
      </c>
      <c r="FT216">
        <f t="shared" si="510"/>
        <v>0</v>
      </c>
      <c r="FU216">
        <f t="shared" si="511"/>
        <v>0</v>
      </c>
      <c r="FV216">
        <f t="shared" si="512"/>
        <v>0</v>
      </c>
      <c r="FW216">
        <v>0</v>
      </c>
      <c r="FX216">
        <f t="shared" si="513"/>
        <v>0</v>
      </c>
      <c r="FY216" t="b">
        <f t="shared" si="514"/>
        <v>1</v>
      </c>
      <c r="FZ216">
        <f t="shared" ca="1" si="515"/>
        <v>649</v>
      </c>
      <c r="GA216">
        <f t="shared" ca="1" si="516"/>
        <v>545109</v>
      </c>
      <c r="GB216">
        <f t="shared" si="517"/>
        <v>75000</v>
      </c>
      <c r="GC216">
        <f t="shared" ca="1" si="518"/>
        <v>470109</v>
      </c>
      <c r="GD216">
        <f t="shared" ca="1" si="519"/>
        <v>0</v>
      </c>
      <c r="GE216">
        <f t="shared" ca="1" si="520"/>
        <v>0</v>
      </c>
      <c r="GF216">
        <f t="shared" ca="1" si="521"/>
        <v>0</v>
      </c>
      <c r="GG216">
        <f t="shared" ca="1" si="522"/>
        <v>0</v>
      </c>
      <c r="GH216">
        <f t="shared" ca="1" si="523"/>
        <v>0</v>
      </c>
      <c r="GI216">
        <f t="shared" ca="1" si="524"/>
        <v>0</v>
      </c>
      <c r="GJ216">
        <f ca="1">IF(GC216&gt;1200000,GC216-1200000-IF(F216="YES",50000,0)-GH216,0)</f>
        <v>0</v>
      </c>
      <c r="GK216">
        <f t="shared" ca="1" si="525"/>
        <v>0</v>
      </c>
      <c r="GL216">
        <f t="shared" ca="1" si="526"/>
        <v>0</v>
      </c>
      <c r="GM216">
        <f t="shared" ca="1" si="527"/>
        <v>0</v>
      </c>
      <c r="GN216">
        <f t="shared" ca="1" si="528"/>
        <v>70109</v>
      </c>
      <c r="GO216">
        <f t="shared" ca="1" si="529"/>
        <v>3505.4500000000003</v>
      </c>
      <c r="GP216">
        <f t="shared" ca="1" si="530"/>
        <v>3505</v>
      </c>
      <c r="GQ216">
        <f t="shared" ca="1" si="531"/>
        <v>0</v>
      </c>
      <c r="GR216">
        <f t="shared" ca="1" si="532"/>
        <v>0</v>
      </c>
      <c r="GS216">
        <f t="shared" ca="1" si="533"/>
        <v>3505</v>
      </c>
      <c r="GT216">
        <f t="shared" ca="1" si="534"/>
        <v>0</v>
      </c>
      <c r="GU216" t="b">
        <f t="shared" ca="1" si="535"/>
        <v>0</v>
      </c>
      <c r="GV216">
        <f t="shared" ca="1" si="536"/>
        <v>0</v>
      </c>
      <c r="GW216">
        <f t="shared" ca="1" si="537"/>
        <v>3505</v>
      </c>
      <c r="GX216">
        <f t="shared" ca="1" si="538"/>
        <v>0</v>
      </c>
      <c r="GY216">
        <f t="shared" ca="1" si="539"/>
        <v>0</v>
      </c>
      <c r="GZ216">
        <f t="shared" ca="1" si="540"/>
        <v>0</v>
      </c>
    </row>
    <row r="217" spans="1:208" x14ac:dyDescent="0.25">
      <c r="A217">
        <f>_xlfn.AGGREGATE(3,5,$B$2:B217)</f>
        <v>216</v>
      </c>
      <c r="B217" t="s">
        <v>538</v>
      </c>
      <c r="C217" t="s">
        <v>539</v>
      </c>
      <c r="D217" t="s">
        <v>804</v>
      </c>
      <c r="E217" t="s">
        <v>831</v>
      </c>
      <c r="F217" t="s">
        <v>957</v>
      </c>
      <c r="G217" t="s">
        <v>942</v>
      </c>
      <c r="H217">
        <f t="shared" si="542"/>
        <v>6800</v>
      </c>
      <c r="I217">
        <f>_xlfn.XLOOKUP(B217,'[1]march-2025'!$A:$A,'[1]march-2025'!$J:$J,0,0)</f>
        <v>0</v>
      </c>
      <c r="J217">
        <f>_xlfn.XLOOKUP(B217,'[1]march-2025'!$A:$A,'[1]march-2025'!$C:$C,0,0)</f>
        <v>24700</v>
      </c>
      <c r="K217">
        <f t="shared" si="457"/>
        <v>3458.0000000000005</v>
      </c>
      <c r="L217">
        <f t="shared" si="458"/>
        <v>2964</v>
      </c>
      <c r="M217">
        <f>_xlfn.XLOOKUP(B217,'[1]march-2025'!$A:$A,'[1]march-2025'!$D:$D,0,0)</f>
        <v>0</v>
      </c>
      <c r="N217">
        <f>_xlfn.XLOOKUP(B217,'[1]march-2025'!$A:$A,'[1]march-2025'!$G:$G,0,0)</f>
        <v>500</v>
      </c>
      <c r="O217">
        <f>IF(J217&gt;0,SUM(J217:N217),0)</f>
        <v>31622</v>
      </c>
      <c r="P217">
        <f>_xlfn.XLOOKUP(B217,'[1]march-2025'!$A:$A,'[1]march-2025'!$H:$H,0,0)</f>
        <v>0</v>
      </c>
      <c r="Q217">
        <f>_xlfn.XLOOKUP(B217,'[1]march-2025'!$A:$A,'[1]march-2025'!$I:$I,0,0)</f>
        <v>0</v>
      </c>
      <c r="R217">
        <f t="shared" si="541"/>
        <v>150</v>
      </c>
      <c r="S217">
        <f t="shared" si="451"/>
        <v>31472</v>
      </c>
      <c r="T217">
        <f>_xlfn.XLOOKUP(B217,'[2]april-2025'!$A:$A,'[2]april-2025'!$C:$C,0,0)</f>
        <v>24700</v>
      </c>
      <c r="U217">
        <f t="shared" si="459"/>
        <v>4446</v>
      </c>
      <c r="V217">
        <f t="shared" si="460"/>
        <v>2964</v>
      </c>
      <c r="W217">
        <f>_xlfn.XLOOKUP(B217,'[2]april-2025'!$A:$A,'[2]april-2025'!$D:$D,0,0)</f>
        <v>0</v>
      </c>
      <c r="X217">
        <f>_xlfn.XLOOKUP(B217,'[2]april-2025'!$A:$A,'[2]april-2025'!$G:$G,0,0)</f>
        <v>500</v>
      </c>
      <c r="Y217">
        <f t="shared" si="452"/>
        <v>32610</v>
      </c>
      <c r="Z217">
        <f>_xlfn.XLOOKUP(B217,'[2]april-2025'!$A:$A,'[2]april-2025'!$H:$H,0,0)</f>
        <v>0</v>
      </c>
      <c r="AA217">
        <f>_xlfn.XLOOKUP(B217,'[2]april-2025'!$A:$A,'[2]april-2025'!$I:$I,0,0)</f>
        <v>0</v>
      </c>
      <c r="AB217">
        <f t="shared" si="461"/>
        <v>150</v>
      </c>
      <c r="AC217">
        <f t="shared" si="462"/>
        <v>32460</v>
      </c>
      <c r="AD217">
        <f>_xlfn.XLOOKUP(B217,'[3]may-2025'!$A:$A,'[3]may-2025'!$C:$C,0,0)</f>
        <v>24700</v>
      </c>
      <c r="AE217">
        <f t="shared" si="463"/>
        <v>4446</v>
      </c>
      <c r="AF217">
        <f t="shared" si="464"/>
        <v>2964</v>
      </c>
      <c r="AG217">
        <f>_xlfn.XLOOKUP(B217,'[3]may-2025'!$A:$A,'[3]may-2025'!$D:$D,0,0)</f>
        <v>0</v>
      </c>
      <c r="AH217">
        <f>_xlfn.XLOOKUP(B217,'[3]may-2025'!$A:$A,'[3]may-2025'!$G:$G,0,0)</f>
        <v>500</v>
      </c>
      <c r="AI217">
        <f t="shared" si="453"/>
        <v>32610</v>
      </c>
      <c r="AJ217">
        <f>_xlfn.XLOOKUP(B217,'[3]may-2025'!$A:$A,'[3]may-2025'!$H:$H,0,0)</f>
        <v>0</v>
      </c>
      <c r="AK217">
        <f>_xlfn.XLOOKUP(B217,'[3]may-2025'!$A:$A,'[3]may-2025'!$I:$I,0,0)</f>
        <v>0</v>
      </c>
      <c r="AL217">
        <f t="shared" si="465"/>
        <v>150</v>
      </c>
      <c r="AM217">
        <f t="shared" si="466"/>
        <v>32460</v>
      </c>
      <c r="AN217">
        <f>_xlfn.XLOOKUP(B217,'[4]june-2025'!$A:$A,'[4]june-2025'!$C:$C,0,0)</f>
        <v>24700</v>
      </c>
      <c r="AO217">
        <f t="shared" si="467"/>
        <v>4446</v>
      </c>
      <c r="AP217">
        <f t="shared" si="468"/>
        <v>2964</v>
      </c>
      <c r="AQ217">
        <f>_xlfn.XLOOKUP(B217,'[4]june-2025'!$A:$A,'[4]june-2025'!$D:$D,0,0)</f>
        <v>0</v>
      </c>
      <c r="AR217">
        <f>_xlfn.XLOOKUP(B217,'[4]june-2025'!$A:$A,'[4]june-2025'!$G:$G,0,0)</f>
        <v>500</v>
      </c>
      <c r="AS217">
        <f t="shared" si="454"/>
        <v>32610</v>
      </c>
      <c r="AT217">
        <f>_xlfn.XLOOKUP(B217,'[4]june-2025'!$A:$A,'[4]june-2025'!$H:$H,0,0)</f>
        <v>0</v>
      </c>
      <c r="AU217">
        <f>_xlfn.XLOOKUP(B217,'[4]june-2025'!$A:$A,'[4]june-2025'!$I:$I,0,0)</f>
        <v>0</v>
      </c>
      <c r="AV217">
        <f t="shared" si="469"/>
        <v>150</v>
      </c>
      <c r="AW217">
        <f t="shared" si="470"/>
        <v>32460</v>
      </c>
      <c r="AX217">
        <f>_xlfn.XLOOKUP(B217,'[5]july-2025'!$A:$A,'[5]july-2025'!$C:$C,0,0)</f>
        <v>25400</v>
      </c>
      <c r="AY217">
        <f t="shared" si="471"/>
        <v>4572</v>
      </c>
      <c r="AZ217">
        <v>0</v>
      </c>
      <c r="BA217">
        <f t="shared" si="472"/>
        <v>3048</v>
      </c>
      <c r="BB217">
        <f>_xlfn.XLOOKUP(B217,'[5]july-2025'!$A:$A,'[5]july-2025'!$D:$D,0,0)</f>
        <v>0</v>
      </c>
      <c r="BC217">
        <f>_xlfn.XLOOKUP(B217,'[5]july-2025'!$A:$A,'[5]july-2025'!$G:$G,0,0)</f>
        <v>500</v>
      </c>
      <c r="BD217">
        <f>IF(AX217&gt;0,SUM(AX217:BC217),0)</f>
        <v>33520</v>
      </c>
      <c r="BE217">
        <f>_xlfn.XLOOKUP(B217,'[5]july-2025'!$A:$A,'[5]july-2025'!$H:$H,0,0)</f>
        <v>0</v>
      </c>
      <c r="BF217">
        <f>_xlfn.XLOOKUP(B217,'[5]july-2025'!$A:$A,'[5]july-2025'!$I:$I,0,0)</f>
        <v>0</v>
      </c>
      <c r="BG217">
        <f t="shared" si="473"/>
        <v>150</v>
      </c>
      <c r="BH217">
        <f t="shared" si="474"/>
        <v>33370</v>
      </c>
      <c r="BI217">
        <f>_xlfn.XLOOKUP(B217,'[6]august-2025'!$A:$A,'[6]august-2025'!$C:$C,0,0)</f>
        <v>25400</v>
      </c>
      <c r="BJ217">
        <f t="shared" si="475"/>
        <v>4572</v>
      </c>
      <c r="BK217">
        <f t="shared" si="476"/>
        <v>3048</v>
      </c>
      <c r="BL217">
        <f>_xlfn.XLOOKUP(B217,'[6]august-2025'!$A:$A,'[6]august-2025'!$D:$D,0,0)</f>
        <v>0</v>
      </c>
      <c r="BM217">
        <f>_xlfn.XLOOKUP(B217,'[6]august-2025'!$A:$A,'[6]august-2025'!$G:$G,0,0)</f>
        <v>500</v>
      </c>
      <c r="BN217">
        <f t="shared" si="477"/>
        <v>33520</v>
      </c>
      <c r="BO217">
        <f>_xlfn.XLOOKUP(B217,'[6]august-2025'!$A:$A,'[6]august-2025'!$H:$H,0,0)</f>
        <v>2000</v>
      </c>
      <c r="BP217">
        <f>_xlfn.XLOOKUP(B217,'[6]august-2025'!$A:$A,'[6]august-2025'!$I:$I,0,0)</f>
        <v>0</v>
      </c>
      <c r="BQ217">
        <f>IF($F217="YES",0,IF(BN217&gt;40000,200,IF(BN217&gt;25000,150,IF(BN217&gt;15000,130,IF(BN217&gt;10000,110,0)))))</f>
        <v>150</v>
      </c>
      <c r="BR217">
        <f>BN217-BO217-BP217-BQ217</f>
        <v>31370</v>
      </c>
      <c r="BS217">
        <f>_xlfn.XLOOKUP(B217,'[7]september-2025'!$A:$A,'[7]september-2025'!$C:$C,0,0)</f>
        <v>25400</v>
      </c>
      <c r="BT217">
        <f t="shared" si="478"/>
        <v>4572</v>
      </c>
      <c r="BU217">
        <f t="shared" si="479"/>
        <v>3048</v>
      </c>
      <c r="BV217">
        <f>_xlfn.XLOOKUP(B217,'[7]september-2025'!$A:$A,'[7]september-2025'!$D:$D,0,0)</f>
        <v>0</v>
      </c>
      <c r="BW217">
        <f>_xlfn.XLOOKUP(B217,'[7]september-2025'!$A:$A,'[7]september-2025'!$G:$G,0,0)</f>
        <v>500</v>
      </c>
      <c r="BX217">
        <f>IF(BS217&gt;0,SUM(BS217:BW217),0)</f>
        <v>33520</v>
      </c>
      <c r="BY217">
        <f>_xlfn.XLOOKUP(B217,'[7]september-2025'!$A:$A,'[7]september-2025'!$H:$H,0,0)</f>
        <v>2000</v>
      </c>
      <c r="BZ217">
        <f>_xlfn.XLOOKUP(B217,'[7]september-2025'!$A:$A,'[7]september-2025'!$I:$I,0,0)</f>
        <v>0</v>
      </c>
      <c r="CA217">
        <f t="shared" si="480"/>
        <v>150</v>
      </c>
      <c r="CB217">
        <f t="shared" si="481"/>
        <v>31370</v>
      </c>
      <c r="CC217">
        <f>_xlfn.XLOOKUP(B217,'[8]october-2025'!$A:$A,'[8]october-2025'!$C:$C,0,0)</f>
        <v>25400</v>
      </c>
      <c r="CD217">
        <f t="shared" si="482"/>
        <v>4572</v>
      </c>
      <c r="CE217">
        <f t="shared" si="483"/>
        <v>3048</v>
      </c>
      <c r="CF217">
        <f>_xlfn.XLOOKUP(B217,'[8]october-2025'!$A:$A,'[8]october-2025'!$D:$D,0,0)</f>
        <v>0</v>
      </c>
      <c r="CG217">
        <f>_xlfn.XLOOKUP(B217,'[8]october-2025'!$A:$A,'[8]october-2025'!$G:$G,0,0)</f>
        <v>500</v>
      </c>
      <c r="CH217">
        <f>IF(CC217&gt;0,SUM(CC217:CG217),0)</f>
        <v>33520</v>
      </c>
      <c r="CI217">
        <f>_xlfn.XLOOKUP(B217,'[8]october-2025'!$A:$A,'[8]october-2025'!$H:$H,0,0)</f>
        <v>2000</v>
      </c>
      <c r="CJ217">
        <f>_xlfn.XLOOKUP(B217,'[8]october-2025'!$A:$A,'[8]october-2025'!$I:$I,0,0)</f>
        <v>0</v>
      </c>
      <c r="CK217">
        <f t="shared" si="484"/>
        <v>150</v>
      </c>
      <c r="CL217">
        <f t="shared" si="485"/>
        <v>31370</v>
      </c>
      <c r="CM217">
        <f>_xlfn.XLOOKUP(B217,'[9]november-2025'!$A:$A,'[9]november-2025'!$C:$C,0,0)</f>
        <v>25400</v>
      </c>
      <c r="CN217">
        <f t="shared" si="486"/>
        <v>4572</v>
      </c>
      <c r="CO217">
        <f t="shared" si="487"/>
        <v>3048</v>
      </c>
      <c r="CP217">
        <f>_xlfn.XLOOKUP(B217,'[9]november-2025'!$A:$A,'[9]november-2025'!$D:$D,0,0)</f>
        <v>0</v>
      </c>
      <c r="CQ217">
        <f>_xlfn.XLOOKUP(B217,'[9]november-2025'!$A:$A,'[9]november-2025'!$G:$G,0,0)</f>
        <v>500</v>
      </c>
      <c r="CR217">
        <f>IF(CM217&gt;0,SUM(CM217:CQ217),0)</f>
        <v>33520</v>
      </c>
      <c r="CS217">
        <f>_xlfn.XLOOKUP(B217,'[9]november-2025'!$A:$A,'[9]november-2025'!$H:$H,0,0)</f>
        <v>2000</v>
      </c>
      <c r="CT217">
        <f>_xlfn.XLOOKUP(B217,'[9]november-2025'!$A:$A,'[9]november-2025'!$I:$I,0,0)</f>
        <v>0</v>
      </c>
      <c r="CU217">
        <f t="shared" si="488"/>
        <v>150</v>
      </c>
      <c r="CV217">
        <f t="shared" si="489"/>
        <v>31370</v>
      </c>
      <c r="CW217">
        <f>_xlfn.XLOOKUP(B217,'[10]december-2025'!$A:$A,'[10]december-2025'!$C:$C,0,0)</f>
        <v>25400</v>
      </c>
      <c r="CX217">
        <f t="shared" si="490"/>
        <v>4572</v>
      </c>
      <c r="CY217">
        <f t="shared" si="491"/>
        <v>3048</v>
      </c>
      <c r="CZ217">
        <f>_xlfn.XLOOKUP(B217,'[10]december-2025'!$A:$A,'[10]december-2025'!$D:$D,0,0)</f>
        <v>0</v>
      </c>
      <c r="DA217">
        <f>_xlfn.XLOOKUP(B217,'[10]december-2025'!$A:$A,'[10]december-2025'!$G:$G,0,0)</f>
        <v>500</v>
      </c>
      <c r="DB217">
        <f>IF(CW217&gt;0,SUM(CW217:DA217),0)</f>
        <v>33520</v>
      </c>
      <c r="DC217">
        <f>_xlfn.XLOOKUP(B217,'[10]december-2025'!$A:$A,'[10]december-2025'!$H:$H,0,0)</f>
        <v>2000</v>
      </c>
      <c r="DD217">
        <f>_xlfn.XLOOKUP(B217,'[10]december-2025'!$A:$A,'[10]december-2025'!$I:$I,0,0)</f>
        <v>0</v>
      </c>
      <c r="DE217">
        <f t="shared" si="492"/>
        <v>150</v>
      </c>
      <c r="DF217">
        <f t="shared" si="493"/>
        <v>31370</v>
      </c>
      <c r="DG217">
        <f>_xlfn.XLOOKUP(B217,'[11]january-2026'!$A:$A,'[11]january-2026'!$C:$C,0,0)</f>
        <v>25400</v>
      </c>
      <c r="DH217">
        <f t="shared" si="494"/>
        <v>4572</v>
      </c>
      <c r="DI217">
        <f t="shared" si="495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>IF(DG217&gt;0,SUM(DG217:DK217),0)</f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496"/>
        <v>150</v>
      </c>
      <c r="DP217">
        <f t="shared" si="497"/>
        <v>31370</v>
      </c>
      <c r="DQ217">
        <f>_xlfn.XLOOKUP(B217,'[12]february-2026'!$A:$A,'[12]february-2026'!$C:$C,0,0)</f>
        <v>25400</v>
      </c>
      <c r="DR217">
        <f t="shared" si="498"/>
        <v>4572</v>
      </c>
      <c r="DS217">
        <f t="shared" si="499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>IF(DQ217&gt;0,SUM(DQ217:DU217),0)</f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00"/>
        <v>150</v>
      </c>
      <c r="DZ217">
        <f t="shared" si="501"/>
        <v>31370</v>
      </c>
      <c r="EA217">
        <f>_xlfn.XLOOKUP(B217,'[1]march-2025'!$A:$A,'[1]march-2025'!$J:$J,0,0)</f>
        <v>0</v>
      </c>
      <c r="EB217">
        <f>_xlfn.XLOOKUP(B217,'[2]april-2025'!$A:$A,'[2]april-2025'!$J:$J,0,0)</f>
        <v>0</v>
      </c>
      <c r="EC217">
        <f>_xlfn.XLOOKUP(B217,'[3]may-2025'!$A:$A,'[3]may-2025'!$J:$J,0,0)</f>
        <v>0</v>
      </c>
      <c r="ED217">
        <f>_xlfn.XLOOKUP(B217,'[4]june-2025'!$A:$A,'[4]june-2025'!$J:$J,0,0)</f>
        <v>0</v>
      </c>
      <c r="EE217">
        <f>_xlfn.XLOOKUP(B217,'[5]july-2025'!$A:$A,'[5]july-2025'!$J:$J,0,0)</f>
        <v>0</v>
      </c>
      <c r="EF217">
        <f>_xlfn.XLOOKUP(B217,'[6]august-2025'!$A:$A,'[6]august-2025'!$J:$J,0,0)</f>
        <v>0</v>
      </c>
      <c r="EG217">
        <f>_xlfn.XLOOKUP(B217,'[7]september-2025'!$A:$A,'[7]september-2025'!$J:$J,0,0)</f>
        <v>0</v>
      </c>
      <c r="EH217">
        <f>_xlfn.XLOOKUP(B217,'[8]october-2025'!$A:$A,'[8]october-2025'!$J:$J,0,0)</f>
        <v>0</v>
      </c>
      <c r="EI217">
        <f>_xlfn.XLOOKUP(C217,'[9]november-2025'!$A:$A,'[9]november-2025'!$J:$J,0,0)</f>
        <v>0</v>
      </c>
      <c r="EJ217">
        <f>_xlfn.XLOOKUP(B217,'[10]december-2025'!$A:$A,'[10]december-2025'!$J:$J,0,0)</f>
        <v>0</v>
      </c>
      <c r="EK217">
        <f>_xlfn.XLOOKUP(B217,'[11]january-2026'!$A:$A,'[11]january-2026'!$J:$J,0,0)</f>
        <v>0</v>
      </c>
      <c r="EL217">
        <f>_xlfn.XLOOKUP(B217,'[12]february-2026'!$A:$A,'[12]february-2026'!$J:$J,0,0)</f>
        <v>0</v>
      </c>
      <c r="EM217">
        <f t="shared" si="455"/>
        <v>0</v>
      </c>
      <c r="EN217">
        <f>DV217+DL217+DB217+CR217+CH217+BX217+BN217+BD217+AS217+AI217+Y217+O217+H217+I217</f>
        <v>404412</v>
      </c>
      <c r="EO217">
        <f>DY217+DO217+DE217+CU217+CK217+CA217+BQ217+BG217+AV217+AL217+AB217+R217</f>
        <v>1800</v>
      </c>
      <c r="EP217">
        <f t="shared" si="502"/>
        <v>50000</v>
      </c>
      <c r="EQ217">
        <v>0</v>
      </c>
      <c r="ER217">
        <f t="shared" si="456"/>
        <v>352612</v>
      </c>
      <c r="ES217">
        <f>DW217+DM217+DC217+CS217+CI217+BY217+BO217+BE217+AT217+AJ217+Z217+P217</f>
        <v>14000</v>
      </c>
      <c r="ET217">
        <f>DX217+DN217+DD217+CT217+CJ217+BZ217+BP217+BF217+AU217+AK217+AA217+Q217</f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503"/>
        <v>14000</v>
      </c>
      <c r="FF217">
        <f t="shared" si="504"/>
        <v>14000</v>
      </c>
      <c r="FG217">
        <f t="shared" si="505"/>
        <v>338612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>SUM(FH217:FN217)+(IF(F217="YES",50000,0))</f>
        <v>0</v>
      </c>
      <c r="FP217">
        <f t="shared" si="506"/>
        <v>338612</v>
      </c>
      <c r="FQ217">
        <f t="shared" si="507"/>
        <v>4431</v>
      </c>
      <c r="FR217">
        <f t="shared" si="508"/>
        <v>0</v>
      </c>
      <c r="FS217">
        <f t="shared" si="509"/>
        <v>4431</v>
      </c>
      <c r="FT217">
        <f t="shared" si="510"/>
        <v>0</v>
      </c>
      <c r="FU217">
        <f t="shared" si="511"/>
        <v>0</v>
      </c>
      <c r="FV217">
        <f t="shared" si="512"/>
        <v>0</v>
      </c>
      <c r="FW217">
        <v>0</v>
      </c>
      <c r="FX217">
        <f t="shared" si="513"/>
        <v>0</v>
      </c>
      <c r="FY217" t="b">
        <f t="shared" si="514"/>
        <v>0</v>
      </c>
      <c r="FZ217">
        <f t="shared" ca="1" si="515"/>
        <v>2861</v>
      </c>
      <c r="GA217">
        <f t="shared" ca="1" si="516"/>
        <v>407273</v>
      </c>
      <c r="GB217">
        <f t="shared" si="517"/>
        <v>75000</v>
      </c>
      <c r="GC217">
        <f t="shared" ca="1" si="518"/>
        <v>332273</v>
      </c>
      <c r="GD217">
        <f t="shared" ca="1" si="519"/>
        <v>0</v>
      </c>
      <c r="GE217">
        <f t="shared" ca="1" si="520"/>
        <v>0</v>
      </c>
      <c r="GF217">
        <f t="shared" ca="1" si="521"/>
        <v>0</v>
      </c>
      <c r="GG217">
        <f t="shared" ca="1" si="522"/>
        <v>0</v>
      </c>
      <c r="GH217">
        <f t="shared" ca="1" si="523"/>
        <v>0</v>
      </c>
      <c r="GI217">
        <f t="shared" ca="1" si="524"/>
        <v>0</v>
      </c>
      <c r="GJ217">
        <f ca="1">IF(GC217&gt;1200000,GC217-1200000-IF(F217="YES",50000,0)-GH217,0)</f>
        <v>0</v>
      </c>
      <c r="GK217">
        <f t="shared" ca="1" si="525"/>
        <v>0</v>
      </c>
      <c r="GL217">
        <f t="shared" ca="1" si="526"/>
        <v>0</v>
      </c>
      <c r="GM217">
        <f t="shared" ca="1" si="527"/>
        <v>0</v>
      </c>
      <c r="GN217">
        <f t="shared" ca="1" si="528"/>
        <v>0</v>
      </c>
      <c r="GO217">
        <f t="shared" ca="1" si="529"/>
        <v>0</v>
      </c>
      <c r="GP217">
        <f t="shared" ca="1" si="530"/>
        <v>0</v>
      </c>
      <c r="GQ217">
        <f t="shared" ca="1" si="531"/>
        <v>0</v>
      </c>
      <c r="GR217">
        <f t="shared" ca="1" si="532"/>
        <v>0</v>
      </c>
      <c r="GS217">
        <f t="shared" ca="1" si="533"/>
        <v>0</v>
      </c>
      <c r="GT217">
        <f t="shared" ca="1" si="534"/>
        <v>0</v>
      </c>
      <c r="GU217" t="b">
        <f t="shared" ca="1" si="535"/>
        <v>0</v>
      </c>
      <c r="GV217">
        <f t="shared" ca="1" si="536"/>
        <v>0</v>
      </c>
      <c r="GW217">
        <f t="shared" ca="1" si="537"/>
        <v>0</v>
      </c>
      <c r="GX217">
        <f t="shared" ca="1" si="538"/>
        <v>0</v>
      </c>
      <c r="GY217">
        <f t="shared" ca="1" si="539"/>
        <v>0</v>
      </c>
      <c r="GZ217">
        <f t="shared" ca="1" si="540"/>
        <v>0</v>
      </c>
    </row>
    <row r="218" spans="1:208" x14ac:dyDescent="0.25">
      <c r="A218">
        <f>_xlfn.AGGREGATE(3,5,$B$2:B218)</f>
        <v>217</v>
      </c>
      <c r="B218" t="s">
        <v>540</v>
      </c>
      <c r="C218" t="s">
        <v>541</v>
      </c>
      <c r="D218" t="s">
        <v>805</v>
      </c>
      <c r="E218" t="s">
        <v>832</v>
      </c>
      <c r="F218" t="s">
        <v>957</v>
      </c>
      <c r="G218" t="s">
        <v>885</v>
      </c>
      <c r="H218">
        <f t="shared" si="542"/>
        <v>6800</v>
      </c>
      <c r="I218">
        <f>_xlfn.XLOOKUP(B218,'[1]march-2025'!$A:$A,'[1]march-2025'!$J:$J,0,0)</f>
        <v>0</v>
      </c>
      <c r="J218">
        <f>_xlfn.XLOOKUP(B218,'[1]march-2025'!$A:$A,'[1]march-2025'!$C:$C,0,0)</f>
        <v>51700</v>
      </c>
      <c r="K218">
        <f t="shared" si="457"/>
        <v>7238.0000000000009</v>
      </c>
      <c r="L218">
        <f t="shared" si="458"/>
        <v>6204</v>
      </c>
      <c r="M218">
        <f>_xlfn.XLOOKUP(B218,'[1]march-2025'!$A:$A,'[1]march-2025'!$D:$D,0,0)</f>
        <v>400</v>
      </c>
      <c r="N218">
        <f>_xlfn.XLOOKUP(B218,'[1]march-2025'!$A:$A,'[1]march-2025'!$G:$G,0,0)</f>
        <v>500</v>
      </c>
      <c r="O218">
        <f>IF(J218&gt;0,SUM(J218:N218),0)</f>
        <v>66042</v>
      </c>
      <c r="P218">
        <f>_xlfn.XLOOKUP(B218,'[1]march-2025'!$A:$A,'[1]march-2025'!$H:$H,0,0)</f>
        <v>10000</v>
      </c>
      <c r="Q218">
        <f>_xlfn.XLOOKUP(B218,'[1]march-2025'!$A:$A,'[1]march-2025'!$I:$I,0,0)</f>
        <v>0</v>
      </c>
      <c r="R218">
        <f t="shared" si="541"/>
        <v>200</v>
      </c>
      <c r="S218">
        <f t="shared" si="451"/>
        <v>55842</v>
      </c>
      <c r="T218">
        <f>_xlfn.XLOOKUP(B218,'[2]april-2025'!$A:$A,'[2]april-2025'!$C:$C,0,0)</f>
        <v>51700</v>
      </c>
      <c r="U218">
        <f t="shared" si="459"/>
        <v>9306</v>
      </c>
      <c r="V218">
        <f t="shared" si="460"/>
        <v>6204</v>
      </c>
      <c r="W218">
        <f>_xlfn.XLOOKUP(B218,'[2]april-2025'!$A:$A,'[2]april-2025'!$D:$D,0,0)</f>
        <v>400</v>
      </c>
      <c r="X218">
        <f>_xlfn.XLOOKUP(B218,'[2]april-2025'!$A:$A,'[2]april-2025'!$G:$G,0,0)</f>
        <v>500</v>
      </c>
      <c r="Y218">
        <f t="shared" si="452"/>
        <v>68110</v>
      </c>
      <c r="Z218">
        <f>_xlfn.XLOOKUP(B218,'[2]april-2025'!$A:$A,'[2]april-2025'!$H:$H,0,0)</f>
        <v>10000</v>
      </c>
      <c r="AA218">
        <f>_xlfn.XLOOKUP(B218,'[2]april-2025'!$A:$A,'[2]april-2025'!$I:$I,0,0)</f>
        <v>0</v>
      </c>
      <c r="AB218">
        <f t="shared" si="461"/>
        <v>200</v>
      </c>
      <c r="AC218">
        <f t="shared" si="462"/>
        <v>57910</v>
      </c>
      <c r="AD218">
        <f>_xlfn.XLOOKUP(B218,'[3]may-2025'!$A:$A,'[3]may-2025'!$C:$C,0,0)</f>
        <v>51700</v>
      </c>
      <c r="AE218">
        <f t="shared" si="463"/>
        <v>9306</v>
      </c>
      <c r="AF218">
        <f t="shared" si="464"/>
        <v>6204</v>
      </c>
      <c r="AG218">
        <f>_xlfn.XLOOKUP(B218,'[3]may-2025'!$A:$A,'[3]may-2025'!$D:$D,0,0)</f>
        <v>400</v>
      </c>
      <c r="AH218">
        <f>_xlfn.XLOOKUP(B218,'[3]may-2025'!$A:$A,'[3]may-2025'!$G:$G,0,0)</f>
        <v>500</v>
      </c>
      <c r="AI218">
        <f t="shared" si="453"/>
        <v>68110</v>
      </c>
      <c r="AJ218">
        <f>_xlfn.XLOOKUP(B218,'[3]may-2025'!$A:$A,'[3]may-2025'!$H:$H,0,0)</f>
        <v>10000</v>
      </c>
      <c r="AK218">
        <f>_xlfn.XLOOKUP(B218,'[3]may-2025'!$A:$A,'[3]may-2025'!$I:$I,0,0)</f>
        <v>0</v>
      </c>
      <c r="AL218">
        <f t="shared" si="465"/>
        <v>200</v>
      </c>
      <c r="AM218">
        <f t="shared" si="466"/>
        <v>57910</v>
      </c>
      <c r="AN218">
        <f>_xlfn.XLOOKUP(B218,'[4]june-2025'!$A:$A,'[4]june-2025'!$C:$C,0,0)</f>
        <v>51700</v>
      </c>
      <c r="AO218">
        <f t="shared" si="467"/>
        <v>9306</v>
      </c>
      <c r="AP218">
        <f t="shared" si="468"/>
        <v>6204</v>
      </c>
      <c r="AQ218">
        <f>_xlfn.XLOOKUP(B218,'[4]june-2025'!$A:$A,'[4]june-2025'!$D:$D,0,0)</f>
        <v>400</v>
      </c>
      <c r="AR218">
        <f>_xlfn.XLOOKUP(B218,'[4]june-2025'!$A:$A,'[4]june-2025'!$G:$G,0,0)</f>
        <v>500</v>
      </c>
      <c r="AS218">
        <f t="shared" si="454"/>
        <v>68110</v>
      </c>
      <c r="AT218">
        <f>_xlfn.XLOOKUP(B218,'[4]june-2025'!$A:$A,'[4]june-2025'!$H:$H,0,0)</f>
        <v>10000</v>
      </c>
      <c r="AU218">
        <f>_xlfn.XLOOKUP(B218,'[4]june-2025'!$A:$A,'[4]june-2025'!$I:$I,0,0)</f>
        <v>0</v>
      </c>
      <c r="AV218">
        <f t="shared" si="469"/>
        <v>200</v>
      </c>
      <c r="AW218">
        <f t="shared" si="470"/>
        <v>57910</v>
      </c>
      <c r="AX218">
        <f>_xlfn.XLOOKUP(B218,'[5]july-2025'!$A:$A,'[5]july-2025'!$C:$C,0,0)</f>
        <v>53300</v>
      </c>
      <c r="AY218">
        <f t="shared" si="471"/>
        <v>9594</v>
      </c>
      <c r="AZ218">
        <v>0</v>
      </c>
      <c r="BA218">
        <f t="shared" si="472"/>
        <v>6396</v>
      </c>
      <c r="BB218">
        <f>_xlfn.XLOOKUP(B218,'[5]july-2025'!$A:$A,'[5]july-2025'!$D:$D,0,0)</f>
        <v>400</v>
      </c>
      <c r="BC218">
        <f>_xlfn.XLOOKUP(B218,'[5]july-2025'!$A:$A,'[5]july-2025'!$G:$G,0,0)</f>
        <v>500</v>
      </c>
      <c r="BD218">
        <f>IF(AX218&gt;0,SUM(AX218:BC218),0)</f>
        <v>70190</v>
      </c>
      <c r="BE218">
        <f>_xlfn.XLOOKUP(B218,'[5]july-2025'!$A:$A,'[5]july-2025'!$H:$H,0,0)</f>
        <v>10000</v>
      </c>
      <c r="BF218">
        <f>_xlfn.XLOOKUP(B218,'[5]july-2025'!$A:$A,'[5]july-2025'!$I:$I,0,0)</f>
        <v>0</v>
      </c>
      <c r="BG218">
        <f t="shared" si="473"/>
        <v>200</v>
      </c>
      <c r="BH218">
        <f t="shared" si="474"/>
        <v>59990</v>
      </c>
      <c r="BI218">
        <f>_xlfn.XLOOKUP(B218,'[6]august-2025'!$A:$A,'[6]august-2025'!$C:$C,0,0)</f>
        <v>53300</v>
      </c>
      <c r="BJ218">
        <f t="shared" si="475"/>
        <v>9594</v>
      </c>
      <c r="BK218">
        <f t="shared" si="476"/>
        <v>6396</v>
      </c>
      <c r="BL218">
        <f>_xlfn.XLOOKUP(B218,'[6]august-2025'!$A:$A,'[6]august-2025'!$D:$D,0,0)</f>
        <v>400</v>
      </c>
      <c r="BM218">
        <f>_xlfn.XLOOKUP(B218,'[6]august-2025'!$A:$A,'[6]august-2025'!$G:$G,0,0)</f>
        <v>500</v>
      </c>
      <c r="BN218">
        <f t="shared" si="477"/>
        <v>70190</v>
      </c>
      <c r="BO218">
        <f>_xlfn.XLOOKUP(B218,'[6]august-2025'!$A:$A,'[6]august-2025'!$H:$H,0,0)</f>
        <v>10000</v>
      </c>
      <c r="BP218">
        <f>_xlfn.XLOOKUP(B218,'[6]august-2025'!$A:$A,'[6]august-2025'!$I:$I,0,0)</f>
        <v>0</v>
      </c>
      <c r="BQ218">
        <f>IF($F218="YES",0,IF(BN218&gt;40000,200,IF(BN218&gt;25000,150,IF(BN218&gt;15000,130,IF(BN218&gt;10000,110,0)))))</f>
        <v>200</v>
      </c>
      <c r="BR218">
        <f>BN218-BO218-BP218-BQ218</f>
        <v>59990</v>
      </c>
      <c r="BS218">
        <f>_xlfn.XLOOKUP(B218,'[7]september-2025'!$A:$A,'[7]september-2025'!$C:$C,0,0)</f>
        <v>53300</v>
      </c>
      <c r="BT218">
        <f t="shared" si="478"/>
        <v>9594</v>
      </c>
      <c r="BU218">
        <f t="shared" si="479"/>
        <v>6396</v>
      </c>
      <c r="BV218">
        <f>_xlfn.XLOOKUP(B218,'[7]september-2025'!$A:$A,'[7]september-2025'!$D:$D,0,0)</f>
        <v>400</v>
      </c>
      <c r="BW218">
        <f>_xlfn.XLOOKUP(B218,'[7]september-2025'!$A:$A,'[7]september-2025'!$G:$G,0,0)</f>
        <v>500</v>
      </c>
      <c r="BX218">
        <f>IF(BS218&gt;0,SUM(BS218:BW218),0)</f>
        <v>70190</v>
      </c>
      <c r="BY218">
        <f>_xlfn.XLOOKUP(B218,'[7]september-2025'!$A:$A,'[7]september-2025'!$H:$H,0,0)</f>
        <v>10000</v>
      </c>
      <c r="BZ218">
        <f>_xlfn.XLOOKUP(B218,'[7]september-2025'!$A:$A,'[7]september-2025'!$I:$I,0,0)</f>
        <v>0</v>
      </c>
      <c r="CA218">
        <f t="shared" si="480"/>
        <v>200</v>
      </c>
      <c r="CB218">
        <f t="shared" si="481"/>
        <v>59990</v>
      </c>
      <c r="CC218">
        <f>_xlfn.XLOOKUP(B218,'[8]october-2025'!$A:$A,'[8]october-2025'!$C:$C,0,0)</f>
        <v>53300</v>
      </c>
      <c r="CD218">
        <f t="shared" si="482"/>
        <v>9594</v>
      </c>
      <c r="CE218">
        <f t="shared" si="483"/>
        <v>6396</v>
      </c>
      <c r="CF218">
        <f>_xlfn.XLOOKUP(B218,'[8]october-2025'!$A:$A,'[8]october-2025'!$D:$D,0,0)</f>
        <v>400</v>
      </c>
      <c r="CG218">
        <f>_xlfn.XLOOKUP(B218,'[8]october-2025'!$A:$A,'[8]october-2025'!$G:$G,0,0)</f>
        <v>500</v>
      </c>
      <c r="CH218">
        <f>IF(CC218&gt;0,SUM(CC218:CG218),0)</f>
        <v>70190</v>
      </c>
      <c r="CI218">
        <f>_xlfn.XLOOKUP(B218,'[8]october-2025'!$A:$A,'[8]october-2025'!$H:$H,0,0)</f>
        <v>10000</v>
      </c>
      <c r="CJ218">
        <f>_xlfn.XLOOKUP(B218,'[8]october-2025'!$A:$A,'[8]october-2025'!$I:$I,0,0)</f>
        <v>0</v>
      </c>
      <c r="CK218">
        <f t="shared" si="484"/>
        <v>200</v>
      </c>
      <c r="CL218">
        <f t="shared" si="485"/>
        <v>59990</v>
      </c>
      <c r="CM218">
        <f>_xlfn.XLOOKUP(B218,'[9]november-2025'!$A:$A,'[9]november-2025'!$C:$C,0,0)</f>
        <v>53300</v>
      </c>
      <c r="CN218">
        <f t="shared" si="486"/>
        <v>9594</v>
      </c>
      <c r="CO218">
        <f t="shared" si="487"/>
        <v>6396</v>
      </c>
      <c r="CP218">
        <f>_xlfn.XLOOKUP(B218,'[9]november-2025'!$A:$A,'[9]november-2025'!$D:$D,0,0)</f>
        <v>400</v>
      </c>
      <c r="CQ218">
        <f>_xlfn.XLOOKUP(B218,'[9]november-2025'!$A:$A,'[9]november-2025'!$G:$G,0,0)</f>
        <v>500</v>
      </c>
      <c r="CR218">
        <f>IF(CM218&gt;0,SUM(CM218:CQ218),0)</f>
        <v>70190</v>
      </c>
      <c r="CS218">
        <f>_xlfn.XLOOKUP(B218,'[9]november-2025'!$A:$A,'[9]november-2025'!$H:$H,0,0)</f>
        <v>10000</v>
      </c>
      <c r="CT218">
        <f>_xlfn.XLOOKUP(B218,'[9]november-2025'!$A:$A,'[9]november-2025'!$I:$I,0,0)</f>
        <v>0</v>
      </c>
      <c r="CU218">
        <f t="shared" si="488"/>
        <v>200</v>
      </c>
      <c r="CV218">
        <f t="shared" si="489"/>
        <v>59990</v>
      </c>
      <c r="CW218">
        <f>_xlfn.XLOOKUP(B218,'[10]december-2025'!$A:$A,'[10]december-2025'!$C:$C,0,0)</f>
        <v>53300</v>
      </c>
      <c r="CX218">
        <f t="shared" si="490"/>
        <v>9594</v>
      </c>
      <c r="CY218">
        <f t="shared" si="491"/>
        <v>6396</v>
      </c>
      <c r="CZ218">
        <f>_xlfn.XLOOKUP(B218,'[10]december-2025'!$A:$A,'[10]december-2025'!$D:$D,0,0)</f>
        <v>400</v>
      </c>
      <c r="DA218">
        <f>_xlfn.XLOOKUP(B218,'[10]december-2025'!$A:$A,'[10]december-2025'!$G:$G,0,0)</f>
        <v>500</v>
      </c>
      <c r="DB218">
        <f>IF(CW218&gt;0,SUM(CW218:DA218),0)</f>
        <v>70190</v>
      </c>
      <c r="DC218">
        <f>_xlfn.XLOOKUP(B218,'[10]december-2025'!$A:$A,'[10]december-2025'!$H:$H,0,0)</f>
        <v>10000</v>
      </c>
      <c r="DD218">
        <f>_xlfn.XLOOKUP(B218,'[10]december-2025'!$A:$A,'[10]december-2025'!$I:$I,0,0)</f>
        <v>0</v>
      </c>
      <c r="DE218">
        <f t="shared" si="492"/>
        <v>200</v>
      </c>
      <c r="DF218">
        <f t="shared" si="493"/>
        <v>59990</v>
      </c>
      <c r="DG218">
        <f>_xlfn.XLOOKUP(B218,'[11]january-2026'!$A:$A,'[11]january-2026'!$C:$C,0,0)</f>
        <v>53300</v>
      </c>
      <c r="DH218">
        <f t="shared" si="494"/>
        <v>9594</v>
      </c>
      <c r="DI218">
        <f t="shared" si="495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>IF(DG218&gt;0,SUM(DG218:DK218),0)</f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496"/>
        <v>200</v>
      </c>
      <c r="DP218">
        <f t="shared" si="497"/>
        <v>59990</v>
      </c>
      <c r="DQ218">
        <f>_xlfn.XLOOKUP(B218,'[12]february-2026'!$A:$A,'[12]february-2026'!$C:$C,0,0)</f>
        <v>53300</v>
      </c>
      <c r="DR218">
        <f t="shared" si="498"/>
        <v>9594</v>
      </c>
      <c r="DS218">
        <f t="shared" si="499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>IF(DQ218&gt;0,SUM(DQ218:DU218),0)</f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00"/>
        <v>200</v>
      </c>
      <c r="DZ218">
        <f t="shared" si="501"/>
        <v>59990</v>
      </c>
      <c r="EA218">
        <f>_xlfn.XLOOKUP(B218,'[1]march-2025'!$A:$A,'[1]march-2025'!$J:$J,0,0)</f>
        <v>0</v>
      </c>
      <c r="EB218">
        <f>_xlfn.XLOOKUP(B218,'[2]april-2025'!$A:$A,'[2]april-2025'!$J:$J,0,0)</f>
        <v>0</v>
      </c>
      <c r="EC218">
        <f>_xlfn.XLOOKUP(B218,'[3]may-2025'!$A:$A,'[3]may-2025'!$J:$J,0,0)</f>
        <v>0</v>
      </c>
      <c r="ED218">
        <f>_xlfn.XLOOKUP(B218,'[4]june-2025'!$A:$A,'[4]june-2025'!$J:$J,0,0)</f>
        <v>0</v>
      </c>
      <c r="EE218">
        <f>_xlfn.XLOOKUP(B218,'[5]july-2025'!$A:$A,'[5]july-2025'!$J:$J,0,0)</f>
        <v>0</v>
      </c>
      <c r="EF218">
        <f>_xlfn.XLOOKUP(B218,'[6]august-2025'!$A:$A,'[6]august-2025'!$J:$J,0,0)</f>
        <v>0</v>
      </c>
      <c r="EG218">
        <f>_xlfn.XLOOKUP(B218,'[7]september-2025'!$A:$A,'[7]september-2025'!$J:$J,0,0)</f>
        <v>0</v>
      </c>
      <c r="EH218">
        <f>_xlfn.XLOOKUP(B218,'[8]october-2025'!$A:$A,'[8]october-2025'!$J:$J,0,0)</f>
        <v>0</v>
      </c>
      <c r="EI218">
        <f>_xlfn.XLOOKUP(C218,'[9]november-2025'!$A:$A,'[9]november-2025'!$J:$J,0,0)</f>
        <v>0</v>
      </c>
      <c r="EJ218">
        <f>_xlfn.XLOOKUP(B218,'[10]december-2025'!$A:$A,'[10]december-2025'!$J:$J,0,0)</f>
        <v>0</v>
      </c>
      <c r="EK218">
        <f>_xlfn.XLOOKUP(B218,'[11]january-2026'!$A:$A,'[11]january-2026'!$J:$J,0,0)</f>
        <v>0</v>
      </c>
      <c r="EL218">
        <f>_xlfn.XLOOKUP(B218,'[12]february-2026'!$A:$A,'[12]february-2026'!$J:$J,0,0)</f>
        <v>0</v>
      </c>
      <c r="EM218">
        <f t="shared" si="455"/>
        <v>0</v>
      </c>
      <c r="EN218">
        <f>DV218+DL218+DB218+CR218+CH218+BX218+BN218+BD218+AS218+AI218+Y218+O218+H218+I218</f>
        <v>838692</v>
      </c>
      <c r="EO218">
        <f>DY218+DO218+DE218+CU218+CK218+CA218+BQ218+BG218+AV218+AL218+AB218+R218</f>
        <v>2400</v>
      </c>
      <c r="EP218">
        <f t="shared" si="502"/>
        <v>50000</v>
      </c>
      <c r="EQ218">
        <v>0</v>
      </c>
      <c r="ER218">
        <f t="shared" si="456"/>
        <v>786292</v>
      </c>
      <c r="ES218">
        <f>DW218+DM218+DC218+CS218+CI218+BY218+BO218+BE218+AT218+AJ218+Z218+P218</f>
        <v>120000</v>
      </c>
      <c r="ET218">
        <f>DX218+DN218+DD218+CT218+CJ218+BZ218+BP218+BF218+AU218+AK218+AA218+Q218</f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503"/>
        <v>120000</v>
      </c>
      <c r="FF218">
        <f t="shared" si="504"/>
        <v>120000</v>
      </c>
      <c r="FG218">
        <f t="shared" si="505"/>
        <v>666292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>SUM(FH218:FN218)+(IF(F218="YES",50000,0))</f>
        <v>0</v>
      </c>
      <c r="FP218">
        <f t="shared" si="506"/>
        <v>666292</v>
      </c>
      <c r="FQ218">
        <f t="shared" si="507"/>
        <v>12500</v>
      </c>
      <c r="FR218">
        <f t="shared" si="508"/>
        <v>33258</v>
      </c>
      <c r="FS218">
        <f t="shared" si="509"/>
        <v>45758</v>
      </c>
      <c r="FT218">
        <f t="shared" si="510"/>
        <v>45758</v>
      </c>
      <c r="FU218">
        <f t="shared" si="511"/>
        <v>1830.32</v>
      </c>
      <c r="FV218">
        <f t="shared" si="512"/>
        <v>47588</v>
      </c>
      <c r="FW218">
        <v>0</v>
      </c>
      <c r="FX218">
        <f t="shared" si="513"/>
        <v>47588</v>
      </c>
      <c r="FY218" t="b">
        <f t="shared" si="514"/>
        <v>1</v>
      </c>
      <c r="FZ218">
        <f t="shared" ca="1" si="515"/>
        <v>757</v>
      </c>
      <c r="GA218">
        <f t="shared" ca="1" si="516"/>
        <v>839449</v>
      </c>
      <c r="GB218">
        <f t="shared" si="517"/>
        <v>75000</v>
      </c>
      <c r="GC218">
        <f t="shared" ca="1" si="518"/>
        <v>764449</v>
      </c>
      <c r="GD218">
        <f t="shared" ca="1" si="519"/>
        <v>0</v>
      </c>
      <c r="GE218">
        <f t="shared" ca="1" si="520"/>
        <v>0</v>
      </c>
      <c r="GF218">
        <f t="shared" ca="1" si="521"/>
        <v>0</v>
      </c>
      <c r="GG218">
        <f t="shared" ca="1" si="522"/>
        <v>0</v>
      </c>
      <c r="GH218">
        <f t="shared" ca="1" si="523"/>
        <v>0</v>
      </c>
      <c r="GI218">
        <f t="shared" ca="1" si="524"/>
        <v>0</v>
      </c>
      <c r="GJ218">
        <f ca="1">IF(GC218&gt;1200000,GC218-1200000-IF(F218="YES",50000,0)-GH218,0)</f>
        <v>0</v>
      </c>
      <c r="GK218">
        <f t="shared" ca="1" si="525"/>
        <v>0</v>
      </c>
      <c r="GL218">
        <f t="shared" ca="1" si="526"/>
        <v>0</v>
      </c>
      <c r="GM218">
        <f t="shared" ca="1" si="527"/>
        <v>0</v>
      </c>
      <c r="GN218">
        <f t="shared" ca="1" si="528"/>
        <v>364449</v>
      </c>
      <c r="GO218">
        <f t="shared" ca="1" si="529"/>
        <v>18222.45</v>
      </c>
      <c r="GP218">
        <f t="shared" ca="1" si="530"/>
        <v>18222</v>
      </c>
      <c r="GQ218">
        <f t="shared" ca="1" si="531"/>
        <v>0</v>
      </c>
      <c r="GR218">
        <f t="shared" ca="1" si="532"/>
        <v>0</v>
      </c>
      <c r="GS218">
        <f t="shared" ca="1" si="533"/>
        <v>18222</v>
      </c>
      <c r="GT218">
        <f t="shared" ca="1" si="534"/>
        <v>0</v>
      </c>
      <c r="GU218" t="b">
        <f t="shared" ca="1" si="535"/>
        <v>0</v>
      </c>
      <c r="GV218">
        <f t="shared" ca="1" si="536"/>
        <v>0</v>
      </c>
      <c r="GW218">
        <f t="shared" ca="1" si="537"/>
        <v>18222</v>
      </c>
      <c r="GX218">
        <f t="shared" ca="1" si="538"/>
        <v>0</v>
      </c>
      <c r="GY218">
        <f t="shared" ca="1" si="539"/>
        <v>0</v>
      </c>
      <c r="GZ218">
        <f t="shared" ca="1" si="540"/>
        <v>0</v>
      </c>
    </row>
    <row r="219" spans="1:208" x14ac:dyDescent="0.25">
      <c r="A219">
        <f>_xlfn.AGGREGATE(3,5,$B$2:B219)</f>
        <v>218</v>
      </c>
      <c r="B219" t="s">
        <v>542</v>
      </c>
      <c r="C219" t="s">
        <v>543</v>
      </c>
      <c r="D219" t="s">
        <v>805</v>
      </c>
      <c r="E219" t="s">
        <v>832</v>
      </c>
      <c r="F219" t="s">
        <v>957</v>
      </c>
      <c r="G219" t="s">
        <v>908</v>
      </c>
      <c r="H219">
        <f t="shared" si="542"/>
        <v>6800</v>
      </c>
      <c r="I219">
        <f>_xlfn.XLOOKUP(B219,'[1]march-2025'!$A:$A,'[1]march-2025'!$J:$J,0,0)</f>
        <v>0</v>
      </c>
      <c r="J219">
        <f>_xlfn.XLOOKUP(B219,'[1]march-2025'!$A:$A,'[1]march-2025'!$C:$C,0,0)</f>
        <v>47300</v>
      </c>
      <c r="K219">
        <f t="shared" si="457"/>
        <v>6622.0000000000009</v>
      </c>
      <c r="L219">
        <f t="shared" si="458"/>
        <v>5676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>IF(J219&gt;0,SUM(J219:N219),0)</f>
        <v>59598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541"/>
        <v>200</v>
      </c>
      <c r="S219">
        <f t="shared" si="451"/>
        <v>54398</v>
      </c>
      <c r="T219">
        <f>_xlfn.XLOOKUP(B219,'[2]april-2025'!$A:$A,'[2]april-2025'!$C:$C,0,0)</f>
        <v>47300</v>
      </c>
      <c r="U219">
        <f t="shared" si="459"/>
        <v>8514</v>
      </c>
      <c r="V219">
        <f t="shared" si="460"/>
        <v>5676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452"/>
        <v>61490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461"/>
        <v>200</v>
      </c>
      <c r="AC219">
        <f t="shared" si="462"/>
        <v>56290</v>
      </c>
      <c r="AD219">
        <f>_xlfn.XLOOKUP(B219,'[3]may-2025'!$A:$A,'[3]may-2025'!$C:$C,0,0)</f>
        <v>47300</v>
      </c>
      <c r="AE219">
        <f t="shared" si="463"/>
        <v>8514</v>
      </c>
      <c r="AF219">
        <f t="shared" si="464"/>
        <v>5676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453"/>
        <v>61490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465"/>
        <v>200</v>
      </c>
      <c r="AM219">
        <f t="shared" si="466"/>
        <v>56290</v>
      </c>
      <c r="AN219">
        <f>_xlfn.XLOOKUP(B219,'[4]june-2025'!$A:$A,'[4]june-2025'!$C:$C,0,0)</f>
        <v>47300</v>
      </c>
      <c r="AO219">
        <f t="shared" si="467"/>
        <v>8514</v>
      </c>
      <c r="AP219">
        <f t="shared" si="468"/>
        <v>5676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454"/>
        <v>61490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469"/>
        <v>200</v>
      </c>
      <c r="AW219">
        <f t="shared" si="470"/>
        <v>56290</v>
      </c>
      <c r="AX219">
        <f>_xlfn.XLOOKUP(B219,'[5]july-2025'!$A:$A,'[5]july-2025'!$C:$C,0,0)</f>
        <v>48700</v>
      </c>
      <c r="AY219">
        <f t="shared" si="471"/>
        <v>8766</v>
      </c>
      <c r="AZ219">
        <v>0</v>
      </c>
      <c r="BA219">
        <f t="shared" si="472"/>
        <v>5844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>IF(AX219&gt;0,SUM(AX219:BC219),0)</f>
        <v>63310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473"/>
        <v>200</v>
      </c>
      <c r="BH219">
        <f t="shared" si="474"/>
        <v>58110</v>
      </c>
      <c r="BI219">
        <f>_xlfn.XLOOKUP(B219,'[6]august-2025'!$A:$A,'[6]august-2025'!$C:$C,0,0)</f>
        <v>48700</v>
      </c>
      <c r="BJ219">
        <f t="shared" si="475"/>
        <v>8766</v>
      </c>
      <c r="BK219">
        <f t="shared" si="476"/>
        <v>5844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477"/>
        <v>63310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>IF($F219="YES",0,IF(BN219&gt;40000,200,IF(BN219&gt;25000,150,IF(BN219&gt;15000,130,IF(BN219&gt;10000,110,0)))))</f>
        <v>200</v>
      </c>
      <c r="BR219">
        <f>BN219-BO219-BP219-BQ219</f>
        <v>58110</v>
      </c>
      <c r="BS219">
        <f>_xlfn.XLOOKUP(B219,'[7]september-2025'!$A:$A,'[7]september-2025'!$C:$C,0,0)</f>
        <v>48700</v>
      </c>
      <c r="BT219">
        <f t="shared" si="478"/>
        <v>8766</v>
      </c>
      <c r="BU219">
        <f t="shared" si="479"/>
        <v>5844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>IF(BS219&gt;0,SUM(BS219:BW219),0)</f>
        <v>63310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480"/>
        <v>200</v>
      </c>
      <c r="CB219">
        <f t="shared" si="481"/>
        <v>58110</v>
      </c>
      <c r="CC219">
        <f>_xlfn.XLOOKUP(B219,'[8]october-2025'!$A:$A,'[8]october-2025'!$C:$C,0,0)</f>
        <v>48700</v>
      </c>
      <c r="CD219">
        <f t="shared" si="482"/>
        <v>8766</v>
      </c>
      <c r="CE219">
        <f t="shared" si="483"/>
        <v>5844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>IF(CC219&gt;0,SUM(CC219:CG219),0)</f>
        <v>63310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484"/>
        <v>200</v>
      </c>
      <c r="CL219">
        <f t="shared" si="485"/>
        <v>58110</v>
      </c>
      <c r="CM219">
        <f>_xlfn.XLOOKUP(B219,'[9]november-2025'!$A:$A,'[9]november-2025'!$C:$C,0,0)</f>
        <v>48700</v>
      </c>
      <c r="CN219">
        <f t="shared" si="486"/>
        <v>8766</v>
      </c>
      <c r="CO219">
        <f t="shared" si="487"/>
        <v>5844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>IF(CM219&gt;0,SUM(CM219:CQ219),0)</f>
        <v>63310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488"/>
        <v>200</v>
      </c>
      <c r="CV219">
        <f t="shared" si="489"/>
        <v>58110</v>
      </c>
      <c r="CW219">
        <f>_xlfn.XLOOKUP(B219,'[10]december-2025'!$A:$A,'[10]december-2025'!$C:$C,0,0)</f>
        <v>48700</v>
      </c>
      <c r="CX219">
        <f t="shared" si="490"/>
        <v>8766</v>
      </c>
      <c r="CY219">
        <f t="shared" si="491"/>
        <v>5844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>IF(CW219&gt;0,SUM(CW219:DA219),0)</f>
        <v>63310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492"/>
        <v>200</v>
      </c>
      <c r="DF219">
        <f t="shared" si="493"/>
        <v>58110</v>
      </c>
      <c r="DG219">
        <f>_xlfn.XLOOKUP(B219,'[11]january-2026'!$A:$A,'[11]january-2026'!$C:$C,0,0)</f>
        <v>48700</v>
      </c>
      <c r="DH219">
        <f t="shared" si="494"/>
        <v>8766</v>
      </c>
      <c r="DI219">
        <f t="shared" si="495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>IF(DG219&gt;0,SUM(DG219:DK219),0)</f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496"/>
        <v>200</v>
      </c>
      <c r="DP219">
        <f t="shared" si="497"/>
        <v>58110</v>
      </c>
      <c r="DQ219">
        <f>_xlfn.XLOOKUP(B219,'[12]february-2026'!$A:$A,'[12]february-2026'!$C:$C,0,0)</f>
        <v>48700</v>
      </c>
      <c r="DR219">
        <f t="shared" si="498"/>
        <v>8766</v>
      </c>
      <c r="DS219">
        <f t="shared" si="499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>IF(DQ219&gt;0,SUM(DQ219:DU219),0)</f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00"/>
        <v>200</v>
      </c>
      <c r="DZ219">
        <f t="shared" si="501"/>
        <v>58110</v>
      </c>
      <c r="EA219">
        <f>_xlfn.XLOOKUP(B219,'[1]march-2025'!$A:$A,'[1]march-2025'!$J:$J,0,0)</f>
        <v>0</v>
      </c>
      <c r="EB219">
        <f>_xlfn.XLOOKUP(B219,'[2]april-2025'!$A:$A,'[2]april-2025'!$J:$J,0,0)</f>
        <v>0</v>
      </c>
      <c r="EC219">
        <f>_xlfn.XLOOKUP(B219,'[3]may-2025'!$A:$A,'[3]may-2025'!$J:$J,0,0)</f>
        <v>0</v>
      </c>
      <c r="ED219">
        <f>_xlfn.XLOOKUP(B219,'[4]june-2025'!$A:$A,'[4]june-2025'!$J:$J,0,0)</f>
        <v>0</v>
      </c>
      <c r="EE219">
        <f>_xlfn.XLOOKUP(B219,'[5]july-2025'!$A:$A,'[5]july-2025'!$J:$J,0,0)</f>
        <v>0</v>
      </c>
      <c r="EF219">
        <f>_xlfn.XLOOKUP(B219,'[6]august-2025'!$A:$A,'[6]august-2025'!$J:$J,0,0)</f>
        <v>0</v>
      </c>
      <c r="EG219">
        <f>_xlfn.XLOOKUP(B219,'[7]september-2025'!$A:$A,'[7]september-2025'!$J:$J,0,0)</f>
        <v>0</v>
      </c>
      <c r="EH219">
        <f>_xlfn.XLOOKUP(B219,'[8]october-2025'!$A:$A,'[8]october-2025'!$J:$J,0,0)</f>
        <v>0</v>
      </c>
      <c r="EI219">
        <f>_xlfn.XLOOKUP(C219,'[9]november-2025'!$A:$A,'[9]november-2025'!$J:$J,0,0)</f>
        <v>0</v>
      </c>
      <c r="EJ219">
        <f>_xlfn.XLOOKUP(B219,'[10]december-2025'!$A:$A,'[10]december-2025'!$J:$J,0,0)</f>
        <v>0</v>
      </c>
      <c r="EK219">
        <f>_xlfn.XLOOKUP(B219,'[11]january-2026'!$A:$A,'[11]january-2026'!$J:$J,0,0)</f>
        <v>0</v>
      </c>
      <c r="EL219">
        <f>_xlfn.XLOOKUP(B219,'[12]february-2026'!$A:$A,'[12]february-2026'!$J:$J,0,0)</f>
        <v>0</v>
      </c>
      <c r="EM219">
        <f t="shared" si="455"/>
        <v>0</v>
      </c>
      <c r="EN219">
        <f>DV219+DL219+DB219+CR219+CH219+BX219+BN219+BD219+AS219+AI219+Y219+O219+H219+I219</f>
        <v>757348</v>
      </c>
      <c r="EO219">
        <f>DY219+DO219+DE219+CU219+CK219+CA219+BQ219+BG219+AV219+AL219+AB219+R219</f>
        <v>2400</v>
      </c>
      <c r="EP219">
        <f t="shared" si="502"/>
        <v>50000</v>
      </c>
      <c r="EQ219">
        <v>0</v>
      </c>
      <c r="ER219">
        <f t="shared" si="456"/>
        <v>704948</v>
      </c>
      <c r="ES219">
        <f>DW219+DM219+DC219+CS219+CI219+BY219+BO219+BE219+AT219+AJ219+Z219+P219</f>
        <v>60000</v>
      </c>
      <c r="ET219">
        <f>DX219+DN219+DD219+CT219+CJ219+BZ219+BP219+BF219+AU219+AK219+AA219+Q219</f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503"/>
        <v>60000</v>
      </c>
      <c r="FF219">
        <f t="shared" si="504"/>
        <v>60000</v>
      </c>
      <c r="FG219">
        <f t="shared" si="505"/>
        <v>644948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>SUM(FH219:FN219)+(IF(F219="YES",50000,0))</f>
        <v>0</v>
      </c>
      <c r="FP219">
        <f t="shared" si="506"/>
        <v>644948</v>
      </c>
      <c r="FQ219">
        <f t="shared" si="507"/>
        <v>12500</v>
      </c>
      <c r="FR219">
        <f t="shared" si="508"/>
        <v>28990</v>
      </c>
      <c r="FS219">
        <f t="shared" si="509"/>
        <v>41490</v>
      </c>
      <c r="FT219">
        <f t="shared" si="510"/>
        <v>41490</v>
      </c>
      <c r="FU219">
        <f t="shared" si="511"/>
        <v>1659.6000000000001</v>
      </c>
      <c r="FV219">
        <f t="shared" si="512"/>
        <v>43150</v>
      </c>
      <c r="FW219">
        <v>0</v>
      </c>
      <c r="FX219">
        <f t="shared" si="513"/>
        <v>43150</v>
      </c>
      <c r="FY219" t="b">
        <f t="shared" si="514"/>
        <v>1</v>
      </c>
      <c r="FZ219">
        <f t="shared" ca="1" si="515"/>
        <v>597</v>
      </c>
      <c r="GA219">
        <f t="shared" ca="1" si="516"/>
        <v>757945</v>
      </c>
      <c r="GB219">
        <f t="shared" si="517"/>
        <v>75000</v>
      </c>
      <c r="GC219">
        <f t="shared" ca="1" si="518"/>
        <v>682945</v>
      </c>
      <c r="GD219">
        <f t="shared" ca="1" si="519"/>
        <v>0</v>
      </c>
      <c r="GE219">
        <f t="shared" ca="1" si="520"/>
        <v>0</v>
      </c>
      <c r="GF219">
        <f t="shared" ca="1" si="521"/>
        <v>0</v>
      </c>
      <c r="GG219">
        <f t="shared" ca="1" si="522"/>
        <v>0</v>
      </c>
      <c r="GH219">
        <f t="shared" ca="1" si="523"/>
        <v>0</v>
      </c>
      <c r="GI219">
        <f t="shared" ca="1" si="524"/>
        <v>0</v>
      </c>
      <c r="GJ219">
        <f ca="1">IF(GC219&gt;1200000,GC219-1200000-IF(F219="YES",50000,0)-GH219,0)</f>
        <v>0</v>
      </c>
      <c r="GK219">
        <f t="shared" ca="1" si="525"/>
        <v>0</v>
      </c>
      <c r="GL219">
        <f t="shared" ca="1" si="526"/>
        <v>0</v>
      </c>
      <c r="GM219">
        <f t="shared" ca="1" si="527"/>
        <v>0</v>
      </c>
      <c r="GN219">
        <f t="shared" ca="1" si="528"/>
        <v>282945</v>
      </c>
      <c r="GO219">
        <f t="shared" ca="1" si="529"/>
        <v>14147.25</v>
      </c>
      <c r="GP219">
        <f t="shared" ca="1" si="530"/>
        <v>14147</v>
      </c>
      <c r="GQ219">
        <f t="shared" ca="1" si="531"/>
        <v>0</v>
      </c>
      <c r="GR219">
        <f t="shared" ca="1" si="532"/>
        <v>0</v>
      </c>
      <c r="GS219">
        <f t="shared" ca="1" si="533"/>
        <v>14147</v>
      </c>
      <c r="GT219">
        <f t="shared" ca="1" si="534"/>
        <v>0</v>
      </c>
      <c r="GU219" t="b">
        <f t="shared" ca="1" si="535"/>
        <v>0</v>
      </c>
      <c r="GV219">
        <f t="shared" ca="1" si="536"/>
        <v>0</v>
      </c>
      <c r="GW219">
        <f t="shared" ca="1" si="537"/>
        <v>14147</v>
      </c>
      <c r="GX219">
        <f t="shared" ca="1" si="538"/>
        <v>0</v>
      </c>
      <c r="GY219">
        <f t="shared" ca="1" si="539"/>
        <v>0</v>
      </c>
      <c r="GZ219">
        <f t="shared" ca="1" si="540"/>
        <v>0</v>
      </c>
    </row>
    <row r="220" spans="1:208" x14ac:dyDescent="0.25">
      <c r="A220">
        <f>_xlfn.AGGREGATE(3,5,$B$2:B220)</f>
        <v>219</v>
      </c>
      <c r="B220" t="s">
        <v>544</v>
      </c>
      <c r="C220" t="s">
        <v>545</v>
      </c>
      <c r="D220" t="s">
        <v>805</v>
      </c>
      <c r="E220" t="s">
        <v>832</v>
      </c>
      <c r="F220" t="s">
        <v>957</v>
      </c>
      <c r="G220" t="s">
        <v>885</v>
      </c>
      <c r="H220">
        <f t="shared" si="542"/>
        <v>6800</v>
      </c>
      <c r="I220">
        <f>_xlfn.XLOOKUP(B220,'[1]march-2025'!$A:$A,'[1]march-2025'!$J:$J,0,0)</f>
        <v>0</v>
      </c>
      <c r="J220">
        <f>_xlfn.XLOOKUP(B220,'[1]march-2025'!$A:$A,'[1]march-2025'!$C:$C,0,0)</f>
        <v>50200</v>
      </c>
      <c r="K220">
        <f t="shared" si="457"/>
        <v>7028.0000000000009</v>
      </c>
      <c r="L220">
        <f t="shared" si="458"/>
        <v>6024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>IF(J220&gt;0,SUM(J220:N220),0)</f>
        <v>63252</v>
      </c>
      <c r="P220">
        <f>_xlfn.XLOOKUP(B220,'[1]march-2025'!$A:$A,'[1]march-2025'!$H:$H,0,0)</f>
        <v>4000</v>
      </c>
      <c r="Q220">
        <f>_xlfn.XLOOKUP(B220,'[1]march-2025'!$A:$A,'[1]march-2025'!$I:$I,0,0)</f>
        <v>60</v>
      </c>
      <c r="R220">
        <f t="shared" si="541"/>
        <v>200</v>
      </c>
      <c r="S220">
        <f t="shared" si="451"/>
        <v>58992</v>
      </c>
      <c r="T220">
        <f>_xlfn.XLOOKUP(B220,'[2]april-2025'!$A:$A,'[2]april-2025'!$C:$C,0,0)</f>
        <v>50200</v>
      </c>
      <c r="U220">
        <f t="shared" si="459"/>
        <v>9036</v>
      </c>
      <c r="V220">
        <f t="shared" si="460"/>
        <v>6024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452"/>
        <v>65260</v>
      </c>
      <c r="Z220">
        <f>_xlfn.XLOOKUP(B220,'[2]april-2025'!$A:$A,'[2]april-2025'!$H:$H,0,0)</f>
        <v>4000</v>
      </c>
      <c r="AA220">
        <f>_xlfn.XLOOKUP(B220,'[2]april-2025'!$A:$A,'[2]april-2025'!$I:$I,0,0)</f>
        <v>60</v>
      </c>
      <c r="AB220">
        <f t="shared" si="461"/>
        <v>200</v>
      </c>
      <c r="AC220">
        <f t="shared" si="462"/>
        <v>61000</v>
      </c>
      <c r="AD220">
        <f>_xlfn.XLOOKUP(B220,'[3]may-2025'!$A:$A,'[3]may-2025'!$C:$C,0,0)</f>
        <v>50200</v>
      </c>
      <c r="AE220">
        <f t="shared" si="463"/>
        <v>9036</v>
      </c>
      <c r="AF220">
        <f t="shared" si="464"/>
        <v>6024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453"/>
        <v>65260</v>
      </c>
      <c r="AJ220">
        <f>_xlfn.XLOOKUP(B220,'[3]may-2025'!$A:$A,'[3]may-2025'!$H:$H,0,0)</f>
        <v>4000</v>
      </c>
      <c r="AK220">
        <f>_xlfn.XLOOKUP(B220,'[3]may-2025'!$A:$A,'[3]may-2025'!$I:$I,0,0)</f>
        <v>60</v>
      </c>
      <c r="AL220">
        <f t="shared" si="465"/>
        <v>200</v>
      </c>
      <c r="AM220">
        <f t="shared" si="466"/>
        <v>61000</v>
      </c>
      <c r="AN220">
        <f>_xlfn.XLOOKUP(B220,'[4]june-2025'!$A:$A,'[4]june-2025'!$C:$C,0,0)</f>
        <v>50200</v>
      </c>
      <c r="AO220">
        <f t="shared" si="467"/>
        <v>9036</v>
      </c>
      <c r="AP220">
        <f t="shared" si="468"/>
        <v>6024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454"/>
        <v>65260</v>
      </c>
      <c r="AT220">
        <f>_xlfn.XLOOKUP(B220,'[4]june-2025'!$A:$A,'[4]june-2025'!$H:$H,0,0)</f>
        <v>4000</v>
      </c>
      <c r="AU220">
        <f>_xlfn.XLOOKUP(B220,'[4]june-2025'!$A:$A,'[4]june-2025'!$I:$I,0,0)</f>
        <v>60</v>
      </c>
      <c r="AV220">
        <f t="shared" si="469"/>
        <v>200</v>
      </c>
      <c r="AW220">
        <f t="shared" si="470"/>
        <v>61000</v>
      </c>
      <c r="AX220">
        <f>_xlfn.XLOOKUP(B220,'[5]july-2025'!$A:$A,'[5]july-2025'!$C:$C,0,0)</f>
        <v>51700</v>
      </c>
      <c r="AY220">
        <f t="shared" si="471"/>
        <v>9306</v>
      </c>
      <c r="AZ220">
        <v>0</v>
      </c>
      <c r="BA220">
        <f t="shared" si="472"/>
        <v>6204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>IF(AX220&gt;0,SUM(AX220:BC220),0)</f>
        <v>67210</v>
      </c>
      <c r="BE220">
        <f>_xlfn.XLOOKUP(B220,'[5]july-2025'!$A:$A,'[5]july-2025'!$H:$H,0,0)</f>
        <v>4000</v>
      </c>
      <c r="BF220">
        <f>_xlfn.XLOOKUP(B220,'[5]july-2025'!$A:$A,'[5]july-2025'!$I:$I,0,0)</f>
        <v>60</v>
      </c>
      <c r="BG220">
        <f t="shared" si="473"/>
        <v>200</v>
      </c>
      <c r="BH220">
        <f t="shared" si="474"/>
        <v>62950</v>
      </c>
      <c r="BI220">
        <f>_xlfn.XLOOKUP(B220,'[6]august-2025'!$A:$A,'[6]august-2025'!$C:$C,0,0)</f>
        <v>51700</v>
      </c>
      <c r="BJ220">
        <f t="shared" si="475"/>
        <v>9306</v>
      </c>
      <c r="BK220">
        <f t="shared" si="476"/>
        <v>6204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477"/>
        <v>67210</v>
      </c>
      <c r="BO220">
        <f>_xlfn.XLOOKUP(B220,'[6]august-2025'!$A:$A,'[6]august-2025'!$H:$H,0,0)</f>
        <v>4000</v>
      </c>
      <c r="BP220">
        <f>_xlfn.XLOOKUP(B220,'[6]august-2025'!$A:$A,'[6]august-2025'!$I:$I,0,0)</f>
        <v>60</v>
      </c>
      <c r="BQ220">
        <f>IF($F220="YES",0,IF(BN220&gt;40000,200,IF(BN220&gt;25000,150,IF(BN220&gt;15000,130,IF(BN220&gt;10000,110,0)))))</f>
        <v>200</v>
      </c>
      <c r="BR220">
        <f>BN220-BO220-BP220-BQ220</f>
        <v>62950</v>
      </c>
      <c r="BS220">
        <f>_xlfn.XLOOKUP(B220,'[7]september-2025'!$A:$A,'[7]september-2025'!$C:$C,0,0)</f>
        <v>51700</v>
      </c>
      <c r="BT220">
        <f t="shared" si="478"/>
        <v>9306</v>
      </c>
      <c r="BU220">
        <f t="shared" si="479"/>
        <v>6204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>IF(BS220&gt;0,SUM(BS220:BW220),0)</f>
        <v>67210</v>
      </c>
      <c r="BY220">
        <f>_xlfn.XLOOKUP(B220,'[7]september-2025'!$A:$A,'[7]september-2025'!$H:$H,0,0)</f>
        <v>4000</v>
      </c>
      <c r="BZ220">
        <f>_xlfn.XLOOKUP(B220,'[7]september-2025'!$A:$A,'[7]september-2025'!$I:$I,0,0)</f>
        <v>60</v>
      </c>
      <c r="CA220">
        <f t="shared" si="480"/>
        <v>200</v>
      </c>
      <c r="CB220">
        <f t="shared" si="481"/>
        <v>62950</v>
      </c>
      <c r="CC220">
        <f>_xlfn.XLOOKUP(B220,'[8]october-2025'!$A:$A,'[8]october-2025'!$C:$C,0,0)</f>
        <v>51700</v>
      </c>
      <c r="CD220">
        <f t="shared" si="482"/>
        <v>9306</v>
      </c>
      <c r="CE220">
        <f t="shared" si="483"/>
        <v>6204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>IF(CC220&gt;0,SUM(CC220:CG220),0)</f>
        <v>67210</v>
      </c>
      <c r="CI220">
        <f>_xlfn.XLOOKUP(B220,'[8]october-2025'!$A:$A,'[8]october-2025'!$H:$H,0,0)</f>
        <v>4000</v>
      </c>
      <c r="CJ220">
        <f>_xlfn.XLOOKUP(B220,'[8]october-2025'!$A:$A,'[8]october-2025'!$I:$I,0,0)</f>
        <v>60</v>
      </c>
      <c r="CK220">
        <f t="shared" si="484"/>
        <v>200</v>
      </c>
      <c r="CL220">
        <f t="shared" si="485"/>
        <v>62950</v>
      </c>
      <c r="CM220">
        <f>_xlfn.XLOOKUP(B220,'[9]november-2025'!$A:$A,'[9]november-2025'!$C:$C,0,0)</f>
        <v>51700</v>
      </c>
      <c r="CN220">
        <f t="shared" si="486"/>
        <v>9306</v>
      </c>
      <c r="CO220">
        <f t="shared" si="487"/>
        <v>6204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>IF(CM220&gt;0,SUM(CM220:CQ220),0)</f>
        <v>67210</v>
      </c>
      <c r="CS220">
        <f>_xlfn.XLOOKUP(B220,'[9]november-2025'!$A:$A,'[9]november-2025'!$H:$H,0,0)</f>
        <v>4000</v>
      </c>
      <c r="CT220">
        <f>_xlfn.XLOOKUP(B220,'[9]november-2025'!$A:$A,'[9]november-2025'!$I:$I,0,0)</f>
        <v>60</v>
      </c>
      <c r="CU220">
        <f t="shared" si="488"/>
        <v>200</v>
      </c>
      <c r="CV220">
        <f t="shared" si="489"/>
        <v>62950</v>
      </c>
      <c r="CW220">
        <f>_xlfn.XLOOKUP(B220,'[10]december-2025'!$A:$A,'[10]december-2025'!$C:$C,0,0)</f>
        <v>51700</v>
      </c>
      <c r="CX220">
        <f t="shared" si="490"/>
        <v>9306</v>
      </c>
      <c r="CY220">
        <f t="shared" si="491"/>
        <v>6204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>IF(CW220&gt;0,SUM(CW220:DA220),0)</f>
        <v>67210</v>
      </c>
      <c r="DC220">
        <f>_xlfn.XLOOKUP(B220,'[10]december-2025'!$A:$A,'[10]december-2025'!$H:$H,0,0)</f>
        <v>4000</v>
      </c>
      <c r="DD220">
        <f>_xlfn.XLOOKUP(B220,'[10]december-2025'!$A:$A,'[10]december-2025'!$I:$I,0,0)</f>
        <v>60</v>
      </c>
      <c r="DE220">
        <f t="shared" si="492"/>
        <v>200</v>
      </c>
      <c r="DF220">
        <f t="shared" si="493"/>
        <v>62950</v>
      </c>
      <c r="DG220">
        <f>_xlfn.XLOOKUP(B220,'[11]january-2026'!$A:$A,'[11]january-2026'!$C:$C,0,0)</f>
        <v>51700</v>
      </c>
      <c r="DH220">
        <f t="shared" si="494"/>
        <v>9306</v>
      </c>
      <c r="DI220">
        <f t="shared" si="495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>IF(DG220&gt;0,SUM(DG220:DK220),0)</f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496"/>
        <v>200</v>
      </c>
      <c r="DP220">
        <f t="shared" si="497"/>
        <v>62950</v>
      </c>
      <c r="DQ220">
        <f>_xlfn.XLOOKUP(B220,'[12]february-2026'!$A:$A,'[12]february-2026'!$C:$C,0,0)</f>
        <v>51700</v>
      </c>
      <c r="DR220">
        <f t="shared" si="498"/>
        <v>9306</v>
      </c>
      <c r="DS220">
        <f t="shared" si="499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>IF(DQ220&gt;0,SUM(DQ220:DU220),0)</f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00"/>
        <v>200</v>
      </c>
      <c r="DZ220">
        <f t="shared" si="501"/>
        <v>62950</v>
      </c>
      <c r="EA220">
        <f>_xlfn.XLOOKUP(B220,'[1]march-2025'!$A:$A,'[1]march-2025'!$J:$J,0,0)</f>
        <v>0</v>
      </c>
      <c r="EB220">
        <f>_xlfn.XLOOKUP(B220,'[2]april-2025'!$A:$A,'[2]april-2025'!$J:$J,0,0)</f>
        <v>0</v>
      </c>
      <c r="EC220">
        <f>_xlfn.XLOOKUP(B220,'[3]may-2025'!$A:$A,'[3]may-2025'!$J:$J,0,0)</f>
        <v>0</v>
      </c>
      <c r="ED220">
        <f>_xlfn.XLOOKUP(B220,'[4]june-2025'!$A:$A,'[4]june-2025'!$J:$J,0,0)</f>
        <v>0</v>
      </c>
      <c r="EE220">
        <f>_xlfn.XLOOKUP(B220,'[5]july-2025'!$A:$A,'[5]july-2025'!$J:$J,0,0)</f>
        <v>0</v>
      </c>
      <c r="EF220">
        <f>_xlfn.XLOOKUP(B220,'[6]august-2025'!$A:$A,'[6]august-2025'!$J:$J,0,0)</f>
        <v>0</v>
      </c>
      <c r="EG220">
        <f>_xlfn.XLOOKUP(B220,'[7]september-2025'!$A:$A,'[7]september-2025'!$J:$J,0,0)</f>
        <v>0</v>
      </c>
      <c r="EH220">
        <f>_xlfn.XLOOKUP(B220,'[8]october-2025'!$A:$A,'[8]october-2025'!$J:$J,0,0)</f>
        <v>0</v>
      </c>
      <c r="EI220">
        <f>_xlfn.XLOOKUP(C220,'[9]november-2025'!$A:$A,'[9]november-2025'!$J:$J,0,0)</f>
        <v>0</v>
      </c>
      <c r="EJ220">
        <f>_xlfn.XLOOKUP(B220,'[10]december-2025'!$A:$A,'[10]december-2025'!$J:$J,0,0)</f>
        <v>0</v>
      </c>
      <c r="EK220">
        <f>_xlfn.XLOOKUP(B220,'[11]january-2026'!$A:$A,'[11]january-2026'!$J:$J,0,0)</f>
        <v>0</v>
      </c>
      <c r="EL220">
        <f>_xlfn.XLOOKUP(B220,'[12]february-2026'!$A:$A,'[12]february-2026'!$J:$J,0,0)</f>
        <v>0</v>
      </c>
      <c r="EM220">
        <f t="shared" si="455"/>
        <v>0</v>
      </c>
      <c r="EN220">
        <f>DV220+DL220+DB220+CR220+CH220+BX220+BN220+BD220+AS220+AI220+Y220+O220+H220+I220</f>
        <v>803512</v>
      </c>
      <c r="EO220">
        <f>DY220+DO220+DE220+CU220+CK220+CA220+BQ220+BG220+AV220+AL220+AB220+R220</f>
        <v>2400</v>
      </c>
      <c r="EP220">
        <f t="shared" si="502"/>
        <v>50000</v>
      </c>
      <c r="EQ220">
        <v>0</v>
      </c>
      <c r="ER220">
        <f t="shared" si="456"/>
        <v>751112</v>
      </c>
      <c r="ES220">
        <f>DW220+DM220+DC220+CS220+CI220+BY220+BO220+BE220+AT220+AJ220+Z220+P220</f>
        <v>48000</v>
      </c>
      <c r="ET220">
        <f>DX220+DN220+DD220+CT220+CJ220+BZ220+BP220+BF220+AU220+AK220+AA220+Q220</f>
        <v>720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503"/>
        <v>48720</v>
      </c>
      <c r="FF220">
        <f t="shared" si="504"/>
        <v>48720</v>
      </c>
      <c r="FG220">
        <f t="shared" si="505"/>
        <v>702392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>SUM(FH220:FN220)+(IF(F220="YES",50000,0))</f>
        <v>0</v>
      </c>
      <c r="FP220">
        <f t="shared" si="506"/>
        <v>702392</v>
      </c>
      <c r="FQ220">
        <f t="shared" si="507"/>
        <v>12500</v>
      </c>
      <c r="FR220">
        <f t="shared" si="508"/>
        <v>40478</v>
      </c>
      <c r="FS220">
        <f t="shared" si="509"/>
        <v>52978</v>
      </c>
      <c r="FT220">
        <f t="shared" si="510"/>
        <v>52978</v>
      </c>
      <c r="FU220">
        <f t="shared" si="511"/>
        <v>2119.12</v>
      </c>
      <c r="FV220">
        <f t="shared" si="512"/>
        <v>55097</v>
      </c>
      <c r="FW220">
        <v>0</v>
      </c>
      <c r="FX220">
        <f t="shared" si="513"/>
        <v>55097</v>
      </c>
      <c r="FY220" t="b">
        <f t="shared" si="514"/>
        <v>1</v>
      </c>
      <c r="FZ220">
        <f t="shared" ca="1" si="515"/>
        <v>704</v>
      </c>
      <c r="GA220">
        <f t="shared" ca="1" si="516"/>
        <v>804216</v>
      </c>
      <c r="GB220">
        <f t="shared" si="517"/>
        <v>75000</v>
      </c>
      <c r="GC220">
        <f t="shared" ca="1" si="518"/>
        <v>729216</v>
      </c>
      <c r="GD220">
        <f t="shared" ca="1" si="519"/>
        <v>0</v>
      </c>
      <c r="GE220">
        <f t="shared" ca="1" si="520"/>
        <v>0</v>
      </c>
      <c r="GF220">
        <f t="shared" ca="1" si="521"/>
        <v>0</v>
      </c>
      <c r="GG220">
        <f t="shared" ca="1" si="522"/>
        <v>0</v>
      </c>
      <c r="GH220">
        <f t="shared" ca="1" si="523"/>
        <v>0</v>
      </c>
      <c r="GI220">
        <f t="shared" ca="1" si="524"/>
        <v>0</v>
      </c>
      <c r="GJ220">
        <f ca="1">IF(GC220&gt;1200000,GC220-1200000-IF(F220="YES",50000,0)-GH220,0)</f>
        <v>0</v>
      </c>
      <c r="GK220">
        <f t="shared" ca="1" si="525"/>
        <v>0</v>
      </c>
      <c r="GL220">
        <f t="shared" ca="1" si="526"/>
        <v>0</v>
      </c>
      <c r="GM220">
        <f t="shared" ca="1" si="527"/>
        <v>0</v>
      </c>
      <c r="GN220">
        <f t="shared" ca="1" si="528"/>
        <v>329216</v>
      </c>
      <c r="GO220">
        <f t="shared" ca="1" si="529"/>
        <v>16460.8</v>
      </c>
      <c r="GP220">
        <f t="shared" ca="1" si="530"/>
        <v>16461</v>
      </c>
      <c r="GQ220">
        <f t="shared" ca="1" si="531"/>
        <v>0</v>
      </c>
      <c r="GR220">
        <f t="shared" ca="1" si="532"/>
        <v>0</v>
      </c>
      <c r="GS220">
        <f t="shared" ca="1" si="533"/>
        <v>16461</v>
      </c>
      <c r="GT220">
        <f t="shared" ca="1" si="534"/>
        <v>0</v>
      </c>
      <c r="GU220" t="b">
        <f t="shared" ca="1" si="535"/>
        <v>0</v>
      </c>
      <c r="GV220">
        <f t="shared" ca="1" si="536"/>
        <v>0</v>
      </c>
      <c r="GW220">
        <f t="shared" ca="1" si="537"/>
        <v>16461</v>
      </c>
      <c r="GX220">
        <f t="shared" ca="1" si="538"/>
        <v>0</v>
      </c>
      <c r="GY220">
        <f t="shared" ca="1" si="539"/>
        <v>0</v>
      </c>
      <c r="GZ220">
        <f t="shared" ca="1" si="540"/>
        <v>0</v>
      </c>
    </row>
    <row r="221" spans="1:208" x14ac:dyDescent="0.25">
      <c r="A221">
        <f>_xlfn.AGGREGATE(3,5,$B$2:B221)</f>
        <v>220</v>
      </c>
      <c r="B221" t="s">
        <v>546</v>
      </c>
      <c r="C221" t="s">
        <v>547</v>
      </c>
      <c r="D221" t="s">
        <v>805</v>
      </c>
      <c r="E221" t="s">
        <v>831</v>
      </c>
      <c r="F221" t="s">
        <v>957</v>
      </c>
      <c r="G221" t="s">
        <v>924</v>
      </c>
      <c r="H221">
        <f t="shared" si="542"/>
        <v>6800</v>
      </c>
      <c r="I221">
        <f>_xlfn.XLOOKUP(B221,'[1]march-2025'!$A:$A,'[1]march-2025'!$J:$J,0,0)</f>
        <v>0</v>
      </c>
      <c r="J221">
        <f>_xlfn.XLOOKUP(B221,'[1]march-2025'!$A:$A,'[1]march-2025'!$C:$C,0,0)</f>
        <v>33500</v>
      </c>
      <c r="K221">
        <f t="shared" si="457"/>
        <v>4690</v>
      </c>
      <c r="L221">
        <f t="shared" si="458"/>
        <v>4020</v>
      </c>
      <c r="M221">
        <f>_xlfn.XLOOKUP(B221,'[1]march-2025'!$A:$A,'[1]march-2025'!$D:$D,0,0)</f>
        <v>0</v>
      </c>
      <c r="N221">
        <f>_xlfn.XLOOKUP(B221,'[1]march-2025'!$A:$A,'[1]march-2025'!$G:$G,0,0)</f>
        <v>0</v>
      </c>
      <c r="O221">
        <f>IF(J221&gt;0,SUM(J221:N221),0)</f>
        <v>42210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541"/>
        <v>200</v>
      </c>
      <c r="S221">
        <f t="shared" si="451"/>
        <v>37010</v>
      </c>
      <c r="T221">
        <f>_xlfn.XLOOKUP(B221,'[2]april-2025'!$A:$A,'[2]april-2025'!$C:$C,0,0)</f>
        <v>33500</v>
      </c>
      <c r="U221">
        <f t="shared" si="459"/>
        <v>6030</v>
      </c>
      <c r="V221">
        <f t="shared" si="460"/>
        <v>4020</v>
      </c>
      <c r="W221">
        <f>_xlfn.XLOOKUP(B221,'[2]april-2025'!$A:$A,'[2]april-2025'!$D:$D,0,0)</f>
        <v>0</v>
      </c>
      <c r="X221">
        <f>_xlfn.XLOOKUP(B221,'[2]april-2025'!$A:$A,'[2]april-2025'!$G:$G,0,0)</f>
        <v>0</v>
      </c>
      <c r="Y221">
        <f t="shared" si="452"/>
        <v>43550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461"/>
        <v>200</v>
      </c>
      <c r="AC221">
        <f t="shared" si="462"/>
        <v>38350</v>
      </c>
      <c r="AD221">
        <f>_xlfn.XLOOKUP(B221,'[3]may-2025'!$A:$A,'[3]may-2025'!$C:$C,0,0)</f>
        <v>33500</v>
      </c>
      <c r="AE221">
        <f t="shared" si="463"/>
        <v>6030</v>
      </c>
      <c r="AF221">
        <f t="shared" si="464"/>
        <v>4020</v>
      </c>
      <c r="AG221">
        <f>_xlfn.XLOOKUP(B221,'[3]may-2025'!$A:$A,'[3]may-2025'!$D:$D,0,0)</f>
        <v>0</v>
      </c>
      <c r="AH221">
        <f>_xlfn.XLOOKUP(B221,'[3]may-2025'!$A:$A,'[3]may-2025'!$G:$G,0,0)</f>
        <v>0</v>
      </c>
      <c r="AI221">
        <f t="shared" si="453"/>
        <v>43550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465"/>
        <v>200</v>
      </c>
      <c r="AM221">
        <f t="shared" si="466"/>
        <v>38350</v>
      </c>
      <c r="AN221">
        <f>_xlfn.XLOOKUP(B221,'[4]june-2025'!$A:$A,'[4]june-2025'!$C:$C,0,0)</f>
        <v>33500</v>
      </c>
      <c r="AO221">
        <f t="shared" si="467"/>
        <v>6030</v>
      </c>
      <c r="AP221">
        <f t="shared" si="468"/>
        <v>4020</v>
      </c>
      <c r="AQ221">
        <f>_xlfn.XLOOKUP(B221,'[4]june-2025'!$A:$A,'[4]june-2025'!$D:$D,0,0)</f>
        <v>0</v>
      </c>
      <c r="AR221">
        <f>_xlfn.XLOOKUP(B221,'[4]june-2025'!$A:$A,'[4]june-2025'!$G:$G,0,0)</f>
        <v>0</v>
      </c>
      <c r="AS221">
        <f t="shared" si="454"/>
        <v>43550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469"/>
        <v>200</v>
      </c>
      <c r="AW221">
        <f t="shared" si="470"/>
        <v>38350</v>
      </c>
      <c r="AX221">
        <f>_xlfn.XLOOKUP(B221,'[5]july-2025'!$A:$A,'[5]july-2025'!$C:$C,0,0)</f>
        <v>34500</v>
      </c>
      <c r="AY221">
        <f t="shared" si="471"/>
        <v>6210</v>
      </c>
      <c r="AZ221">
        <v>0</v>
      </c>
      <c r="BA221">
        <f t="shared" si="472"/>
        <v>4140</v>
      </c>
      <c r="BB221">
        <f>_xlfn.XLOOKUP(B221,'[5]july-2025'!$A:$A,'[5]july-2025'!$D:$D,0,0)</f>
        <v>0</v>
      </c>
      <c r="BC221">
        <f>_xlfn.XLOOKUP(B221,'[5]july-2025'!$A:$A,'[5]july-2025'!$G:$G,0,0)</f>
        <v>0</v>
      </c>
      <c r="BD221">
        <f>IF(AX221&gt;0,SUM(AX221:BC221),0)</f>
        <v>44850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473"/>
        <v>200</v>
      </c>
      <c r="BH221">
        <f t="shared" si="474"/>
        <v>39650</v>
      </c>
      <c r="BI221">
        <f>_xlfn.XLOOKUP(B221,'[6]august-2025'!$A:$A,'[6]august-2025'!$C:$C,0,0)</f>
        <v>34500</v>
      </c>
      <c r="BJ221">
        <f t="shared" si="475"/>
        <v>6210</v>
      </c>
      <c r="BK221">
        <f t="shared" si="476"/>
        <v>4140</v>
      </c>
      <c r="BL221">
        <f>_xlfn.XLOOKUP(B221,'[6]august-2025'!$A:$A,'[6]august-2025'!$D:$D,0,0)</f>
        <v>0</v>
      </c>
      <c r="BM221">
        <f>_xlfn.XLOOKUP(B221,'[6]august-2025'!$A:$A,'[6]august-2025'!$G:$G,0,0)</f>
        <v>0</v>
      </c>
      <c r="BN221">
        <f t="shared" si="477"/>
        <v>44850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>IF($F221="YES",0,IF(BN221&gt;40000,200,IF(BN221&gt;25000,150,IF(BN221&gt;15000,130,IF(BN221&gt;10000,110,0)))))</f>
        <v>200</v>
      </c>
      <c r="BR221">
        <f>BN221-BO221-BP221-BQ221</f>
        <v>39650</v>
      </c>
      <c r="BS221">
        <f>_xlfn.XLOOKUP(B221,'[7]september-2025'!$A:$A,'[7]september-2025'!$C:$C,0,0)</f>
        <v>34500</v>
      </c>
      <c r="BT221">
        <f t="shared" si="478"/>
        <v>6210</v>
      </c>
      <c r="BU221">
        <f t="shared" si="479"/>
        <v>4140</v>
      </c>
      <c r="BV221">
        <f>_xlfn.XLOOKUP(B221,'[7]september-2025'!$A:$A,'[7]september-2025'!$D:$D,0,0)</f>
        <v>0</v>
      </c>
      <c r="BW221">
        <f>_xlfn.XLOOKUP(B221,'[7]september-2025'!$A:$A,'[7]september-2025'!$G:$G,0,0)</f>
        <v>0</v>
      </c>
      <c r="BX221">
        <f>IF(BS221&gt;0,SUM(BS221:BW221),0)</f>
        <v>44850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480"/>
        <v>200</v>
      </c>
      <c r="CB221">
        <f t="shared" si="481"/>
        <v>39650</v>
      </c>
      <c r="CC221">
        <f>_xlfn.XLOOKUP(B221,'[8]october-2025'!$A:$A,'[8]october-2025'!$C:$C,0,0)</f>
        <v>34500</v>
      </c>
      <c r="CD221">
        <f t="shared" si="482"/>
        <v>6210</v>
      </c>
      <c r="CE221">
        <f t="shared" si="483"/>
        <v>4140</v>
      </c>
      <c r="CF221">
        <f>_xlfn.XLOOKUP(B221,'[8]october-2025'!$A:$A,'[8]october-2025'!$D:$D,0,0)</f>
        <v>0</v>
      </c>
      <c r="CG221">
        <f>_xlfn.XLOOKUP(B221,'[8]october-2025'!$A:$A,'[8]october-2025'!$G:$G,0,0)</f>
        <v>0</v>
      </c>
      <c r="CH221">
        <f>IF(CC221&gt;0,SUM(CC221:CG221),0)</f>
        <v>44850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484"/>
        <v>200</v>
      </c>
      <c r="CL221">
        <f t="shared" si="485"/>
        <v>39650</v>
      </c>
      <c r="CM221">
        <f>_xlfn.XLOOKUP(B221,'[9]november-2025'!$A:$A,'[9]november-2025'!$C:$C,0,0)</f>
        <v>34500</v>
      </c>
      <c r="CN221">
        <f t="shared" si="486"/>
        <v>6210</v>
      </c>
      <c r="CO221">
        <f t="shared" si="487"/>
        <v>4140</v>
      </c>
      <c r="CP221">
        <f>_xlfn.XLOOKUP(B221,'[9]november-2025'!$A:$A,'[9]november-2025'!$D:$D,0,0)</f>
        <v>0</v>
      </c>
      <c r="CQ221">
        <f>_xlfn.XLOOKUP(B221,'[9]november-2025'!$A:$A,'[9]november-2025'!$G:$G,0,0)</f>
        <v>0</v>
      </c>
      <c r="CR221">
        <f>IF(CM221&gt;0,SUM(CM221:CQ221),0)</f>
        <v>44850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488"/>
        <v>200</v>
      </c>
      <c r="CV221">
        <f t="shared" si="489"/>
        <v>39650</v>
      </c>
      <c r="CW221">
        <f>_xlfn.XLOOKUP(B221,'[10]december-2025'!$A:$A,'[10]december-2025'!$C:$C,0,0)</f>
        <v>34500</v>
      </c>
      <c r="CX221">
        <f t="shared" si="490"/>
        <v>6210</v>
      </c>
      <c r="CY221">
        <f t="shared" si="491"/>
        <v>4140</v>
      </c>
      <c r="CZ221">
        <f>_xlfn.XLOOKUP(B221,'[10]december-2025'!$A:$A,'[10]december-2025'!$D:$D,0,0)</f>
        <v>0</v>
      </c>
      <c r="DA221">
        <f>_xlfn.XLOOKUP(B221,'[10]december-2025'!$A:$A,'[10]december-2025'!$G:$G,0,0)</f>
        <v>0</v>
      </c>
      <c r="DB221">
        <f>IF(CW221&gt;0,SUM(CW221:DA221),0)</f>
        <v>44850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492"/>
        <v>200</v>
      </c>
      <c r="DF221">
        <f t="shared" si="493"/>
        <v>39650</v>
      </c>
      <c r="DG221">
        <f>_xlfn.XLOOKUP(B221,'[11]january-2026'!$A:$A,'[11]january-2026'!$C:$C,0,0)</f>
        <v>34500</v>
      </c>
      <c r="DH221">
        <f t="shared" si="494"/>
        <v>6210</v>
      </c>
      <c r="DI221">
        <f t="shared" si="495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>IF(DG221&gt;0,SUM(DG221:DK221),0)</f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496"/>
        <v>200</v>
      </c>
      <c r="DP221">
        <f t="shared" si="497"/>
        <v>39650</v>
      </c>
      <c r="DQ221">
        <f>_xlfn.XLOOKUP(B221,'[12]february-2026'!$A:$A,'[12]february-2026'!$C:$C,0,0)</f>
        <v>34500</v>
      </c>
      <c r="DR221">
        <f t="shared" si="498"/>
        <v>6210</v>
      </c>
      <c r="DS221">
        <f t="shared" si="499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>IF(DQ221&gt;0,SUM(DQ221:DU221),0)</f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00"/>
        <v>200</v>
      </c>
      <c r="DZ221">
        <f t="shared" si="501"/>
        <v>39650</v>
      </c>
      <c r="EA221">
        <f>_xlfn.XLOOKUP(B221,'[1]march-2025'!$A:$A,'[1]march-2025'!$J:$J,0,0)</f>
        <v>0</v>
      </c>
      <c r="EB221">
        <f>_xlfn.XLOOKUP(B221,'[2]april-2025'!$A:$A,'[2]april-2025'!$J:$J,0,0)</f>
        <v>0</v>
      </c>
      <c r="EC221">
        <f>_xlfn.XLOOKUP(B221,'[3]may-2025'!$A:$A,'[3]may-2025'!$J:$J,0,0)</f>
        <v>0</v>
      </c>
      <c r="ED221">
        <f>_xlfn.XLOOKUP(B221,'[4]june-2025'!$A:$A,'[4]june-2025'!$J:$J,0,0)</f>
        <v>0</v>
      </c>
      <c r="EE221">
        <f>_xlfn.XLOOKUP(B221,'[5]july-2025'!$A:$A,'[5]july-2025'!$J:$J,0,0)</f>
        <v>0</v>
      </c>
      <c r="EF221">
        <f>_xlfn.XLOOKUP(B221,'[6]august-2025'!$A:$A,'[6]august-2025'!$J:$J,0,0)</f>
        <v>0</v>
      </c>
      <c r="EG221">
        <f>_xlfn.XLOOKUP(B221,'[7]september-2025'!$A:$A,'[7]september-2025'!$J:$J,0,0)</f>
        <v>0</v>
      </c>
      <c r="EH221">
        <f>_xlfn.XLOOKUP(B221,'[8]october-2025'!$A:$A,'[8]october-2025'!$J:$J,0,0)</f>
        <v>0</v>
      </c>
      <c r="EI221">
        <f>_xlfn.XLOOKUP(C221,'[9]november-2025'!$A:$A,'[9]november-2025'!$J:$J,0,0)</f>
        <v>0</v>
      </c>
      <c r="EJ221">
        <f>_xlfn.XLOOKUP(B221,'[10]december-2025'!$A:$A,'[10]december-2025'!$J:$J,0,0)</f>
        <v>0</v>
      </c>
      <c r="EK221">
        <f>_xlfn.XLOOKUP(B221,'[11]january-2026'!$A:$A,'[11]january-2026'!$J:$J,0,0)</f>
        <v>0</v>
      </c>
      <c r="EL221">
        <f>_xlfn.XLOOKUP(B221,'[12]february-2026'!$A:$A,'[12]february-2026'!$J:$J,0,0)</f>
        <v>0</v>
      </c>
      <c r="EM221">
        <f t="shared" si="455"/>
        <v>0</v>
      </c>
      <c r="EN221">
        <f>DV221+DL221+DB221+CR221+CH221+BX221+BN221+BD221+AS221+AI221+Y221+O221+H221+I221</f>
        <v>538460</v>
      </c>
      <c r="EO221">
        <f>DY221+DO221+DE221+CU221+CK221+CA221+BQ221+BG221+AV221+AL221+AB221+R221</f>
        <v>2400</v>
      </c>
      <c r="EP221">
        <f t="shared" si="502"/>
        <v>50000</v>
      </c>
      <c r="EQ221">
        <v>0</v>
      </c>
      <c r="ER221">
        <f t="shared" si="456"/>
        <v>486060</v>
      </c>
      <c r="ES221">
        <f>DW221+DM221+DC221+CS221+CI221+BY221+BO221+BE221+AT221+AJ221+Z221+P221</f>
        <v>60000</v>
      </c>
      <c r="ET221">
        <f>DX221+DN221+DD221+CT221+CJ221+BZ221+BP221+BF221+AU221+AK221+AA221+Q221</f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503"/>
        <v>60000</v>
      </c>
      <c r="FF221">
        <f t="shared" si="504"/>
        <v>60000</v>
      </c>
      <c r="FG221">
        <f t="shared" si="505"/>
        <v>426060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>SUM(FH221:FN221)+(IF(F221="YES",50000,0))</f>
        <v>0</v>
      </c>
      <c r="FP221">
        <f t="shared" si="506"/>
        <v>426060</v>
      </c>
      <c r="FQ221">
        <f t="shared" si="507"/>
        <v>8803</v>
      </c>
      <c r="FR221">
        <f t="shared" si="508"/>
        <v>0</v>
      </c>
      <c r="FS221">
        <f t="shared" si="509"/>
        <v>8803</v>
      </c>
      <c r="FT221">
        <f t="shared" si="510"/>
        <v>0</v>
      </c>
      <c r="FU221">
        <f t="shared" si="511"/>
        <v>0</v>
      </c>
      <c r="FV221">
        <f t="shared" si="512"/>
        <v>0</v>
      </c>
      <c r="FW221">
        <v>0</v>
      </c>
      <c r="FX221">
        <f t="shared" si="513"/>
        <v>0</v>
      </c>
      <c r="FY221" t="b">
        <f t="shared" si="514"/>
        <v>1</v>
      </c>
      <c r="FZ221">
        <f t="shared" ca="1" si="515"/>
        <v>839</v>
      </c>
      <c r="GA221">
        <f t="shared" ca="1" si="516"/>
        <v>539299</v>
      </c>
      <c r="GB221">
        <f t="shared" si="517"/>
        <v>75000</v>
      </c>
      <c r="GC221">
        <f t="shared" ca="1" si="518"/>
        <v>464299</v>
      </c>
      <c r="GD221">
        <f t="shared" ca="1" si="519"/>
        <v>0</v>
      </c>
      <c r="GE221">
        <f t="shared" ca="1" si="520"/>
        <v>0</v>
      </c>
      <c r="GF221">
        <f t="shared" ca="1" si="521"/>
        <v>0</v>
      </c>
      <c r="GG221">
        <f t="shared" ca="1" si="522"/>
        <v>0</v>
      </c>
      <c r="GH221">
        <f t="shared" ca="1" si="523"/>
        <v>0</v>
      </c>
      <c r="GI221">
        <f t="shared" ca="1" si="524"/>
        <v>0</v>
      </c>
      <c r="GJ221">
        <f ca="1">IF(GC221&gt;1200000,GC221-1200000-IF(F221="YES",50000,0)-GH221,0)</f>
        <v>0</v>
      </c>
      <c r="GK221">
        <f t="shared" ca="1" si="525"/>
        <v>0</v>
      </c>
      <c r="GL221">
        <f t="shared" ca="1" si="526"/>
        <v>0</v>
      </c>
      <c r="GM221">
        <f t="shared" ca="1" si="527"/>
        <v>0</v>
      </c>
      <c r="GN221">
        <f t="shared" ca="1" si="528"/>
        <v>64299</v>
      </c>
      <c r="GO221">
        <f t="shared" ca="1" si="529"/>
        <v>3214.9500000000003</v>
      </c>
      <c r="GP221">
        <f t="shared" ca="1" si="530"/>
        <v>3215</v>
      </c>
      <c r="GQ221">
        <f t="shared" ca="1" si="531"/>
        <v>0</v>
      </c>
      <c r="GR221">
        <f t="shared" ca="1" si="532"/>
        <v>0</v>
      </c>
      <c r="GS221">
        <f t="shared" ca="1" si="533"/>
        <v>3215</v>
      </c>
      <c r="GT221">
        <f t="shared" ca="1" si="534"/>
        <v>0</v>
      </c>
      <c r="GU221" t="b">
        <f t="shared" ca="1" si="535"/>
        <v>0</v>
      </c>
      <c r="GV221">
        <f t="shared" ca="1" si="536"/>
        <v>0</v>
      </c>
      <c r="GW221">
        <f t="shared" ca="1" si="537"/>
        <v>3215</v>
      </c>
      <c r="GX221">
        <f t="shared" ca="1" si="538"/>
        <v>0</v>
      </c>
      <c r="GY221">
        <f t="shared" ca="1" si="539"/>
        <v>0</v>
      </c>
      <c r="GZ221">
        <f t="shared" ca="1" si="540"/>
        <v>0</v>
      </c>
    </row>
    <row r="222" spans="1:208" x14ac:dyDescent="0.25">
      <c r="A222">
        <f>_xlfn.AGGREGATE(3,5,$B$2:B222)</f>
        <v>221</v>
      </c>
      <c r="B222" t="s">
        <v>548</v>
      </c>
      <c r="C222" t="s">
        <v>549</v>
      </c>
      <c r="D222" t="s">
        <v>805</v>
      </c>
      <c r="E222" t="s">
        <v>831</v>
      </c>
      <c r="F222" t="s">
        <v>957</v>
      </c>
      <c r="G222" t="s">
        <v>943</v>
      </c>
      <c r="H222">
        <f t="shared" si="542"/>
        <v>6800</v>
      </c>
      <c r="I222">
        <f>_xlfn.XLOOKUP(B222,'[1]march-2025'!$A:$A,'[1]march-2025'!$J:$J,0,0)</f>
        <v>0</v>
      </c>
      <c r="J222">
        <f>_xlfn.XLOOKUP(B222,'[1]march-2025'!$A:$A,'[1]march-2025'!$C:$C,0,0)</f>
        <v>49200</v>
      </c>
      <c r="K222">
        <f t="shared" si="457"/>
        <v>6888.0000000000009</v>
      </c>
      <c r="L222">
        <f t="shared" si="458"/>
        <v>5904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>IF(J222&gt;0,SUM(J222:N222),0)</f>
        <v>62492</v>
      </c>
      <c r="P222">
        <f>_xlfn.XLOOKUP(B222,'[1]march-2025'!$A:$A,'[1]march-2025'!$H:$H,0,0)</f>
        <v>10000</v>
      </c>
      <c r="Q222">
        <f>_xlfn.XLOOKUP(B222,'[1]march-2025'!$A:$A,'[1]march-2025'!$I:$I,0,0)</f>
        <v>0</v>
      </c>
      <c r="R222">
        <f t="shared" si="541"/>
        <v>200</v>
      </c>
      <c r="S222">
        <f t="shared" si="451"/>
        <v>52292</v>
      </c>
      <c r="T222">
        <f>_xlfn.XLOOKUP(B222,'[2]april-2025'!$A:$A,'[2]april-2025'!$C:$C,0,0)</f>
        <v>49200</v>
      </c>
      <c r="U222">
        <f t="shared" si="459"/>
        <v>8856</v>
      </c>
      <c r="V222">
        <f t="shared" si="460"/>
        <v>5904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452"/>
        <v>64460</v>
      </c>
      <c r="Z222">
        <f>_xlfn.XLOOKUP(B222,'[2]april-2025'!$A:$A,'[2]april-2025'!$H:$H,0,0)</f>
        <v>10000</v>
      </c>
      <c r="AA222">
        <f>_xlfn.XLOOKUP(B222,'[2]april-2025'!$A:$A,'[2]april-2025'!$I:$I,0,0)</f>
        <v>0</v>
      </c>
      <c r="AB222">
        <f t="shared" si="461"/>
        <v>200</v>
      </c>
      <c r="AC222">
        <f t="shared" si="462"/>
        <v>54260</v>
      </c>
      <c r="AD222">
        <f>_xlfn.XLOOKUP(B222,'[3]may-2025'!$A:$A,'[3]may-2025'!$C:$C,0,0)</f>
        <v>49200</v>
      </c>
      <c r="AE222">
        <f t="shared" si="463"/>
        <v>8856</v>
      </c>
      <c r="AF222">
        <f t="shared" si="464"/>
        <v>5904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453"/>
        <v>64460</v>
      </c>
      <c r="AJ222">
        <f>_xlfn.XLOOKUP(B222,'[3]may-2025'!$A:$A,'[3]may-2025'!$H:$H,0,0)</f>
        <v>10000</v>
      </c>
      <c r="AK222">
        <f>_xlfn.XLOOKUP(B222,'[3]may-2025'!$A:$A,'[3]may-2025'!$I:$I,0,0)</f>
        <v>0</v>
      </c>
      <c r="AL222">
        <f t="shared" si="465"/>
        <v>200</v>
      </c>
      <c r="AM222">
        <f t="shared" si="466"/>
        <v>54260</v>
      </c>
      <c r="AN222">
        <f>_xlfn.XLOOKUP(B222,'[4]june-2025'!$A:$A,'[4]june-2025'!$C:$C,0,0)</f>
        <v>49200</v>
      </c>
      <c r="AO222">
        <f t="shared" si="467"/>
        <v>8856</v>
      </c>
      <c r="AP222">
        <f t="shared" si="468"/>
        <v>5904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454"/>
        <v>64460</v>
      </c>
      <c r="AT222">
        <f>_xlfn.XLOOKUP(B222,'[4]june-2025'!$A:$A,'[4]june-2025'!$H:$H,0,0)</f>
        <v>10000</v>
      </c>
      <c r="AU222">
        <f>_xlfn.XLOOKUP(B222,'[4]june-2025'!$A:$A,'[4]june-2025'!$I:$I,0,0)</f>
        <v>0</v>
      </c>
      <c r="AV222">
        <f t="shared" si="469"/>
        <v>200</v>
      </c>
      <c r="AW222">
        <f t="shared" si="470"/>
        <v>54260</v>
      </c>
      <c r="AX222">
        <f>_xlfn.XLOOKUP(B222,'[5]july-2025'!$A:$A,'[5]july-2025'!$C:$C,0,0)</f>
        <v>50700</v>
      </c>
      <c r="AY222">
        <f t="shared" si="471"/>
        <v>9126</v>
      </c>
      <c r="AZ222">
        <v>0</v>
      </c>
      <c r="BA222">
        <f t="shared" si="472"/>
        <v>6084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>IF(AX222&gt;0,SUM(AX222:BC222),0)</f>
        <v>66410</v>
      </c>
      <c r="BE222">
        <f>_xlfn.XLOOKUP(B222,'[5]july-2025'!$A:$A,'[5]july-2025'!$H:$H,0,0)</f>
        <v>10000</v>
      </c>
      <c r="BF222">
        <f>_xlfn.XLOOKUP(B222,'[5]july-2025'!$A:$A,'[5]july-2025'!$I:$I,0,0)</f>
        <v>0</v>
      </c>
      <c r="BG222">
        <f t="shared" si="473"/>
        <v>200</v>
      </c>
      <c r="BH222">
        <f t="shared" si="474"/>
        <v>56210</v>
      </c>
      <c r="BI222">
        <f>_xlfn.XLOOKUP(B222,'[6]august-2025'!$A:$A,'[6]august-2025'!$C:$C,0,0)</f>
        <v>50700</v>
      </c>
      <c r="BJ222">
        <f t="shared" si="475"/>
        <v>9126</v>
      </c>
      <c r="BK222">
        <f t="shared" si="476"/>
        <v>6084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477"/>
        <v>66410</v>
      </c>
      <c r="BO222">
        <f>_xlfn.XLOOKUP(B222,'[6]august-2025'!$A:$A,'[6]august-2025'!$H:$H,0,0)</f>
        <v>10000</v>
      </c>
      <c r="BP222">
        <f>_xlfn.XLOOKUP(B222,'[6]august-2025'!$A:$A,'[6]august-2025'!$I:$I,0,0)</f>
        <v>0</v>
      </c>
      <c r="BQ222">
        <f>IF($F222="YES",0,IF(BN222&gt;40000,200,IF(BN222&gt;25000,150,IF(BN222&gt;15000,130,IF(BN222&gt;10000,110,0)))))</f>
        <v>200</v>
      </c>
      <c r="BR222">
        <f>BN222-BO222-BP222-BQ222</f>
        <v>56210</v>
      </c>
      <c r="BS222">
        <f>_xlfn.XLOOKUP(B222,'[7]september-2025'!$A:$A,'[7]september-2025'!$C:$C,0,0)</f>
        <v>50700</v>
      </c>
      <c r="BT222">
        <f t="shared" si="478"/>
        <v>9126</v>
      </c>
      <c r="BU222">
        <f t="shared" si="479"/>
        <v>6084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>IF(BS222&gt;0,SUM(BS222:BW222),0)</f>
        <v>66410</v>
      </c>
      <c r="BY222">
        <f>_xlfn.XLOOKUP(B222,'[7]september-2025'!$A:$A,'[7]september-2025'!$H:$H,0,0)</f>
        <v>10000</v>
      </c>
      <c r="BZ222">
        <f>_xlfn.XLOOKUP(B222,'[7]september-2025'!$A:$A,'[7]september-2025'!$I:$I,0,0)</f>
        <v>0</v>
      </c>
      <c r="CA222">
        <f t="shared" si="480"/>
        <v>200</v>
      </c>
      <c r="CB222">
        <f t="shared" si="481"/>
        <v>56210</v>
      </c>
      <c r="CC222">
        <f>_xlfn.XLOOKUP(B222,'[8]october-2025'!$A:$A,'[8]october-2025'!$C:$C,0,0)</f>
        <v>50700</v>
      </c>
      <c r="CD222">
        <f t="shared" si="482"/>
        <v>9126</v>
      </c>
      <c r="CE222">
        <f t="shared" si="483"/>
        <v>6084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>IF(CC222&gt;0,SUM(CC222:CG222),0)</f>
        <v>66410</v>
      </c>
      <c r="CI222">
        <f>_xlfn.XLOOKUP(B222,'[8]october-2025'!$A:$A,'[8]october-2025'!$H:$H,0,0)</f>
        <v>10000</v>
      </c>
      <c r="CJ222">
        <f>_xlfn.XLOOKUP(B222,'[8]october-2025'!$A:$A,'[8]october-2025'!$I:$I,0,0)</f>
        <v>0</v>
      </c>
      <c r="CK222">
        <f t="shared" si="484"/>
        <v>200</v>
      </c>
      <c r="CL222">
        <f t="shared" si="485"/>
        <v>56210</v>
      </c>
      <c r="CM222">
        <f>_xlfn.XLOOKUP(B222,'[9]november-2025'!$A:$A,'[9]november-2025'!$C:$C,0,0)</f>
        <v>50700</v>
      </c>
      <c r="CN222">
        <f t="shared" si="486"/>
        <v>9126</v>
      </c>
      <c r="CO222">
        <f t="shared" si="487"/>
        <v>6084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>IF(CM222&gt;0,SUM(CM222:CQ222),0)</f>
        <v>66410</v>
      </c>
      <c r="CS222">
        <f>_xlfn.XLOOKUP(B222,'[9]november-2025'!$A:$A,'[9]november-2025'!$H:$H,0,0)</f>
        <v>10000</v>
      </c>
      <c r="CT222">
        <f>_xlfn.XLOOKUP(B222,'[9]november-2025'!$A:$A,'[9]november-2025'!$I:$I,0,0)</f>
        <v>0</v>
      </c>
      <c r="CU222">
        <f t="shared" si="488"/>
        <v>200</v>
      </c>
      <c r="CV222">
        <f t="shared" si="489"/>
        <v>56210</v>
      </c>
      <c r="CW222">
        <f>_xlfn.XLOOKUP(B222,'[10]december-2025'!$A:$A,'[10]december-2025'!$C:$C,0,0)</f>
        <v>50700</v>
      </c>
      <c r="CX222">
        <f t="shared" si="490"/>
        <v>9126</v>
      </c>
      <c r="CY222">
        <f t="shared" si="491"/>
        <v>6084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>IF(CW222&gt;0,SUM(CW222:DA222),0)</f>
        <v>66410</v>
      </c>
      <c r="DC222">
        <f>_xlfn.XLOOKUP(B222,'[10]december-2025'!$A:$A,'[10]december-2025'!$H:$H,0,0)</f>
        <v>10000</v>
      </c>
      <c r="DD222">
        <f>_xlfn.XLOOKUP(B222,'[10]december-2025'!$A:$A,'[10]december-2025'!$I:$I,0,0)</f>
        <v>0</v>
      </c>
      <c r="DE222">
        <f t="shared" si="492"/>
        <v>200</v>
      </c>
      <c r="DF222">
        <f t="shared" si="493"/>
        <v>56210</v>
      </c>
      <c r="DG222">
        <f>_xlfn.XLOOKUP(B222,'[11]january-2026'!$A:$A,'[11]january-2026'!$C:$C,0,0)</f>
        <v>50700</v>
      </c>
      <c r="DH222">
        <f t="shared" si="494"/>
        <v>9126</v>
      </c>
      <c r="DI222">
        <f t="shared" si="495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>IF(DG222&gt;0,SUM(DG222:DK222),0)</f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496"/>
        <v>200</v>
      </c>
      <c r="DP222">
        <f t="shared" si="497"/>
        <v>56210</v>
      </c>
      <c r="DQ222">
        <f>_xlfn.XLOOKUP(B222,'[12]february-2026'!$A:$A,'[12]february-2026'!$C:$C,0,0)</f>
        <v>50700</v>
      </c>
      <c r="DR222">
        <f t="shared" si="498"/>
        <v>9126</v>
      </c>
      <c r="DS222">
        <f t="shared" si="499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>IF(DQ222&gt;0,SUM(DQ222:DU222),0)</f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00"/>
        <v>200</v>
      </c>
      <c r="DZ222">
        <f t="shared" si="501"/>
        <v>56210</v>
      </c>
      <c r="EA222">
        <f>_xlfn.XLOOKUP(B222,'[1]march-2025'!$A:$A,'[1]march-2025'!$J:$J,0,0)</f>
        <v>0</v>
      </c>
      <c r="EB222">
        <f>_xlfn.XLOOKUP(B222,'[2]april-2025'!$A:$A,'[2]april-2025'!$J:$J,0,0)</f>
        <v>0</v>
      </c>
      <c r="EC222">
        <f>_xlfn.XLOOKUP(B222,'[3]may-2025'!$A:$A,'[3]may-2025'!$J:$J,0,0)</f>
        <v>0</v>
      </c>
      <c r="ED222">
        <f>_xlfn.XLOOKUP(B222,'[4]june-2025'!$A:$A,'[4]june-2025'!$J:$J,0,0)</f>
        <v>0</v>
      </c>
      <c r="EE222">
        <f>_xlfn.XLOOKUP(B222,'[5]july-2025'!$A:$A,'[5]july-2025'!$J:$J,0,0)</f>
        <v>0</v>
      </c>
      <c r="EF222">
        <f>_xlfn.XLOOKUP(B222,'[6]august-2025'!$A:$A,'[6]august-2025'!$J:$J,0,0)</f>
        <v>0</v>
      </c>
      <c r="EG222">
        <f>_xlfn.XLOOKUP(B222,'[7]september-2025'!$A:$A,'[7]september-2025'!$J:$J,0,0)</f>
        <v>0</v>
      </c>
      <c r="EH222">
        <f>_xlfn.XLOOKUP(B222,'[8]october-2025'!$A:$A,'[8]october-2025'!$J:$J,0,0)</f>
        <v>0</v>
      </c>
      <c r="EI222">
        <f>_xlfn.XLOOKUP(C222,'[9]november-2025'!$A:$A,'[9]november-2025'!$J:$J,0,0)</f>
        <v>0</v>
      </c>
      <c r="EJ222">
        <f>_xlfn.XLOOKUP(B222,'[10]december-2025'!$A:$A,'[10]december-2025'!$J:$J,0,0)</f>
        <v>0</v>
      </c>
      <c r="EK222">
        <f>_xlfn.XLOOKUP(B222,'[11]january-2026'!$A:$A,'[11]january-2026'!$J:$J,0,0)</f>
        <v>0</v>
      </c>
      <c r="EL222">
        <f>_xlfn.XLOOKUP(B222,'[12]february-2026'!$A:$A,'[12]february-2026'!$J:$J,0,0)</f>
        <v>0</v>
      </c>
      <c r="EM222">
        <f t="shared" si="455"/>
        <v>0</v>
      </c>
      <c r="EN222">
        <f>DV222+DL222+DB222+CR222+CH222+BX222+BN222+BD222+AS222+AI222+Y222+O222+H222+I222</f>
        <v>793952</v>
      </c>
      <c r="EO222">
        <f>DY222+DO222+DE222+CU222+CK222+CA222+BQ222+BG222+AV222+AL222+AB222+R222</f>
        <v>2400</v>
      </c>
      <c r="EP222">
        <f t="shared" si="502"/>
        <v>50000</v>
      </c>
      <c r="EQ222">
        <v>0</v>
      </c>
      <c r="ER222">
        <f t="shared" si="456"/>
        <v>741552</v>
      </c>
      <c r="ES222">
        <f>DW222+DM222+DC222+CS222+CI222+BY222+BO222+BE222+AT222+AJ222+Z222+P222</f>
        <v>120000</v>
      </c>
      <c r="ET222">
        <f>DX222+DN222+DD222+CT222+CJ222+BZ222+BP222+BF222+AU222+AK222+AA222+Q222</f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503"/>
        <v>120000</v>
      </c>
      <c r="FF222">
        <f t="shared" si="504"/>
        <v>120000</v>
      </c>
      <c r="FG222">
        <f t="shared" si="505"/>
        <v>621552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>SUM(FH222:FN222)+(IF(F222="YES",50000,0))</f>
        <v>0</v>
      </c>
      <c r="FP222">
        <f t="shared" si="506"/>
        <v>621552</v>
      </c>
      <c r="FQ222">
        <f t="shared" si="507"/>
        <v>12500</v>
      </c>
      <c r="FR222">
        <f t="shared" si="508"/>
        <v>24310</v>
      </c>
      <c r="FS222">
        <f t="shared" si="509"/>
        <v>36810</v>
      </c>
      <c r="FT222">
        <f t="shared" si="510"/>
        <v>36810</v>
      </c>
      <c r="FU222">
        <f t="shared" si="511"/>
        <v>1472.4</v>
      </c>
      <c r="FV222">
        <f t="shared" si="512"/>
        <v>38282</v>
      </c>
      <c r="FW222">
        <v>0</v>
      </c>
      <c r="FX222">
        <f t="shared" si="513"/>
        <v>38282</v>
      </c>
      <c r="FY222" t="b">
        <f t="shared" si="514"/>
        <v>1</v>
      </c>
      <c r="FZ222">
        <f t="shared" ca="1" si="515"/>
        <v>655</v>
      </c>
      <c r="GA222">
        <f t="shared" ca="1" si="516"/>
        <v>794607</v>
      </c>
      <c r="GB222">
        <f t="shared" si="517"/>
        <v>75000</v>
      </c>
      <c r="GC222">
        <f t="shared" ca="1" si="518"/>
        <v>719607</v>
      </c>
      <c r="GD222">
        <f t="shared" ca="1" si="519"/>
        <v>0</v>
      </c>
      <c r="GE222">
        <f t="shared" ca="1" si="520"/>
        <v>0</v>
      </c>
      <c r="GF222">
        <f t="shared" ca="1" si="521"/>
        <v>0</v>
      </c>
      <c r="GG222">
        <f t="shared" ca="1" si="522"/>
        <v>0</v>
      </c>
      <c r="GH222">
        <f t="shared" ca="1" si="523"/>
        <v>0</v>
      </c>
      <c r="GI222">
        <f t="shared" ca="1" si="524"/>
        <v>0</v>
      </c>
      <c r="GJ222">
        <f ca="1">IF(GC222&gt;1200000,GC222-1200000-IF(F222="YES",50000,0)-GH222,0)</f>
        <v>0</v>
      </c>
      <c r="GK222">
        <f t="shared" ca="1" si="525"/>
        <v>0</v>
      </c>
      <c r="GL222">
        <f t="shared" ca="1" si="526"/>
        <v>0</v>
      </c>
      <c r="GM222">
        <f t="shared" ca="1" si="527"/>
        <v>0</v>
      </c>
      <c r="GN222">
        <f t="shared" ca="1" si="528"/>
        <v>319607</v>
      </c>
      <c r="GO222">
        <f t="shared" ca="1" si="529"/>
        <v>15980.35</v>
      </c>
      <c r="GP222">
        <f t="shared" ca="1" si="530"/>
        <v>15980</v>
      </c>
      <c r="GQ222">
        <f t="shared" ca="1" si="531"/>
        <v>0</v>
      </c>
      <c r="GR222">
        <f t="shared" ca="1" si="532"/>
        <v>0</v>
      </c>
      <c r="GS222">
        <f t="shared" ca="1" si="533"/>
        <v>15980</v>
      </c>
      <c r="GT222">
        <f t="shared" ca="1" si="534"/>
        <v>0</v>
      </c>
      <c r="GU222" t="b">
        <f t="shared" ca="1" si="535"/>
        <v>0</v>
      </c>
      <c r="GV222">
        <f t="shared" ca="1" si="536"/>
        <v>0</v>
      </c>
      <c r="GW222">
        <f t="shared" ca="1" si="537"/>
        <v>15980</v>
      </c>
      <c r="GX222">
        <f t="shared" ca="1" si="538"/>
        <v>0</v>
      </c>
      <c r="GY222">
        <f t="shared" ca="1" si="539"/>
        <v>0</v>
      </c>
      <c r="GZ222">
        <f t="shared" ca="1" si="540"/>
        <v>0</v>
      </c>
    </row>
    <row r="223" spans="1:208" x14ac:dyDescent="0.25">
      <c r="A223">
        <f>_xlfn.AGGREGATE(3,5,$B$2:B223)</f>
        <v>222</v>
      </c>
      <c r="B223" t="s">
        <v>550</v>
      </c>
      <c r="C223" t="s">
        <v>551</v>
      </c>
      <c r="D223" t="s">
        <v>806</v>
      </c>
      <c r="E223" t="s">
        <v>831</v>
      </c>
      <c r="F223" t="s">
        <v>957</v>
      </c>
      <c r="G223" t="s">
        <v>944</v>
      </c>
      <c r="H223">
        <f t="shared" si="542"/>
        <v>6800</v>
      </c>
      <c r="I223">
        <f>_xlfn.XLOOKUP(B223,'[1]march-2025'!$A:$A,'[1]march-2025'!$J:$J,0,0)</f>
        <v>0</v>
      </c>
      <c r="J223">
        <f>_xlfn.XLOOKUP(B223,'[1]march-2025'!$A:$A,'[1]march-2025'!$C:$C,0,0)</f>
        <v>50200</v>
      </c>
      <c r="K223">
        <f t="shared" si="457"/>
        <v>7028.0000000000009</v>
      </c>
      <c r="L223">
        <f t="shared" si="458"/>
        <v>6024</v>
      </c>
      <c r="M223">
        <f>_xlfn.XLOOKUP(B223,'[1]march-2025'!$A:$A,'[1]march-2025'!$D:$D,0,0)</f>
        <v>400</v>
      </c>
      <c r="N223">
        <f>_xlfn.XLOOKUP(B223,'[1]march-2025'!$A:$A,'[1]march-2025'!$G:$G,0,0)</f>
        <v>500</v>
      </c>
      <c r="O223">
        <f>IF(J223&gt;0,SUM(J223:N223),0)</f>
        <v>64152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541"/>
        <v>200</v>
      </c>
      <c r="S223">
        <f t="shared" si="451"/>
        <v>58952</v>
      </c>
      <c r="T223">
        <f>_xlfn.XLOOKUP(B223,'[2]april-2025'!$A:$A,'[2]april-2025'!$C:$C,0,0)</f>
        <v>50200</v>
      </c>
      <c r="U223">
        <f t="shared" si="459"/>
        <v>9036</v>
      </c>
      <c r="V223">
        <f t="shared" si="460"/>
        <v>6024</v>
      </c>
      <c r="W223">
        <f>_xlfn.XLOOKUP(B223,'[2]april-2025'!$A:$A,'[2]april-2025'!$D:$D,0,0)</f>
        <v>400</v>
      </c>
      <c r="X223">
        <f>_xlfn.XLOOKUP(B223,'[2]april-2025'!$A:$A,'[2]april-2025'!$G:$G,0,0)</f>
        <v>500</v>
      </c>
      <c r="Y223">
        <f t="shared" si="452"/>
        <v>66160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461"/>
        <v>200</v>
      </c>
      <c r="AC223">
        <f t="shared" si="462"/>
        <v>60960</v>
      </c>
      <c r="AD223">
        <f>_xlfn.XLOOKUP(B223,'[3]may-2025'!$A:$A,'[3]may-2025'!$C:$C,0,0)</f>
        <v>50200</v>
      </c>
      <c r="AE223">
        <f t="shared" si="463"/>
        <v>9036</v>
      </c>
      <c r="AF223">
        <f t="shared" si="464"/>
        <v>6024</v>
      </c>
      <c r="AG223">
        <f>_xlfn.XLOOKUP(B223,'[3]may-2025'!$A:$A,'[3]may-2025'!$D:$D,0,0)</f>
        <v>400</v>
      </c>
      <c r="AH223">
        <f>_xlfn.XLOOKUP(B223,'[3]may-2025'!$A:$A,'[3]may-2025'!$G:$G,0,0)</f>
        <v>500</v>
      </c>
      <c r="AI223">
        <f t="shared" si="453"/>
        <v>66160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465"/>
        <v>200</v>
      </c>
      <c r="AM223">
        <f t="shared" si="466"/>
        <v>60960</v>
      </c>
      <c r="AN223">
        <f>_xlfn.XLOOKUP(B223,'[4]june-2025'!$A:$A,'[4]june-2025'!$C:$C,0,0)</f>
        <v>50200</v>
      </c>
      <c r="AO223">
        <f t="shared" si="467"/>
        <v>9036</v>
      </c>
      <c r="AP223">
        <f t="shared" si="468"/>
        <v>6024</v>
      </c>
      <c r="AQ223">
        <f>_xlfn.XLOOKUP(B223,'[4]june-2025'!$A:$A,'[4]june-2025'!$D:$D,0,0)</f>
        <v>400</v>
      </c>
      <c r="AR223">
        <f>_xlfn.XLOOKUP(B223,'[4]june-2025'!$A:$A,'[4]june-2025'!$G:$G,0,0)</f>
        <v>500</v>
      </c>
      <c r="AS223">
        <f t="shared" si="454"/>
        <v>66160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469"/>
        <v>200</v>
      </c>
      <c r="AW223">
        <f t="shared" si="470"/>
        <v>60960</v>
      </c>
      <c r="AX223">
        <f>_xlfn.XLOOKUP(B223,'[5]july-2025'!$A:$A,'[5]july-2025'!$C:$C,0,0)</f>
        <v>51700</v>
      </c>
      <c r="AY223">
        <f t="shared" si="471"/>
        <v>9306</v>
      </c>
      <c r="AZ223">
        <v>0</v>
      </c>
      <c r="BA223">
        <f t="shared" si="472"/>
        <v>6204</v>
      </c>
      <c r="BB223">
        <f>_xlfn.XLOOKUP(B223,'[5]july-2025'!$A:$A,'[5]july-2025'!$D:$D,0,0)</f>
        <v>400</v>
      </c>
      <c r="BC223">
        <f>_xlfn.XLOOKUP(B223,'[5]july-2025'!$A:$A,'[5]july-2025'!$G:$G,0,0)</f>
        <v>500</v>
      </c>
      <c r="BD223">
        <f>IF(AX223&gt;0,SUM(AX223:BC223),0)</f>
        <v>68110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473"/>
        <v>200</v>
      </c>
      <c r="BH223">
        <f t="shared" si="474"/>
        <v>62910</v>
      </c>
      <c r="BI223">
        <f>_xlfn.XLOOKUP(B223,'[6]august-2025'!$A:$A,'[6]august-2025'!$C:$C,0,0)</f>
        <v>51700</v>
      </c>
      <c r="BJ223">
        <f t="shared" si="475"/>
        <v>9306</v>
      </c>
      <c r="BK223">
        <f t="shared" si="476"/>
        <v>6204</v>
      </c>
      <c r="BL223">
        <f>_xlfn.XLOOKUP(B223,'[6]august-2025'!$A:$A,'[6]august-2025'!$D:$D,0,0)</f>
        <v>400</v>
      </c>
      <c r="BM223">
        <f>_xlfn.XLOOKUP(B223,'[6]august-2025'!$A:$A,'[6]august-2025'!$G:$G,0,0)</f>
        <v>500</v>
      </c>
      <c r="BN223">
        <f t="shared" si="477"/>
        <v>68110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>IF($F223="YES",0,IF(BN223&gt;40000,200,IF(BN223&gt;25000,150,IF(BN223&gt;15000,130,IF(BN223&gt;10000,110,0)))))</f>
        <v>200</v>
      </c>
      <c r="BR223">
        <f>BN223-BO223-BP223-BQ223</f>
        <v>62910</v>
      </c>
      <c r="BS223">
        <f>_xlfn.XLOOKUP(B223,'[7]september-2025'!$A:$A,'[7]september-2025'!$C:$C,0,0)</f>
        <v>51700</v>
      </c>
      <c r="BT223">
        <f t="shared" si="478"/>
        <v>9306</v>
      </c>
      <c r="BU223">
        <f t="shared" si="479"/>
        <v>6204</v>
      </c>
      <c r="BV223">
        <f>_xlfn.XLOOKUP(B223,'[7]september-2025'!$A:$A,'[7]september-2025'!$D:$D,0,0)</f>
        <v>400</v>
      </c>
      <c r="BW223">
        <f>_xlfn.XLOOKUP(B223,'[7]september-2025'!$A:$A,'[7]september-2025'!$G:$G,0,0)</f>
        <v>500</v>
      </c>
      <c r="BX223">
        <f>IF(BS223&gt;0,SUM(BS223:BW223),0)</f>
        <v>68110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480"/>
        <v>200</v>
      </c>
      <c r="CB223">
        <f t="shared" si="481"/>
        <v>62910</v>
      </c>
      <c r="CC223">
        <f>_xlfn.XLOOKUP(B223,'[8]october-2025'!$A:$A,'[8]october-2025'!$C:$C,0,0)</f>
        <v>51700</v>
      </c>
      <c r="CD223">
        <f t="shared" si="482"/>
        <v>9306</v>
      </c>
      <c r="CE223">
        <f t="shared" si="483"/>
        <v>6204</v>
      </c>
      <c r="CF223">
        <f>_xlfn.XLOOKUP(B223,'[8]october-2025'!$A:$A,'[8]october-2025'!$D:$D,0,0)</f>
        <v>400</v>
      </c>
      <c r="CG223">
        <f>_xlfn.XLOOKUP(B223,'[8]october-2025'!$A:$A,'[8]october-2025'!$G:$G,0,0)</f>
        <v>500</v>
      </c>
      <c r="CH223">
        <f>IF(CC223&gt;0,SUM(CC223:CG223),0)</f>
        <v>68110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484"/>
        <v>200</v>
      </c>
      <c r="CL223">
        <f t="shared" si="485"/>
        <v>62910</v>
      </c>
      <c r="CM223">
        <f>_xlfn.XLOOKUP(B223,'[9]november-2025'!$A:$A,'[9]november-2025'!$C:$C,0,0)</f>
        <v>51700</v>
      </c>
      <c r="CN223">
        <f t="shared" si="486"/>
        <v>9306</v>
      </c>
      <c r="CO223">
        <f t="shared" si="487"/>
        <v>6204</v>
      </c>
      <c r="CP223">
        <f>_xlfn.XLOOKUP(B223,'[9]november-2025'!$A:$A,'[9]november-2025'!$D:$D,0,0)</f>
        <v>400</v>
      </c>
      <c r="CQ223">
        <f>_xlfn.XLOOKUP(B223,'[9]november-2025'!$A:$A,'[9]november-2025'!$G:$G,0,0)</f>
        <v>500</v>
      </c>
      <c r="CR223">
        <f>IF(CM223&gt;0,SUM(CM223:CQ223),0)</f>
        <v>68110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488"/>
        <v>200</v>
      </c>
      <c r="CV223">
        <f t="shared" si="489"/>
        <v>62910</v>
      </c>
      <c r="CW223">
        <f>_xlfn.XLOOKUP(B223,'[10]december-2025'!$A:$A,'[10]december-2025'!$C:$C,0,0)</f>
        <v>51700</v>
      </c>
      <c r="CX223">
        <f t="shared" si="490"/>
        <v>9306</v>
      </c>
      <c r="CY223">
        <f t="shared" si="491"/>
        <v>6204</v>
      </c>
      <c r="CZ223">
        <f>_xlfn.XLOOKUP(B223,'[10]december-2025'!$A:$A,'[10]december-2025'!$D:$D,0,0)</f>
        <v>400</v>
      </c>
      <c r="DA223">
        <f>_xlfn.XLOOKUP(B223,'[10]december-2025'!$A:$A,'[10]december-2025'!$G:$G,0,0)</f>
        <v>500</v>
      </c>
      <c r="DB223">
        <f>IF(CW223&gt;0,SUM(CW223:DA223),0)</f>
        <v>68110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492"/>
        <v>200</v>
      </c>
      <c r="DF223">
        <f t="shared" si="493"/>
        <v>62910</v>
      </c>
      <c r="DG223">
        <f>_xlfn.XLOOKUP(B223,'[11]january-2026'!$A:$A,'[11]january-2026'!$C:$C,0,0)</f>
        <v>51700</v>
      </c>
      <c r="DH223">
        <f t="shared" si="494"/>
        <v>9306</v>
      </c>
      <c r="DI223">
        <f t="shared" si="495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>IF(DG223&gt;0,SUM(DG223:DK223),0)</f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496"/>
        <v>200</v>
      </c>
      <c r="DP223">
        <f t="shared" si="497"/>
        <v>62910</v>
      </c>
      <c r="DQ223">
        <f>_xlfn.XLOOKUP(B223,'[12]february-2026'!$A:$A,'[12]february-2026'!$C:$C,0,0)</f>
        <v>51700</v>
      </c>
      <c r="DR223">
        <f t="shared" si="498"/>
        <v>9306</v>
      </c>
      <c r="DS223">
        <f t="shared" si="499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>IF(DQ223&gt;0,SUM(DQ223:DU223),0)</f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00"/>
        <v>200</v>
      </c>
      <c r="DZ223">
        <f t="shared" si="501"/>
        <v>62910</v>
      </c>
      <c r="EA223">
        <f>_xlfn.XLOOKUP(B223,'[1]march-2025'!$A:$A,'[1]march-2025'!$J:$J,0,0)</f>
        <v>0</v>
      </c>
      <c r="EB223">
        <f>_xlfn.XLOOKUP(B223,'[2]april-2025'!$A:$A,'[2]april-2025'!$J:$J,0,0)</f>
        <v>0</v>
      </c>
      <c r="EC223">
        <f>_xlfn.XLOOKUP(B223,'[3]may-2025'!$A:$A,'[3]may-2025'!$J:$J,0,0)</f>
        <v>0</v>
      </c>
      <c r="ED223">
        <f>_xlfn.XLOOKUP(B223,'[4]june-2025'!$A:$A,'[4]june-2025'!$J:$J,0,0)</f>
        <v>0</v>
      </c>
      <c r="EE223">
        <f>_xlfn.XLOOKUP(B223,'[5]july-2025'!$A:$A,'[5]july-2025'!$J:$J,0,0)</f>
        <v>0</v>
      </c>
      <c r="EF223">
        <f>_xlfn.XLOOKUP(B223,'[6]august-2025'!$A:$A,'[6]august-2025'!$J:$J,0,0)</f>
        <v>0</v>
      </c>
      <c r="EG223">
        <f>_xlfn.XLOOKUP(B223,'[7]september-2025'!$A:$A,'[7]september-2025'!$J:$J,0,0)</f>
        <v>0</v>
      </c>
      <c r="EH223">
        <f>_xlfn.XLOOKUP(B223,'[8]october-2025'!$A:$A,'[8]october-2025'!$J:$J,0,0)</f>
        <v>0</v>
      </c>
      <c r="EI223">
        <f>_xlfn.XLOOKUP(C223,'[9]november-2025'!$A:$A,'[9]november-2025'!$J:$J,0,0)</f>
        <v>0</v>
      </c>
      <c r="EJ223">
        <f>_xlfn.XLOOKUP(B223,'[10]december-2025'!$A:$A,'[10]december-2025'!$J:$J,0,0)</f>
        <v>0</v>
      </c>
      <c r="EK223">
        <f>_xlfn.XLOOKUP(B223,'[11]january-2026'!$A:$A,'[11]january-2026'!$J:$J,0,0)</f>
        <v>0</v>
      </c>
      <c r="EL223">
        <f>_xlfn.XLOOKUP(B223,'[12]february-2026'!$A:$A,'[12]february-2026'!$J:$J,0,0)</f>
        <v>0</v>
      </c>
      <c r="EM223">
        <f t="shared" si="455"/>
        <v>0</v>
      </c>
      <c r="EN223">
        <f>DV223+DL223+DB223+CR223+CH223+BX223+BN223+BD223+AS223+AI223+Y223+O223+H223+I223</f>
        <v>814312</v>
      </c>
      <c r="EO223">
        <f>DY223+DO223+DE223+CU223+CK223+CA223+BQ223+BG223+AV223+AL223+AB223+R223</f>
        <v>2400</v>
      </c>
      <c r="EP223">
        <f t="shared" si="502"/>
        <v>50000</v>
      </c>
      <c r="EQ223">
        <v>0</v>
      </c>
      <c r="ER223">
        <f t="shared" si="456"/>
        <v>761912</v>
      </c>
      <c r="ES223">
        <f>DW223+DM223+DC223+CS223+CI223+BY223+BO223+BE223+AT223+AJ223+Z223+P223</f>
        <v>60000</v>
      </c>
      <c r="ET223">
        <f>DX223+DN223+DD223+CT223+CJ223+BZ223+BP223+BF223+AU223+AK223+AA223+Q223</f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503"/>
        <v>60000</v>
      </c>
      <c r="FF223">
        <f t="shared" si="504"/>
        <v>60000</v>
      </c>
      <c r="FG223">
        <f t="shared" si="505"/>
        <v>701912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>SUM(FH223:FN223)+(IF(F223="YES",50000,0))</f>
        <v>0</v>
      </c>
      <c r="FP223">
        <f t="shared" si="506"/>
        <v>701912</v>
      </c>
      <c r="FQ223">
        <f t="shared" si="507"/>
        <v>12500</v>
      </c>
      <c r="FR223">
        <f t="shared" si="508"/>
        <v>40382</v>
      </c>
      <c r="FS223">
        <f t="shared" si="509"/>
        <v>52882</v>
      </c>
      <c r="FT223">
        <f t="shared" si="510"/>
        <v>52882</v>
      </c>
      <c r="FU223">
        <f t="shared" si="511"/>
        <v>2115.2800000000002</v>
      </c>
      <c r="FV223">
        <f t="shared" si="512"/>
        <v>54997</v>
      </c>
      <c r="FW223">
        <v>0</v>
      </c>
      <c r="FX223">
        <f t="shared" si="513"/>
        <v>54997</v>
      </c>
      <c r="FY223" t="b">
        <f t="shared" si="514"/>
        <v>1</v>
      </c>
      <c r="FZ223">
        <f t="shared" ca="1" si="515"/>
        <v>596</v>
      </c>
      <c r="GA223">
        <f t="shared" ca="1" si="516"/>
        <v>814908</v>
      </c>
      <c r="GB223">
        <f t="shared" si="517"/>
        <v>75000</v>
      </c>
      <c r="GC223">
        <f t="shared" ca="1" si="518"/>
        <v>739908</v>
      </c>
      <c r="GD223">
        <f t="shared" ca="1" si="519"/>
        <v>0</v>
      </c>
      <c r="GE223">
        <f t="shared" ca="1" si="520"/>
        <v>0</v>
      </c>
      <c r="GF223">
        <f t="shared" ca="1" si="521"/>
        <v>0</v>
      </c>
      <c r="GG223">
        <f t="shared" ca="1" si="522"/>
        <v>0</v>
      </c>
      <c r="GH223">
        <f t="shared" ca="1" si="523"/>
        <v>0</v>
      </c>
      <c r="GI223">
        <f t="shared" ca="1" si="524"/>
        <v>0</v>
      </c>
      <c r="GJ223">
        <f ca="1">IF(GC223&gt;1200000,GC223-1200000-IF(F223="YES",50000,0)-GH223,0)</f>
        <v>0</v>
      </c>
      <c r="GK223">
        <f t="shared" ca="1" si="525"/>
        <v>0</v>
      </c>
      <c r="GL223">
        <f t="shared" ca="1" si="526"/>
        <v>0</v>
      </c>
      <c r="GM223">
        <f t="shared" ca="1" si="527"/>
        <v>0</v>
      </c>
      <c r="GN223">
        <f t="shared" ca="1" si="528"/>
        <v>339908</v>
      </c>
      <c r="GO223">
        <f t="shared" ca="1" si="529"/>
        <v>16995.400000000001</v>
      </c>
      <c r="GP223">
        <f t="shared" ca="1" si="530"/>
        <v>16995</v>
      </c>
      <c r="GQ223">
        <f t="shared" ca="1" si="531"/>
        <v>0</v>
      </c>
      <c r="GR223">
        <f t="shared" ca="1" si="532"/>
        <v>0</v>
      </c>
      <c r="GS223">
        <f t="shared" ca="1" si="533"/>
        <v>16995</v>
      </c>
      <c r="GT223">
        <f t="shared" ca="1" si="534"/>
        <v>0</v>
      </c>
      <c r="GU223" t="b">
        <f t="shared" ca="1" si="535"/>
        <v>0</v>
      </c>
      <c r="GV223">
        <f t="shared" ca="1" si="536"/>
        <v>0</v>
      </c>
      <c r="GW223">
        <f t="shared" ca="1" si="537"/>
        <v>16995</v>
      </c>
      <c r="GX223">
        <f t="shared" ca="1" si="538"/>
        <v>0</v>
      </c>
      <c r="GY223">
        <f t="shared" ca="1" si="539"/>
        <v>0</v>
      </c>
      <c r="GZ223">
        <f t="shared" ca="1" si="540"/>
        <v>0</v>
      </c>
    </row>
    <row r="224" spans="1:208" x14ac:dyDescent="0.25">
      <c r="A224">
        <f>_xlfn.AGGREGATE(3,5,$B$2:B224)</f>
        <v>223</v>
      </c>
      <c r="B224" t="s">
        <v>552</v>
      </c>
      <c r="C224" t="s">
        <v>553</v>
      </c>
      <c r="D224" t="s">
        <v>806</v>
      </c>
      <c r="E224" t="s">
        <v>831</v>
      </c>
      <c r="F224" t="s">
        <v>957</v>
      </c>
      <c r="G224" t="s">
        <v>945</v>
      </c>
      <c r="H224">
        <f t="shared" si="542"/>
        <v>6800</v>
      </c>
      <c r="I224">
        <f>_xlfn.XLOOKUP(B224,'[1]march-2025'!$A:$A,'[1]march-2025'!$J:$J,0,0)</f>
        <v>0</v>
      </c>
      <c r="J224">
        <f>_xlfn.XLOOKUP(B224,'[1]march-2025'!$A:$A,'[1]march-2025'!$C:$C,0,0)</f>
        <v>34500</v>
      </c>
      <c r="K224">
        <f t="shared" si="457"/>
        <v>4830.0000000000009</v>
      </c>
      <c r="L224">
        <f t="shared" si="458"/>
        <v>4140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>IF(J224&gt;0,SUM(J224:N224),0)</f>
        <v>43970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541"/>
        <v>200</v>
      </c>
      <c r="S224">
        <f t="shared" si="451"/>
        <v>38770</v>
      </c>
      <c r="T224">
        <f>_xlfn.XLOOKUP(B224,'[2]april-2025'!$A:$A,'[2]april-2025'!$C:$C,0,0)</f>
        <v>34500</v>
      </c>
      <c r="U224">
        <f t="shared" si="459"/>
        <v>6210</v>
      </c>
      <c r="V224">
        <f t="shared" si="460"/>
        <v>4140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452"/>
        <v>45350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461"/>
        <v>200</v>
      </c>
      <c r="AC224">
        <f t="shared" si="462"/>
        <v>40150</v>
      </c>
      <c r="AD224">
        <f>_xlfn.XLOOKUP(B224,'[3]may-2025'!$A:$A,'[3]may-2025'!$C:$C,0,0)</f>
        <v>34500</v>
      </c>
      <c r="AE224">
        <f t="shared" si="463"/>
        <v>6210</v>
      </c>
      <c r="AF224">
        <f t="shared" si="464"/>
        <v>4140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453"/>
        <v>45350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465"/>
        <v>200</v>
      </c>
      <c r="AM224">
        <f t="shared" si="466"/>
        <v>40150</v>
      </c>
      <c r="AN224">
        <f>_xlfn.XLOOKUP(B224,'[4]june-2025'!$A:$A,'[4]june-2025'!$C:$C,0,0)</f>
        <v>34500</v>
      </c>
      <c r="AO224">
        <f t="shared" si="467"/>
        <v>6210</v>
      </c>
      <c r="AP224">
        <f t="shared" si="468"/>
        <v>4140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454"/>
        <v>45350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469"/>
        <v>200</v>
      </c>
      <c r="AW224">
        <f t="shared" si="470"/>
        <v>40150</v>
      </c>
      <c r="AX224">
        <f>_xlfn.XLOOKUP(B224,'[5]july-2025'!$A:$A,'[5]july-2025'!$C:$C,0,0)</f>
        <v>35500</v>
      </c>
      <c r="AY224">
        <f t="shared" si="471"/>
        <v>6390</v>
      </c>
      <c r="AZ224">
        <v>0</v>
      </c>
      <c r="BA224">
        <f t="shared" si="472"/>
        <v>4260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>IF(AX224&gt;0,SUM(AX224:BC224),0)</f>
        <v>46650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473"/>
        <v>200</v>
      </c>
      <c r="BH224">
        <f t="shared" si="474"/>
        <v>41450</v>
      </c>
      <c r="BI224">
        <f>_xlfn.XLOOKUP(B224,'[6]august-2025'!$A:$A,'[6]august-2025'!$C:$C,0,0)</f>
        <v>35500</v>
      </c>
      <c r="BJ224">
        <f t="shared" si="475"/>
        <v>6390</v>
      </c>
      <c r="BK224">
        <f t="shared" si="476"/>
        <v>4260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477"/>
        <v>46650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>IF($F224="YES",0,IF(BN224&gt;40000,200,IF(BN224&gt;25000,150,IF(BN224&gt;15000,130,IF(BN224&gt;10000,110,0)))))</f>
        <v>200</v>
      </c>
      <c r="BR224">
        <f>BN224-BO224-BP224-BQ224</f>
        <v>41450</v>
      </c>
      <c r="BS224">
        <f>_xlfn.XLOOKUP(B224,'[7]september-2025'!$A:$A,'[7]september-2025'!$C:$C,0,0)</f>
        <v>35500</v>
      </c>
      <c r="BT224">
        <f t="shared" si="478"/>
        <v>6390</v>
      </c>
      <c r="BU224">
        <f t="shared" si="479"/>
        <v>4260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>IF(BS224&gt;0,SUM(BS224:BW224),0)</f>
        <v>46650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480"/>
        <v>200</v>
      </c>
      <c r="CB224">
        <f t="shared" si="481"/>
        <v>41450</v>
      </c>
      <c r="CC224">
        <f>_xlfn.XLOOKUP(B224,'[8]october-2025'!$A:$A,'[8]october-2025'!$C:$C,0,0)</f>
        <v>35500</v>
      </c>
      <c r="CD224">
        <f t="shared" si="482"/>
        <v>6390</v>
      </c>
      <c r="CE224">
        <f t="shared" si="483"/>
        <v>4260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>IF(CC224&gt;0,SUM(CC224:CG224),0)</f>
        <v>46650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484"/>
        <v>200</v>
      </c>
      <c r="CL224">
        <f t="shared" si="485"/>
        <v>41450</v>
      </c>
      <c r="CM224">
        <f>_xlfn.XLOOKUP(B224,'[9]november-2025'!$A:$A,'[9]november-2025'!$C:$C,0,0)</f>
        <v>35500</v>
      </c>
      <c r="CN224">
        <f t="shared" si="486"/>
        <v>6390</v>
      </c>
      <c r="CO224">
        <f t="shared" si="487"/>
        <v>4260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>IF(CM224&gt;0,SUM(CM224:CQ224),0)</f>
        <v>46650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488"/>
        <v>200</v>
      </c>
      <c r="CV224">
        <f t="shared" si="489"/>
        <v>41450</v>
      </c>
      <c r="CW224">
        <f>_xlfn.XLOOKUP(B224,'[10]december-2025'!$A:$A,'[10]december-2025'!$C:$C,0,0)</f>
        <v>35500</v>
      </c>
      <c r="CX224">
        <f t="shared" si="490"/>
        <v>6390</v>
      </c>
      <c r="CY224">
        <f t="shared" si="491"/>
        <v>4260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>IF(CW224&gt;0,SUM(CW224:DA224),0)</f>
        <v>46650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492"/>
        <v>200</v>
      </c>
      <c r="DF224">
        <f t="shared" si="493"/>
        <v>41450</v>
      </c>
      <c r="DG224">
        <f>_xlfn.XLOOKUP(B224,'[11]january-2026'!$A:$A,'[11]january-2026'!$C:$C,0,0)</f>
        <v>35500</v>
      </c>
      <c r="DH224">
        <f t="shared" si="494"/>
        <v>6390</v>
      </c>
      <c r="DI224">
        <f t="shared" si="495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>IF(DG224&gt;0,SUM(DG224:DK224),0)</f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496"/>
        <v>200</v>
      </c>
      <c r="DP224">
        <f t="shared" si="497"/>
        <v>41450</v>
      </c>
      <c r="DQ224">
        <f>_xlfn.XLOOKUP(B224,'[12]february-2026'!$A:$A,'[12]february-2026'!$C:$C,0,0)</f>
        <v>35500</v>
      </c>
      <c r="DR224">
        <f t="shared" si="498"/>
        <v>6390</v>
      </c>
      <c r="DS224">
        <f t="shared" si="499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>IF(DQ224&gt;0,SUM(DQ224:DU224),0)</f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00"/>
        <v>200</v>
      </c>
      <c r="DZ224">
        <f t="shared" si="501"/>
        <v>41450</v>
      </c>
      <c r="EA224">
        <f>_xlfn.XLOOKUP(B224,'[1]march-2025'!$A:$A,'[1]march-2025'!$J:$J,0,0)</f>
        <v>0</v>
      </c>
      <c r="EB224">
        <f>_xlfn.XLOOKUP(B224,'[2]april-2025'!$A:$A,'[2]april-2025'!$J:$J,0,0)</f>
        <v>0</v>
      </c>
      <c r="EC224">
        <f>_xlfn.XLOOKUP(B224,'[3]may-2025'!$A:$A,'[3]may-2025'!$J:$J,0,0)</f>
        <v>0</v>
      </c>
      <c r="ED224">
        <f>_xlfn.XLOOKUP(B224,'[4]june-2025'!$A:$A,'[4]june-2025'!$J:$J,0,0)</f>
        <v>0</v>
      </c>
      <c r="EE224">
        <f>_xlfn.XLOOKUP(B224,'[5]july-2025'!$A:$A,'[5]july-2025'!$J:$J,0,0)</f>
        <v>0</v>
      </c>
      <c r="EF224">
        <f>_xlfn.XLOOKUP(B224,'[6]august-2025'!$A:$A,'[6]august-2025'!$J:$J,0,0)</f>
        <v>0</v>
      </c>
      <c r="EG224">
        <f>_xlfn.XLOOKUP(B224,'[7]september-2025'!$A:$A,'[7]september-2025'!$J:$J,0,0)</f>
        <v>0</v>
      </c>
      <c r="EH224">
        <f>_xlfn.XLOOKUP(B224,'[8]october-2025'!$A:$A,'[8]october-2025'!$J:$J,0,0)</f>
        <v>0</v>
      </c>
      <c r="EI224">
        <f>_xlfn.XLOOKUP(C224,'[9]november-2025'!$A:$A,'[9]november-2025'!$J:$J,0,0)</f>
        <v>0</v>
      </c>
      <c r="EJ224">
        <f>_xlfn.XLOOKUP(B224,'[10]december-2025'!$A:$A,'[10]december-2025'!$J:$J,0,0)</f>
        <v>0</v>
      </c>
      <c r="EK224">
        <f>_xlfn.XLOOKUP(B224,'[11]january-2026'!$A:$A,'[11]january-2026'!$J:$J,0,0)</f>
        <v>0</v>
      </c>
      <c r="EL224">
        <f>_xlfn.XLOOKUP(B224,'[12]february-2026'!$A:$A,'[12]february-2026'!$J:$J,0,0)</f>
        <v>0</v>
      </c>
      <c r="EM224">
        <f t="shared" si="455"/>
        <v>0</v>
      </c>
      <c r="EN224">
        <f>DV224+DL224+DB224+CR224+CH224+BX224+BN224+BD224+AS224+AI224+Y224+O224+H224+I224</f>
        <v>560020</v>
      </c>
      <c r="EO224">
        <f>DY224+DO224+DE224+CU224+CK224+CA224+BQ224+BG224+AV224+AL224+AB224+R224</f>
        <v>2400</v>
      </c>
      <c r="EP224">
        <f t="shared" si="502"/>
        <v>50000</v>
      </c>
      <c r="EQ224">
        <v>0</v>
      </c>
      <c r="ER224">
        <f t="shared" si="456"/>
        <v>507620</v>
      </c>
      <c r="ES224">
        <f>DW224+DM224+DC224+CS224+CI224+BY224+BO224+BE224+AT224+AJ224+Z224+P224</f>
        <v>60000</v>
      </c>
      <c r="ET224">
        <f>DX224+DN224+DD224+CT224+CJ224+BZ224+BP224+BF224+AU224+AK224+AA224+Q224</f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503"/>
        <v>60000</v>
      </c>
      <c r="FF224">
        <f t="shared" si="504"/>
        <v>60000</v>
      </c>
      <c r="FG224">
        <f t="shared" si="505"/>
        <v>447620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>SUM(FH224:FN224)+(IF(F224="YES",50000,0))</f>
        <v>0</v>
      </c>
      <c r="FP224">
        <f t="shared" si="506"/>
        <v>447620</v>
      </c>
      <c r="FQ224">
        <f t="shared" si="507"/>
        <v>9881</v>
      </c>
      <c r="FR224">
        <f t="shared" si="508"/>
        <v>0</v>
      </c>
      <c r="FS224">
        <f t="shared" si="509"/>
        <v>9881</v>
      </c>
      <c r="FT224">
        <f t="shared" si="510"/>
        <v>0</v>
      </c>
      <c r="FU224">
        <f t="shared" si="511"/>
        <v>0</v>
      </c>
      <c r="FV224">
        <f t="shared" si="512"/>
        <v>0</v>
      </c>
      <c r="FW224">
        <v>0</v>
      </c>
      <c r="FX224">
        <f t="shared" si="513"/>
        <v>0</v>
      </c>
      <c r="FY224" t="b">
        <f t="shared" si="514"/>
        <v>1</v>
      </c>
      <c r="FZ224">
        <f t="shared" ca="1" si="515"/>
        <v>966</v>
      </c>
      <c r="GA224">
        <f t="shared" ca="1" si="516"/>
        <v>560986</v>
      </c>
      <c r="GB224">
        <f t="shared" si="517"/>
        <v>75000</v>
      </c>
      <c r="GC224">
        <f t="shared" ca="1" si="518"/>
        <v>485986</v>
      </c>
      <c r="GD224">
        <f t="shared" ca="1" si="519"/>
        <v>0</v>
      </c>
      <c r="GE224">
        <f t="shared" ca="1" si="520"/>
        <v>0</v>
      </c>
      <c r="GF224">
        <f t="shared" ca="1" si="521"/>
        <v>0</v>
      </c>
      <c r="GG224">
        <f t="shared" ca="1" si="522"/>
        <v>0</v>
      </c>
      <c r="GH224">
        <f t="shared" ca="1" si="523"/>
        <v>0</v>
      </c>
      <c r="GI224">
        <f t="shared" ca="1" si="524"/>
        <v>0</v>
      </c>
      <c r="GJ224">
        <f ca="1">IF(GC224&gt;1200000,GC224-1200000-IF(F224="YES",50000,0)-GH224,0)</f>
        <v>0</v>
      </c>
      <c r="GK224">
        <f t="shared" ca="1" si="525"/>
        <v>0</v>
      </c>
      <c r="GL224">
        <f t="shared" ca="1" si="526"/>
        <v>0</v>
      </c>
      <c r="GM224">
        <f t="shared" ca="1" si="527"/>
        <v>0</v>
      </c>
      <c r="GN224">
        <f t="shared" ca="1" si="528"/>
        <v>85986</v>
      </c>
      <c r="GO224">
        <f t="shared" ca="1" si="529"/>
        <v>4299.3</v>
      </c>
      <c r="GP224">
        <f t="shared" ca="1" si="530"/>
        <v>4299</v>
      </c>
      <c r="GQ224">
        <f t="shared" ca="1" si="531"/>
        <v>0</v>
      </c>
      <c r="GR224">
        <f t="shared" ca="1" si="532"/>
        <v>0</v>
      </c>
      <c r="GS224">
        <f t="shared" ca="1" si="533"/>
        <v>4299</v>
      </c>
      <c r="GT224">
        <f t="shared" ca="1" si="534"/>
        <v>0</v>
      </c>
      <c r="GU224" t="b">
        <f t="shared" ca="1" si="535"/>
        <v>0</v>
      </c>
      <c r="GV224">
        <f t="shared" ca="1" si="536"/>
        <v>0</v>
      </c>
      <c r="GW224">
        <f t="shared" ca="1" si="537"/>
        <v>4299</v>
      </c>
      <c r="GX224">
        <f t="shared" ca="1" si="538"/>
        <v>0</v>
      </c>
      <c r="GY224">
        <f t="shared" ca="1" si="539"/>
        <v>0</v>
      </c>
      <c r="GZ224">
        <f t="shared" ca="1" si="540"/>
        <v>0</v>
      </c>
    </row>
    <row r="225" spans="1:208" x14ac:dyDescent="0.25">
      <c r="A225">
        <f>_xlfn.AGGREGATE(3,5,$B$2:B225)</f>
        <v>224</v>
      </c>
      <c r="B225" t="s">
        <v>554</v>
      </c>
      <c r="C225" t="s">
        <v>555</v>
      </c>
      <c r="D225" t="s">
        <v>806</v>
      </c>
      <c r="E225" t="s">
        <v>831</v>
      </c>
      <c r="F225" t="s">
        <v>957</v>
      </c>
      <c r="G225" t="s">
        <v>881</v>
      </c>
      <c r="H225">
        <f t="shared" si="542"/>
        <v>6800</v>
      </c>
      <c r="I225">
        <f>_xlfn.XLOOKUP(B225,'[1]march-2025'!$A:$A,'[1]march-2025'!$J:$J,0,0)</f>
        <v>0</v>
      </c>
      <c r="J225">
        <f>_xlfn.XLOOKUP(B225,'[1]march-2025'!$A:$A,'[1]march-2025'!$C:$C,0,0)</f>
        <v>28900</v>
      </c>
      <c r="K225">
        <f t="shared" si="457"/>
        <v>4046.0000000000005</v>
      </c>
      <c r="L225">
        <f t="shared" si="458"/>
        <v>3468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>IF(J225&gt;0,SUM(J225:N225),0)</f>
        <v>36914</v>
      </c>
      <c r="P225">
        <f>_xlfn.XLOOKUP(B225,'[1]march-2025'!$A:$A,'[1]march-2025'!$H:$H,0,0)</f>
        <v>2000</v>
      </c>
      <c r="Q225">
        <f>_xlfn.XLOOKUP(B225,'[1]march-2025'!$A:$A,'[1]march-2025'!$I:$I,0,0)</f>
        <v>0</v>
      </c>
      <c r="R225">
        <f t="shared" si="541"/>
        <v>150</v>
      </c>
      <c r="S225">
        <f t="shared" si="451"/>
        <v>34764</v>
      </c>
      <c r="T225">
        <f>_xlfn.XLOOKUP(B225,'[2]april-2025'!$A:$A,'[2]april-2025'!$C:$C,0,0)</f>
        <v>28900</v>
      </c>
      <c r="U225">
        <f t="shared" si="459"/>
        <v>5202</v>
      </c>
      <c r="V225">
        <f t="shared" si="460"/>
        <v>3468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452"/>
        <v>38070</v>
      </c>
      <c r="Z225">
        <f>_xlfn.XLOOKUP(B225,'[2]april-2025'!$A:$A,'[2]april-2025'!$H:$H,0,0)</f>
        <v>2000</v>
      </c>
      <c r="AA225">
        <f>_xlfn.XLOOKUP(B225,'[2]april-2025'!$A:$A,'[2]april-2025'!$I:$I,0,0)</f>
        <v>0</v>
      </c>
      <c r="AB225">
        <f t="shared" si="461"/>
        <v>150</v>
      </c>
      <c r="AC225">
        <f t="shared" si="462"/>
        <v>35920</v>
      </c>
      <c r="AD225">
        <f>_xlfn.XLOOKUP(B225,'[3]may-2025'!$A:$A,'[3]may-2025'!$C:$C,0,0)</f>
        <v>28900</v>
      </c>
      <c r="AE225">
        <f t="shared" si="463"/>
        <v>5202</v>
      </c>
      <c r="AF225">
        <f t="shared" si="464"/>
        <v>3468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453"/>
        <v>38070</v>
      </c>
      <c r="AJ225">
        <f>_xlfn.XLOOKUP(B225,'[3]may-2025'!$A:$A,'[3]may-2025'!$H:$H,0,0)</f>
        <v>2000</v>
      </c>
      <c r="AK225">
        <f>_xlfn.XLOOKUP(B225,'[3]may-2025'!$A:$A,'[3]may-2025'!$I:$I,0,0)</f>
        <v>0</v>
      </c>
      <c r="AL225">
        <f t="shared" si="465"/>
        <v>150</v>
      </c>
      <c r="AM225">
        <f t="shared" si="466"/>
        <v>35920</v>
      </c>
      <c r="AN225">
        <f>_xlfn.XLOOKUP(B225,'[4]june-2025'!$A:$A,'[4]june-2025'!$C:$C,0,0)</f>
        <v>28900</v>
      </c>
      <c r="AO225">
        <f t="shared" si="467"/>
        <v>5202</v>
      </c>
      <c r="AP225">
        <f t="shared" si="468"/>
        <v>3468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454"/>
        <v>38070</v>
      </c>
      <c r="AT225">
        <f>_xlfn.XLOOKUP(B225,'[4]june-2025'!$A:$A,'[4]june-2025'!$H:$H,0,0)</f>
        <v>2000</v>
      </c>
      <c r="AU225">
        <f>_xlfn.XLOOKUP(B225,'[4]june-2025'!$A:$A,'[4]june-2025'!$I:$I,0,0)</f>
        <v>0</v>
      </c>
      <c r="AV225">
        <f t="shared" si="469"/>
        <v>150</v>
      </c>
      <c r="AW225">
        <f t="shared" si="470"/>
        <v>35920</v>
      </c>
      <c r="AX225">
        <f>_xlfn.XLOOKUP(B225,'[5]july-2025'!$A:$A,'[5]july-2025'!$C:$C,0,0)</f>
        <v>29800</v>
      </c>
      <c r="AY225">
        <f t="shared" si="471"/>
        <v>5364</v>
      </c>
      <c r="AZ225">
        <v>0</v>
      </c>
      <c r="BA225">
        <f t="shared" si="472"/>
        <v>3576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>IF(AX225&gt;0,SUM(AX225:BC225),0)</f>
        <v>39240</v>
      </c>
      <c r="BE225">
        <f>_xlfn.XLOOKUP(B225,'[5]july-2025'!$A:$A,'[5]july-2025'!$H:$H,0,0)</f>
        <v>2000</v>
      </c>
      <c r="BF225">
        <f>_xlfn.XLOOKUP(B225,'[5]july-2025'!$A:$A,'[5]july-2025'!$I:$I,0,0)</f>
        <v>0</v>
      </c>
      <c r="BG225">
        <f t="shared" si="473"/>
        <v>150</v>
      </c>
      <c r="BH225">
        <f t="shared" si="474"/>
        <v>37090</v>
      </c>
      <c r="BI225">
        <f>_xlfn.XLOOKUP(B225,'[6]august-2025'!$A:$A,'[6]august-2025'!$C:$C,0,0)</f>
        <v>29800</v>
      </c>
      <c r="BJ225">
        <f t="shared" si="475"/>
        <v>5364</v>
      </c>
      <c r="BK225">
        <f t="shared" si="476"/>
        <v>3576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477"/>
        <v>39240</v>
      </c>
      <c r="BO225">
        <f>_xlfn.XLOOKUP(B225,'[6]august-2025'!$A:$A,'[6]august-2025'!$H:$H,0,0)</f>
        <v>2000</v>
      </c>
      <c r="BP225">
        <f>_xlfn.XLOOKUP(B225,'[6]august-2025'!$A:$A,'[6]august-2025'!$I:$I,0,0)</f>
        <v>0</v>
      </c>
      <c r="BQ225">
        <f>IF($F225="YES",0,IF(BN225&gt;40000,200,IF(BN225&gt;25000,150,IF(BN225&gt;15000,130,IF(BN225&gt;10000,110,0)))))</f>
        <v>150</v>
      </c>
      <c r="BR225">
        <f>BN225-BO225-BP225-BQ225</f>
        <v>37090</v>
      </c>
      <c r="BS225">
        <f>_xlfn.XLOOKUP(B225,'[7]september-2025'!$A:$A,'[7]september-2025'!$C:$C,0,0)</f>
        <v>29800</v>
      </c>
      <c r="BT225">
        <f t="shared" si="478"/>
        <v>5364</v>
      </c>
      <c r="BU225">
        <f t="shared" si="479"/>
        <v>3576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>IF(BS225&gt;0,SUM(BS225:BW225),0)</f>
        <v>39240</v>
      </c>
      <c r="BY225">
        <f>_xlfn.XLOOKUP(B225,'[7]september-2025'!$A:$A,'[7]september-2025'!$H:$H,0,0)</f>
        <v>2000</v>
      </c>
      <c r="BZ225">
        <f>_xlfn.XLOOKUP(B225,'[7]september-2025'!$A:$A,'[7]september-2025'!$I:$I,0,0)</f>
        <v>0</v>
      </c>
      <c r="CA225">
        <f t="shared" si="480"/>
        <v>150</v>
      </c>
      <c r="CB225">
        <f t="shared" si="481"/>
        <v>37090</v>
      </c>
      <c r="CC225">
        <f>_xlfn.XLOOKUP(B225,'[8]october-2025'!$A:$A,'[8]october-2025'!$C:$C,0,0)</f>
        <v>29800</v>
      </c>
      <c r="CD225">
        <f t="shared" si="482"/>
        <v>5364</v>
      </c>
      <c r="CE225">
        <f t="shared" si="483"/>
        <v>3576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>IF(CC225&gt;0,SUM(CC225:CG225),0)</f>
        <v>39240</v>
      </c>
      <c r="CI225">
        <f>_xlfn.XLOOKUP(B225,'[8]october-2025'!$A:$A,'[8]october-2025'!$H:$H,0,0)</f>
        <v>2000</v>
      </c>
      <c r="CJ225">
        <f>_xlfn.XLOOKUP(B225,'[8]october-2025'!$A:$A,'[8]october-2025'!$I:$I,0,0)</f>
        <v>0</v>
      </c>
      <c r="CK225">
        <f t="shared" si="484"/>
        <v>150</v>
      </c>
      <c r="CL225">
        <f t="shared" si="485"/>
        <v>37090</v>
      </c>
      <c r="CM225">
        <f>_xlfn.XLOOKUP(B225,'[9]november-2025'!$A:$A,'[9]november-2025'!$C:$C,0,0)</f>
        <v>29800</v>
      </c>
      <c r="CN225">
        <f t="shared" si="486"/>
        <v>5364</v>
      </c>
      <c r="CO225">
        <f t="shared" si="487"/>
        <v>3576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>IF(CM225&gt;0,SUM(CM225:CQ225),0)</f>
        <v>39240</v>
      </c>
      <c r="CS225">
        <f>_xlfn.XLOOKUP(B225,'[9]november-2025'!$A:$A,'[9]november-2025'!$H:$H,0,0)</f>
        <v>2000</v>
      </c>
      <c r="CT225">
        <f>_xlfn.XLOOKUP(B225,'[9]november-2025'!$A:$A,'[9]november-2025'!$I:$I,0,0)</f>
        <v>0</v>
      </c>
      <c r="CU225">
        <f t="shared" si="488"/>
        <v>150</v>
      </c>
      <c r="CV225">
        <f t="shared" si="489"/>
        <v>37090</v>
      </c>
      <c r="CW225">
        <f>_xlfn.XLOOKUP(B225,'[10]december-2025'!$A:$A,'[10]december-2025'!$C:$C,0,0)</f>
        <v>29800</v>
      </c>
      <c r="CX225">
        <f t="shared" si="490"/>
        <v>5364</v>
      </c>
      <c r="CY225">
        <f t="shared" si="491"/>
        <v>3576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>IF(CW225&gt;0,SUM(CW225:DA225),0)</f>
        <v>39240</v>
      </c>
      <c r="DC225">
        <f>_xlfn.XLOOKUP(B225,'[10]december-2025'!$A:$A,'[10]december-2025'!$H:$H,0,0)</f>
        <v>2000</v>
      </c>
      <c r="DD225">
        <f>_xlfn.XLOOKUP(B225,'[10]december-2025'!$A:$A,'[10]december-2025'!$I:$I,0,0)</f>
        <v>0</v>
      </c>
      <c r="DE225">
        <f t="shared" si="492"/>
        <v>150</v>
      </c>
      <c r="DF225">
        <f t="shared" si="493"/>
        <v>37090</v>
      </c>
      <c r="DG225">
        <f>_xlfn.XLOOKUP(B225,'[11]january-2026'!$A:$A,'[11]january-2026'!$C:$C,0,0)</f>
        <v>29800</v>
      </c>
      <c r="DH225">
        <f t="shared" si="494"/>
        <v>5364</v>
      </c>
      <c r="DI225">
        <f t="shared" si="495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>IF(DG225&gt;0,SUM(DG225:DK225),0)</f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496"/>
        <v>150</v>
      </c>
      <c r="DP225">
        <f t="shared" si="497"/>
        <v>37090</v>
      </c>
      <c r="DQ225">
        <f>_xlfn.XLOOKUP(B225,'[12]february-2026'!$A:$A,'[12]february-2026'!$C:$C,0,0)</f>
        <v>29800</v>
      </c>
      <c r="DR225">
        <f t="shared" si="498"/>
        <v>5364</v>
      </c>
      <c r="DS225">
        <f t="shared" si="499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>IF(DQ225&gt;0,SUM(DQ225:DU225),0)</f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00"/>
        <v>150</v>
      </c>
      <c r="DZ225">
        <f t="shared" si="501"/>
        <v>37090</v>
      </c>
      <c r="EA225">
        <f>_xlfn.XLOOKUP(B225,'[1]march-2025'!$A:$A,'[1]march-2025'!$J:$J,0,0)</f>
        <v>0</v>
      </c>
      <c r="EB225">
        <f>_xlfn.XLOOKUP(B225,'[2]april-2025'!$A:$A,'[2]april-2025'!$J:$J,0,0)</f>
        <v>0</v>
      </c>
      <c r="EC225">
        <f>_xlfn.XLOOKUP(B225,'[3]may-2025'!$A:$A,'[3]may-2025'!$J:$J,0,0)</f>
        <v>0</v>
      </c>
      <c r="ED225">
        <f>_xlfn.XLOOKUP(B225,'[4]june-2025'!$A:$A,'[4]june-2025'!$J:$J,0,0)</f>
        <v>0</v>
      </c>
      <c r="EE225">
        <f>_xlfn.XLOOKUP(B225,'[5]july-2025'!$A:$A,'[5]july-2025'!$J:$J,0,0)</f>
        <v>0</v>
      </c>
      <c r="EF225">
        <f>_xlfn.XLOOKUP(B225,'[6]august-2025'!$A:$A,'[6]august-2025'!$J:$J,0,0)</f>
        <v>0</v>
      </c>
      <c r="EG225">
        <f>_xlfn.XLOOKUP(B225,'[7]september-2025'!$A:$A,'[7]september-2025'!$J:$J,0,0)</f>
        <v>0</v>
      </c>
      <c r="EH225">
        <f>_xlfn.XLOOKUP(B225,'[8]october-2025'!$A:$A,'[8]october-2025'!$J:$J,0,0)</f>
        <v>0</v>
      </c>
      <c r="EI225">
        <f>_xlfn.XLOOKUP(C225,'[9]november-2025'!$A:$A,'[9]november-2025'!$J:$J,0,0)</f>
        <v>0</v>
      </c>
      <c r="EJ225">
        <f>_xlfn.XLOOKUP(B225,'[10]december-2025'!$A:$A,'[10]december-2025'!$J:$J,0,0)</f>
        <v>0</v>
      </c>
      <c r="EK225">
        <f>_xlfn.XLOOKUP(B225,'[11]january-2026'!$A:$A,'[11]january-2026'!$J:$J,0,0)</f>
        <v>0</v>
      </c>
      <c r="EL225">
        <f>_xlfn.XLOOKUP(B225,'[12]february-2026'!$A:$A,'[12]february-2026'!$J:$J,0,0)</f>
        <v>0</v>
      </c>
      <c r="EM225">
        <f t="shared" si="455"/>
        <v>0</v>
      </c>
      <c r="EN225">
        <f>DV225+DL225+DB225+CR225+CH225+BX225+BN225+BD225+AS225+AI225+Y225+O225+H225+I225</f>
        <v>471844</v>
      </c>
      <c r="EO225">
        <f>DY225+DO225+DE225+CU225+CK225+CA225+BQ225+BG225+AV225+AL225+AB225+R225</f>
        <v>1800</v>
      </c>
      <c r="EP225">
        <f t="shared" si="502"/>
        <v>50000</v>
      </c>
      <c r="EQ225">
        <v>0</v>
      </c>
      <c r="ER225">
        <f t="shared" si="456"/>
        <v>420044</v>
      </c>
      <c r="ES225">
        <f>DW225+DM225+DC225+CS225+CI225+BY225+BO225+BE225+AT225+AJ225+Z225+P225</f>
        <v>24000</v>
      </c>
      <c r="ET225">
        <f>DX225+DN225+DD225+CT225+CJ225+BZ225+BP225+BF225+AU225+AK225+AA225+Q225</f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503"/>
        <v>24000</v>
      </c>
      <c r="FF225">
        <f t="shared" si="504"/>
        <v>24000</v>
      </c>
      <c r="FG225">
        <f t="shared" si="505"/>
        <v>396044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>SUM(FH225:FN225)+(IF(F225="YES",50000,0))</f>
        <v>0</v>
      </c>
      <c r="FP225">
        <f t="shared" si="506"/>
        <v>396044</v>
      </c>
      <c r="FQ225">
        <f t="shared" si="507"/>
        <v>7302</v>
      </c>
      <c r="FR225">
        <f t="shared" si="508"/>
        <v>0</v>
      </c>
      <c r="FS225">
        <f t="shared" si="509"/>
        <v>7302</v>
      </c>
      <c r="FT225">
        <f t="shared" si="510"/>
        <v>0</v>
      </c>
      <c r="FU225">
        <f t="shared" si="511"/>
        <v>0</v>
      </c>
      <c r="FV225">
        <f t="shared" si="512"/>
        <v>0</v>
      </c>
      <c r="FW225">
        <v>0</v>
      </c>
      <c r="FX225">
        <f t="shared" si="513"/>
        <v>0</v>
      </c>
      <c r="FY225" t="b">
        <f t="shared" si="514"/>
        <v>0</v>
      </c>
      <c r="FZ225">
        <f t="shared" ca="1" si="515"/>
        <v>2177</v>
      </c>
      <c r="GA225">
        <f t="shared" ca="1" si="516"/>
        <v>474021</v>
      </c>
      <c r="GB225">
        <f t="shared" si="517"/>
        <v>75000</v>
      </c>
      <c r="GC225">
        <f t="shared" ca="1" si="518"/>
        <v>399021</v>
      </c>
      <c r="GD225">
        <f t="shared" ca="1" si="519"/>
        <v>0</v>
      </c>
      <c r="GE225">
        <f t="shared" ca="1" si="520"/>
        <v>0</v>
      </c>
      <c r="GF225">
        <f t="shared" ca="1" si="521"/>
        <v>0</v>
      </c>
      <c r="GG225">
        <f t="shared" ca="1" si="522"/>
        <v>0</v>
      </c>
      <c r="GH225">
        <f t="shared" ca="1" si="523"/>
        <v>0</v>
      </c>
      <c r="GI225">
        <f t="shared" ca="1" si="524"/>
        <v>0</v>
      </c>
      <c r="GJ225">
        <f ca="1">IF(GC225&gt;1200000,GC225-1200000-IF(F225="YES",50000,0)-GH225,0)</f>
        <v>0</v>
      </c>
      <c r="GK225">
        <f t="shared" ca="1" si="525"/>
        <v>0</v>
      </c>
      <c r="GL225">
        <f t="shared" ca="1" si="526"/>
        <v>0</v>
      </c>
      <c r="GM225">
        <f t="shared" ca="1" si="527"/>
        <v>0</v>
      </c>
      <c r="GN225">
        <f t="shared" ca="1" si="528"/>
        <v>0</v>
      </c>
      <c r="GO225">
        <f t="shared" ca="1" si="529"/>
        <v>0</v>
      </c>
      <c r="GP225">
        <f t="shared" ca="1" si="530"/>
        <v>0</v>
      </c>
      <c r="GQ225">
        <f t="shared" ca="1" si="531"/>
        <v>0</v>
      </c>
      <c r="GR225">
        <f t="shared" ca="1" si="532"/>
        <v>0</v>
      </c>
      <c r="GS225">
        <f t="shared" ca="1" si="533"/>
        <v>0</v>
      </c>
      <c r="GT225">
        <f t="shared" ca="1" si="534"/>
        <v>0</v>
      </c>
      <c r="GU225" t="b">
        <f t="shared" ca="1" si="535"/>
        <v>0</v>
      </c>
      <c r="GV225">
        <f t="shared" ca="1" si="536"/>
        <v>0</v>
      </c>
      <c r="GW225">
        <f t="shared" ca="1" si="537"/>
        <v>0</v>
      </c>
      <c r="GX225">
        <f t="shared" ca="1" si="538"/>
        <v>0</v>
      </c>
      <c r="GY225">
        <f t="shared" ca="1" si="539"/>
        <v>0</v>
      </c>
      <c r="GZ225">
        <f t="shared" ca="1" si="540"/>
        <v>0</v>
      </c>
    </row>
    <row r="226" spans="1:208" x14ac:dyDescent="0.25">
      <c r="A226">
        <f>_xlfn.AGGREGATE(3,5,$B$2:B226)</f>
        <v>225</v>
      </c>
      <c r="B226" t="s">
        <v>556</v>
      </c>
      <c r="C226" t="s">
        <v>557</v>
      </c>
      <c r="D226" t="s">
        <v>807</v>
      </c>
      <c r="E226" t="s">
        <v>831</v>
      </c>
      <c r="F226" t="s">
        <v>957</v>
      </c>
      <c r="G226" t="s">
        <v>946</v>
      </c>
      <c r="H226">
        <f t="shared" si="542"/>
        <v>6800</v>
      </c>
      <c r="I226">
        <f>_xlfn.XLOOKUP(B226,'[1]march-2025'!$A:$A,'[1]march-2025'!$J:$J,0,0)</f>
        <v>0</v>
      </c>
      <c r="J226">
        <f>_xlfn.XLOOKUP(B226,'[1]march-2025'!$A:$A,'[1]march-2025'!$C:$C,0,0)</f>
        <v>35500</v>
      </c>
      <c r="K226">
        <f t="shared" si="457"/>
        <v>4970.0000000000009</v>
      </c>
      <c r="L226">
        <f t="shared" si="458"/>
        <v>4260</v>
      </c>
      <c r="M226">
        <f>_xlfn.XLOOKUP(B226,'[1]march-2025'!$A:$A,'[1]march-2025'!$D:$D,0,0)</f>
        <v>400</v>
      </c>
      <c r="N226">
        <f>_xlfn.XLOOKUP(B226,'[1]march-2025'!$A:$A,'[1]march-2025'!$G:$G,0,0)</f>
        <v>0</v>
      </c>
      <c r="O226">
        <f>IF(J226&gt;0,SUM(J226:N226),0)</f>
        <v>45130</v>
      </c>
      <c r="P226">
        <f>_xlfn.XLOOKUP(B226,'[1]march-2025'!$A:$A,'[1]march-2025'!$H:$H,0,0)</f>
        <v>5000</v>
      </c>
      <c r="Q226">
        <f>_xlfn.XLOOKUP(B226,'[1]march-2025'!$A:$A,'[1]march-2025'!$I:$I,0,0)</f>
        <v>0</v>
      </c>
      <c r="R226">
        <f t="shared" si="541"/>
        <v>200</v>
      </c>
      <c r="S226">
        <f t="shared" si="451"/>
        <v>39930</v>
      </c>
      <c r="T226">
        <f>_xlfn.XLOOKUP(B226,'[2]april-2025'!$A:$A,'[2]april-2025'!$C:$C,0,0)</f>
        <v>35500</v>
      </c>
      <c r="U226">
        <f t="shared" si="459"/>
        <v>6390</v>
      </c>
      <c r="V226">
        <f t="shared" si="460"/>
        <v>4260</v>
      </c>
      <c r="W226">
        <f>_xlfn.XLOOKUP(B226,'[2]april-2025'!$A:$A,'[2]april-2025'!$D:$D,0,0)</f>
        <v>400</v>
      </c>
      <c r="X226">
        <f>_xlfn.XLOOKUP(B226,'[2]april-2025'!$A:$A,'[2]april-2025'!$G:$G,0,0)</f>
        <v>0</v>
      </c>
      <c r="Y226">
        <f t="shared" si="452"/>
        <v>46550</v>
      </c>
      <c r="Z226">
        <f>_xlfn.XLOOKUP(B226,'[2]april-2025'!$A:$A,'[2]april-2025'!$H:$H,0,0)</f>
        <v>5000</v>
      </c>
      <c r="AA226">
        <f>_xlfn.XLOOKUP(B226,'[2]april-2025'!$A:$A,'[2]april-2025'!$I:$I,0,0)</f>
        <v>0</v>
      </c>
      <c r="AB226">
        <f t="shared" si="461"/>
        <v>200</v>
      </c>
      <c r="AC226">
        <f t="shared" si="462"/>
        <v>41350</v>
      </c>
      <c r="AD226">
        <f>_xlfn.XLOOKUP(B226,'[3]may-2025'!$A:$A,'[3]may-2025'!$C:$C,0,0)</f>
        <v>35500</v>
      </c>
      <c r="AE226">
        <f t="shared" si="463"/>
        <v>6390</v>
      </c>
      <c r="AF226">
        <f t="shared" si="464"/>
        <v>4260</v>
      </c>
      <c r="AG226">
        <f>_xlfn.XLOOKUP(B226,'[3]may-2025'!$A:$A,'[3]may-2025'!$D:$D,0,0)</f>
        <v>400</v>
      </c>
      <c r="AH226">
        <f>_xlfn.XLOOKUP(B226,'[3]may-2025'!$A:$A,'[3]may-2025'!$G:$G,0,0)</f>
        <v>0</v>
      </c>
      <c r="AI226">
        <f t="shared" si="453"/>
        <v>46550</v>
      </c>
      <c r="AJ226">
        <f>_xlfn.XLOOKUP(B226,'[3]may-2025'!$A:$A,'[3]may-2025'!$H:$H,0,0)</f>
        <v>5000</v>
      </c>
      <c r="AK226">
        <f>_xlfn.XLOOKUP(B226,'[3]may-2025'!$A:$A,'[3]may-2025'!$I:$I,0,0)</f>
        <v>0</v>
      </c>
      <c r="AL226">
        <f t="shared" si="465"/>
        <v>200</v>
      </c>
      <c r="AM226">
        <f t="shared" si="466"/>
        <v>41350</v>
      </c>
      <c r="AN226">
        <f>_xlfn.XLOOKUP(B226,'[4]june-2025'!$A:$A,'[4]june-2025'!$C:$C,0,0)</f>
        <v>35500</v>
      </c>
      <c r="AO226">
        <f t="shared" si="467"/>
        <v>6390</v>
      </c>
      <c r="AP226">
        <f t="shared" si="468"/>
        <v>4260</v>
      </c>
      <c r="AQ226">
        <f>_xlfn.XLOOKUP(B226,'[4]june-2025'!$A:$A,'[4]june-2025'!$D:$D,0,0)</f>
        <v>400</v>
      </c>
      <c r="AR226">
        <f>_xlfn.XLOOKUP(B226,'[4]june-2025'!$A:$A,'[4]june-2025'!$G:$G,0,0)</f>
        <v>0</v>
      </c>
      <c r="AS226">
        <f t="shared" si="454"/>
        <v>46550</v>
      </c>
      <c r="AT226">
        <f>_xlfn.XLOOKUP(B226,'[4]june-2025'!$A:$A,'[4]june-2025'!$H:$H,0,0)</f>
        <v>5000</v>
      </c>
      <c r="AU226">
        <f>_xlfn.XLOOKUP(B226,'[4]june-2025'!$A:$A,'[4]june-2025'!$I:$I,0,0)</f>
        <v>0</v>
      </c>
      <c r="AV226">
        <f t="shared" si="469"/>
        <v>200</v>
      </c>
      <c r="AW226">
        <f t="shared" si="470"/>
        <v>41350</v>
      </c>
      <c r="AX226">
        <f>_xlfn.XLOOKUP(B226,'[5]july-2025'!$A:$A,'[5]july-2025'!$C:$C,0,0)</f>
        <v>36600</v>
      </c>
      <c r="AY226">
        <f t="shared" si="471"/>
        <v>6588</v>
      </c>
      <c r="AZ226">
        <v>0</v>
      </c>
      <c r="BA226">
        <f t="shared" si="472"/>
        <v>4392</v>
      </c>
      <c r="BB226">
        <f>_xlfn.XLOOKUP(B226,'[5]july-2025'!$A:$A,'[5]july-2025'!$D:$D,0,0)</f>
        <v>400</v>
      </c>
      <c r="BC226">
        <f>_xlfn.XLOOKUP(B226,'[5]july-2025'!$A:$A,'[5]july-2025'!$G:$G,0,0)</f>
        <v>0</v>
      </c>
      <c r="BD226">
        <f>IF(AX226&gt;0,SUM(AX226:BC226),0)</f>
        <v>47980</v>
      </c>
      <c r="BE226">
        <f>_xlfn.XLOOKUP(B226,'[5]july-2025'!$A:$A,'[5]july-2025'!$H:$H,0,0)</f>
        <v>5000</v>
      </c>
      <c r="BF226">
        <f>_xlfn.XLOOKUP(B226,'[5]july-2025'!$A:$A,'[5]july-2025'!$I:$I,0,0)</f>
        <v>0</v>
      </c>
      <c r="BG226">
        <f t="shared" si="473"/>
        <v>200</v>
      </c>
      <c r="BH226">
        <f t="shared" si="474"/>
        <v>42780</v>
      </c>
      <c r="BI226">
        <f>_xlfn.XLOOKUP(B226,'[6]august-2025'!$A:$A,'[6]august-2025'!$C:$C,0,0)</f>
        <v>36600</v>
      </c>
      <c r="BJ226">
        <f t="shared" si="475"/>
        <v>6588</v>
      </c>
      <c r="BK226">
        <f t="shared" si="476"/>
        <v>4392</v>
      </c>
      <c r="BL226">
        <f>_xlfn.XLOOKUP(B226,'[6]august-2025'!$A:$A,'[6]august-2025'!$D:$D,0,0)</f>
        <v>400</v>
      </c>
      <c r="BM226">
        <f>_xlfn.XLOOKUP(B226,'[6]august-2025'!$A:$A,'[6]august-2025'!$G:$G,0,0)</f>
        <v>0</v>
      </c>
      <c r="BN226">
        <f t="shared" si="477"/>
        <v>47980</v>
      </c>
      <c r="BO226">
        <f>_xlfn.XLOOKUP(B226,'[6]august-2025'!$A:$A,'[6]august-2025'!$H:$H,0,0)</f>
        <v>5000</v>
      </c>
      <c r="BP226">
        <f>_xlfn.XLOOKUP(B226,'[6]august-2025'!$A:$A,'[6]august-2025'!$I:$I,0,0)</f>
        <v>0</v>
      </c>
      <c r="BQ226">
        <f>IF($F226="YES",0,IF(BN226&gt;40000,200,IF(BN226&gt;25000,150,IF(BN226&gt;15000,130,IF(BN226&gt;10000,110,0)))))</f>
        <v>200</v>
      </c>
      <c r="BR226">
        <f>BN226-BO226-BP226-BQ226</f>
        <v>42780</v>
      </c>
      <c r="BS226">
        <f>_xlfn.XLOOKUP(B226,'[7]september-2025'!$A:$A,'[7]september-2025'!$C:$C,0,0)</f>
        <v>36600</v>
      </c>
      <c r="BT226">
        <f t="shared" si="478"/>
        <v>6588</v>
      </c>
      <c r="BU226">
        <f t="shared" si="479"/>
        <v>4392</v>
      </c>
      <c r="BV226">
        <f>_xlfn.XLOOKUP(B226,'[7]september-2025'!$A:$A,'[7]september-2025'!$D:$D,0,0)</f>
        <v>400</v>
      </c>
      <c r="BW226">
        <f>_xlfn.XLOOKUP(B226,'[7]september-2025'!$A:$A,'[7]september-2025'!$G:$G,0,0)</f>
        <v>0</v>
      </c>
      <c r="BX226">
        <f>IF(BS226&gt;0,SUM(BS226:BW226),0)</f>
        <v>47980</v>
      </c>
      <c r="BY226">
        <f>_xlfn.XLOOKUP(B226,'[7]september-2025'!$A:$A,'[7]september-2025'!$H:$H,0,0)</f>
        <v>5000</v>
      </c>
      <c r="BZ226">
        <f>_xlfn.XLOOKUP(B226,'[7]september-2025'!$A:$A,'[7]september-2025'!$I:$I,0,0)</f>
        <v>0</v>
      </c>
      <c r="CA226">
        <f t="shared" si="480"/>
        <v>200</v>
      </c>
      <c r="CB226">
        <f t="shared" si="481"/>
        <v>42780</v>
      </c>
      <c r="CC226">
        <f>_xlfn.XLOOKUP(B226,'[8]october-2025'!$A:$A,'[8]october-2025'!$C:$C,0,0)</f>
        <v>36600</v>
      </c>
      <c r="CD226">
        <f t="shared" si="482"/>
        <v>6588</v>
      </c>
      <c r="CE226">
        <f t="shared" si="483"/>
        <v>4392</v>
      </c>
      <c r="CF226">
        <f>_xlfn.XLOOKUP(B226,'[8]october-2025'!$A:$A,'[8]october-2025'!$D:$D,0,0)</f>
        <v>400</v>
      </c>
      <c r="CG226">
        <f>_xlfn.XLOOKUP(B226,'[8]october-2025'!$A:$A,'[8]october-2025'!$G:$G,0,0)</f>
        <v>0</v>
      </c>
      <c r="CH226">
        <f>IF(CC226&gt;0,SUM(CC226:CG226),0)</f>
        <v>47980</v>
      </c>
      <c r="CI226">
        <f>_xlfn.XLOOKUP(B226,'[8]october-2025'!$A:$A,'[8]october-2025'!$H:$H,0,0)</f>
        <v>5000</v>
      </c>
      <c r="CJ226">
        <f>_xlfn.XLOOKUP(B226,'[8]october-2025'!$A:$A,'[8]october-2025'!$I:$I,0,0)</f>
        <v>0</v>
      </c>
      <c r="CK226">
        <f t="shared" si="484"/>
        <v>200</v>
      </c>
      <c r="CL226">
        <f t="shared" si="485"/>
        <v>42780</v>
      </c>
      <c r="CM226">
        <f>_xlfn.XLOOKUP(B226,'[9]november-2025'!$A:$A,'[9]november-2025'!$C:$C,0,0)</f>
        <v>36600</v>
      </c>
      <c r="CN226">
        <f t="shared" si="486"/>
        <v>6588</v>
      </c>
      <c r="CO226">
        <f t="shared" si="487"/>
        <v>4392</v>
      </c>
      <c r="CP226">
        <f>_xlfn.XLOOKUP(B226,'[9]november-2025'!$A:$A,'[9]november-2025'!$D:$D,0,0)</f>
        <v>400</v>
      </c>
      <c r="CQ226">
        <f>_xlfn.XLOOKUP(B226,'[9]november-2025'!$A:$A,'[9]november-2025'!$G:$G,0,0)</f>
        <v>0</v>
      </c>
      <c r="CR226">
        <f>IF(CM226&gt;0,SUM(CM226:CQ226),0)</f>
        <v>47980</v>
      </c>
      <c r="CS226">
        <f>_xlfn.XLOOKUP(B226,'[9]november-2025'!$A:$A,'[9]november-2025'!$H:$H,0,0)</f>
        <v>5000</v>
      </c>
      <c r="CT226">
        <f>_xlfn.XLOOKUP(B226,'[9]november-2025'!$A:$A,'[9]november-2025'!$I:$I,0,0)</f>
        <v>0</v>
      </c>
      <c r="CU226">
        <f t="shared" si="488"/>
        <v>200</v>
      </c>
      <c r="CV226">
        <f t="shared" si="489"/>
        <v>42780</v>
      </c>
      <c r="CW226">
        <f>_xlfn.XLOOKUP(B226,'[10]december-2025'!$A:$A,'[10]december-2025'!$C:$C,0,0)</f>
        <v>36600</v>
      </c>
      <c r="CX226">
        <f t="shared" si="490"/>
        <v>6588</v>
      </c>
      <c r="CY226">
        <f t="shared" si="491"/>
        <v>4392</v>
      </c>
      <c r="CZ226">
        <f>_xlfn.XLOOKUP(B226,'[10]december-2025'!$A:$A,'[10]december-2025'!$D:$D,0,0)</f>
        <v>400</v>
      </c>
      <c r="DA226">
        <f>_xlfn.XLOOKUP(B226,'[10]december-2025'!$A:$A,'[10]december-2025'!$G:$G,0,0)</f>
        <v>0</v>
      </c>
      <c r="DB226">
        <f>IF(CW226&gt;0,SUM(CW226:DA226),0)</f>
        <v>47980</v>
      </c>
      <c r="DC226">
        <f>_xlfn.XLOOKUP(B226,'[10]december-2025'!$A:$A,'[10]december-2025'!$H:$H,0,0)</f>
        <v>5000</v>
      </c>
      <c r="DD226">
        <f>_xlfn.XLOOKUP(B226,'[10]december-2025'!$A:$A,'[10]december-2025'!$I:$I,0,0)</f>
        <v>0</v>
      </c>
      <c r="DE226">
        <f t="shared" si="492"/>
        <v>200</v>
      </c>
      <c r="DF226">
        <f t="shared" si="493"/>
        <v>42780</v>
      </c>
      <c r="DG226">
        <f>_xlfn.XLOOKUP(B226,'[11]january-2026'!$A:$A,'[11]january-2026'!$C:$C,0,0)</f>
        <v>36600</v>
      </c>
      <c r="DH226">
        <f t="shared" si="494"/>
        <v>6588</v>
      </c>
      <c r="DI226">
        <f t="shared" si="495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>IF(DG226&gt;0,SUM(DG226:DK226),0)</f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496"/>
        <v>200</v>
      </c>
      <c r="DP226">
        <f t="shared" si="497"/>
        <v>42780</v>
      </c>
      <c r="DQ226">
        <f>_xlfn.XLOOKUP(B226,'[12]february-2026'!$A:$A,'[12]february-2026'!$C:$C,0,0)</f>
        <v>36600</v>
      </c>
      <c r="DR226">
        <f t="shared" si="498"/>
        <v>6588</v>
      </c>
      <c r="DS226">
        <f t="shared" si="499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>IF(DQ226&gt;0,SUM(DQ226:DU226),0)</f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00"/>
        <v>200</v>
      </c>
      <c r="DZ226">
        <f t="shared" si="501"/>
        <v>42780</v>
      </c>
      <c r="EA226">
        <f>_xlfn.XLOOKUP(B226,'[1]march-2025'!$A:$A,'[1]march-2025'!$J:$J,0,0)</f>
        <v>0</v>
      </c>
      <c r="EB226">
        <f>_xlfn.XLOOKUP(B226,'[2]april-2025'!$A:$A,'[2]april-2025'!$J:$J,0,0)</f>
        <v>0</v>
      </c>
      <c r="EC226">
        <f>_xlfn.XLOOKUP(B226,'[3]may-2025'!$A:$A,'[3]may-2025'!$J:$J,0,0)</f>
        <v>0</v>
      </c>
      <c r="ED226">
        <f>_xlfn.XLOOKUP(B226,'[4]june-2025'!$A:$A,'[4]june-2025'!$J:$J,0,0)</f>
        <v>0</v>
      </c>
      <c r="EE226">
        <f>_xlfn.XLOOKUP(B226,'[5]july-2025'!$A:$A,'[5]july-2025'!$J:$J,0,0)</f>
        <v>0</v>
      </c>
      <c r="EF226">
        <f>_xlfn.XLOOKUP(B226,'[6]august-2025'!$A:$A,'[6]august-2025'!$J:$J,0,0)</f>
        <v>0</v>
      </c>
      <c r="EG226">
        <f>_xlfn.XLOOKUP(B226,'[7]september-2025'!$A:$A,'[7]september-2025'!$J:$J,0,0)</f>
        <v>0</v>
      </c>
      <c r="EH226">
        <f>_xlfn.XLOOKUP(B226,'[8]october-2025'!$A:$A,'[8]october-2025'!$J:$J,0,0)</f>
        <v>0</v>
      </c>
      <c r="EI226">
        <f>_xlfn.XLOOKUP(C226,'[9]november-2025'!$A:$A,'[9]november-2025'!$J:$J,0,0)</f>
        <v>0</v>
      </c>
      <c r="EJ226">
        <f>_xlfn.XLOOKUP(B226,'[10]december-2025'!$A:$A,'[10]december-2025'!$J:$J,0,0)</f>
        <v>0</v>
      </c>
      <c r="EK226">
        <f>_xlfn.XLOOKUP(B226,'[11]january-2026'!$A:$A,'[11]january-2026'!$J:$J,0,0)</f>
        <v>0</v>
      </c>
      <c r="EL226">
        <f>_xlfn.XLOOKUP(B226,'[12]february-2026'!$A:$A,'[12]february-2026'!$J:$J,0,0)</f>
        <v>0</v>
      </c>
      <c r="EM226">
        <f t="shared" si="455"/>
        <v>0</v>
      </c>
      <c r="EN226">
        <f>DV226+DL226+DB226+CR226+CH226+BX226+BN226+BD226+AS226+AI226+Y226+O226+H226+I226</f>
        <v>575420</v>
      </c>
      <c r="EO226">
        <f>DY226+DO226+DE226+CU226+CK226+CA226+BQ226+BG226+AV226+AL226+AB226+R226</f>
        <v>2400</v>
      </c>
      <c r="EP226">
        <f t="shared" si="502"/>
        <v>50000</v>
      </c>
      <c r="EQ226">
        <v>0</v>
      </c>
      <c r="ER226">
        <f t="shared" si="456"/>
        <v>523020</v>
      </c>
      <c r="ES226">
        <f>DW226+DM226+DC226+CS226+CI226+BY226+BO226+BE226+AT226+AJ226+Z226+P226</f>
        <v>60000</v>
      </c>
      <c r="ET226">
        <f>DX226+DN226+DD226+CT226+CJ226+BZ226+BP226+BF226+AU226+AK226+AA226+Q226</f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503"/>
        <v>60000</v>
      </c>
      <c r="FF226">
        <f t="shared" si="504"/>
        <v>60000</v>
      </c>
      <c r="FG226">
        <f t="shared" si="505"/>
        <v>463020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>SUM(FH226:FN226)+(IF(F226="YES",50000,0))</f>
        <v>0</v>
      </c>
      <c r="FP226">
        <f t="shared" si="506"/>
        <v>463020</v>
      </c>
      <c r="FQ226">
        <f t="shared" si="507"/>
        <v>10651</v>
      </c>
      <c r="FR226">
        <f t="shared" si="508"/>
        <v>0</v>
      </c>
      <c r="FS226">
        <f t="shared" si="509"/>
        <v>10651</v>
      </c>
      <c r="FT226">
        <f t="shared" si="510"/>
        <v>0</v>
      </c>
      <c r="FU226">
        <f t="shared" si="511"/>
        <v>0</v>
      </c>
      <c r="FV226">
        <f t="shared" si="512"/>
        <v>0</v>
      </c>
      <c r="FW226">
        <v>0</v>
      </c>
      <c r="FX226">
        <f t="shared" si="513"/>
        <v>0</v>
      </c>
      <c r="FY226" t="b">
        <f t="shared" si="514"/>
        <v>1</v>
      </c>
      <c r="FZ226">
        <f t="shared" ca="1" si="515"/>
        <v>829</v>
      </c>
      <c r="GA226">
        <f t="shared" ca="1" si="516"/>
        <v>576249</v>
      </c>
      <c r="GB226">
        <f t="shared" si="517"/>
        <v>75000</v>
      </c>
      <c r="GC226">
        <f t="shared" ca="1" si="518"/>
        <v>501249</v>
      </c>
      <c r="GD226">
        <f t="shared" ca="1" si="519"/>
        <v>0</v>
      </c>
      <c r="GE226">
        <f t="shared" ca="1" si="520"/>
        <v>0</v>
      </c>
      <c r="GF226">
        <f t="shared" ca="1" si="521"/>
        <v>0</v>
      </c>
      <c r="GG226">
        <f t="shared" ca="1" si="522"/>
        <v>0</v>
      </c>
      <c r="GH226">
        <f t="shared" ca="1" si="523"/>
        <v>0</v>
      </c>
      <c r="GI226">
        <f t="shared" ca="1" si="524"/>
        <v>0</v>
      </c>
      <c r="GJ226">
        <f ca="1">IF(GC226&gt;1200000,GC226-1200000-IF(F226="YES",50000,0)-GH226,0)</f>
        <v>0</v>
      </c>
      <c r="GK226">
        <f t="shared" ca="1" si="525"/>
        <v>0</v>
      </c>
      <c r="GL226">
        <f t="shared" ca="1" si="526"/>
        <v>0</v>
      </c>
      <c r="GM226">
        <f t="shared" ca="1" si="527"/>
        <v>0</v>
      </c>
      <c r="GN226">
        <f t="shared" ca="1" si="528"/>
        <v>101249</v>
      </c>
      <c r="GO226">
        <f t="shared" ca="1" si="529"/>
        <v>5062.4500000000007</v>
      </c>
      <c r="GP226">
        <f t="shared" ca="1" si="530"/>
        <v>5062</v>
      </c>
      <c r="GQ226">
        <f t="shared" ca="1" si="531"/>
        <v>0</v>
      </c>
      <c r="GR226">
        <f t="shared" ca="1" si="532"/>
        <v>0</v>
      </c>
      <c r="GS226">
        <f t="shared" ca="1" si="533"/>
        <v>5062</v>
      </c>
      <c r="GT226">
        <f t="shared" ca="1" si="534"/>
        <v>0</v>
      </c>
      <c r="GU226" t="b">
        <f t="shared" ca="1" si="535"/>
        <v>0</v>
      </c>
      <c r="GV226">
        <f t="shared" ca="1" si="536"/>
        <v>0</v>
      </c>
      <c r="GW226">
        <f t="shared" ca="1" si="537"/>
        <v>5062</v>
      </c>
      <c r="GX226">
        <f t="shared" ca="1" si="538"/>
        <v>0</v>
      </c>
      <c r="GY226">
        <f t="shared" ca="1" si="539"/>
        <v>0</v>
      </c>
      <c r="GZ226">
        <f t="shared" ca="1" si="540"/>
        <v>0</v>
      </c>
    </row>
    <row r="227" spans="1:208" x14ac:dyDescent="0.25">
      <c r="A227">
        <f>_xlfn.AGGREGATE(3,5,$B$2:B227)</f>
        <v>226</v>
      </c>
      <c r="B227" t="s">
        <v>558</v>
      </c>
      <c r="C227" t="s">
        <v>559</v>
      </c>
      <c r="D227" t="s">
        <v>807</v>
      </c>
      <c r="E227" t="s">
        <v>831</v>
      </c>
      <c r="F227" t="s">
        <v>957</v>
      </c>
      <c r="G227" t="s">
        <v>902</v>
      </c>
      <c r="H227">
        <f t="shared" si="542"/>
        <v>6800</v>
      </c>
      <c r="I227">
        <f>_xlfn.XLOOKUP(B227,'[1]march-2025'!$A:$A,'[1]march-2025'!$J:$J,0,0)</f>
        <v>0</v>
      </c>
      <c r="J227">
        <f>_xlfn.XLOOKUP(B227,'[1]march-2025'!$A:$A,'[1]march-2025'!$C:$C,0,0)</f>
        <v>33500</v>
      </c>
      <c r="K227">
        <f t="shared" si="457"/>
        <v>4690</v>
      </c>
      <c r="L227">
        <f t="shared" si="458"/>
        <v>4020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>IF(J227&gt;0,SUM(J227:N227),0)</f>
        <v>42710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541"/>
        <v>200</v>
      </c>
      <c r="S227">
        <f t="shared" si="451"/>
        <v>39510</v>
      </c>
      <c r="T227">
        <f>_xlfn.XLOOKUP(B227,'[2]april-2025'!$A:$A,'[2]april-2025'!$C:$C,0,0)</f>
        <v>33500</v>
      </c>
      <c r="U227">
        <f t="shared" si="459"/>
        <v>6030</v>
      </c>
      <c r="V227">
        <f t="shared" si="460"/>
        <v>4020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452"/>
        <v>44050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461"/>
        <v>200</v>
      </c>
      <c r="AC227">
        <f t="shared" si="462"/>
        <v>40850</v>
      </c>
      <c r="AD227">
        <f>_xlfn.XLOOKUP(B227,'[3]may-2025'!$A:$A,'[3]may-2025'!$C:$C,0,0)</f>
        <v>33500</v>
      </c>
      <c r="AE227">
        <f t="shared" si="463"/>
        <v>6030</v>
      </c>
      <c r="AF227">
        <f t="shared" si="464"/>
        <v>4020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453"/>
        <v>44050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465"/>
        <v>200</v>
      </c>
      <c r="AM227">
        <f t="shared" si="466"/>
        <v>40850</v>
      </c>
      <c r="AN227">
        <f>_xlfn.XLOOKUP(B227,'[4]june-2025'!$A:$A,'[4]june-2025'!$C:$C,0,0)</f>
        <v>33500</v>
      </c>
      <c r="AO227">
        <f t="shared" si="467"/>
        <v>6030</v>
      </c>
      <c r="AP227">
        <f t="shared" si="468"/>
        <v>4020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454"/>
        <v>44050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469"/>
        <v>200</v>
      </c>
      <c r="AW227">
        <f t="shared" si="470"/>
        <v>40850</v>
      </c>
      <c r="AX227">
        <f>_xlfn.XLOOKUP(B227,'[5]july-2025'!$A:$A,'[5]july-2025'!$C:$C,0,0)</f>
        <v>35500</v>
      </c>
      <c r="AY227">
        <f t="shared" si="471"/>
        <v>6390</v>
      </c>
      <c r="AZ227">
        <v>0</v>
      </c>
      <c r="BA227">
        <f t="shared" si="472"/>
        <v>4260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>IF(AX227&gt;0,SUM(AX227:BC227),0)</f>
        <v>46650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473"/>
        <v>200</v>
      </c>
      <c r="BH227">
        <f t="shared" si="474"/>
        <v>43450</v>
      </c>
      <c r="BI227">
        <f>_xlfn.XLOOKUP(B227,'[6]august-2025'!$A:$A,'[6]august-2025'!$C:$C,0,0)</f>
        <v>35500</v>
      </c>
      <c r="BJ227">
        <f t="shared" si="475"/>
        <v>6390</v>
      </c>
      <c r="BK227">
        <f t="shared" si="476"/>
        <v>4260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477"/>
        <v>46650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>IF($F227="YES",0,IF(BN227&gt;40000,200,IF(BN227&gt;25000,150,IF(BN227&gt;15000,130,IF(BN227&gt;10000,110,0)))))</f>
        <v>200</v>
      </c>
      <c r="BR227">
        <f>BN227-BO227-BP227-BQ227</f>
        <v>43450</v>
      </c>
      <c r="BS227">
        <f>_xlfn.XLOOKUP(B227,'[7]september-2025'!$A:$A,'[7]september-2025'!$C:$C,0,0)</f>
        <v>35500</v>
      </c>
      <c r="BT227">
        <f t="shared" si="478"/>
        <v>6390</v>
      </c>
      <c r="BU227">
        <f t="shared" si="479"/>
        <v>4260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>IF(BS227&gt;0,SUM(BS227:BW227),0)</f>
        <v>46650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480"/>
        <v>200</v>
      </c>
      <c r="CB227">
        <f t="shared" si="481"/>
        <v>43450</v>
      </c>
      <c r="CC227">
        <f>_xlfn.XLOOKUP(B227,'[8]october-2025'!$A:$A,'[8]october-2025'!$C:$C,0,0)</f>
        <v>35500</v>
      </c>
      <c r="CD227">
        <f t="shared" si="482"/>
        <v>6390</v>
      </c>
      <c r="CE227">
        <f t="shared" si="483"/>
        <v>4260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>IF(CC227&gt;0,SUM(CC227:CG227),0)</f>
        <v>46650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484"/>
        <v>200</v>
      </c>
      <c r="CL227">
        <f t="shared" si="485"/>
        <v>43450</v>
      </c>
      <c r="CM227">
        <f>_xlfn.XLOOKUP(B227,'[9]november-2025'!$A:$A,'[9]november-2025'!$C:$C,0,0)</f>
        <v>35500</v>
      </c>
      <c r="CN227">
        <f t="shared" si="486"/>
        <v>6390</v>
      </c>
      <c r="CO227">
        <f t="shared" si="487"/>
        <v>4260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>IF(CM227&gt;0,SUM(CM227:CQ227),0)</f>
        <v>46650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488"/>
        <v>200</v>
      </c>
      <c r="CV227">
        <f t="shared" si="489"/>
        <v>43450</v>
      </c>
      <c r="CW227">
        <f>_xlfn.XLOOKUP(B227,'[10]december-2025'!$A:$A,'[10]december-2025'!$C:$C,0,0)</f>
        <v>35500</v>
      </c>
      <c r="CX227">
        <f t="shared" si="490"/>
        <v>6390</v>
      </c>
      <c r="CY227">
        <f t="shared" si="491"/>
        <v>4260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>IF(CW227&gt;0,SUM(CW227:DA227),0)</f>
        <v>46650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492"/>
        <v>200</v>
      </c>
      <c r="DF227">
        <f t="shared" si="493"/>
        <v>43450</v>
      </c>
      <c r="DG227">
        <f>_xlfn.XLOOKUP(B227,'[11]january-2026'!$A:$A,'[11]january-2026'!$C:$C,0,0)</f>
        <v>35500</v>
      </c>
      <c r="DH227">
        <f t="shared" si="494"/>
        <v>6390</v>
      </c>
      <c r="DI227">
        <f t="shared" si="495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>IF(DG227&gt;0,SUM(DG227:DK227),0)</f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496"/>
        <v>200</v>
      </c>
      <c r="DP227">
        <f t="shared" si="497"/>
        <v>43450</v>
      </c>
      <c r="DQ227">
        <f>_xlfn.XLOOKUP(B227,'[12]february-2026'!$A:$A,'[12]february-2026'!$C:$C,0,0)</f>
        <v>35500</v>
      </c>
      <c r="DR227">
        <f t="shared" si="498"/>
        <v>6390</v>
      </c>
      <c r="DS227">
        <f t="shared" si="499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>IF(DQ227&gt;0,SUM(DQ227:DU227),0)</f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00"/>
        <v>200</v>
      </c>
      <c r="DZ227">
        <f t="shared" si="501"/>
        <v>43450</v>
      </c>
      <c r="EA227">
        <f>_xlfn.XLOOKUP(B227,'[1]march-2025'!$A:$A,'[1]march-2025'!$J:$J,0,0)</f>
        <v>0</v>
      </c>
      <c r="EB227">
        <f>_xlfn.XLOOKUP(B227,'[2]april-2025'!$A:$A,'[2]april-2025'!$J:$J,0,0)</f>
        <v>0</v>
      </c>
      <c r="EC227">
        <f>_xlfn.XLOOKUP(B227,'[3]may-2025'!$A:$A,'[3]may-2025'!$J:$J,0,0)</f>
        <v>0</v>
      </c>
      <c r="ED227">
        <f>_xlfn.XLOOKUP(B227,'[4]june-2025'!$A:$A,'[4]june-2025'!$J:$J,0,0)</f>
        <v>0</v>
      </c>
      <c r="EE227">
        <f>_xlfn.XLOOKUP(B227,'[5]july-2025'!$A:$A,'[5]july-2025'!$J:$J,0,0)</f>
        <v>0</v>
      </c>
      <c r="EF227">
        <f>_xlfn.XLOOKUP(B227,'[6]august-2025'!$A:$A,'[6]august-2025'!$J:$J,0,0)</f>
        <v>0</v>
      </c>
      <c r="EG227">
        <f>_xlfn.XLOOKUP(B227,'[7]september-2025'!$A:$A,'[7]september-2025'!$J:$J,0,0)</f>
        <v>0</v>
      </c>
      <c r="EH227">
        <f>_xlfn.XLOOKUP(B227,'[8]october-2025'!$A:$A,'[8]october-2025'!$J:$J,0,0)</f>
        <v>0</v>
      </c>
      <c r="EI227">
        <f>_xlfn.XLOOKUP(C227,'[9]november-2025'!$A:$A,'[9]november-2025'!$J:$J,0,0)</f>
        <v>0</v>
      </c>
      <c r="EJ227">
        <f>_xlfn.XLOOKUP(B227,'[10]december-2025'!$A:$A,'[10]december-2025'!$J:$J,0,0)</f>
        <v>0</v>
      </c>
      <c r="EK227">
        <f>_xlfn.XLOOKUP(B227,'[11]january-2026'!$A:$A,'[11]january-2026'!$J:$J,0,0)</f>
        <v>0</v>
      </c>
      <c r="EL227">
        <f>_xlfn.XLOOKUP(B227,'[12]february-2026'!$A:$A,'[12]february-2026'!$J:$J,0,0)</f>
        <v>0</v>
      </c>
      <c r="EM227">
        <f t="shared" si="455"/>
        <v>0</v>
      </c>
      <c r="EN227">
        <f>DV227+DL227+DB227+CR227+CH227+BX227+BN227+BD227+AS227+AI227+Y227+O227+H227+I227</f>
        <v>554860</v>
      </c>
      <c r="EO227">
        <f>DY227+DO227+DE227+CU227+CK227+CA227+BQ227+BG227+AV227+AL227+AB227+R227</f>
        <v>2400</v>
      </c>
      <c r="EP227">
        <f t="shared" si="502"/>
        <v>50000</v>
      </c>
      <c r="EQ227">
        <v>0</v>
      </c>
      <c r="ER227">
        <f t="shared" si="456"/>
        <v>502460</v>
      </c>
      <c r="ES227">
        <f>DW227+DM227+DC227+CS227+CI227+BY227+BO227+BE227+AT227+AJ227+Z227+P227</f>
        <v>36000</v>
      </c>
      <c r="ET227">
        <f>DX227+DN227+DD227+CT227+CJ227+BZ227+BP227+BF227+AU227+AK227+AA227+Q227</f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503"/>
        <v>36000</v>
      </c>
      <c r="FF227">
        <f t="shared" si="504"/>
        <v>36000</v>
      </c>
      <c r="FG227">
        <f t="shared" si="505"/>
        <v>466460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>SUM(FH227:FN227)+(IF(F227="YES",50000,0))</f>
        <v>0</v>
      </c>
      <c r="FP227">
        <f t="shared" si="506"/>
        <v>466460</v>
      </c>
      <c r="FQ227">
        <f t="shared" si="507"/>
        <v>10823</v>
      </c>
      <c r="FR227">
        <f t="shared" si="508"/>
        <v>0</v>
      </c>
      <c r="FS227">
        <f t="shared" si="509"/>
        <v>10823</v>
      </c>
      <c r="FT227">
        <f t="shared" si="510"/>
        <v>0</v>
      </c>
      <c r="FU227">
        <f t="shared" si="511"/>
        <v>0</v>
      </c>
      <c r="FV227">
        <f t="shared" si="512"/>
        <v>0</v>
      </c>
      <c r="FW227">
        <v>0</v>
      </c>
      <c r="FX227">
        <f t="shared" si="513"/>
        <v>0</v>
      </c>
      <c r="FY227" t="b">
        <f t="shared" si="514"/>
        <v>1</v>
      </c>
      <c r="FZ227">
        <f t="shared" ca="1" si="515"/>
        <v>607</v>
      </c>
      <c r="GA227">
        <f t="shared" ca="1" si="516"/>
        <v>555467</v>
      </c>
      <c r="GB227">
        <f t="shared" si="517"/>
        <v>75000</v>
      </c>
      <c r="GC227">
        <f t="shared" ca="1" si="518"/>
        <v>480467</v>
      </c>
      <c r="GD227">
        <f t="shared" ca="1" si="519"/>
        <v>0</v>
      </c>
      <c r="GE227">
        <f t="shared" ca="1" si="520"/>
        <v>0</v>
      </c>
      <c r="GF227">
        <f t="shared" ca="1" si="521"/>
        <v>0</v>
      </c>
      <c r="GG227">
        <f t="shared" ca="1" si="522"/>
        <v>0</v>
      </c>
      <c r="GH227">
        <f t="shared" ca="1" si="523"/>
        <v>0</v>
      </c>
      <c r="GI227">
        <f t="shared" ca="1" si="524"/>
        <v>0</v>
      </c>
      <c r="GJ227">
        <f ca="1">IF(GC227&gt;1200000,GC227-1200000-IF(F227="YES",50000,0)-GH227,0)</f>
        <v>0</v>
      </c>
      <c r="GK227">
        <f t="shared" ca="1" si="525"/>
        <v>0</v>
      </c>
      <c r="GL227">
        <f t="shared" ca="1" si="526"/>
        <v>0</v>
      </c>
      <c r="GM227">
        <f t="shared" ca="1" si="527"/>
        <v>0</v>
      </c>
      <c r="GN227">
        <f t="shared" ca="1" si="528"/>
        <v>80467</v>
      </c>
      <c r="GO227">
        <f t="shared" ca="1" si="529"/>
        <v>4023.3500000000004</v>
      </c>
      <c r="GP227">
        <f t="shared" ca="1" si="530"/>
        <v>4023</v>
      </c>
      <c r="GQ227">
        <f t="shared" ca="1" si="531"/>
        <v>0</v>
      </c>
      <c r="GR227">
        <f t="shared" ca="1" si="532"/>
        <v>0</v>
      </c>
      <c r="GS227">
        <f t="shared" ca="1" si="533"/>
        <v>4023</v>
      </c>
      <c r="GT227">
        <f t="shared" ca="1" si="534"/>
        <v>0</v>
      </c>
      <c r="GU227" t="b">
        <f t="shared" ca="1" si="535"/>
        <v>0</v>
      </c>
      <c r="GV227">
        <f t="shared" ca="1" si="536"/>
        <v>0</v>
      </c>
      <c r="GW227">
        <f t="shared" ca="1" si="537"/>
        <v>4023</v>
      </c>
      <c r="GX227">
        <f t="shared" ca="1" si="538"/>
        <v>0</v>
      </c>
      <c r="GY227">
        <f t="shared" ca="1" si="539"/>
        <v>0</v>
      </c>
      <c r="GZ227">
        <f t="shared" ca="1" si="540"/>
        <v>0</v>
      </c>
    </row>
    <row r="228" spans="1:208" x14ac:dyDescent="0.25">
      <c r="A228">
        <f>_xlfn.AGGREGATE(3,5,$B$2:B228)</f>
        <v>227</v>
      </c>
      <c r="B228" t="s">
        <v>560</v>
      </c>
      <c r="C228" t="s">
        <v>561</v>
      </c>
      <c r="D228" t="s">
        <v>807</v>
      </c>
      <c r="E228" t="s">
        <v>831</v>
      </c>
      <c r="F228" t="s">
        <v>957</v>
      </c>
      <c r="G228" t="s">
        <v>947</v>
      </c>
      <c r="H228">
        <f t="shared" si="542"/>
        <v>6800</v>
      </c>
      <c r="I228">
        <f>_xlfn.XLOOKUP(B228,'[1]march-2025'!$A:$A,'[1]march-2025'!$J:$J,0,0)</f>
        <v>0</v>
      </c>
      <c r="J228">
        <f>_xlfn.XLOOKUP(B228,'[1]march-2025'!$A:$A,'[1]march-2025'!$C:$C,0,0)</f>
        <v>31600</v>
      </c>
      <c r="K228">
        <f t="shared" si="457"/>
        <v>4424</v>
      </c>
      <c r="L228">
        <f t="shared" si="458"/>
        <v>3792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>IF(J228&gt;0,SUM(J228:N228),0)</f>
        <v>40316</v>
      </c>
      <c r="P228">
        <f>_xlfn.XLOOKUP(B228,'[1]march-2025'!$A:$A,'[1]march-2025'!$H:$H,0,0)</f>
        <v>2000</v>
      </c>
      <c r="Q228">
        <f>_xlfn.XLOOKUP(B228,'[1]march-2025'!$A:$A,'[1]march-2025'!$I:$I,0,0)</f>
        <v>0</v>
      </c>
      <c r="R228">
        <f t="shared" si="541"/>
        <v>200</v>
      </c>
      <c r="S228">
        <f t="shared" si="451"/>
        <v>38116</v>
      </c>
      <c r="T228">
        <f>_xlfn.XLOOKUP(B228,'[2]april-2025'!$A:$A,'[2]april-2025'!$C:$C,0,0)</f>
        <v>31600</v>
      </c>
      <c r="U228">
        <f t="shared" si="459"/>
        <v>5688</v>
      </c>
      <c r="V228">
        <f t="shared" si="460"/>
        <v>3792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452"/>
        <v>41580</v>
      </c>
      <c r="Z228">
        <f>_xlfn.XLOOKUP(B228,'[2]april-2025'!$A:$A,'[2]april-2025'!$H:$H,0,0)</f>
        <v>2000</v>
      </c>
      <c r="AA228">
        <f>_xlfn.XLOOKUP(B228,'[2]april-2025'!$A:$A,'[2]april-2025'!$I:$I,0,0)</f>
        <v>0</v>
      </c>
      <c r="AB228">
        <f t="shared" si="461"/>
        <v>200</v>
      </c>
      <c r="AC228">
        <f t="shared" si="462"/>
        <v>39380</v>
      </c>
      <c r="AD228">
        <f>_xlfn.XLOOKUP(B228,'[3]may-2025'!$A:$A,'[3]may-2025'!$C:$C,0,0)</f>
        <v>31600</v>
      </c>
      <c r="AE228">
        <f t="shared" si="463"/>
        <v>5688</v>
      </c>
      <c r="AF228">
        <f t="shared" si="464"/>
        <v>3792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453"/>
        <v>41580</v>
      </c>
      <c r="AJ228">
        <f>_xlfn.XLOOKUP(B228,'[3]may-2025'!$A:$A,'[3]may-2025'!$H:$H,0,0)</f>
        <v>2000</v>
      </c>
      <c r="AK228">
        <f>_xlfn.XLOOKUP(B228,'[3]may-2025'!$A:$A,'[3]may-2025'!$I:$I,0,0)</f>
        <v>0</v>
      </c>
      <c r="AL228">
        <f t="shared" si="465"/>
        <v>200</v>
      </c>
      <c r="AM228">
        <f t="shared" si="466"/>
        <v>39380</v>
      </c>
      <c r="AN228">
        <f>_xlfn.XLOOKUP(B228,'[4]june-2025'!$A:$A,'[4]june-2025'!$C:$C,0,0)</f>
        <v>31600</v>
      </c>
      <c r="AO228">
        <f t="shared" si="467"/>
        <v>5688</v>
      </c>
      <c r="AP228">
        <f t="shared" si="468"/>
        <v>3792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454"/>
        <v>41580</v>
      </c>
      <c r="AT228">
        <f>_xlfn.XLOOKUP(B228,'[4]june-2025'!$A:$A,'[4]june-2025'!$H:$H,0,0)</f>
        <v>2000</v>
      </c>
      <c r="AU228">
        <f>_xlfn.XLOOKUP(B228,'[4]june-2025'!$A:$A,'[4]june-2025'!$I:$I,0,0)</f>
        <v>0</v>
      </c>
      <c r="AV228">
        <f t="shared" si="469"/>
        <v>200</v>
      </c>
      <c r="AW228">
        <f t="shared" si="470"/>
        <v>39380</v>
      </c>
      <c r="AX228">
        <f>_xlfn.XLOOKUP(B228,'[5]july-2025'!$A:$A,'[5]july-2025'!$C:$C,0,0)</f>
        <v>32500</v>
      </c>
      <c r="AY228">
        <f t="shared" si="471"/>
        <v>5850</v>
      </c>
      <c r="AZ228">
        <v>0</v>
      </c>
      <c r="BA228">
        <f t="shared" si="472"/>
        <v>3900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>IF(AX228&gt;0,SUM(AX228:BC228),0)</f>
        <v>42750</v>
      </c>
      <c r="BE228">
        <f>_xlfn.XLOOKUP(B228,'[5]july-2025'!$A:$A,'[5]july-2025'!$H:$H,0,0)</f>
        <v>2000</v>
      </c>
      <c r="BF228">
        <f>_xlfn.XLOOKUP(B228,'[5]july-2025'!$A:$A,'[5]july-2025'!$I:$I,0,0)</f>
        <v>0</v>
      </c>
      <c r="BG228">
        <f t="shared" si="473"/>
        <v>200</v>
      </c>
      <c r="BH228">
        <f t="shared" si="474"/>
        <v>40550</v>
      </c>
      <c r="BI228">
        <f>_xlfn.XLOOKUP(B228,'[6]august-2025'!$A:$A,'[6]august-2025'!$C:$C,0,0)</f>
        <v>32500</v>
      </c>
      <c r="BJ228">
        <f t="shared" si="475"/>
        <v>5850</v>
      </c>
      <c r="BK228">
        <f t="shared" si="476"/>
        <v>3900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477"/>
        <v>42750</v>
      </c>
      <c r="BO228">
        <f>_xlfn.XLOOKUP(B228,'[6]august-2025'!$A:$A,'[6]august-2025'!$H:$H,0,0)</f>
        <v>2000</v>
      </c>
      <c r="BP228">
        <f>_xlfn.XLOOKUP(B228,'[6]august-2025'!$A:$A,'[6]august-2025'!$I:$I,0,0)</f>
        <v>0</v>
      </c>
      <c r="BQ228">
        <f>IF($F228="YES",0,IF(BN228&gt;40000,200,IF(BN228&gt;25000,150,IF(BN228&gt;15000,130,IF(BN228&gt;10000,110,0)))))</f>
        <v>200</v>
      </c>
      <c r="BR228">
        <f>BN228-BO228-BP228-BQ228</f>
        <v>40550</v>
      </c>
      <c r="BS228">
        <f>_xlfn.XLOOKUP(B228,'[7]september-2025'!$A:$A,'[7]september-2025'!$C:$C,0,0)</f>
        <v>32500</v>
      </c>
      <c r="BT228">
        <f t="shared" si="478"/>
        <v>5850</v>
      </c>
      <c r="BU228">
        <f t="shared" si="479"/>
        <v>3900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>IF(BS228&gt;0,SUM(BS228:BW228),0)</f>
        <v>42750</v>
      </c>
      <c r="BY228">
        <f>_xlfn.XLOOKUP(B228,'[7]september-2025'!$A:$A,'[7]september-2025'!$H:$H,0,0)</f>
        <v>2000</v>
      </c>
      <c r="BZ228">
        <f>_xlfn.XLOOKUP(B228,'[7]september-2025'!$A:$A,'[7]september-2025'!$I:$I,0,0)</f>
        <v>0</v>
      </c>
      <c r="CA228">
        <f t="shared" si="480"/>
        <v>200</v>
      </c>
      <c r="CB228">
        <f t="shared" si="481"/>
        <v>40550</v>
      </c>
      <c r="CC228">
        <f>_xlfn.XLOOKUP(B228,'[8]october-2025'!$A:$A,'[8]october-2025'!$C:$C,0,0)</f>
        <v>32500</v>
      </c>
      <c r="CD228">
        <f t="shared" si="482"/>
        <v>5850</v>
      </c>
      <c r="CE228">
        <f t="shared" si="483"/>
        <v>3900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>IF(CC228&gt;0,SUM(CC228:CG228),0)</f>
        <v>42750</v>
      </c>
      <c r="CI228">
        <f>_xlfn.XLOOKUP(B228,'[8]october-2025'!$A:$A,'[8]october-2025'!$H:$H,0,0)</f>
        <v>2000</v>
      </c>
      <c r="CJ228">
        <f>_xlfn.XLOOKUP(B228,'[8]october-2025'!$A:$A,'[8]october-2025'!$I:$I,0,0)</f>
        <v>0</v>
      </c>
      <c r="CK228">
        <f t="shared" si="484"/>
        <v>200</v>
      </c>
      <c r="CL228">
        <f t="shared" si="485"/>
        <v>40550</v>
      </c>
      <c r="CM228">
        <f>_xlfn.XLOOKUP(B228,'[9]november-2025'!$A:$A,'[9]november-2025'!$C:$C,0,0)</f>
        <v>32500</v>
      </c>
      <c r="CN228">
        <f t="shared" si="486"/>
        <v>5850</v>
      </c>
      <c r="CO228">
        <f t="shared" si="487"/>
        <v>3900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>IF(CM228&gt;0,SUM(CM228:CQ228),0)</f>
        <v>42750</v>
      </c>
      <c r="CS228">
        <f>_xlfn.XLOOKUP(B228,'[9]november-2025'!$A:$A,'[9]november-2025'!$H:$H,0,0)</f>
        <v>2000</v>
      </c>
      <c r="CT228">
        <f>_xlfn.XLOOKUP(B228,'[9]november-2025'!$A:$A,'[9]november-2025'!$I:$I,0,0)</f>
        <v>0</v>
      </c>
      <c r="CU228">
        <f t="shared" si="488"/>
        <v>200</v>
      </c>
      <c r="CV228">
        <f t="shared" si="489"/>
        <v>40550</v>
      </c>
      <c r="CW228">
        <f>_xlfn.XLOOKUP(B228,'[10]december-2025'!$A:$A,'[10]december-2025'!$C:$C,0,0)</f>
        <v>32500</v>
      </c>
      <c r="CX228">
        <f t="shared" si="490"/>
        <v>5850</v>
      </c>
      <c r="CY228">
        <f t="shared" si="491"/>
        <v>3900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>IF(CW228&gt;0,SUM(CW228:DA228),0)</f>
        <v>42750</v>
      </c>
      <c r="DC228">
        <f>_xlfn.XLOOKUP(B228,'[10]december-2025'!$A:$A,'[10]december-2025'!$H:$H,0,0)</f>
        <v>2000</v>
      </c>
      <c r="DD228">
        <f>_xlfn.XLOOKUP(B228,'[10]december-2025'!$A:$A,'[10]december-2025'!$I:$I,0,0)</f>
        <v>0</v>
      </c>
      <c r="DE228">
        <f t="shared" si="492"/>
        <v>200</v>
      </c>
      <c r="DF228">
        <f t="shared" si="493"/>
        <v>40550</v>
      </c>
      <c r="DG228">
        <f>_xlfn.XLOOKUP(B228,'[11]january-2026'!$A:$A,'[11]january-2026'!$C:$C,0,0)</f>
        <v>32500</v>
      </c>
      <c r="DH228">
        <f t="shared" si="494"/>
        <v>5850</v>
      </c>
      <c r="DI228">
        <f t="shared" si="495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>IF(DG228&gt;0,SUM(DG228:DK228),0)</f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496"/>
        <v>200</v>
      </c>
      <c r="DP228">
        <f t="shared" si="497"/>
        <v>40550</v>
      </c>
      <c r="DQ228">
        <f>_xlfn.XLOOKUP(B228,'[12]february-2026'!$A:$A,'[12]february-2026'!$C:$C,0,0)</f>
        <v>32500</v>
      </c>
      <c r="DR228">
        <f t="shared" si="498"/>
        <v>5850</v>
      </c>
      <c r="DS228">
        <f t="shared" si="499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>IF(DQ228&gt;0,SUM(DQ228:DU228),0)</f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00"/>
        <v>200</v>
      </c>
      <c r="DZ228">
        <f t="shared" si="501"/>
        <v>40550</v>
      </c>
      <c r="EA228">
        <f>_xlfn.XLOOKUP(B228,'[1]march-2025'!$A:$A,'[1]march-2025'!$J:$J,0,0)</f>
        <v>0</v>
      </c>
      <c r="EB228">
        <f>_xlfn.XLOOKUP(B228,'[2]april-2025'!$A:$A,'[2]april-2025'!$J:$J,0,0)</f>
        <v>0</v>
      </c>
      <c r="EC228">
        <f>_xlfn.XLOOKUP(B228,'[3]may-2025'!$A:$A,'[3]may-2025'!$J:$J,0,0)</f>
        <v>0</v>
      </c>
      <c r="ED228">
        <f>_xlfn.XLOOKUP(B228,'[4]june-2025'!$A:$A,'[4]june-2025'!$J:$J,0,0)</f>
        <v>0</v>
      </c>
      <c r="EE228">
        <f>_xlfn.XLOOKUP(B228,'[5]july-2025'!$A:$A,'[5]july-2025'!$J:$J,0,0)</f>
        <v>0</v>
      </c>
      <c r="EF228">
        <f>_xlfn.XLOOKUP(B228,'[6]august-2025'!$A:$A,'[6]august-2025'!$J:$J,0,0)</f>
        <v>0</v>
      </c>
      <c r="EG228">
        <f>_xlfn.XLOOKUP(B228,'[7]september-2025'!$A:$A,'[7]september-2025'!$J:$J,0,0)</f>
        <v>0</v>
      </c>
      <c r="EH228">
        <f>_xlfn.XLOOKUP(B228,'[8]october-2025'!$A:$A,'[8]october-2025'!$J:$J,0,0)</f>
        <v>0</v>
      </c>
      <c r="EI228">
        <f>_xlfn.XLOOKUP(C228,'[9]november-2025'!$A:$A,'[9]november-2025'!$J:$J,0,0)</f>
        <v>0</v>
      </c>
      <c r="EJ228">
        <f>_xlfn.XLOOKUP(B228,'[10]december-2025'!$A:$A,'[10]december-2025'!$J:$J,0,0)</f>
        <v>0</v>
      </c>
      <c r="EK228">
        <f>_xlfn.XLOOKUP(B228,'[11]january-2026'!$A:$A,'[11]january-2026'!$J:$J,0,0)</f>
        <v>0</v>
      </c>
      <c r="EL228">
        <f>_xlfn.XLOOKUP(B228,'[12]february-2026'!$A:$A,'[12]february-2026'!$J:$J,0,0)</f>
        <v>0</v>
      </c>
      <c r="EM228">
        <f t="shared" si="455"/>
        <v>0</v>
      </c>
      <c r="EN228">
        <f>DV228+DL228+DB228+CR228+CH228+BX228+BN228+BD228+AS228+AI228+Y228+O228+H228+I228</f>
        <v>513856</v>
      </c>
      <c r="EO228">
        <f>DY228+DO228+DE228+CU228+CK228+CA228+BQ228+BG228+AV228+AL228+AB228+R228</f>
        <v>2400</v>
      </c>
      <c r="EP228">
        <f t="shared" si="502"/>
        <v>50000</v>
      </c>
      <c r="EQ228">
        <v>0</v>
      </c>
      <c r="ER228">
        <f t="shared" si="456"/>
        <v>461456</v>
      </c>
      <c r="ES228">
        <f>DW228+DM228+DC228+CS228+CI228+BY228+BO228+BE228+AT228+AJ228+Z228+P228</f>
        <v>24000</v>
      </c>
      <c r="ET228">
        <f>DX228+DN228+DD228+CT228+CJ228+BZ228+BP228+BF228+AU228+AK228+AA228+Q228</f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503"/>
        <v>24000</v>
      </c>
      <c r="FF228">
        <f t="shared" si="504"/>
        <v>24000</v>
      </c>
      <c r="FG228">
        <f t="shared" si="505"/>
        <v>437456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>SUM(FH228:FN228)+(IF(F228="YES",50000,0))</f>
        <v>0</v>
      </c>
      <c r="FP228">
        <f t="shared" si="506"/>
        <v>437456</v>
      </c>
      <c r="FQ228">
        <f t="shared" si="507"/>
        <v>9373</v>
      </c>
      <c r="FR228">
        <f t="shared" si="508"/>
        <v>0</v>
      </c>
      <c r="FS228">
        <f t="shared" si="509"/>
        <v>9373</v>
      </c>
      <c r="FT228">
        <f t="shared" si="510"/>
        <v>0</v>
      </c>
      <c r="FU228">
        <f t="shared" si="511"/>
        <v>0</v>
      </c>
      <c r="FV228">
        <f t="shared" si="512"/>
        <v>0</v>
      </c>
      <c r="FW228">
        <v>0</v>
      </c>
      <c r="FX228">
        <f t="shared" si="513"/>
        <v>0</v>
      </c>
      <c r="FY228" t="b">
        <f t="shared" si="514"/>
        <v>1</v>
      </c>
      <c r="FZ228">
        <f t="shared" ca="1" si="515"/>
        <v>582</v>
      </c>
      <c r="GA228">
        <f t="shared" ca="1" si="516"/>
        <v>514438</v>
      </c>
      <c r="GB228">
        <f t="shared" si="517"/>
        <v>75000</v>
      </c>
      <c r="GC228">
        <f t="shared" ca="1" si="518"/>
        <v>439438</v>
      </c>
      <c r="GD228">
        <f t="shared" ca="1" si="519"/>
        <v>0</v>
      </c>
      <c r="GE228">
        <f t="shared" ca="1" si="520"/>
        <v>0</v>
      </c>
      <c r="GF228">
        <f t="shared" ca="1" si="521"/>
        <v>0</v>
      </c>
      <c r="GG228">
        <f t="shared" ca="1" si="522"/>
        <v>0</v>
      </c>
      <c r="GH228">
        <f t="shared" ca="1" si="523"/>
        <v>0</v>
      </c>
      <c r="GI228">
        <f t="shared" ca="1" si="524"/>
        <v>0</v>
      </c>
      <c r="GJ228">
        <f ca="1">IF(GC228&gt;1200000,GC228-1200000-IF(F228="YES",50000,0)-GH228,0)</f>
        <v>0</v>
      </c>
      <c r="GK228">
        <f t="shared" ca="1" si="525"/>
        <v>0</v>
      </c>
      <c r="GL228">
        <f t="shared" ca="1" si="526"/>
        <v>0</v>
      </c>
      <c r="GM228">
        <f t="shared" ca="1" si="527"/>
        <v>0</v>
      </c>
      <c r="GN228">
        <f t="shared" ca="1" si="528"/>
        <v>39438</v>
      </c>
      <c r="GO228">
        <f t="shared" ca="1" si="529"/>
        <v>1971.9</v>
      </c>
      <c r="GP228">
        <f t="shared" ca="1" si="530"/>
        <v>1972</v>
      </c>
      <c r="GQ228">
        <f t="shared" ca="1" si="531"/>
        <v>0</v>
      </c>
      <c r="GR228">
        <f t="shared" ca="1" si="532"/>
        <v>0</v>
      </c>
      <c r="GS228">
        <f t="shared" ca="1" si="533"/>
        <v>1972</v>
      </c>
      <c r="GT228">
        <f t="shared" ca="1" si="534"/>
        <v>0</v>
      </c>
      <c r="GU228" t="b">
        <f t="shared" ca="1" si="535"/>
        <v>0</v>
      </c>
      <c r="GV228">
        <f t="shared" ca="1" si="536"/>
        <v>0</v>
      </c>
      <c r="GW228">
        <f t="shared" ca="1" si="537"/>
        <v>1972</v>
      </c>
      <c r="GX228">
        <f t="shared" ca="1" si="538"/>
        <v>0</v>
      </c>
      <c r="GY228">
        <f t="shared" ca="1" si="539"/>
        <v>0</v>
      </c>
      <c r="GZ228">
        <f t="shared" ca="1" si="540"/>
        <v>0</v>
      </c>
    </row>
    <row r="229" spans="1:208" x14ac:dyDescent="0.25">
      <c r="A229">
        <f>_xlfn.AGGREGATE(3,5,$B$2:B229)</f>
        <v>228</v>
      </c>
      <c r="B229" t="s">
        <v>562</v>
      </c>
      <c r="C229" t="s">
        <v>563</v>
      </c>
      <c r="D229" t="s">
        <v>808</v>
      </c>
      <c r="E229" t="s">
        <v>831</v>
      </c>
      <c r="F229" t="s">
        <v>957</v>
      </c>
      <c r="G229" t="s">
        <v>893</v>
      </c>
      <c r="H229">
        <f t="shared" si="542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457"/>
        <v>4830.0000000000009</v>
      </c>
      <c r="L229">
        <f t="shared" si="458"/>
        <v>4140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>IF(J229&gt;0,SUM(J229:N229),0)</f>
        <v>44370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541"/>
        <v>200</v>
      </c>
      <c r="S229">
        <f t="shared" si="451"/>
        <v>41170</v>
      </c>
      <c r="T229">
        <f>_xlfn.XLOOKUP(B229,'[2]april-2025'!$A:$A,'[2]april-2025'!$C:$C,0,0)</f>
        <v>34500</v>
      </c>
      <c r="U229">
        <f t="shared" si="459"/>
        <v>6210</v>
      </c>
      <c r="V229">
        <f t="shared" si="460"/>
        <v>4140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452"/>
        <v>45750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461"/>
        <v>200</v>
      </c>
      <c r="AC229">
        <f t="shared" si="462"/>
        <v>42550</v>
      </c>
      <c r="AD229">
        <f>_xlfn.XLOOKUP(B229,'[3]may-2025'!$A:$A,'[3]may-2025'!$C:$C,0,0)</f>
        <v>34500</v>
      </c>
      <c r="AE229">
        <f t="shared" si="463"/>
        <v>6210</v>
      </c>
      <c r="AF229">
        <f t="shared" si="464"/>
        <v>4140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453"/>
        <v>45750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465"/>
        <v>200</v>
      </c>
      <c r="AM229">
        <f t="shared" si="466"/>
        <v>42550</v>
      </c>
      <c r="AN229">
        <f>_xlfn.XLOOKUP(B229,'[4]june-2025'!$A:$A,'[4]june-2025'!$C:$C,0,0)</f>
        <v>34500</v>
      </c>
      <c r="AO229">
        <f t="shared" si="467"/>
        <v>6210</v>
      </c>
      <c r="AP229">
        <f t="shared" si="468"/>
        <v>4140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454"/>
        <v>45750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469"/>
        <v>200</v>
      </c>
      <c r="AW229">
        <f t="shared" si="470"/>
        <v>42550</v>
      </c>
      <c r="AX229">
        <f>_xlfn.XLOOKUP(B229,'[5]july-2025'!$A:$A,'[5]july-2025'!$C:$C,0,0)</f>
        <v>35500</v>
      </c>
      <c r="AY229">
        <f t="shared" si="471"/>
        <v>6390</v>
      </c>
      <c r="AZ229">
        <v>0</v>
      </c>
      <c r="BA229">
        <f t="shared" si="472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>IF(AX229&gt;0,SUM(AX229:BC229),0)</f>
        <v>47050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473"/>
        <v>200</v>
      </c>
      <c r="BH229">
        <f t="shared" si="474"/>
        <v>43850</v>
      </c>
      <c r="BI229">
        <f>_xlfn.XLOOKUP(B229,'[6]august-2025'!$A:$A,'[6]august-2025'!$C:$C,0,0)</f>
        <v>35500</v>
      </c>
      <c r="BJ229">
        <f t="shared" si="475"/>
        <v>6390</v>
      </c>
      <c r="BK229">
        <f t="shared" si="476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477"/>
        <v>47050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>IF($F229="YES",0,IF(BN229&gt;40000,200,IF(BN229&gt;25000,150,IF(BN229&gt;15000,130,IF(BN229&gt;10000,110,0)))))</f>
        <v>200</v>
      </c>
      <c r="BR229">
        <f>BN229-BO229-BP229-BQ229</f>
        <v>43850</v>
      </c>
      <c r="BS229">
        <f>_xlfn.XLOOKUP(B229,'[7]september-2025'!$A:$A,'[7]september-2025'!$C:$C,0,0)</f>
        <v>35500</v>
      </c>
      <c r="BT229">
        <f t="shared" si="478"/>
        <v>6390</v>
      </c>
      <c r="BU229">
        <f t="shared" si="479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>IF(BS229&gt;0,SUM(BS229:BW229),0)</f>
        <v>47050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480"/>
        <v>200</v>
      </c>
      <c r="CB229">
        <f t="shared" si="481"/>
        <v>43850</v>
      </c>
      <c r="CC229">
        <f>_xlfn.XLOOKUP(B229,'[8]october-2025'!$A:$A,'[8]october-2025'!$C:$C,0,0)</f>
        <v>35500</v>
      </c>
      <c r="CD229">
        <f t="shared" si="482"/>
        <v>6390</v>
      </c>
      <c r="CE229">
        <f t="shared" si="483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>IF(CC229&gt;0,SUM(CC229:CG229),0)</f>
        <v>47050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484"/>
        <v>200</v>
      </c>
      <c r="CL229">
        <f t="shared" si="485"/>
        <v>43850</v>
      </c>
      <c r="CM229">
        <f>_xlfn.XLOOKUP(B229,'[9]november-2025'!$A:$A,'[9]november-2025'!$C:$C,0,0)</f>
        <v>35500</v>
      </c>
      <c r="CN229">
        <f t="shared" si="486"/>
        <v>6390</v>
      </c>
      <c r="CO229">
        <f t="shared" si="487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>IF(CM229&gt;0,SUM(CM229:CQ229),0)</f>
        <v>47050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488"/>
        <v>200</v>
      </c>
      <c r="CV229">
        <f t="shared" si="489"/>
        <v>43850</v>
      </c>
      <c r="CW229">
        <f>_xlfn.XLOOKUP(B229,'[10]december-2025'!$A:$A,'[10]december-2025'!$C:$C,0,0)</f>
        <v>35500</v>
      </c>
      <c r="CX229">
        <f t="shared" si="490"/>
        <v>6390</v>
      </c>
      <c r="CY229">
        <f t="shared" si="491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>IF(CW229&gt;0,SUM(CW229:DA229),0)</f>
        <v>47050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492"/>
        <v>200</v>
      </c>
      <c r="DF229">
        <f t="shared" si="493"/>
        <v>43850</v>
      </c>
      <c r="DG229">
        <f>_xlfn.XLOOKUP(B229,'[11]january-2026'!$A:$A,'[11]january-2026'!$C:$C,0,0)</f>
        <v>35500</v>
      </c>
      <c r="DH229">
        <f t="shared" si="494"/>
        <v>6390</v>
      </c>
      <c r="DI229">
        <f t="shared" si="495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>IF(DG229&gt;0,SUM(DG229:DK229),0)</f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496"/>
        <v>200</v>
      </c>
      <c r="DP229">
        <f t="shared" si="497"/>
        <v>43850</v>
      </c>
      <c r="DQ229">
        <f>_xlfn.XLOOKUP(B229,'[12]february-2026'!$A:$A,'[12]february-2026'!$C:$C,0,0)</f>
        <v>35500</v>
      </c>
      <c r="DR229">
        <f t="shared" si="498"/>
        <v>6390</v>
      </c>
      <c r="DS229">
        <f t="shared" si="499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>IF(DQ229&gt;0,SUM(DQ229:DU229),0)</f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00"/>
        <v>200</v>
      </c>
      <c r="DZ229">
        <f t="shared" si="501"/>
        <v>43850</v>
      </c>
      <c r="EA229">
        <f>_xlfn.XLOOKUP(B229,'[1]march-2025'!$A:$A,'[1]march-2025'!$J:$J,0,0)</f>
        <v>0</v>
      </c>
      <c r="EB229">
        <f>_xlfn.XLOOKUP(B229,'[2]april-2025'!$A:$A,'[2]april-2025'!$J:$J,0,0)</f>
        <v>0</v>
      </c>
      <c r="EC229">
        <f>_xlfn.XLOOKUP(B229,'[3]may-2025'!$A:$A,'[3]may-2025'!$J:$J,0,0)</f>
        <v>0</v>
      </c>
      <c r="ED229">
        <f>_xlfn.XLOOKUP(B229,'[4]june-2025'!$A:$A,'[4]june-2025'!$J:$J,0,0)</f>
        <v>0</v>
      </c>
      <c r="EE229">
        <f>_xlfn.XLOOKUP(B229,'[5]july-2025'!$A:$A,'[5]july-2025'!$J:$J,0,0)</f>
        <v>0</v>
      </c>
      <c r="EF229">
        <f>_xlfn.XLOOKUP(B229,'[6]august-2025'!$A:$A,'[6]august-2025'!$J:$J,0,0)</f>
        <v>0</v>
      </c>
      <c r="EG229">
        <f>_xlfn.XLOOKUP(B229,'[7]september-2025'!$A:$A,'[7]september-2025'!$J:$J,0,0)</f>
        <v>0</v>
      </c>
      <c r="EH229">
        <f>_xlfn.XLOOKUP(B229,'[8]october-2025'!$A:$A,'[8]october-2025'!$J:$J,0,0)</f>
        <v>0</v>
      </c>
      <c r="EI229">
        <f>_xlfn.XLOOKUP(C229,'[9]november-2025'!$A:$A,'[9]november-2025'!$J:$J,0,0)</f>
        <v>0</v>
      </c>
      <c r="EJ229">
        <f>_xlfn.XLOOKUP(B229,'[10]december-2025'!$A:$A,'[10]december-2025'!$J:$J,0,0)</f>
        <v>0</v>
      </c>
      <c r="EK229">
        <f>_xlfn.XLOOKUP(B229,'[11]january-2026'!$A:$A,'[11]january-2026'!$J:$J,0,0)</f>
        <v>0</v>
      </c>
      <c r="EL229">
        <f>_xlfn.XLOOKUP(B229,'[12]february-2026'!$A:$A,'[12]february-2026'!$J:$J,0,0)</f>
        <v>0</v>
      </c>
      <c r="EM229">
        <f t="shared" si="455"/>
        <v>0</v>
      </c>
      <c r="EN229">
        <f>DV229+DL229+DB229+CR229+CH229+BX229+BN229+BD229+AS229+AI229+Y229+O229+H229+I229</f>
        <v>564820</v>
      </c>
      <c r="EO229">
        <f>DY229+DO229+DE229+CU229+CK229+CA229+BQ229+BG229+AV229+AL229+AB229+R229</f>
        <v>2400</v>
      </c>
      <c r="EP229">
        <f t="shared" si="502"/>
        <v>50000</v>
      </c>
      <c r="EQ229">
        <v>0</v>
      </c>
      <c r="ER229">
        <f t="shared" si="456"/>
        <v>512420</v>
      </c>
      <c r="ES229">
        <f>DW229+DM229+DC229+CS229+CI229+BY229+BO229+BE229+AT229+AJ229+Z229+P229</f>
        <v>36000</v>
      </c>
      <c r="ET229">
        <f>DX229+DN229+DD229+CT229+CJ229+BZ229+BP229+BF229+AU229+AK229+AA229+Q229</f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503"/>
        <v>36000</v>
      </c>
      <c r="FF229">
        <f t="shared" si="504"/>
        <v>36000</v>
      </c>
      <c r="FG229">
        <f t="shared" si="505"/>
        <v>476420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>SUM(FH229:FN229)+(IF(F229="YES",50000,0))</f>
        <v>0</v>
      </c>
      <c r="FP229">
        <f t="shared" si="506"/>
        <v>476420</v>
      </c>
      <c r="FQ229">
        <f t="shared" si="507"/>
        <v>11321</v>
      </c>
      <c r="FR229">
        <f t="shared" si="508"/>
        <v>0</v>
      </c>
      <c r="FS229">
        <f t="shared" si="509"/>
        <v>11321</v>
      </c>
      <c r="FT229">
        <f t="shared" si="510"/>
        <v>0</v>
      </c>
      <c r="FU229">
        <f t="shared" si="511"/>
        <v>0</v>
      </c>
      <c r="FV229">
        <f t="shared" si="512"/>
        <v>0</v>
      </c>
      <c r="FW229">
        <v>0</v>
      </c>
      <c r="FX229">
        <f t="shared" si="513"/>
        <v>0</v>
      </c>
      <c r="FY229" t="b">
        <f t="shared" si="514"/>
        <v>1</v>
      </c>
      <c r="FZ229">
        <f t="shared" ca="1" si="515"/>
        <v>693</v>
      </c>
      <c r="GA229">
        <f t="shared" ca="1" si="516"/>
        <v>565513</v>
      </c>
      <c r="GB229">
        <f t="shared" si="517"/>
        <v>75000</v>
      </c>
      <c r="GC229">
        <f t="shared" ca="1" si="518"/>
        <v>490513</v>
      </c>
      <c r="GD229">
        <f t="shared" ca="1" si="519"/>
        <v>0</v>
      </c>
      <c r="GE229">
        <f t="shared" ca="1" si="520"/>
        <v>0</v>
      </c>
      <c r="GF229">
        <f t="shared" ca="1" si="521"/>
        <v>0</v>
      </c>
      <c r="GG229">
        <f t="shared" ca="1" si="522"/>
        <v>0</v>
      </c>
      <c r="GH229">
        <f t="shared" ca="1" si="523"/>
        <v>0</v>
      </c>
      <c r="GI229">
        <f t="shared" ca="1" si="524"/>
        <v>0</v>
      </c>
      <c r="GJ229">
        <f ca="1">IF(GC229&gt;1200000,GC229-1200000-IF(F229="YES",50000,0)-GH229,0)</f>
        <v>0</v>
      </c>
      <c r="GK229">
        <f t="shared" ca="1" si="525"/>
        <v>0</v>
      </c>
      <c r="GL229">
        <f t="shared" ca="1" si="526"/>
        <v>0</v>
      </c>
      <c r="GM229">
        <f t="shared" ca="1" si="527"/>
        <v>0</v>
      </c>
      <c r="GN229">
        <f t="shared" ca="1" si="528"/>
        <v>90513</v>
      </c>
      <c r="GO229">
        <f t="shared" ca="1" si="529"/>
        <v>4525.6500000000005</v>
      </c>
      <c r="GP229">
        <f t="shared" ca="1" si="530"/>
        <v>4526</v>
      </c>
      <c r="GQ229">
        <f t="shared" ca="1" si="531"/>
        <v>0</v>
      </c>
      <c r="GR229">
        <f t="shared" ca="1" si="532"/>
        <v>0</v>
      </c>
      <c r="GS229">
        <f t="shared" ca="1" si="533"/>
        <v>4526</v>
      </c>
      <c r="GT229">
        <f t="shared" ca="1" si="534"/>
        <v>0</v>
      </c>
      <c r="GU229" t="b">
        <f t="shared" ca="1" si="535"/>
        <v>0</v>
      </c>
      <c r="GV229">
        <f t="shared" ca="1" si="536"/>
        <v>0</v>
      </c>
      <c r="GW229">
        <f t="shared" ca="1" si="537"/>
        <v>4526</v>
      </c>
      <c r="GX229">
        <f t="shared" ca="1" si="538"/>
        <v>0</v>
      </c>
      <c r="GY229">
        <f t="shared" ca="1" si="539"/>
        <v>0</v>
      </c>
      <c r="GZ229">
        <f t="shared" ca="1" si="540"/>
        <v>0</v>
      </c>
    </row>
    <row r="230" spans="1:208" x14ac:dyDescent="0.25">
      <c r="A230">
        <f>_xlfn.AGGREGATE(3,5,$B$2:B230)</f>
        <v>229</v>
      </c>
      <c r="B230" t="s">
        <v>564</v>
      </c>
      <c r="C230" t="s">
        <v>565</v>
      </c>
      <c r="D230" t="s">
        <v>808</v>
      </c>
      <c r="E230" t="s">
        <v>831</v>
      </c>
      <c r="F230" t="s">
        <v>957</v>
      </c>
      <c r="G230" t="s">
        <v>948</v>
      </c>
      <c r="H230">
        <f t="shared" si="542"/>
        <v>6800</v>
      </c>
      <c r="I230">
        <f>_xlfn.XLOOKUP(B230,'[1]march-2025'!$A:$A,'[1]march-2025'!$J:$J,0,0)</f>
        <v>0</v>
      </c>
      <c r="J230">
        <f>_xlfn.XLOOKUP(B230,'[1]march-2025'!$A:$A,'[1]march-2025'!$C:$C,0,0)</f>
        <v>34500</v>
      </c>
      <c r="K230">
        <f t="shared" si="457"/>
        <v>4830.0000000000009</v>
      </c>
      <c r="L230">
        <f t="shared" si="458"/>
        <v>4140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>IF(J230&gt;0,SUM(J230:N230),0)</f>
        <v>43970</v>
      </c>
      <c r="P230">
        <f>_xlfn.XLOOKUP(B230,'[1]march-2025'!$A:$A,'[1]march-2025'!$H:$H,0,0)</f>
        <v>3000</v>
      </c>
      <c r="Q230">
        <f>_xlfn.XLOOKUP(B230,'[1]march-2025'!$A:$A,'[1]march-2025'!$I:$I,0,0)</f>
        <v>0</v>
      </c>
      <c r="R230">
        <f t="shared" si="541"/>
        <v>200</v>
      </c>
      <c r="S230">
        <f t="shared" si="451"/>
        <v>40770</v>
      </c>
      <c r="T230">
        <f>_xlfn.XLOOKUP(B230,'[2]april-2025'!$A:$A,'[2]april-2025'!$C:$C,0,0)</f>
        <v>34500</v>
      </c>
      <c r="U230">
        <f t="shared" si="459"/>
        <v>6210</v>
      </c>
      <c r="V230">
        <f t="shared" si="460"/>
        <v>4140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452"/>
        <v>45350</v>
      </c>
      <c r="Z230">
        <f>_xlfn.XLOOKUP(B230,'[2]april-2025'!$A:$A,'[2]april-2025'!$H:$H,0,0)</f>
        <v>3000</v>
      </c>
      <c r="AA230">
        <f>_xlfn.XLOOKUP(B230,'[2]april-2025'!$A:$A,'[2]april-2025'!$I:$I,0,0)</f>
        <v>0</v>
      </c>
      <c r="AB230">
        <f t="shared" si="461"/>
        <v>200</v>
      </c>
      <c r="AC230">
        <f t="shared" si="462"/>
        <v>42150</v>
      </c>
      <c r="AD230">
        <f>_xlfn.XLOOKUP(B230,'[3]may-2025'!$A:$A,'[3]may-2025'!$C:$C,0,0)</f>
        <v>34500</v>
      </c>
      <c r="AE230">
        <f t="shared" si="463"/>
        <v>6210</v>
      </c>
      <c r="AF230">
        <f t="shared" si="464"/>
        <v>4140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453"/>
        <v>45350</v>
      </c>
      <c r="AJ230">
        <f>_xlfn.XLOOKUP(B230,'[3]may-2025'!$A:$A,'[3]may-2025'!$H:$H,0,0)</f>
        <v>3000</v>
      </c>
      <c r="AK230">
        <f>_xlfn.XLOOKUP(B230,'[3]may-2025'!$A:$A,'[3]may-2025'!$I:$I,0,0)</f>
        <v>0</v>
      </c>
      <c r="AL230">
        <f t="shared" si="465"/>
        <v>200</v>
      </c>
      <c r="AM230">
        <f t="shared" si="466"/>
        <v>42150</v>
      </c>
      <c r="AN230">
        <f>_xlfn.XLOOKUP(B230,'[4]june-2025'!$A:$A,'[4]june-2025'!$C:$C,0,0)</f>
        <v>34500</v>
      </c>
      <c r="AO230">
        <f t="shared" si="467"/>
        <v>6210</v>
      </c>
      <c r="AP230">
        <f t="shared" si="468"/>
        <v>4140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454"/>
        <v>45350</v>
      </c>
      <c r="AT230">
        <f>_xlfn.XLOOKUP(B230,'[4]june-2025'!$A:$A,'[4]june-2025'!$H:$H,0,0)</f>
        <v>3000</v>
      </c>
      <c r="AU230">
        <f>_xlfn.XLOOKUP(B230,'[4]june-2025'!$A:$A,'[4]june-2025'!$I:$I,0,0)</f>
        <v>0</v>
      </c>
      <c r="AV230">
        <f t="shared" si="469"/>
        <v>200</v>
      </c>
      <c r="AW230">
        <f t="shared" si="470"/>
        <v>42150</v>
      </c>
      <c r="AX230">
        <f>_xlfn.XLOOKUP(B230,'[5]july-2025'!$A:$A,'[5]july-2025'!$C:$C,0,0)</f>
        <v>35500</v>
      </c>
      <c r="AY230">
        <f t="shared" si="471"/>
        <v>6390</v>
      </c>
      <c r="AZ230">
        <v>0</v>
      </c>
      <c r="BA230">
        <f t="shared" si="472"/>
        <v>4260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>IF(AX230&gt;0,SUM(AX230:BC230),0)</f>
        <v>46650</v>
      </c>
      <c r="BE230">
        <f>_xlfn.XLOOKUP(B230,'[5]july-2025'!$A:$A,'[5]july-2025'!$H:$H,0,0)</f>
        <v>3000</v>
      </c>
      <c r="BF230">
        <f>_xlfn.XLOOKUP(B230,'[5]july-2025'!$A:$A,'[5]july-2025'!$I:$I,0,0)</f>
        <v>0</v>
      </c>
      <c r="BG230">
        <f t="shared" si="473"/>
        <v>200</v>
      </c>
      <c r="BH230">
        <f t="shared" si="474"/>
        <v>43450</v>
      </c>
      <c r="BI230">
        <f>_xlfn.XLOOKUP(B230,'[6]august-2025'!$A:$A,'[6]august-2025'!$C:$C,0,0)</f>
        <v>35500</v>
      </c>
      <c r="BJ230">
        <f t="shared" si="475"/>
        <v>6390</v>
      </c>
      <c r="BK230">
        <f t="shared" si="476"/>
        <v>4260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477"/>
        <v>46650</v>
      </c>
      <c r="BO230">
        <f>_xlfn.XLOOKUP(B230,'[6]august-2025'!$A:$A,'[6]august-2025'!$H:$H,0,0)</f>
        <v>3000</v>
      </c>
      <c r="BP230">
        <f>_xlfn.XLOOKUP(B230,'[6]august-2025'!$A:$A,'[6]august-2025'!$I:$I,0,0)</f>
        <v>0</v>
      </c>
      <c r="BQ230">
        <f>IF($F230="YES",0,IF(BN230&gt;40000,200,IF(BN230&gt;25000,150,IF(BN230&gt;15000,130,IF(BN230&gt;10000,110,0)))))</f>
        <v>200</v>
      </c>
      <c r="BR230">
        <f>BN230-BO230-BP230-BQ230</f>
        <v>43450</v>
      </c>
      <c r="BS230">
        <f>_xlfn.XLOOKUP(B230,'[7]september-2025'!$A:$A,'[7]september-2025'!$C:$C,0,0)</f>
        <v>35500</v>
      </c>
      <c r="BT230">
        <f t="shared" si="478"/>
        <v>6390</v>
      </c>
      <c r="BU230">
        <f t="shared" si="479"/>
        <v>4260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>IF(BS230&gt;0,SUM(BS230:BW230),0)</f>
        <v>46650</v>
      </c>
      <c r="BY230">
        <f>_xlfn.XLOOKUP(B230,'[7]september-2025'!$A:$A,'[7]september-2025'!$H:$H,0,0)</f>
        <v>3000</v>
      </c>
      <c r="BZ230">
        <f>_xlfn.XLOOKUP(B230,'[7]september-2025'!$A:$A,'[7]september-2025'!$I:$I,0,0)</f>
        <v>0</v>
      </c>
      <c r="CA230">
        <f t="shared" si="480"/>
        <v>200</v>
      </c>
      <c r="CB230">
        <f t="shared" si="481"/>
        <v>43450</v>
      </c>
      <c r="CC230">
        <f>_xlfn.XLOOKUP(B230,'[8]october-2025'!$A:$A,'[8]october-2025'!$C:$C,0,0)</f>
        <v>35500</v>
      </c>
      <c r="CD230">
        <f t="shared" si="482"/>
        <v>6390</v>
      </c>
      <c r="CE230">
        <f t="shared" si="483"/>
        <v>4260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>IF(CC230&gt;0,SUM(CC230:CG230),0)</f>
        <v>46650</v>
      </c>
      <c r="CI230">
        <f>_xlfn.XLOOKUP(B230,'[8]october-2025'!$A:$A,'[8]october-2025'!$H:$H,0,0)</f>
        <v>3000</v>
      </c>
      <c r="CJ230">
        <f>_xlfn.XLOOKUP(B230,'[8]october-2025'!$A:$A,'[8]october-2025'!$I:$I,0,0)</f>
        <v>0</v>
      </c>
      <c r="CK230">
        <f t="shared" si="484"/>
        <v>200</v>
      </c>
      <c r="CL230">
        <f t="shared" si="485"/>
        <v>43450</v>
      </c>
      <c r="CM230">
        <f>_xlfn.XLOOKUP(B230,'[9]november-2025'!$A:$A,'[9]november-2025'!$C:$C,0,0)</f>
        <v>35500</v>
      </c>
      <c r="CN230">
        <f t="shared" si="486"/>
        <v>6390</v>
      </c>
      <c r="CO230">
        <f t="shared" si="487"/>
        <v>4260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>IF(CM230&gt;0,SUM(CM230:CQ230),0)</f>
        <v>46650</v>
      </c>
      <c r="CS230">
        <f>_xlfn.XLOOKUP(B230,'[9]november-2025'!$A:$A,'[9]november-2025'!$H:$H,0,0)</f>
        <v>3000</v>
      </c>
      <c r="CT230">
        <f>_xlfn.XLOOKUP(B230,'[9]november-2025'!$A:$A,'[9]november-2025'!$I:$I,0,0)</f>
        <v>0</v>
      </c>
      <c r="CU230">
        <f t="shared" si="488"/>
        <v>200</v>
      </c>
      <c r="CV230">
        <f t="shared" si="489"/>
        <v>43450</v>
      </c>
      <c r="CW230">
        <f>_xlfn.XLOOKUP(B230,'[10]december-2025'!$A:$A,'[10]december-2025'!$C:$C,0,0)</f>
        <v>35500</v>
      </c>
      <c r="CX230">
        <f t="shared" si="490"/>
        <v>6390</v>
      </c>
      <c r="CY230">
        <f t="shared" si="491"/>
        <v>4260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>IF(CW230&gt;0,SUM(CW230:DA230),0)</f>
        <v>46650</v>
      </c>
      <c r="DC230">
        <f>_xlfn.XLOOKUP(B230,'[10]december-2025'!$A:$A,'[10]december-2025'!$H:$H,0,0)</f>
        <v>3000</v>
      </c>
      <c r="DD230">
        <f>_xlfn.XLOOKUP(B230,'[10]december-2025'!$A:$A,'[10]december-2025'!$I:$I,0,0)</f>
        <v>0</v>
      </c>
      <c r="DE230">
        <f t="shared" si="492"/>
        <v>200</v>
      </c>
      <c r="DF230">
        <f t="shared" si="493"/>
        <v>43450</v>
      </c>
      <c r="DG230">
        <f>_xlfn.XLOOKUP(B230,'[11]january-2026'!$A:$A,'[11]january-2026'!$C:$C,0,0)</f>
        <v>35500</v>
      </c>
      <c r="DH230">
        <f t="shared" si="494"/>
        <v>6390</v>
      </c>
      <c r="DI230">
        <f t="shared" si="495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>IF(DG230&gt;0,SUM(DG230:DK230),0)</f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496"/>
        <v>200</v>
      </c>
      <c r="DP230">
        <f t="shared" si="497"/>
        <v>43450</v>
      </c>
      <c r="DQ230">
        <f>_xlfn.XLOOKUP(B230,'[12]february-2026'!$A:$A,'[12]february-2026'!$C:$C,0,0)</f>
        <v>35500</v>
      </c>
      <c r="DR230">
        <f t="shared" si="498"/>
        <v>6390</v>
      </c>
      <c r="DS230">
        <f t="shared" si="499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>IF(DQ230&gt;0,SUM(DQ230:DU230),0)</f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00"/>
        <v>200</v>
      </c>
      <c r="DZ230">
        <f t="shared" si="501"/>
        <v>43450</v>
      </c>
      <c r="EA230">
        <f>_xlfn.XLOOKUP(B230,'[1]march-2025'!$A:$A,'[1]march-2025'!$J:$J,0,0)</f>
        <v>0</v>
      </c>
      <c r="EB230">
        <f>_xlfn.XLOOKUP(B230,'[2]april-2025'!$A:$A,'[2]april-2025'!$J:$J,0,0)</f>
        <v>0</v>
      </c>
      <c r="EC230">
        <f>_xlfn.XLOOKUP(B230,'[3]may-2025'!$A:$A,'[3]may-2025'!$J:$J,0,0)</f>
        <v>0</v>
      </c>
      <c r="ED230">
        <f>_xlfn.XLOOKUP(B230,'[4]june-2025'!$A:$A,'[4]june-2025'!$J:$J,0,0)</f>
        <v>0</v>
      </c>
      <c r="EE230">
        <f>_xlfn.XLOOKUP(B230,'[5]july-2025'!$A:$A,'[5]july-2025'!$J:$J,0,0)</f>
        <v>0</v>
      </c>
      <c r="EF230">
        <f>_xlfn.XLOOKUP(B230,'[6]august-2025'!$A:$A,'[6]august-2025'!$J:$J,0,0)</f>
        <v>0</v>
      </c>
      <c r="EG230">
        <f>_xlfn.XLOOKUP(B230,'[7]september-2025'!$A:$A,'[7]september-2025'!$J:$J,0,0)</f>
        <v>0</v>
      </c>
      <c r="EH230">
        <f>_xlfn.XLOOKUP(B230,'[8]october-2025'!$A:$A,'[8]october-2025'!$J:$J,0,0)</f>
        <v>0</v>
      </c>
      <c r="EI230">
        <f>_xlfn.XLOOKUP(C230,'[9]november-2025'!$A:$A,'[9]november-2025'!$J:$J,0,0)</f>
        <v>0</v>
      </c>
      <c r="EJ230">
        <f>_xlfn.XLOOKUP(B230,'[10]december-2025'!$A:$A,'[10]december-2025'!$J:$J,0,0)</f>
        <v>0</v>
      </c>
      <c r="EK230">
        <f>_xlfn.XLOOKUP(B230,'[11]january-2026'!$A:$A,'[11]january-2026'!$J:$J,0,0)</f>
        <v>0</v>
      </c>
      <c r="EL230">
        <f>_xlfn.XLOOKUP(B230,'[12]february-2026'!$A:$A,'[12]february-2026'!$J:$J,0,0)</f>
        <v>0</v>
      </c>
      <c r="EM230">
        <f t="shared" si="455"/>
        <v>0</v>
      </c>
      <c r="EN230">
        <f>DV230+DL230+DB230+CR230+CH230+BX230+BN230+BD230+AS230+AI230+Y230+O230+H230+I230</f>
        <v>560020</v>
      </c>
      <c r="EO230">
        <f>DY230+DO230+DE230+CU230+CK230+CA230+BQ230+BG230+AV230+AL230+AB230+R230</f>
        <v>2400</v>
      </c>
      <c r="EP230">
        <f t="shared" si="502"/>
        <v>50000</v>
      </c>
      <c r="EQ230">
        <v>0</v>
      </c>
      <c r="ER230">
        <f t="shared" si="456"/>
        <v>507620</v>
      </c>
      <c r="ES230">
        <f>DW230+DM230+DC230+CS230+CI230+BY230+BO230+BE230+AT230+AJ230+Z230+P230</f>
        <v>36000</v>
      </c>
      <c r="ET230">
        <f>DX230+DN230+DD230+CT230+CJ230+BZ230+BP230+BF230+AU230+AK230+AA230+Q230</f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503"/>
        <v>36000</v>
      </c>
      <c r="FF230">
        <f t="shared" si="504"/>
        <v>36000</v>
      </c>
      <c r="FG230">
        <f t="shared" si="505"/>
        <v>471620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>SUM(FH230:FN230)+(IF(F230="YES",50000,0))</f>
        <v>0</v>
      </c>
      <c r="FP230">
        <f t="shared" si="506"/>
        <v>471620</v>
      </c>
      <c r="FQ230">
        <f t="shared" si="507"/>
        <v>11081</v>
      </c>
      <c r="FR230">
        <f t="shared" si="508"/>
        <v>0</v>
      </c>
      <c r="FS230">
        <f t="shared" si="509"/>
        <v>11081</v>
      </c>
      <c r="FT230">
        <f t="shared" si="510"/>
        <v>0</v>
      </c>
      <c r="FU230">
        <f t="shared" si="511"/>
        <v>0</v>
      </c>
      <c r="FV230">
        <f t="shared" si="512"/>
        <v>0</v>
      </c>
      <c r="FW230">
        <v>0</v>
      </c>
      <c r="FX230">
        <f t="shared" si="513"/>
        <v>0</v>
      </c>
      <c r="FY230" t="b">
        <f t="shared" si="514"/>
        <v>1</v>
      </c>
      <c r="FZ230">
        <f t="shared" ca="1" si="515"/>
        <v>897</v>
      </c>
      <c r="GA230">
        <f t="shared" ca="1" si="516"/>
        <v>560917</v>
      </c>
      <c r="GB230">
        <f t="shared" si="517"/>
        <v>75000</v>
      </c>
      <c r="GC230">
        <f t="shared" ca="1" si="518"/>
        <v>485917</v>
      </c>
      <c r="GD230">
        <f t="shared" ca="1" si="519"/>
        <v>0</v>
      </c>
      <c r="GE230">
        <f t="shared" ca="1" si="520"/>
        <v>0</v>
      </c>
      <c r="GF230">
        <f t="shared" ca="1" si="521"/>
        <v>0</v>
      </c>
      <c r="GG230">
        <f t="shared" ca="1" si="522"/>
        <v>0</v>
      </c>
      <c r="GH230">
        <f t="shared" ca="1" si="523"/>
        <v>0</v>
      </c>
      <c r="GI230">
        <f t="shared" ca="1" si="524"/>
        <v>0</v>
      </c>
      <c r="GJ230">
        <f ca="1">IF(GC230&gt;1200000,GC230-1200000-IF(F230="YES",50000,0)-GH230,0)</f>
        <v>0</v>
      </c>
      <c r="GK230">
        <f t="shared" ca="1" si="525"/>
        <v>0</v>
      </c>
      <c r="GL230">
        <f t="shared" ca="1" si="526"/>
        <v>0</v>
      </c>
      <c r="GM230">
        <f t="shared" ca="1" si="527"/>
        <v>0</v>
      </c>
      <c r="GN230">
        <f t="shared" ca="1" si="528"/>
        <v>85917</v>
      </c>
      <c r="GO230">
        <f t="shared" ca="1" si="529"/>
        <v>4295.8500000000004</v>
      </c>
      <c r="GP230">
        <f t="shared" ca="1" si="530"/>
        <v>4296</v>
      </c>
      <c r="GQ230">
        <f t="shared" ca="1" si="531"/>
        <v>0</v>
      </c>
      <c r="GR230">
        <f t="shared" ca="1" si="532"/>
        <v>0</v>
      </c>
      <c r="GS230">
        <f t="shared" ca="1" si="533"/>
        <v>4296</v>
      </c>
      <c r="GT230">
        <f t="shared" ca="1" si="534"/>
        <v>0</v>
      </c>
      <c r="GU230" t="b">
        <f t="shared" ca="1" si="535"/>
        <v>0</v>
      </c>
      <c r="GV230">
        <f t="shared" ca="1" si="536"/>
        <v>0</v>
      </c>
      <c r="GW230">
        <f t="shared" ca="1" si="537"/>
        <v>4296</v>
      </c>
      <c r="GX230">
        <f t="shared" ca="1" si="538"/>
        <v>0</v>
      </c>
      <c r="GY230">
        <f t="shared" ca="1" si="539"/>
        <v>0</v>
      </c>
      <c r="GZ230">
        <f t="shared" ca="1" si="540"/>
        <v>0</v>
      </c>
    </row>
    <row r="231" spans="1:208" x14ac:dyDescent="0.25">
      <c r="A231">
        <f>_xlfn.AGGREGATE(3,5,$B$2:B231)</f>
        <v>230</v>
      </c>
      <c r="B231" t="s">
        <v>566</v>
      </c>
      <c r="C231" t="s">
        <v>567</v>
      </c>
      <c r="D231" t="s">
        <v>809</v>
      </c>
      <c r="E231" t="s">
        <v>833</v>
      </c>
      <c r="F231" t="s">
        <v>957</v>
      </c>
      <c r="G231" t="s">
        <v>893</v>
      </c>
      <c r="H231">
        <f t="shared" ref="H231:H262" si="543"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457"/>
        <v>4690</v>
      </c>
      <c r="L231">
        <f t="shared" si="458"/>
        <v>4020</v>
      </c>
      <c r="M231">
        <f>_xlfn.XLOOKUP(B231,'[1]march-2025'!$A:$A,'[1]march-2025'!$D:$D,0,0)</f>
        <v>400</v>
      </c>
      <c r="N231">
        <f>_xlfn.XLOOKUP(B231,'[1]march-2025'!$A:$A,'[1]march-2025'!$G:$G,0,0)</f>
        <v>500</v>
      </c>
      <c r="O231">
        <f>IF(J231&gt;0,SUM(J231:N231),0)</f>
        <v>43110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541"/>
        <v>200</v>
      </c>
      <c r="S231">
        <f t="shared" si="451"/>
        <v>40410</v>
      </c>
      <c r="T231">
        <f>_xlfn.XLOOKUP(B231,'[2]april-2025'!$A:$A,'[2]april-2025'!$C:$C,0,0)</f>
        <v>33500</v>
      </c>
      <c r="U231">
        <f t="shared" si="459"/>
        <v>6030</v>
      </c>
      <c r="V231">
        <f t="shared" si="460"/>
        <v>4020</v>
      </c>
      <c r="W231">
        <f>_xlfn.XLOOKUP(B231,'[2]april-2025'!$A:$A,'[2]april-2025'!$D:$D,0,0)</f>
        <v>400</v>
      </c>
      <c r="X231">
        <f>_xlfn.XLOOKUP(B231,'[2]april-2025'!$A:$A,'[2]april-2025'!$G:$G,0,0)</f>
        <v>500</v>
      </c>
      <c r="Y231">
        <f t="shared" si="452"/>
        <v>44450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461"/>
        <v>200</v>
      </c>
      <c r="AC231">
        <f t="shared" si="462"/>
        <v>41750</v>
      </c>
      <c r="AD231">
        <f>_xlfn.XLOOKUP(B231,'[3]may-2025'!$A:$A,'[3]may-2025'!$C:$C,0,0)</f>
        <v>33500</v>
      </c>
      <c r="AE231">
        <f t="shared" si="463"/>
        <v>6030</v>
      </c>
      <c r="AF231">
        <f t="shared" si="464"/>
        <v>4020</v>
      </c>
      <c r="AG231">
        <f>_xlfn.XLOOKUP(B231,'[3]may-2025'!$A:$A,'[3]may-2025'!$D:$D,0,0)</f>
        <v>400</v>
      </c>
      <c r="AH231">
        <f>_xlfn.XLOOKUP(B231,'[3]may-2025'!$A:$A,'[3]may-2025'!$G:$G,0,0)</f>
        <v>500</v>
      </c>
      <c r="AI231">
        <f t="shared" si="453"/>
        <v>44450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465"/>
        <v>200</v>
      </c>
      <c r="AM231">
        <f t="shared" si="466"/>
        <v>41750</v>
      </c>
      <c r="AN231">
        <f>_xlfn.XLOOKUP(B231,'[4]june-2025'!$A:$A,'[4]june-2025'!$C:$C,0,0)</f>
        <v>33500</v>
      </c>
      <c r="AO231">
        <f t="shared" si="467"/>
        <v>6030</v>
      </c>
      <c r="AP231">
        <f t="shared" si="468"/>
        <v>4020</v>
      </c>
      <c r="AQ231">
        <f>_xlfn.XLOOKUP(B231,'[4]june-2025'!$A:$A,'[4]june-2025'!$D:$D,0,0)</f>
        <v>400</v>
      </c>
      <c r="AR231">
        <f>_xlfn.XLOOKUP(B231,'[4]june-2025'!$A:$A,'[4]june-2025'!$G:$G,0,0)</f>
        <v>500</v>
      </c>
      <c r="AS231">
        <f t="shared" si="454"/>
        <v>44450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469"/>
        <v>200</v>
      </c>
      <c r="AW231">
        <f t="shared" si="470"/>
        <v>41750</v>
      </c>
      <c r="AX231">
        <f>_xlfn.XLOOKUP(B231,'[5]july-2025'!$A:$A,'[5]july-2025'!$C:$C,0,0)</f>
        <v>35500</v>
      </c>
      <c r="AY231">
        <f t="shared" si="471"/>
        <v>6390</v>
      </c>
      <c r="AZ231">
        <v>0</v>
      </c>
      <c r="BA231">
        <f t="shared" si="472"/>
        <v>4260</v>
      </c>
      <c r="BB231">
        <f>_xlfn.XLOOKUP(B231,'[5]july-2025'!$A:$A,'[5]july-2025'!$D:$D,0,0)</f>
        <v>400</v>
      </c>
      <c r="BC231">
        <f>_xlfn.XLOOKUP(B231,'[5]july-2025'!$A:$A,'[5]july-2025'!$G:$G,0,0)</f>
        <v>500</v>
      </c>
      <c r="BD231">
        <f>IF(AX231&gt;0,SUM(AX231:BC231),0)</f>
        <v>47050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473"/>
        <v>200</v>
      </c>
      <c r="BH231">
        <f t="shared" si="474"/>
        <v>44350</v>
      </c>
      <c r="BI231">
        <f>_xlfn.XLOOKUP(B231,'[6]august-2025'!$A:$A,'[6]august-2025'!$C:$C,0,0)</f>
        <v>35500</v>
      </c>
      <c r="BJ231">
        <f t="shared" si="475"/>
        <v>6390</v>
      </c>
      <c r="BK231">
        <f t="shared" si="476"/>
        <v>4260</v>
      </c>
      <c r="BL231">
        <f>_xlfn.XLOOKUP(B231,'[6]august-2025'!$A:$A,'[6]august-2025'!$D:$D,0,0)</f>
        <v>400</v>
      </c>
      <c r="BM231">
        <f>_xlfn.XLOOKUP(B231,'[6]august-2025'!$A:$A,'[6]august-2025'!$G:$G,0,0)</f>
        <v>500</v>
      </c>
      <c r="BN231">
        <f t="shared" si="477"/>
        <v>47050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>IF($F231="YES",0,IF(BN231&gt;40000,200,IF(BN231&gt;25000,150,IF(BN231&gt;15000,130,IF(BN231&gt;10000,110,0)))))</f>
        <v>200</v>
      </c>
      <c r="BR231">
        <f>BN231-BO231-BP231-BQ231</f>
        <v>44350</v>
      </c>
      <c r="BS231">
        <f>_xlfn.XLOOKUP(B231,'[7]september-2025'!$A:$A,'[7]september-2025'!$C:$C,0,0)</f>
        <v>35500</v>
      </c>
      <c r="BT231">
        <f t="shared" si="478"/>
        <v>6390</v>
      </c>
      <c r="BU231">
        <f t="shared" si="479"/>
        <v>4260</v>
      </c>
      <c r="BV231">
        <f>_xlfn.XLOOKUP(B231,'[7]september-2025'!$A:$A,'[7]september-2025'!$D:$D,0,0)</f>
        <v>400</v>
      </c>
      <c r="BW231">
        <f>_xlfn.XLOOKUP(B231,'[7]september-2025'!$A:$A,'[7]september-2025'!$G:$G,0,0)</f>
        <v>500</v>
      </c>
      <c r="BX231">
        <f>IF(BS231&gt;0,SUM(BS231:BW231),0)</f>
        <v>47050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480"/>
        <v>200</v>
      </c>
      <c r="CB231">
        <f t="shared" si="481"/>
        <v>44350</v>
      </c>
      <c r="CC231">
        <f>_xlfn.XLOOKUP(B231,'[8]october-2025'!$A:$A,'[8]october-2025'!$C:$C,0,0)</f>
        <v>35500</v>
      </c>
      <c r="CD231">
        <f t="shared" si="482"/>
        <v>6390</v>
      </c>
      <c r="CE231">
        <f t="shared" si="483"/>
        <v>4260</v>
      </c>
      <c r="CF231">
        <f>_xlfn.XLOOKUP(B231,'[8]october-2025'!$A:$A,'[8]october-2025'!$D:$D,0,0)</f>
        <v>400</v>
      </c>
      <c r="CG231">
        <f>_xlfn.XLOOKUP(B231,'[8]october-2025'!$A:$A,'[8]october-2025'!$G:$G,0,0)</f>
        <v>500</v>
      </c>
      <c r="CH231">
        <f>IF(CC231&gt;0,SUM(CC231:CG231),0)</f>
        <v>47050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484"/>
        <v>200</v>
      </c>
      <c r="CL231">
        <f t="shared" si="485"/>
        <v>44350</v>
      </c>
      <c r="CM231">
        <f>_xlfn.XLOOKUP(B231,'[9]november-2025'!$A:$A,'[9]november-2025'!$C:$C,0,0)</f>
        <v>35500</v>
      </c>
      <c r="CN231">
        <f t="shared" si="486"/>
        <v>6390</v>
      </c>
      <c r="CO231">
        <f t="shared" si="487"/>
        <v>4260</v>
      </c>
      <c r="CP231">
        <f>_xlfn.XLOOKUP(B231,'[9]november-2025'!$A:$A,'[9]november-2025'!$D:$D,0,0)</f>
        <v>400</v>
      </c>
      <c r="CQ231">
        <f>_xlfn.XLOOKUP(B231,'[9]november-2025'!$A:$A,'[9]november-2025'!$G:$G,0,0)</f>
        <v>500</v>
      </c>
      <c r="CR231">
        <f>IF(CM231&gt;0,SUM(CM231:CQ231),0)</f>
        <v>47050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488"/>
        <v>200</v>
      </c>
      <c r="CV231">
        <f t="shared" si="489"/>
        <v>44350</v>
      </c>
      <c r="CW231">
        <f>_xlfn.XLOOKUP(B231,'[10]december-2025'!$A:$A,'[10]december-2025'!$C:$C,0,0)</f>
        <v>35500</v>
      </c>
      <c r="CX231">
        <f t="shared" si="490"/>
        <v>6390</v>
      </c>
      <c r="CY231">
        <f t="shared" si="491"/>
        <v>4260</v>
      </c>
      <c r="CZ231">
        <f>_xlfn.XLOOKUP(B231,'[10]december-2025'!$A:$A,'[10]december-2025'!$D:$D,0,0)</f>
        <v>400</v>
      </c>
      <c r="DA231">
        <f>_xlfn.XLOOKUP(B231,'[10]december-2025'!$A:$A,'[10]december-2025'!$G:$G,0,0)</f>
        <v>500</v>
      </c>
      <c r="DB231">
        <f>IF(CW231&gt;0,SUM(CW231:DA231),0)</f>
        <v>47050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492"/>
        <v>200</v>
      </c>
      <c r="DF231">
        <f t="shared" si="493"/>
        <v>44350</v>
      </c>
      <c r="DG231">
        <f>_xlfn.XLOOKUP(B231,'[11]january-2026'!$A:$A,'[11]january-2026'!$C:$C,0,0)</f>
        <v>35500</v>
      </c>
      <c r="DH231">
        <f t="shared" si="494"/>
        <v>6390</v>
      </c>
      <c r="DI231">
        <f t="shared" si="495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>IF(DG231&gt;0,SUM(DG231:DK231),0)</f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496"/>
        <v>200</v>
      </c>
      <c r="DP231">
        <f t="shared" si="497"/>
        <v>44350</v>
      </c>
      <c r="DQ231">
        <f>_xlfn.XLOOKUP(B231,'[12]february-2026'!$A:$A,'[12]february-2026'!$C:$C,0,0)</f>
        <v>35500</v>
      </c>
      <c r="DR231">
        <f t="shared" si="498"/>
        <v>6390</v>
      </c>
      <c r="DS231">
        <f t="shared" si="499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>IF(DQ231&gt;0,SUM(DQ231:DU231),0)</f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00"/>
        <v>200</v>
      </c>
      <c r="DZ231">
        <f t="shared" si="501"/>
        <v>44350</v>
      </c>
      <c r="EA231">
        <f>_xlfn.XLOOKUP(B231,'[1]march-2025'!$A:$A,'[1]march-2025'!$J:$J,0,0)</f>
        <v>0</v>
      </c>
      <c r="EB231">
        <f>_xlfn.XLOOKUP(B231,'[2]april-2025'!$A:$A,'[2]april-2025'!$J:$J,0,0)</f>
        <v>0</v>
      </c>
      <c r="EC231">
        <f>_xlfn.XLOOKUP(B231,'[3]may-2025'!$A:$A,'[3]may-2025'!$J:$J,0,0)</f>
        <v>0</v>
      </c>
      <c r="ED231">
        <f>_xlfn.XLOOKUP(B231,'[4]june-2025'!$A:$A,'[4]june-2025'!$J:$J,0,0)</f>
        <v>0</v>
      </c>
      <c r="EE231">
        <f>_xlfn.XLOOKUP(B231,'[5]july-2025'!$A:$A,'[5]july-2025'!$J:$J,0,0)</f>
        <v>0</v>
      </c>
      <c r="EF231">
        <f>_xlfn.XLOOKUP(B231,'[6]august-2025'!$A:$A,'[6]august-2025'!$J:$J,0,0)</f>
        <v>0</v>
      </c>
      <c r="EG231">
        <f>_xlfn.XLOOKUP(B231,'[7]september-2025'!$A:$A,'[7]september-2025'!$J:$J,0,0)</f>
        <v>0</v>
      </c>
      <c r="EH231">
        <f>_xlfn.XLOOKUP(B231,'[8]october-2025'!$A:$A,'[8]october-2025'!$J:$J,0,0)</f>
        <v>0</v>
      </c>
      <c r="EI231">
        <f>_xlfn.XLOOKUP(C231,'[9]november-2025'!$A:$A,'[9]november-2025'!$J:$J,0,0)</f>
        <v>0</v>
      </c>
      <c r="EJ231">
        <f>_xlfn.XLOOKUP(B231,'[10]december-2025'!$A:$A,'[10]december-2025'!$J:$J,0,0)</f>
        <v>0</v>
      </c>
      <c r="EK231">
        <f>_xlfn.XLOOKUP(B231,'[11]january-2026'!$A:$A,'[11]january-2026'!$J:$J,0,0)</f>
        <v>0</v>
      </c>
      <c r="EL231">
        <f>_xlfn.XLOOKUP(B231,'[12]february-2026'!$A:$A,'[12]february-2026'!$J:$J,0,0)</f>
        <v>0</v>
      </c>
      <c r="EM231">
        <f t="shared" si="455"/>
        <v>0</v>
      </c>
      <c r="EN231">
        <f>DV231+DL231+DB231+CR231+CH231+BX231+BN231+BD231+AS231+AI231+Y231+O231+H231+I231</f>
        <v>559660</v>
      </c>
      <c r="EO231">
        <f>DY231+DO231+DE231+CU231+CK231+CA231+BQ231+BG231+AV231+AL231+AB231+R231</f>
        <v>2400</v>
      </c>
      <c r="EP231">
        <f t="shared" si="502"/>
        <v>50000</v>
      </c>
      <c r="EQ231">
        <v>0</v>
      </c>
      <c r="ER231">
        <f t="shared" si="456"/>
        <v>507260</v>
      </c>
      <c r="ES231">
        <f>DW231+DM231+DC231+CS231+CI231+BY231+BO231+BE231+AT231+AJ231+Z231+P231</f>
        <v>30000</v>
      </c>
      <c r="ET231">
        <f>DX231+DN231+DD231+CT231+CJ231+BZ231+BP231+BF231+AU231+AK231+AA231+Q231</f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503"/>
        <v>30000</v>
      </c>
      <c r="FF231">
        <f t="shared" si="504"/>
        <v>30000</v>
      </c>
      <c r="FG231">
        <f t="shared" si="505"/>
        <v>477260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>SUM(FH231:FN231)+(IF(F231="YES",50000,0))</f>
        <v>0</v>
      </c>
      <c r="FP231">
        <f t="shared" si="506"/>
        <v>477260</v>
      </c>
      <c r="FQ231">
        <f t="shared" si="507"/>
        <v>11363</v>
      </c>
      <c r="FR231">
        <f t="shared" si="508"/>
        <v>0</v>
      </c>
      <c r="FS231">
        <f t="shared" si="509"/>
        <v>11363</v>
      </c>
      <c r="FT231">
        <f t="shared" si="510"/>
        <v>0</v>
      </c>
      <c r="FU231">
        <f t="shared" si="511"/>
        <v>0</v>
      </c>
      <c r="FV231">
        <f t="shared" si="512"/>
        <v>0</v>
      </c>
      <c r="FW231">
        <v>0</v>
      </c>
      <c r="FX231">
        <f t="shared" si="513"/>
        <v>0</v>
      </c>
      <c r="FY231" t="b">
        <f t="shared" si="514"/>
        <v>1</v>
      </c>
      <c r="FZ231">
        <f t="shared" ca="1" si="515"/>
        <v>638</v>
      </c>
      <c r="GA231">
        <f t="shared" ca="1" si="516"/>
        <v>560298</v>
      </c>
      <c r="GB231">
        <f t="shared" si="517"/>
        <v>75000</v>
      </c>
      <c r="GC231">
        <f t="shared" ca="1" si="518"/>
        <v>485298</v>
      </c>
      <c r="GD231">
        <f t="shared" ca="1" si="519"/>
        <v>0</v>
      </c>
      <c r="GE231">
        <f t="shared" ca="1" si="520"/>
        <v>0</v>
      </c>
      <c r="GF231">
        <f t="shared" ca="1" si="521"/>
        <v>0</v>
      </c>
      <c r="GG231">
        <f t="shared" ca="1" si="522"/>
        <v>0</v>
      </c>
      <c r="GH231">
        <f t="shared" ca="1" si="523"/>
        <v>0</v>
      </c>
      <c r="GI231">
        <f t="shared" ca="1" si="524"/>
        <v>0</v>
      </c>
      <c r="GJ231">
        <f ca="1">IF(GC231&gt;1200000,GC231-1200000-IF(F231="YES",50000,0)-GH231,0)</f>
        <v>0</v>
      </c>
      <c r="GK231">
        <f t="shared" ca="1" si="525"/>
        <v>0</v>
      </c>
      <c r="GL231">
        <f t="shared" ca="1" si="526"/>
        <v>0</v>
      </c>
      <c r="GM231">
        <f t="shared" ca="1" si="527"/>
        <v>0</v>
      </c>
      <c r="GN231">
        <f t="shared" ca="1" si="528"/>
        <v>85298</v>
      </c>
      <c r="GO231">
        <f t="shared" ca="1" si="529"/>
        <v>4264.9000000000005</v>
      </c>
      <c r="GP231">
        <f t="shared" ca="1" si="530"/>
        <v>4265</v>
      </c>
      <c r="GQ231">
        <f t="shared" ca="1" si="531"/>
        <v>0</v>
      </c>
      <c r="GR231">
        <f t="shared" ca="1" si="532"/>
        <v>0</v>
      </c>
      <c r="GS231">
        <f t="shared" ca="1" si="533"/>
        <v>4265</v>
      </c>
      <c r="GT231">
        <f t="shared" ca="1" si="534"/>
        <v>0</v>
      </c>
      <c r="GU231" t="b">
        <f t="shared" ca="1" si="535"/>
        <v>0</v>
      </c>
      <c r="GV231">
        <f t="shared" ca="1" si="536"/>
        <v>0</v>
      </c>
      <c r="GW231">
        <f t="shared" ca="1" si="537"/>
        <v>4265</v>
      </c>
      <c r="GX231">
        <f t="shared" ca="1" si="538"/>
        <v>0</v>
      </c>
      <c r="GY231">
        <f t="shared" ca="1" si="539"/>
        <v>0</v>
      </c>
      <c r="GZ231">
        <f t="shared" ca="1" si="540"/>
        <v>0</v>
      </c>
    </row>
    <row r="232" spans="1:208" x14ac:dyDescent="0.25">
      <c r="A232">
        <f>_xlfn.AGGREGATE(3,5,$B$2:B232)</f>
        <v>231</v>
      </c>
      <c r="B232" t="s">
        <v>568</v>
      </c>
      <c r="C232" t="s">
        <v>569</v>
      </c>
      <c r="D232" t="s">
        <v>809</v>
      </c>
      <c r="E232" t="s">
        <v>831</v>
      </c>
      <c r="F232" t="s">
        <v>957</v>
      </c>
      <c r="G232" t="s">
        <v>924</v>
      </c>
      <c r="H232">
        <f t="shared" si="543"/>
        <v>6800</v>
      </c>
      <c r="I232">
        <f>_xlfn.XLOOKUP(B232,'[1]march-2025'!$A:$A,'[1]march-2025'!$J:$J,0,0)</f>
        <v>0</v>
      </c>
      <c r="J232">
        <f>_xlfn.XLOOKUP(B232,'[1]march-2025'!$A:$A,'[1]march-2025'!$C:$C,0,0)</f>
        <v>33500</v>
      </c>
      <c r="K232">
        <f t="shared" si="457"/>
        <v>4690</v>
      </c>
      <c r="L232">
        <f t="shared" si="458"/>
        <v>4020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>IF(J232&gt;0,SUM(J232:N232),0)</f>
        <v>42710</v>
      </c>
      <c r="P232">
        <f>_xlfn.XLOOKUP(B232,'[1]march-2025'!$A:$A,'[1]march-2025'!$H:$H,0,0)</f>
        <v>2500</v>
      </c>
      <c r="Q232">
        <f>_xlfn.XLOOKUP(B232,'[1]march-2025'!$A:$A,'[1]march-2025'!$I:$I,0,0)</f>
        <v>0</v>
      </c>
      <c r="R232">
        <f t="shared" si="541"/>
        <v>200</v>
      </c>
      <c r="S232">
        <f t="shared" si="451"/>
        <v>40010</v>
      </c>
      <c r="T232">
        <f>_xlfn.XLOOKUP(B232,'[2]april-2025'!$A:$A,'[2]april-2025'!$C:$C,0,0)</f>
        <v>33500</v>
      </c>
      <c r="U232">
        <f t="shared" si="459"/>
        <v>6030</v>
      </c>
      <c r="V232">
        <f t="shared" si="460"/>
        <v>4020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452"/>
        <v>44050</v>
      </c>
      <c r="Z232">
        <f>_xlfn.XLOOKUP(B232,'[2]april-2025'!$A:$A,'[2]april-2025'!$H:$H,0,0)</f>
        <v>2500</v>
      </c>
      <c r="AA232">
        <f>_xlfn.XLOOKUP(B232,'[2]april-2025'!$A:$A,'[2]april-2025'!$I:$I,0,0)</f>
        <v>0</v>
      </c>
      <c r="AB232">
        <f t="shared" si="461"/>
        <v>200</v>
      </c>
      <c r="AC232">
        <f t="shared" si="462"/>
        <v>41350</v>
      </c>
      <c r="AD232">
        <f>_xlfn.XLOOKUP(B232,'[3]may-2025'!$A:$A,'[3]may-2025'!$C:$C,0,0)</f>
        <v>33500</v>
      </c>
      <c r="AE232">
        <f t="shared" si="463"/>
        <v>6030</v>
      </c>
      <c r="AF232">
        <f t="shared" si="464"/>
        <v>4020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453"/>
        <v>44050</v>
      </c>
      <c r="AJ232">
        <f>_xlfn.XLOOKUP(B232,'[3]may-2025'!$A:$A,'[3]may-2025'!$H:$H,0,0)</f>
        <v>2500</v>
      </c>
      <c r="AK232">
        <f>_xlfn.XLOOKUP(B232,'[3]may-2025'!$A:$A,'[3]may-2025'!$I:$I,0,0)</f>
        <v>0</v>
      </c>
      <c r="AL232">
        <f t="shared" si="465"/>
        <v>200</v>
      </c>
      <c r="AM232">
        <f t="shared" si="466"/>
        <v>41350</v>
      </c>
      <c r="AN232">
        <f>_xlfn.XLOOKUP(B232,'[4]june-2025'!$A:$A,'[4]june-2025'!$C:$C,0,0)</f>
        <v>33500</v>
      </c>
      <c r="AO232">
        <f t="shared" si="467"/>
        <v>6030</v>
      </c>
      <c r="AP232">
        <f t="shared" si="468"/>
        <v>4020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454"/>
        <v>44050</v>
      </c>
      <c r="AT232">
        <f>_xlfn.XLOOKUP(B232,'[4]june-2025'!$A:$A,'[4]june-2025'!$H:$H,0,0)</f>
        <v>2500</v>
      </c>
      <c r="AU232">
        <f>_xlfn.XLOOKUP(B232,'[4]june-2025'!$A:$A,'[4]june-2025'!$I:$I,0,0)</f>
        <v>0</v>
      </c>
      <c r="AV232">
        <f t="shared" si="469"/>
        <v>200</v>
      </c>
      <c r="AW232">
        <f t="shared" si="470"/>
        <v>41350</v>
      </c>
      <c r="AX232">
        <f>_xlfn.XLOOKUP(B232,'[5]july-2025'!$A:$A,'[5]july-2025'!$C:$C,0,0)</f>
        <v>34500</v>
      </c>
      <c r="AY232">
        <f t="shared" si="471"/>
        <v>6210</v>
      </c>
      <c r="AZ232">
        <v>0</v>
      </c>
      <c r="BA232">
        <f t="shared" si="472"/>
        <v>4140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>IF(AX232&gt;0,SUM(AX232:BC232),0)</f>
        <v>45350</v>
      </c>
      <c r="BE232">
        <f>_xlfn.XLOOKUP(B232,'[5]july-2025'!$A:$A,'[5]july-2025'!$H:$H,0,0)</f>
        <v>2500</v>
      </c>
      <c r="BF232">
        <f>_xlfn.XLOOKUP(B232,'[5]july-2025'!$A:$A,'[5]july-2025'!$I:$I,0,0)</f>
        <v>0</v>
      </c>
      <c r="BG232">
        <f t="shared" si="473"/>
        <v>200</v>
      </c>
      <c r="BH232">
        <f t="shared" si="474"/>
        <v>42650</v>
      </c>
      <c r="BI232">
        <f>_xlfn.XLOOKUP(B232,'[6]august-2025'!$A:$A,'[6]august-2025'!$C:$C,0,0)</f>
        <v>34500</v>
      </c>
      <c r="BJ232">
        <f t="shared" si="475"/>
        <v>6210</v>
      </c>
      <c r="BK232">
        <f t="shared" si="476"/>
        <v>4140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477"/>
        <v>45350</v>
      </c>
      <c r="BO232">
        <f>_xlfn.XLOOKUP(B232,'[6]august-2025'!$A:$A,'[6]august-2025'!$H:$H,0,0)</f>
        <v>2500</v>
      </c>
      <c r="BP232">
        <f>_xlfn.XLOOKUP(B232,'[6]august-2025'!$A:$A,'[6]august-2025'!$I:$I,0,0)</f>
        <v>0</v>
      </c>
      <c r="BQ232">
        <f>IF($F232="YES",0,IF(BN232&gt;40000,200,IF(BN232&gt;25000,150,IF(BN232&gt;15000,130,IF(BN232&gt;10000,110,0)))))</f>
        <v>200</v>
      </c>
      <c r="BR232">
        <f>BN232-BO232-BP232-BQ232</f>
        <v>42650</v>
      </c>
      <c r="BS232">
        <f>_xlfn.XLOOKUP(B232,'[7]september-2025'!$A:$A,'[7]september-2025'!$C:$C,0,0)</f>
        <v>34500</v>
      </c>
      <c r="BT232">
        <f t="shared" si="478"/>
        <v>6210</v>
      </c>
      <c r="BU232">
        <f t="shared" si="479"/>
        <v>4140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>IF(BS232&gt;0,SUM(BS232:BW232),0)</f>
        <v>45350</v>
      </c>
      <c r="BY232">
        <f>_xlfn.XLOOKUP(B232,'[7]september-2025'!$A:$A,'[7]september-2025'!$H:$H,0,0)</f>
        <v>2500</v>
      </c>
      <c r="BZ232">
        <f>_xlfn.XLOOKUP(B232,'[7]september-2025'!$A:$A,'[7]september-2025'!$I:$I,0,0)</f>
        <v>0</v>
      </c>
      <c r="CA232">
        <f t="shared" si="480"/>
        <v>200</v>
      </c>
      <c r="CB232">
        <f t="shared" si="481"/>
        <v>42650</v>
      </c>
      <c r="CC232">
        <f>_xlfn.XLOOKUP(B232,'[8]october-2025'!$A:$A,'[8]october-2025'!$C:$C,0,0)</f>
        <v>34500</v>
      </c>
      <c r="CD232">
        <f t="shared" si="482"/>
        <v>6210</v>
      </c>
      <c r="CE232">
        <f t="shared" si="483"/>
        <v>4140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>IF(CC232&gt;0,SUM(CC232:CG232),0)</f>
        <v>45350</v>
      </c>
      <c r="CI232">
        <f>_xlfn.XLOOKUP(B232,'[8]october-2025'!$A:$A,'[8]october-2025'!$H:$H,0,0)</f>
        <v>2500</v>
      </c>
      <c r="CJ232">
        <f>_xlfn.XLOOKUP(B232,'[8]october-2025'!$A:$A,'[8]october-2025'!$I:$I,0,0)</f>
        <v>0</v>
      </c>
      <c r="CK232">
        <f t="shared" si="484"/>
        <v>200</v>
      </c>
      <c r="CL232">
        <f t="shared" si="485"/>
        <v>42650</v>
      </c>
      <c r="CM232">
        <f>_xlfn.XLOOKUP(B232,'[9]november-2025'!$A:$A,'[9]november-2025'!$C:$C,0,0)</f>
        <v>34500</v>
      </c>
      <c r="CN232">
        <f t="shared" si="486"/>
        <v>6210</v>
      </c>
      <c r="CO232">
        <f t="shared" si="487"/>
        <v>4140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>IF(CM232&gt;0,SUM(CM232:CQ232),0)</f>
        <v>45350</v>
      </c>
      <c r="CS232">
        <f>_xlfn.XLOOKUP(B232,'[9]november-2025'!$A:$A,'[9]november-2025'!$H:$H,0,0)</f>
        <v>2500</v>
      </c>
      <c r="CT232">
        <f>_xlfn.XLOOKUP(B232,'[9]november-2025'!$A:$A,'[9]november-2025'!$I:$I,0,0)</f>
        <v>0</v>
      </c>
      <c r="CU232">
        <f t="shared" si="488"/>
        <v>200</v>
      </c>
      <c r="CV232">
        <f t="shared" si="489"/>
        <v>42650</v>
      </c>
      <c r="CW232">
        <f>_xlfn.XLOOKUP(B232,'[10]december-2025'!$A:$A,'[10]december-2025'!$C:$C,0,0)</f>
        <v>34500</v>
      </c>
      <c r="CX232">
        <f t="shared" si="490"/>
        <v>6210</v>
      </c>
      <c r="CY232">
        <f t="shared" si="491"/>
        <v>4140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>IF(CW232&gt;0,SUM(CW232:DA232),0)</f>
        <v>45350</v>
      </c>
      <c r="DC232">
        <f>_xlfn.XLOOKUP(B232,'[10]december-2025'!$A:$A,'[10]december-2025'!$H:$H,0,0)</f>
        <v>2500</v>
      </c>
      <c r="DD232">
        <f>_xlfn.XLOOKUP(B232,'[10]december-2025'!$A:$A,'[10]december-2025'!$I:$I,0,0)</f>
        <v>0</v>
      </c>
      <c r="DE232">
        <f t="shared" si="492"/>
        <v>200</v>
      </c>
      <c r="DF232">
        <f t="shared" si="493"/>
        <v>42650</v>
      </c>
      <c r="DG232">
        <f>_xlfn.XLOOKUP(B232,'[11]january-2026'!$A:$A,'[11]january-2026'!$C:$C,0,0)</f>
        <v>34500</v>
      </c>
      <c r="DH232">
        <f t="shared" si="494"/>
        <v>6210</v>
      </c>
      <c r="DI232">
        <f t="shared" si="495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>IF(DG232&gt;0,SUM(DG232:DK232),0)</f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496"/>
        <v>200</v>
      </c>
      <c r="DP232">
        <f t="shared" si="497"/>
        <v>42650</v>
      </c>
      <c r="DQ232">
        <f>_xlfn.XLOOKUP(B232,'[12]february-2026'!$A:$A,'[12]february-2026'!$C:$C,0,0)</f>
        <v>34500</v>
      </c>
      <c r="DR232">
        <f t="shared" si="498"/>
        <v>6210</v>
      </c>
      <c r="DS232">
        <f t="shared" si="499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>IF(DQ232&gt;0,SUM(DQ232:DU232),0)</f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00"/>
        <v>200</v>
      </c>
      <c r="DZ232">
        <f t="shared" si="501"/>
        <v>42650</v>
      </c>
      <c r="EA232">
        <f>_xlfn.XLOOKUP(B232,'[1]march-2025'!$A:$A,'[1]march-2025'!$J:$J,0,0)</f>
        <v>0</v>
      </c>
      <c r="EB232">
        <f>_xlfn.XLOOKUP(B232,'[2]april-2025'!$A:$A,'[2]april-2025'!$J:$J,0,0)</f>
        <v>0</v>
      </c>
      <c r="EC232">
        <f>_xlfn.XLOOKUP(B232,'[3]may-2025'!$A:$A,'[3]may-2025'!$J:$J,0,0)</f>
        <v>0</v>
      </c>
      <c r="ED232">
        <f>_xlfn.XLOOKUP(B232,'[4]june-2025'!$A:$A,'[4]june-2025'!$J:$J,0,0)</f>
        <v>0</v>
      </c>
      <c r="EE232">
        <f>_xlfn.XLOOKUP(B232,'[5]july-2025'!$A:$A,'[5]july-2025'!$J:$J,0,0)</f>
        <v>0</v>
      </c>
      <c r="EF232">
        <f>_xlfn.XLOOKUP(B232,'[6]august-2025'!$A:$A,'[6]august-2025'!$J:$J,0,0)</f>
        <v>0</v>
      </c>
      <c r="EG232">
        <f>_xlfn.XLOOKUP(B232,'[7]september-2025'!$A:$A,'[7]september-2025'!$J:$J,0,0)</f>
        <v>0</v>
      </c>
      <c r="EH232">
        <f>_xlfn.XLOOKUP(B232,'[8]october-2025'!$A:$A,'[8]october-2025'!$J:$J,0,0)</f>
        <v>0</v>
      </c>
      <c r="EI232">
        <f>_xlfn.XLOOKUP(C232,'[9]november-2025'!$A:$A,'[9]november-2025'!$J:$J,0,0)</f>
        <v>0</v>
      </c>
      <c r="EJ232">
        <f>_xlfn.XLOOKUP(B232,'[10]december-2025'!$A:$A,'[10]december-2025'!$J:$J,0,0)</f>
        <v>0</v>
      </c>
      <c r="EK232">
        <f>_xlfn.XLOOKUP(B232,'[11]january-2026'!$A:$A,'[11]january-2026'!$J:$J,0,0)</f>
        <v>0</v>
      </c>
      <c r="EL232">
        <f>_xlfn.XLOOKUP(B232,'[12]february-2026'!$A:$A,'[12]february-2026'!$J:$J,0,0)</f>
        <v>0</v>
      </c>
      <c r="EM232">
        <f t="shared" si="455"/>
        <v>0</v>
      </c>
      <c r="EN232">
        <f>DV232+DL232+DB232+CR232+CH232+BX232+BN232+BD232+AS232+AI232+Y232+O232+H232+I232</f>
        <v>544460</v>
      </c>
      <c r="EO232">
        <f>DY232+DO232+DE232+CU232+CK232+CA232+BQ232+BG232+AV232+AL232+AB232+R232</f>
        <v>2400</v>
      </c>
      <c r="EP232">
        <f t="shared" si="502"/>
        <v>50000</v>
      </c>
      <c r="EQ232">
        <v>0</v>
      </c>
      <c r="ER232">
        <f t="shared" si="456"/>
        <v>492060</v>
      </c>
      <c r="ES232">
        <f>DW232+DM232+DC232+CS232+CI232+BY232+BO232+BE232+AT232+AJ232+Z232+P232</f>
        <v>30000</v>
      </c>
      <c r="ET232">
        <f>DX232+DN232+DD232+CT232+CJ232+BZ232+BP232+BF232+AU232+AK232+AA232+Q232</f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503"/>
        <v>30000</v>
      </c>
      <c r="FF232">
        <f t="shared" si="504"/>
        <v>30000</v>
      </c>
      <c r="FG232">
        <f t="shared" si="505"/>
        <v>462060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>SUM(FH232:FN232)+(IF(F232="YES",50000,0))</f>
        <v>0</v>
      </c>
      <c r="FP232">
        <f t="shared" si="506"/>
        <v>462060</v>
      </c>
      <c r="FQ232">
        <f t="shared" si="507"/>
        <v>10603</v>
      </c>
      <c r="FR232">
        <f t="shared" si="508"/>
        <v>0</v>
      </c>
      <c r="FS232">
        <f t="shared" si="509"/>
        <v>10603</v>
      </c>
      <c r="FT232">
        <f t="shared" si="510"/>
        <v>0</v>
      </c>
      <c r="FU232">
        <f t="shared" si="511"/>
        <v>0</v>
      </c>
      <c r="FV232">
        <f t="shared" si="512"/>
        <v>0</v>
      </c>
      <c r="FW232">
        <v>0</v>
      </c>
      <c r="FX232">
        <f t="shared" si="513"/>
        <v>0</v>
      </c>
      <c r="FY232" t="b">
        <f t="shared" si="514"/>
        <v>1</v>
      </c>
      <c r="FZ232">
        <f t="shared" ca="1" si="515"/>
        <v>634</v>
      </c>
      <c r="GA232">
        <f t="shared" ca="1" si="516"/>
        <v>545094</v>
      </c>
      <c r="GB232">
        <f t="shared" si="517"/>
        <v>75000</v>
      </c>
      <c r="GC232">
        <f t="shared" ca="1" si="518"/>
        <v>470094</v>
      </c>
      <c r="GD232">
        <f t="shared" ca="1" si="519"/>
        <v>0</v>
      </c>
      <c r="GE232">
        <f t="shared" ca="1" si="520"/>
        <v>0</v>
      </c>
      <c r="GF232">
        <f t="shared" ca="1" si="521"/>
        <v>0</v>
      </c>
      <c r="GG232">
        <f t="shared" ca="1" si="522"/>
        <v>0</v>
      </c>
      <c r="GH232">
        <f t="shared" ca="1" si="523"/>
        <v>0</v>
      </c>
      <c r="GI232">
        <f t="shared" ca="1" si="524"/>
        <v>0</v>
      </c>
      <c r="GJ232">
        <f ca="1">IF(GC232&gt;1200000,GC232-1200000-IF(F232="YES",50000,0)-GH232,0)</f>
        <v>0</v>
      </c>
      <c r="GK232">
        <f t="shared" ca="1" si="525"/>
        <v>0</v>
      </c>
      <c r="GL232">
        <f t="shared" ca="1" si="526"/>
        <v>0</v>
      </c>
      <c r="GM232">
        <f t="shared" ca="1" si="527"/>
        <v>0</v>
      </c>
      <c r="GN232">
        <f t="shared" ca="1" si="528"/>
        <v>70094</v>
      </c>
      <c r="GO232">
        <f t="shared" ca="1" si="529"/>
        <v>3504.7000000000003</v>
      </c>
      <c r="GP232">
        <f t="shared" ca="1" si="530"/>
        <v>3505</v>
      </c>
      <c r="GQ232">
        <f t="shared" ca="1" si="531"/>
        <v>0</v>
      </c>
      <c r="GR232">
        <f t="shared" ca="1" si="532"/>
        <v>0</v>
      </c>
      <c r="GS232">
        <f t="shared" ca="1" si="533"/>
        <v>3505</v>
      </c>
      <c r="GT232">
        <f t="shared" ca="1" si="534"/>
        <v>0</v>
      </c>
      <c r="GU232" t="b">
        <f t="shared" ca="1" si="535"/>
        <v>0</v>
      </c>
      <c r="GV232">
        <f t="shared" ca="1" si="536"/>
        <v>0</v>
      </c>
      <c r="GW232">
        <f t="shared" ca="1" si="537"/>
        <v>3505</v>
      </c>
      <c r="GX232">
        <f t="shared" ca="1" si="538"/>
        <v>0</v>
      </c>
      <c r="GY232">
        <f t="shared" ca="1" si="539"/>
        <v>0</v>
      </c>
      <c r="GZ232">
        <f t="shared" ca="1" si="540"/>
        <v>0</v>
      </c>
    </row>
    <row r="233" spans="1:208" x14ac:dyDescent="0.25">
      <c r="A233">
        <f>_xlfn.AGGREGATE(3,5,$B$2:B233)</f>
        <v>232</v>
      </c>
      <c r="B233" t="s">
        <v>570</v>
      </c>
      <c r="C233" t="s">
        <v>571</v>
      </c>
      <c r="D233" t="s">
        <v>809</v>
      </c>
      <c r="E233" t="s">
        <v>831</v>
      </c>
      <c r="F233" t="s">
        <v>957</v>
      </c>
      <c r="G233" t="s">
        <v>881</v>
      </c>
      <c r="H233">
        <f t="shared" si="543"/>
        <v>6800</v>
      </c>
      <c r="I233">
        <f>_xlfn.XLOOKUP(B233,'[1]march-2025'!$A:$A,'[1]march-2025'!$J:$J,0,0)</f>
        <v>0</v>
      </c>
      <c r="J233">
        <f>_xlfn.XLOOKUP(B233,'[1]march-2025'!$A:$A,'[1]march-2025'!$C:$C,0,0)</f>
        <v>28900</v>
      </c>
      <c r="K233">
        <f t="shared" si="457"/>
        <v>4046.0000000000005</v>
      </c>
      <c r="L233">
        <f t="shared" si="458"/>
        <v>3468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>IF(J233&gt;0,SUM(J233:N233),0)</f>
        <v>36914</v>
      </c>
      <c r="P233">
        <f>_xlfn.XLOOKUP(B233,'[1]march-2025'!$A:$A,'[1]march-2025'!$H:$H,0,0)</f>
        <v>2000</v>
      </c>
      <c r="Q233">
        <f>_xlfn.XLOOKUP(B233,'[1]march-2025'!$A:$A,'[1]march-2025'!$I:$I,0,0)</f>
        <v>0</v>
      </c>
      <c r="R233">
        <f t="shared" si="541"/>
        <v>150</v>
      </c>
      <c r="S233">
        <f t="shared" si="451"/>
        <v>34764</v>
      </c>
      <c r="T233">
        <f>_xlfn.XLOOKUP(B233,'[2]april-2025'!$A:$A,'[2]april-2025'!$C:$C,0,0)</f>
        <v>28900</v>
      </c>
      <c r="U233">
        <f t="shared" si="459"/>
        <v>5202</v>
      </c>
      <c r="V233">
        <f t="shared" si="460"/>
        <v>3468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452"/>
        <v>38070</v>
      </c>
      <c r="Z233">
        <f>_xlfn.XLOOKUP(B233,'[2]april-2025'!$A:$A,'[2]april-2025'!$H:$H,0,0)</f>
        <v>2000</v>
      </c>
      <c r="AA233">
        <f>_xlfn.XLOOKUP(B233,'[2]april-2025'!$A:$A,'[2]april-2025'!$I:$I,0,0)</f>
        <v>0</v>
      </c>
      <c r="AB233">
        <f t="shared" si="461"/>
        <v>150</v>
      </c>
      <c r="AC233">
        <f t="shared" si="462"/>
        <v>35920</v>
      </c>
      <c r="AD233">
        <f>_xlfn.XLOOKUP(B233,'[3]may-2025'!$A:$A,'[3]may-2025'!$C:$C,0,0)</f>
        <v>28900</v>
      </c>
      <c r="AE233">
        <f t="shared" si="463"/>
        <v>5202</v>
      </c>
      <c r="AF233">
        <f t="shared" si="464"/>
        <v>3468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453"/>
        <v>38070</v>
      </c>
      <c r="AJ233">
        <f>_xlfn.XLOOKUP(B233,'[3]may-2025'!$A:$A,'[3]may-2025'!$H:$H,0,0)</f>
        <v>2000</v>
      </c>
      <c r="AK233">
        <f>_xlfn.XLOOKUP(B233,'[3]may-2025'!$A:$A,'[3]may-2025'!$I:$I,0,0)</f>
        <v>0</v>
      </c>
      <c r="AL233">
        <f t="shared" si="465"/>
        <v>150</v>
      </c>
      <c r="AM233">
        <f t="shared" si="466"/>
        <v>35920</v>
      </c>
      <c r="AN233">
        <f>_xlfn.XLOOKUP(B233,'[4]june-2025'!$A:$A,'[4]june-2025'!$C:$C,0,0)</f>
        <v>28900</v>
      </c>
      <c r="AO233">
        <f t="shared" si="467"/>
        <v>5202</v>
      </c>
      <c r="AP233">
        <f t="shared" si="468"/>
        <v>3468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454"/>
        <v>38070</v>
      </c>
      <c r="AT233">
        <f>_xlfn.XLOOKUP(B233,'[4]june-2025'!$A:$A,'[4]june-2025'!$H:$H,0,0)</f>
        <v>2000</v>
      </c>
      <c r="AU233">
        <f>_xlfn.XLOOKUP(B233,'[4]june-2025'!$A:$A,'[4]june-2025'!$I:$I,0,0)</f>
        <v>0</v>
      </c>
      <c r="AV233">
        <f t="shared" si="469"/>
        <v>150</v>
      </c>
      <c r="AW233">
        <f t="shared" si="470"/>
        <v>35920</v>
      </c>
      <c r="AX233">
        <f>_xlfn.XLOOKUP(B233,'[5]july-2025'!$A:$A,'[5]july-2025'!$C:$C,0,0)</f>
        <v>29800</v>
      </c>
      <c r="AY233">
        <f t="shared" si="471"/>
        <v>5364</v>
      </c>
      <c r="AZ233">
        <v>0</v>
      </c>
      <c r="BA233">
        <f t="shared" si="472"/>
        <v>3576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>IF(AX233&gt;0,SUM(AX233:BC233),0)</f>
        <v>39240</v>
      </c>
      <c r="BE233">
        <f>_xlfn.XLOOKUP(B233,'[5]july-2025'!$A:$A,'[5]july-2025'!$H:$H,0,0)</f>
        <v>2000</v>
      </c>
      <c r="BF233">
        <f>_xlfn.XLOOKUP(B233,'[5]july-2025'!$A:$A,'[5]july-2025'!$I:$I,0,0)</f>
        <v>0</v>
      </c>
      <c r="BG233">
        <f t="shared" si="473"/>
        <v>150</v>
      </c>
      <c r="BH233">
        <f t="shared" si="474"/>
        <v>37090</v>
      </c>
      <c r="BI233">
        <f>_xlfn.XLOOKUP(B233,'[6]august-2025'!$A:$A,'[6]august-2025'!$C:$C,0,0)</f>
        <v>29800</v>
      </c>
      <c r="BJ233">
        <f t="shared" si="475"/>
        <v>5364</v>
      </c>
      <c r="BK233">
        <f t="shared" si="476"/>
        <v>3576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477"/>
        <v>39240</v>
      </c>
      <c r="BO233">
        <f>_xlfn.XLOOKUP(B233,'[6]august-2025'!$A:$A,'[6]august-2025'!$H:$H,0,0)</f>
        <v>2000</v>
      </c>
      <c r="BP233">
        <f>_xlfn.XLOOKUP(B233,'[6]august-2025'!$A:$A,'[6]august-2025'!$I:$I,0,0)</f>
        <v>0</v>
      </c>
      <c r="BQ233">
        <f>IF($F233="YES",0,IF(BN233&gt;40000,200,IF(BN233&gt;25000,150,IF(BN233&gt;15000,130,IF(BN233&gt;10000,110,0)))))</f>
        <v>150</v>
      </c>
      <c r="BR233">
        <f>BN233-BO233-BP233-BQ233</f>
        <v>37090</v>
      </c>
      <c r="BS233">
        <f>_xlfn.XLOOKUP(B233,'[7]september-2025'!$A:$A,'[7]september-2025'!$C:$C,0,0)</f>
        <v>29800</v>
      </c>
      <c r="BT233">
        <f t="shared" si="478"/>
        <v>5364</v>
      </c>
      <c r="BU233">
        <f t="shared" si="479"/>
        <v>3576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>IF(BS233&gt;0,SUM(BS233:BW233),0)</f>
        <v>39240</v>
      </c>
      <c r="BY233">
        <f>_xlfn.XLOOKUP(B233,'[7]september-2025'!$A:$A,'[7]september-2025'!$H:$H,0,0)</f>
        <v>2000</v>
      </c>
      <c r="BZ233">
        <f>_xlfn.XLOOKUP(B233,'[7]september-2025'!$A:$A,'[7]september-2025'!$I:$I,0,0)</f>
        <v>0</v>
      </c>
      <c r="CA233">
        <f t="shared" si="480"/>
        <v>150</v>
      </c>
      <c r="CB233">
        <f t="shared" si="481"/>
        <v>37090</v>
      </c>
      <c r="CC233">
        <f>_xlfn.XLOOKUP(B233,'[8]october-2025'!$A:$A,'[8]october-2025'!$C:$C,0,0)</f>
        <v>29800</v>
      </c>
      <c r="CD233">
        <f t="shared" si="482"/>
        <v>5364</v>
      </c>
      <c r="CE233">
        <f t="shared" si="483"/>
        <v>3576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>IF(CC233&gt;0,SUM(CC233:CG233),0)</f>
        <v>39240</v>
      </c>
      <c r="CI233">
        <f>_xlfn.XLOOKUP(B233,'[8]october-2025'!$A:$A,'[8]october-2025'!$H:$H,0,0)</f>
        <v>2000</v>
      </c>
      <c r="CJ233">
        <f>_xlfn.XLOOKUP(B233,'[8]october-2025'!$A:$A,'[8]october-2025'!$I:$I,0,0)</f>
        <v>0</v>
      </c>
      <c r="CK233">
        <f t="shared" si="484"/>
        <v>150</v>
      </c>
      <c r="CL233">
        <f t="shared" si="485"/>
        <v>37090</v>
      </c>
      <c r="CM233">
        <f>_xlfn.XLOOKUP(B233,'[9]november-2025'!$A:$A,'[9]november-2025'!$C:$C,0,0)</f>
        <v>29800</v>
      </c>
      <c r="CN233">
        <f t="shared" si="486"/>
        <v>5364</v>
      </c>
      <c r="CO233">
        <f t="shared" si="487"/>
        <v>3576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>IF(CM233&gt;0,SUM(CM233:CQ233),0)</f>
        <v>39240</v>
      </c>
      <c r="CS233">
        <f>_xlfn.XLOOKUP(B233,'[9]november-2025'!$A:$A,'[9]november-2025'!$H:$H,0,0)</f>
        <v>2000</v>
      </c>
      <c r="CT233">
        <f>_xlfn.XLOOKUP(B233,'[9]november-2025'!$A:$A,'[9]november-2025'!$I:$I,0,0)</f>
        <v>0</v>
      </c>
      <c r="CU233">
        <f t="shared" si="488"/>
        <v>150</v>
      </c>
      <c r="CV233">
        <f t="shared" si="489"/>
        <v>37090</v>
      </c>
      <c r="CW233">
        <f>_xlfn.XLOOKUP(B233,'[10]december-2025'!$A:$A,'[10]december-2025'!$C:$C,0,0)</f>
        <v>29800</v>
      </c>
      <c r="CX233">
        <f t="shared" si="490"/>
        <v>5364</v>
      </c>
      <c r="CY233">
        <f t="shared" si="491"/>
        <v>3576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>IF(CW233&gt;0,SUM(CW233:DA233),0)</f>
        <v>39240</v>
      </c>
      <c r="DC233">
        <f>_xlfn.XLOOKUP(B233,'[10]december-2025'!$A:$A,'[10]december-2025'!$H:$H,0,0)</f>
        <v>2000</v>
      </c>
      <c r="DD233">
        <f>_xlfn.XLOOKUP(B233,'[10]december-2025'!$A:$A,'[10]december-2025'!$I:$I,0,0)</f>
        <v>0</v>
      </c>
      <c r="DE233">
        <f t="shared" si="492"/>
        <v>150</v>
      </c>
      <c r="DF233">
        <f t="shared" si="493"/>
        <v>37090</v>
      </c>
      <c r="DG233">
        <f>_xlfn.XLOOKUP(B233,'[11]january-2026'!$A:$A,'[11]january-2026'!$C:$C,0,0)</f>
        <v>29800</v>
      </c>
      <c r="DH233">
        <f t="shared" si="494"/>
        <v>5364</v>
      </c>
      <c r="DI233">
        <f t="shared" si="495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>IF(DG233&gt;0,SUM(DG233:DK233),0)</f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496"/>
        <v>150</v>
      </c>
      <c r="DP233">
        <f t="shared" si="497"/>
        <v>37090</v>
      </c>
      <c r="DQ233">
        <f>_xlfn.XLOOKUP(B233,'[12]february-2026'!$A:$A,'[12]february-2026'!$C:$C,0,0)</f>
        <v>29800</v>
      </c>
      <c r="DR233">
        <f t="shared" si="498"/>
        <v>5364</v>
      </c>
      <c r="DS233">
        <f t="shared" si="499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>IF(DQ233&gt;0,SUM(DQ233:DU233),0)</f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00"/>
        <v>150</v>
      </c>
      <c r="DZ233">
        <f t="shared" si="501"/>
        <v>37090</v>
      </c>
      <c r="EA233">
        <f>_xlfn.XLOOKUP(B233,'[1]march-2025'!$A:$A,'[1]march-2025'!$J:$J,0,0)</f>
        <v>0</v>
      </c>
      <c r="EB233">
        <f>_xlfn.XLOOKUP(B233,'[2]april-2025'!$A:$A,'[2]april-2025'!$J:$J,0,0)</f>
        <v>0</v>
      </c>
      <c r="EC233">
        <f>_xlfn.XLOOKUP(B233,'[3]may-2025'!$A:$A,'[3]may-2025'!$J:$J,0,0)</f>
        <v>61490</v>
      </c>
      <c r="ED233">
        <f>_xlfn.XLOOKUP(B233,'[4]june-2025'!$A:$A,'[4]june-2025'!$J:$J,0,0)</f>
        <v>0</v>
      </c>
      <c r="EE233">
        <f>_xlfn.XLOOKUP(B233,'[5]july-2025'!$A:$A,'[5]july-2025'!$J:$J,0,0)</f>
        <v>0</v>
      </c>
      <c r="EF233">
        <f>_xlfn.XLOOKUP(B233,'[6]august-2025'!$A:$A,'[6]august-2025'!$J:$J,0,0)</f>
        <v>0</v>
      </c>
      <c r="EG233">
        <f>_xlfn.XLOOKUP(B233,'[7]september-2025'!$A:$A,'[7]september-2025'!$J:$J,0,0)</f>
        <v>0</v>
      </c>
      <c r="EH233">
        <f>_xlfn.XLOOKUP(B233,'[8]october-2025'!$A:$A,'[8]october-2025'!$J:$J,0,0)</f>
        <v>0</v>
      </c>
      <c r="EI233">
        <f>_xlfn.XLOOKUP(C233,'[9]november-2025'!$A:$A,'[9]november-2025'!$J:$J,0,0)</f>
        <v>0</v>
      </c>
      <c r="EJ233">
        <f>_xlfn.XLOOKUP(B233,'[10]december-2025'!$A:$A,'[10]december-2025'!$J:$J,0,0)</f>
        <v>0</v>
      </c>
      <c r="EK233">
        <f>_xlfn.XLOOKUP(B233,'[11]january-2026'!$A:$A,'[11]january-2026'!$J:$J,0,0)</f>
        <v>0</v>
      </c>
      <c r="EL233">
        <f>_xlfn.XLOOKUP(B233,'[12]february-2026'!$A:$A,'[12]february-2026'!$J:$J,0,0)</f>
        <v>0</v>
      </c>
      <c r="EM233">
        <f t="shared" si="455"/>
        <v>61490</v>
      </c>
      <c r="EN233">
        <f>DV233+DL233+DB233+CR233+CH233+BX233+BN233+BD233+AS233+AI233+Y233+O233+H233+I233</f>
        <v>471844</v>
      </c>
      <c r="EO233">
        <f>DY233+DO233+DE233+CU233+CK233+CA233+BQ233+BG233+AV233+AL233+AB233+R233</f>
        <v>1800</v>
      </c>
      <c r="EP233">
        <f t="shared" si="502"/>
        <v>50000</v>
      </c>
      <c r="EQ233">
        <v>0</v>
      </c>
      <c r="ER233">
        <f t="shared" si="456"/>
        <v>481534</v>
      </c>
      <c r="ES233">
        <f>DW233+DM233+DC233+CS233+CI233+BY233+BO233+BE233+AT233+AJ233+Z233+P233</f>
        <v>24000</v>
      </c>
      <c r="ET233">
        <f>DX233+DN233+DD233+CT233+CJ233+BZ233+BP233+BF233+AU233+AK233+AA233+Q233</f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503"/>
        <v>24000</v>
      </c>
      <c r="FF233">
        <f t="shared" si="504"/>
        <v>24000</v>
      </c>
      <c r="FG233">
        <f t="shared" si="505"/>
        <v>457534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>SUM(FH233:FN233)+(IF(F233="YES",50000,0))</f>
        <v>0</v>
      </c>
      <c r="FP233">
        <f t="shared" si="506"/>
        <v>457534</v>
      </c>
      <c r="FQ233">
        <f t="shared" si="507"/>
        <v>10377</v>
      </c>
      <c r="FR233">
        <f t="shared" si="508"/>
        <v>0</v>
      </c>
      <c r="FS233">
        <f t="shared" si="509"/>
        <v>10377</v>
      </c>
      <c r="FT233">
        <f t="shared" si="510"/>
        <v>0</v>
      </c>
      <c r="FU233">
        <f t="shared" si="511"/>
        <v>0</v>
      </c>
      <c r="FV233">
        <f t="shared" si="512"/>
        <v>0</v>
      </c>
      <c r="FW233">
        <v>0</v>
      </c>
      <c r="FX233">
        <f t="shared" si="513"/>
        <v>0</v>
      </c>
      <c r="FY233" t="b">
        <f t="shared" si="514"/>
        <v>0</v>
      </c>
      <c r="FZ233">
        <f t="shared" ca="1" si="515"/>
        <v>1747</v>
      </c>
      <c r="GA233">
        <f t="shared" ca="1" si="516"/>
        <v>473591</v>
      </c>
      <c r="GB233">
        <f t="shared" si="517"/>
        <v>75000</v>
      </c>
      <c r="GC233">
        <f t="shared" ca="1" si="518"/>
        <v>398591</v>
      </c>
      <c r="GD233">
        <f t="shared" ca="1" si="519"/>
        <v>0</v>
      </c>
      <c r="GE233">
        <f t="shared" ca="1" si="520"/>
        <v>0</v>
      </c>
      <c r="GF233">
        <f t="shared" ca="1" si="521"/>
        <v>0</v>
      </c>
      <c r="GG233">
        <f t="shared" ca="1" si="522"/>
        <v>0</v>
      </c>
      <c r="GH233">
        <f t="shared" ca="1" si="523"/>
        <v>0</v>
      </c>
      <c r="GI233">
        <f t="shared" ca="1" si="524"/>
        <v>0</v>
      </c>
      <c r="GJ233">
        <f ca="1">IF(GC233&gt;1200000,GC233-1200000-IF(F233="YES",50000,0)-GH233,0)</f>
        <v>0</v>
      </c>
      <c r="GK233">
        <f t="shared" ca="1" si="525"/>
        <v>0</v>
      </c>
      <c r="GL233">
        <f t="shared" ca="1" si="526"/>
        <v>0</v>
      </c>
      <c r="GM233">
        <f t="shared" ca="1" si="527"/>
        <v>0</v>
      </c>
      <c r="GN233">
        <f t="shared" ca="1" si="528"/>
        <v>0</v>
      </c>
      <c r="GO233">
        <f t="shared" ca="1" si="529"/>
        <v>0</v>
      </c>
      <c r="GP233">
        <f t="shared" ca="1" si="530"/>
        <v>0</v>
      </c>
      <c r="GQ233">
        <f t="shared" ca="1" si="531"/>
        <v>0</v>
      </c>
      <c r="GR233">
        <f t="shared" ca="1" si="532"/>
        <v>0</v>
      </c>
      <c r="GS233">
        <f t="shared" ca="1" si="533"/>
        <v>0</v>
      </c>
      <c r="GT233">
        <f t="shared" ca="1" si="534"/>
        <v>0</v>
      </c>
      <c r="GU233" t="b">
        <f t="shared" ca="1" si="535"/>
        <v>0</v>
      </c>
      <c r="GV233">
        <f t="shared" ca="1" si="536"/>
        <v>0</v>
      </c>
      <c r="GW233">
        <f t="shared" ca="1" si="537"/>
        <v>0</v>
      </c>
      <c r="GX233">
        <f t="shared" ca="1" si="538"/>
        <v>0</v>
      </c>
      <c r="GY233">
        <f t="shared" ca="1" si="539"/>
        <v>0</v>
      </c>
      <c r="GZ233">
        <f t="shared" ca="1" si="540"/>
        <v>0</v>
      </c>
    </row>
    <row r="234" spans="1:208" x14ac:dyDescent="0.25">
      <c r="A234">
        <f>_xlfn.AGGREGATE(3,5,$B$2:B234)</f>
        <v>233</v>
      </c>
      <c r="B234" t="s">
        <v>572</v>
      </c>
      <c r="C234" t="s">
        <v>573</v>
      </c>
      <c r="D234" t="s">
        <v>810</v>
      </c>
      <c r="E234" t="s">
        <v>831</v>
      </c>
      <c r="F234" t="s">
        <v>957</v>
      </c>
      <c r="G234" t="s">
        <v>876</v>
      </c>
      <c r="H234">
        <f t="shared" si="543"/>
        <v>6800</v>
      </c>
      <c r="I234">
        <f>_xlfn.XLOOKUP(B234,'[1]march-2025'!$A:$A,'[1]march-2025'!$J:$J,0,0)</f>
        <v>0</v>
      </c>
      <c r="J234">
        <f>_xlfn.XLOOKUP(B234,'[1]march-2025'!$A:$A,'[1]march-2025'!$C:$C,0,0)</f>
        <v>47300</v>
      </c>
      <c r="K234">
        <f t="shared" si="457"/>
        <v>6622.0000000000009</v>
      </c>
      <c r="L234">
        <f t="shared" si="458"/>
        <v>5676</v>
      </c>
      <c r="M234">
        <f>_xlfn.XLOOKUP(B234,'[1]march-2025'!$A:$A,'[1]march-2025'!$D:$D,0,0)</f>
        <v>0</v>
      </c>
      <c r="N234">
        <f>_xlfn.XLOOKUP(B234,'[1]march-2025'!$A:$A,'[1]march-2025'!$G:$G,0,0)</f>
        <v>0</v>
      </c>
      <c r="O234">
        <f>IF(J234&gt;0,SUM(J234:N234),0)</f>
        <v>59598</v>
      </c>
      <c r="P234">
        <f>_xlfn.XLOOKUP(B234,'[1]march-2025'!$A:$A,'[1]march-2025'!$H:$H,0,0)</f>
        <v>10000</v>
      </c>
      <c r="Q234">
        <f>_xlfn.XLOOKUP(B234,'[1]march-2025'!$A:$A,'[1]march-2025'!$I:$I,0,0)</f>
        <v>60</v>
      </c>
      <c r="R234">
        <f t="shared" si="541"/>
        <v>200</v>
      </c>
      <c r="S234">
        <f t="shared" si="451"/>
        <v>49338</v>
      </c>
      <c r="T234">
        <f>_xlfn.XLOOKUP(B234,'[2]april-2025'!$A:$A,'[2]april-2025'!$C:$C,0,0)</f>
        <v>47300</v>
      </c>
      <c r="U234">
        <f t="shared" si="459"/>
        <v>8514</v>
      </c>
      <c r="V234">
        <f t="shared" si="460"/>
        <v>5676</v>
      </c>
      <c r="W234">
        <f>_xlfn.XLOOKUP(B234,'[2]april-2025'!$A:$A,'[2]april-2025'!$D:$D,0,0)</f>
        <v>0</v>
      </c>
      <c r="X234">
        <f>_xlfn.XLOOKUP(B234,'[2]april-2025'!$A:$A,'[2]april-2025'!$G:$G,0,0)</f>
        <v>0</v>
      </c>
      <c r="Y234">
        <f t="shared" si="452"/>
        <v>61490</v>
      </c>
      <c r="Z234">
        <f>_xlfn.XLOOKUP(B234,'[2]april-2025'!$A:$A,'[2]april-2025'!$H:$H,0,0)</f>
        <v>10000</v>
      </c>
      <c r="AA234">
        <f>_xlfn.XLOOKUP(B234,'[2]april-2025'!$A:$A,'[2]april-2025'!$I:$I,0,0)</f>
        <v>60</v>
      </c>
      <c r="AB234">
        <f t="shared" si="461"/>
        <v>200</v>
      </c>
      <c r="AC234">
        <f t="shared" si="462"/>
        <v>51230</v>
      </c>
      <c r="AD234">
        <f>_xlfn.XLOOKUP(B234,'[3]may-2025'!$A:$A,'[3]may-2025'!$C:$C,0,0)</f>
        <v>47300</v>
      </c>
      <c r="AE234">
        <f t="shared" si="463"/>
        <v>8514</v>
      </c>
      <c r="AF234">
        <f t="shared" si="464"/>
        <v>5676</v>
      </c>
      <c r="AG234">
        <f>_xlfn.XLOOKUP(B234,'[3]may-2025'!$A:$A,'[3]may-2025'!$D:$D,0,0)</f>
        <v>0</v>
      </c>
      <c r="AH234">
        <f>_xlfn.XLOOKUP(B234,'[3]may-2025'!$A:$A,'[3]may-2025'!$G:$G,0,0)</f>
        <v>0</v>
      </c>
      <c r="AI234">
        <f t="shared" si="453"/>
        <v>61490</v>
      </c>
      <c r="AJ234">
        <f>_xlfn.XLOOKUP(B234,'[3]may-2025'!$A:$A,'[3]may-2025'!$H:$H,0,0)</f>
        <v>10000</v>
      </c>
      <c r="AK234">
        <f>_xlfn.XLOOKUP(B234,'[3]may-2025'!$A:$A,'[3]may-2025'!$I:$I,0,0)</f>
        <v>60</v>
      </c>
      <c r="AL234">
        <f t="shared" si="465"/>
        <v>200</v>
      </c>
      <c r="AM234">
        <f t="shared" si="466"/>
        <v>51230</v>
      </c>
      <c r="AN234">
        <f>_xlfn.XLOOKUP(B234,'[4]june-2025'!$A:$A,'[4]june-2025'!$C:$C,0,0)</f>
        <v>47300</v>
      </c>
      <c r="AO234">
        <f t="shared" si="467"/>
        <v>8514</v>
      </c>
      <c r="AP234">
        <f t="shared" si="468"/>
        <v>5676</v>
      </c>
      <c r="AQ234">
        <f>_xlfn.XLOOKUP(B234,'[4]june-2025'!$A:$A,'[4]june-2025'!$D:$D,0,0)</f>
        <v>0</v>
      </c>
      <c r="AR234">
        <f>_xlfn.XLOOKUP(B234,'[4]june-2025'!$A:$A,'[4]june-2025'!$G:$G,0,0)</f>
        <v>0</v>
      </c>
      <c r="AS234">
        <f t="shared" si="454"/>
        <v>61490</v>
      </c>
      <c r="AT234">
        <f>_xlfn.XLOOKUP(B234,'[4]june-2025'!$A:$A,'[4]june-2025'!$H:$H,0,0)</f>
        <v>10000</v>
      </c>
      <c r="AU234">
        <f>_xlfn.XLOOKUP(B234,'[4]june-2025'!$A:$A,'[4]june-2025'!$I:$I,0,0)</f>
        <v>60</v>
      </c>
      <c r="AV234">
        <f t="shared" si="469"/>
        <v>200</v>
      </c>
      <c r="AW234">
        <f t="shared" si="470"/>
        <v>51230</v>
      </c>
      <c r="AX234">
        <f>_xlfn.XLOOKUP(B234,'[5]july-2025'!$A:$A,'[5]july-2025'!$C:$C,0,0)</f>
        <v>48700</v>
      </c>
      <c r="AY234">
        <f t="shared" si="471"/>
        <v>8766</v>
      </c>
      <c r="AZ234">
        <v>0</v>
      </c>
      <c r="BA234">
        <f t="shared" si="472"/>
        <v>5844</v>
      </c>
      <c r="BB234">
        <f>_xlfn.XLOOKUP(B234,'[5]july-2025'!$A:$A,'[5]july-2025'!$D:$D,0,0)</f>
        <v>0</v>
      </c>
      <c r="BC234">
        <f>_xlfn.XLOOKUP(B234,'[5]july-2025'!$A:$A,'[5]july-2025'!$G:$G,0,0)</f>
        <v>0</v>
      </c>
      <c r="BD234">
        <f>IF(AX234&gt;0,SUM(AX234:BC234),0)</f>
        <v>63310</v>
      </c>
      <c r="BE234">
        <f>_xlfn.XLOOKUP(B234,'[5]july-2025'!$A:$A,'[5]july-2025'!$H:$H,0,0)</f>
        <v>10000</v>
      </c>
      <c r="BF234">
        <f>_xlfn.XLOOKUP(B234,'[5]july-2025'!$A:$A,'[5]july-2025'!$I:$I,0,0)</f>
        <v>60</v>
      </c>
      <c r="BG234">
        <f t="shared" si="473"/>
        <v>200</v>
      </c>
      <c r="BH234">
        <f t="shared" si="474"/>
        <v>53050</v>
      </c>
      <c r="BI234">
        <f>_xlfn.XLOOKUP(B234,'[6]august-2025'!$A:$A,'[6]august-2025'!$C:$C,0,0)</f>
        <v>48700</v>
      </c>
      <c r="BJ234">
        <f t="shared" si="475"/>
        <v>8766</v>
      </c>
      <c r="BK234">
        <f t="shared" si="476"/>
        <v>5844</v>
      </c>
      <c r="BL234">
        <f>_xlfn.XLOOKUP(B234,'[6]august-2025'!$A:$A,'[6]august-2025'!$D:$D,0,0)</f>
        <v>0</v>
      </c>
      <c r="BM234">
        <f>_xlfn.XLOOKUP(B234,'[6]august-2025'!$A:$A,'[6]august-2025'!$G:$G,0,0)</f>
        <v>0</v>
      </c>
      <c r="BN234">
        <f t="shared" si="477"/>
        <v>63310</v>
      </c>
      <c r="BO234">
        <f>_xlfn.XLOOKUP(B234,'[6]august-2025'!$A:$A,'[6]august-2025'!$H:$H,0,0)</f>
        <v>10000</v>
      </c>
      <c r="BP234">
        <f>_xlfn.XLOOKUP(B234,'[6]august-2025'!$A:$A,'[6]august-2025'!$I:$I,0,0)</f>
        <v>60</v>
      </c>
      <c r="BQ234">
        <f>IF($F234="YES",0,IF(BN234&gt;40000,200,IF(BN234&gt;25000,150,IF(BN234&gt;15000,130,IF(BN234&gt;10000,110,0)))))</f>
        <v>200</v>
      </c>
      <c r="BR234">
        <f>BN234-BO234-BP234-BQ234</f>
        <v>53050</v>
      </c>
      <c r="BS234">
        <f>_xlfn.XLOOKUP(B234,'[7]september-2025'!$A:$A,'[7]september-2025'!$C:$C,0,0)</f>
        <v>48700</v>
      </c>
      <c r="BT234">
        <f t="shared" si="478"/>
        <v>8766</v>
      </c>
      <c r="BU234">
        <f t="shared" si="479"/>
        <v>5844</v>
      </c>
      <c r="BV234">
        <f>_xlfn.XLOOKUP(B234,'[7]september-2025'!$A:$A,'[7]september-2025'!$D:$D,0,0)</f>
        <v>0</v>
      </c>
      <c r="BW234">
        <f>_xlfn.XLOOKUP(B234,'[7]september-2025'!$A:$A,'[7]september-2025'!$G:$G,0,0)</f>
        <v>0</v>
      </c>
      <c r="BX234">
        <f>IF(BS234&gt;0,SUM(BS234:BW234),0)</f>
        <v>63310</v>
      </c>
      <c r="BY234">
        <f>_xlfn.XLOOKUP(B234,'[7]september-2025'!$A:$A,'[7]september-2025'!$H:$H,0,0)</f>
        <v>10000</v>
      </c>
      <c r="BZ234">
        <f>_xlfn.XLOOKUP(B234,'[7]september-2025'!$A:$A,'[7]september-2025'!$I:$I,0,0)</f>
        <v>60</v>
      </c>
      <c r="CA234">
        <f t="shared" si="480"/>
        <v>200</v>
      </c>
      <c r="CB234">
        <f t="shared" si="481"/>
        <v>53050</v>
      </c>
      <c r="CC234">
        <f>_xlfn.XLOOKUP(B234,'[8]october-2025'!$A:$A,'[8]october-2025'!$C:$C,0,0)</f>
        <v>48700</v>
      </c>
      <c r="CD234">
        <f t="shared" si="482"/>
        <v>8766</v>
      </c>
      <c r="CE234">
        <f t="shared" si="483"/>
        <v>5844</v>
      </c>
      <c r="CF234">
        <f>_xlfn.XLOOKUP(B234,'[8]october-2025'!$A:$A,'[8]october-2025'!$D:$D,0,0)</f>
        <v>0</v>
      </c>
      <c r="CG234">
        <f>_xlfn.XLOOKUP(B234,'[8]october-2025'!$A:$A,'[8]october-2025'!$G:$G,0,0)</f>
        <v>0</v>
      </c>
      <c r="CH234">
        <f>IF(CC234&gt;0,SUM(CC234:CG234),0)</f>
        <v>63310</v>
      </c>
      <c r="CI234">
        <f>_xlfn.XLOOKUP(B234,'[8]october-2025'!$A:$A,'[8]october-2025'!$H:$H,0,0)</f>
        <v>10000</v>
      </c>
      <c r="CJ234">
        <f>_xlfn.XLOOKUP(B234,'[8]october-2025'!$A:$A,'[8]october-2025'!$I:$I,0,0)</f>
        <v>60</v>
      </c>
      <c r="CK234">
        <f t="shared" si="484"/>
        <v>200</v>
      </c>
      <c r="CL234">
        <f t="shared" si="485"/>
        <v>53050</v>
      </c>
      <c r="CM234">
        <f>_xlfn.XLOOKUP(B234,'[9]november-2025'!$A:$A,'[9]november-2025'!$C:$C,0,0)</f>
        <v>48700</v>
      </c>
      <c r="CN234">
        <f t="shared" si="486"/>
        <v>8766</v>
      </c>
      <c r="CO234">
        <f t="shared" si="487"/>
        <v>5844</v>
      </c>
      <c r="CP234">
        <f>_xlfn.XLOOKUP(B234,'[9]november-2025'!$A:$A,'[9]november-2025'!$D:$D,0,0)</f>
        <v>0</v>
      </c>
      <c r="CQ234">
        <f>_xlfn.XLOOKUP(B234,'[9]november-2025'!$A:$A,'[9]november-2025'!$G:$G,0,0)</f>
        <v>0</v>
      </c>
      <c r="CR234">
        <f>IF(CM234&gt;0,SUM(CM234:CQ234),0)</f>
        <v>63310</v>
      </c>
      <c r="CS234">
        <f>_xlfn.XLOOKUP(B234,'[9]november-2025'!$A:$A,'[9]november-2025'!$H:$H,0,0)</f>
        <v>10000</v>
      </c>
      <c r="CT234">
        <f>_xlfn.XLOOKUP(B234,'[9]november-2025'!$A:$A,'[9]november-2025'!$I:$I,0,0)</f>
        <v>60</v>
      </c>
      <c r="CU234">
        <f t="shared" si="488"/>
        <v>200</v>
      </c>
      <c r="CV234">
        <f t="shared" si="489"/>
        <v>53050</v>
      </c>
      <c r="CW234">
        <f>_xlfn.XLOOKUP(B234,'[10]december-2025'!$A:$A,'[10]december-2025'!$C:$C,0,0)</f>
        <v>48700</v>
      </c>
      <c r="CX234">
        <f t="shared" si="490"/>
        <v>8766</v>
      </c>
      <c r="CY234">
        <f t="shared" si="491"/>
        <v>5844</v>
      </c>
      <c r="CZ234">
        <f>_xlfn.XLOOKUP(B234,'[10]december-2025'!$A:$A,'[10]december-2025'!$D:$D,0,0)</f>
        <v>0</v>
      </c>
      <c r="DA234">
        <f>_xlfn.XLOOKUP(B234,'[10]december-2025'!$A:$A,'[10]december-2025'!$G:$G,0,0)</f>
        <v>0</v>
      </c>
      <c r="DB234">
        <f>IF(CW234&gt;0,SUM(CW234:DA234),0)</f>
        <v>63310</v>
      </c>
      <c r="DC234">
        <f>_xlfn.XLOOKUP(B234,'[10]december-2025'!$A:$A,'[10]december-2025'!$H:$H,0,0)</f>
        <v>10000</v>
      </c>
      <c r="DD234">
        <f>_xlfn.XLOOKUP(B234,'[10]december-2025'!$A:$A,'[10]december-2025'!$I:$I,0,0)</f>
        <v>60</v>
      </c>
      <c r="DE234">
        <f t="shared" si="492"/>
        <v>200</v>
      </c>
      <c r="DF234">
        <f t="shared" si="493"/>
        <v>53050</v>
      </c>
      <c r="DG234">
        <f>_xlfn.XLOOKUP(B234,'[11]january-2026'!$A:$A,'[11]january-2026'!$C:$C,0,0)</f>
        <v>48700</v>
      </c>
      <c r="DH234">
        <f t="shared" si="494"/>
        <v>8766</v>
      </c>
      <c r="DI234">
        <f t="shared" si="495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>IF(DG234&gt;0,SUM(DG234:DK234),0)</f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496"/>
        <v>200</v>
      </c>
      <c r="DP234">
        <f t="shared" si="497"/>
        <v>53050</v>
      </c>
      <c r="DQ234">
        <f>_xlfn.XLOOKUP(B234,'[12]february-2026'!$A:$A,'[12]february-2026'!$C:$C,0,0)</f>
        <v>48700</v>
      </c>
      <c r="DR234">
        <f t="shared" si="498"/>
        <v>8766</v>
      </c>
      <c r="DS234">
        <f t="shared" si="499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>IF(DQ234&gt;0,SUM(DQ234:DU234),0)</f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00"/>
        <v>200</v>
      </c>
      <c r="DZ234">
        <f t="shared" si="501"/>
        <v>53050</v>
      </c>
      <c r="EA234">
        <f>_xlfn.XLOOKUP(B234,'[1]march-2025'!$A:$A,'[1]march-2025'!$J:$J,0,0)</f>
        <v>0</v>
      </c>
      <c r="EB234">
        <f>_xlfn.XLOOKUP(B234,'[2]april-2025'!$A:$A,'[2]april-2025'!$J:$J,0,0)</f>
        <v>0</v>
      </c>
      <c r="EC234">
        <f>_xlfn.XLOOKUP(B234,'[3]may-2025'!$A:$A,'[3]may-2025'!$J:$J,0,0)</f>
        <v>0</v>
      </c>
      <c r="ED234">
        <f>_xlfn.XLOOKUP(B234,'[4]june-2025'!$A:$A,'[4]june-2025'!$J:$J,0,0)</f>
        <v>0</v>
      </c>
      <c r="EE234">
        <f>_xlfn.XLOOKUP(B234,'[5]july-2025'!$A:$A,'[5]july-2025'!$J:$J,0,0)</f>
        <v>0</v>
      </c>
      <c r="EF234">
        <f>_xlfn.XLOOKUP(B234,'[6]august-2025'!$A:$A,'[6]august-2025'!$J:$J,0,0)</f>
        <v>0</v>
      </c>
      <c r="EG234">
        <f>_xlfn.XLOOKUP(B234,'[7]september-2025'!$A:$A,'[7]september-2025'!$J:$J,0,0)</f>
        <v>0</v>
      </c>
      <c r="EH234">
        <f>_xlfn.XLOOKUP(B234,'[8]october-2025'!$A:$A,'[8]october-2025'!$J:$J,0,0)</f>
        <v>0</v>
      </c>
      <c r="EI234">
        <f>_xlfn.XLOOKUP(C234,'[9]november-2025'!$A:$A,'[9]november-2025'!$J:$J,0,0)</f>
        <v>0</v>
      </c>
      <c r="EJ234">
        <f>_xlfn.XLOOKUP(B234,'[10]december-2025'!$A:$A,'[10]december-2025'!$J:$J,0,0)</f>
        <v>0</v>
      </c>
      <c r="EK234">
        <f>_xlfn.XLOOKUP(B234,'[11]january-2026'!$A:$A,'[11]january-2026'!$J:$J,0,0)</f>
        <v>0</v>
      </c>
      <c r="EL234">
        <f>_xlfn.XLOOKUP(B234,'[12]february-2026'!$A:$A,'[12]february-2026'!$J:$J,0,0)</f>
        <v>0</v>
      </c>
      <c r="EM234">
        <f t="shared" si="455"/>
        <v>0</v>
      </c>
      <c r="EN234">
        <f>DV234+DL234+DB234+CR234+CH234+BX234+BN234+BD234+AS234+AI234+Y234+O234+H234+I234</f>
        <v>757348</v>
      </c>
      <c r="EO234">
        <f>DY234+DO234+DE234+CU234+CK234+CA234+BQ234+BG234+AV234+AL234+AB234+R234</f>
        <v>2400</v>
      </c>
      <c r="EP234">
        <f t="shared" si="502"/>
        <v>50000</v>
      </c>
      <c r="EQ234">
        <v>0</v>
      </c>
      <c r="ER234">
        <f t="shared" si="456"/>
        <v>704948</v>
      </c>
      <c r="ES234">
        <f>DW234+DM234+DC234+CS234+CI234+BY234+BO234+BE234+AT234+AJ234+Z234+P234</f>
        <v>120000</v>
      </c>
      <c r="ET234">
        <f>DX234+DN234+DD234+CT234+CJ234+BZ234+BP234+BF234+AU234+AK234+AA234+Q234</f>
        <v>720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503"/>
        <v>120720</v>
      </c>
      <c r="FF234">
        <f t="shared" si="504"/>
        <v>120720</v>
      </c>
      <c r="FG234">
        <f t="shared" si="505"/>
        <v>584228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>SUM(FH234:FN234)+(IF(F234="YES",50000,0))</f>
        <v>0</v>
      </c>
      <c r="FP234">
        <f t="shared" si="506"/>
        <v>584228</v>
      </c>
      <c r="FQ234">
        <f t="shared" si="507"/>
        <v>12500</v>
      </c>
      <c r="FR234">
        <f t="shared" si="508"/>
        <v>16846</v>
      </c>
      <c r="FS234">
        <f t="shared" si="509"/>
        <v>29346</v>
      </c>
      <c r="FT234">
        <f t="shared" si="510"/>
        <v>29346</v>
      </c>
      <c r="FU234">
        <f t="shared" si="511"/>
        <v>1173.8399999999999</v>
      </c>
      <c r="FV234">
        <f t="shared" si="512"/>
        <v>30520</v>
      </c>
      <c r="FW234">
        <v>0</v>
      </c>
      <c r="FX234">
        <f t="shared" si="513"/>
        <v>30520</v>
      </c>
      <c r="FY234" t="b">
        <f t="shared" si="514"/>
        <v>1</v>
      </c>
      <c r="FZ234">
        <f t="shared" ca="1" si="515"/>
        <v>525</v>
      </c>
      <c r="GA234">
        <f t="shared" ca="1" si="516"/>
        <v>757873</v>
      </c>
      <c r="GB234">
        <f t="shared" si="517"/>
        <v>75000</v>
      </c>
      <c r="GC234">
        <f t="shared" ca="1" si="518"/>
        <v>682873</v>
      </c>
      <c r="GD234">
        <f t="shared" ca="1" si="519"/>
        <v>0</v>
      </c>
      <c r="GE234">
        <f t="shared" ca="1" si="520"/>
        <v>0</v>
      </c>
      <c r="GF234">
        <f t="shared" ca="1" si="521"/>
        <v>0</v>
      </c>
      <c r="GG234">
        <f t="shared" ca="1" si="522"/>
        <v>0</v>
      </c>
      <c r="GH234">
        <f t="shared" ca="1" si="523"/>
        <v>0</v>
      </c>
      <c r="GI234">
        <f t="shared" ca="1" si="524"/>
        <v>0</v>
      </c>
      <c r="GJ234">
        <f ca="1">IF(GC234&gt;1200000,GC234-1200000-IF(F234="YES",50000,0)-GH234,0)</f>
        <v>0</v>
      </c>
      <c r="GK234">
        <f t="shared" ca="1" si="525"/>
        <v>0</v>
      </c>
      <c r="GL234">
        <f t="shared" ca="1" si="526"/>
        <v>0</v>
      </c>
      <c r="GM234">
        <f t="shared" ca="1" si="527"/>
        <v>0</v>
      </c>
      <c r="GN234">
        <f t="shared" ca="1" si="528"/>
        <v>282873</v>
      </c>
      <c r="GO234">
        <f t="shared" ca="1" si="529"/>
        <v>14143.650000000001</v>
      </c>
      <c r="GP234">
        <f t="shared" ca="1" si="530"/>
        <v>14144</v>
      </c>
      <c r="GQ234">
        <f t="shared" ca="1" si="531"/>
        <v>0</v>
      </c>
      <c r="GR234">
        <f t="shared" ca="1" si="532"/>
        <v>0</v>
      </c>
      <c r="GS234">
        <f t="shared" ca="1" si="533"/>
        <v>14144</v>
      </c>
      <c r="GT234">
        <f t="shared" ca="1" si="534"/>
        <v>0</v>
      </c>
      <c r="GU234" t="b">
        <f t="shared" ca="1" si="535"/>
        <v>0</v>
      </c>
      <c r="GV234">
        <f t="shared" ca="1" si="536"/>
        <v>0</v>
      </c>
      <c r="GW234">
        <f t="shared" ca="1" si="537"/>
        <v>14144</v>
      </c>
      <c r="GX234">
        <f t="shared" ca="1" si="538"/>
        <v>0</v>
      </c>
      <c r="GY234">
        <f t="shared" ca="1" si="539"/>
        <v>0</v>
      </c>
      <c r="GZ234">
        <f t="shared" ca="1" si="540"/>
        <v>0</v>
      </c>
    </row>
    <row r="235" spans="1:208" x14ac:dyDescent="0.25">
      <c r="A235">
        <f>_xlfn.AGGREGATE(3,5,$B$2:B235)</f>
        <v>234</v>
      </c>
      <c r="B235" t="s">
        <v>574</v>
      </c>
      <c r="C235" t="s">
        <v>575</v>
      </c>
      <c r="D235" t="s">
        <v>810</v>
      </c>
      <c r="E235" t="s">
        <v>831</v>
      </c>
      <c r="F235" t="s">
        <v>957</v>
      </c>
      <c r="G235" t="s">
        <v>878</v>
      </c>
      <c r="H235">
        <f t="shared" si="543"/>
        <v>6800</v>
      </c>
      <c r="I235">
        <f>_xlfn.XLOOKUP(B235,'[1]march-2025'!$A:$A,'[1]march-2025'!$J:$J,0,0)</f>
        <v>0</v>
      </c>
      <c r="J235">
        <f>_xlfn.XLOOKUP(B235,'[1]march-2025'!$A:$A,'[1]march-2025'!$C:$C,0,0)</f>
        <v>34500</v>
      </c>
      <c r="K235">
        <f t="shared" si="457"/>
        <v>4830.0000000000009</v>
      </c>
      <c r="L235">
        <f t="shared" si="458"/>
        <v>4140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>IF(J235&gt;0,SUM(J235:N235),0)</f>
        <v>43970</v>
      </c>
      <c r="P235">
        <f>_xlfn.XLOOKUP(B235,'[1]march-2025'!$A:$A,'[1]march-2025'!$H:$H,0,0)</f>
        <v>2500</v>
      </c>
      <c r="Q235">
        <f>_xlfn.XLOOKUP(B235,'[1]march-2025'!$A:$A,'[1]march-2025'!$I:$I,0,0)</f>
        <v>0</v>
      </c>
      <c r="R235">
        <f t="shared" si="541"/>
        <v>200</v>
      </c>
      <c r="S235">
        <f t="shared" si="451"/>
        <v>41270</v>
      </c>
      <c r="T235">
        <f>_xlfn.XLOOKUP(B235,'[2]april-2025'!$A:$A,'[2]april-2025'!$C:$C,0,0)</f>
        <v>34500</v>
      </c>
      <c r="U235">
        <f t="shared" si="459"/>
        <v>6210</v>
      </c>
      <c r="V235">
        <f t="shared" si="460"/>
        <v>4140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452"/>
        <v>45350</v>
      </c>
      <c r="Z235">
        <f>_xlfn.XLOOKUP(B235,'[2]april-2025'!$A:$A,'[2]april-2025'!$H:$H,0,0)</f>
        <v>2500</v>
      </c>
      <c r="AA235">
        <f>_xlfn.XLOOKUP(B235,'[2]april-2025'!$A:$A,'[2]april-2025'!$I:$I,0,0)</f>
        <v>0</v>
      </c>
      <c r="AB235">
        <f t="shared" si="461"/>
        <v>200</v>
      </c>
      <c r="AC235">
        <f t="shared" si="462"/>
        <v>42650</v>
      </c>
      <c r="AD235">
        <f>_xlfn.XLOOKUP(B235,'[3]may-2025'!$A:$A,'[3]may-2025'!$C:$C,0,0)</f>
        <v>34500</v>
      </c>
      <c r="AE235">
        <f t="shared" si="463"/>
        <v>6210</v>
      </c>
      <c r="AF235">
        <f t="shared" si="464"/>
        <v>4140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453"/>
        <v>45350</v>
      </c>
      <c r="AJ235">
        <f>_xlfn.XLOOKUP(B235,'[3]may-2025'!$A:$A,'[3]may-2025'!$H:$H,0,0)</f>
        <v>2500</v>
      </c>
      <c r="AK235">
        <f>_xlfn.XLOOKUP(B235,'[3]may-2025'!$A:$A,'[3]may-2025'!$I:$I,0,0)</f>
        <v>0</v>
      </c>
      <c r="AL235">
        <f t="shared" si="465"/>
        <v>200</v>
      </c>
      <c r="AM235">
        <f t="shared" si="466"/>
        <v>42650</v>
      </c>
      <c r="AN235">
        <f>_xlfn.XLOOKUP(B235,'[4]june-2025'!$A:$A,'[4]june-2025'!$C:$C,0,0)</f>
        <v>34500</v>
      </c>
      <c r="AO235">
        <f t="shared" si="467"/>
        <v>6210</v>
      </c>
      <c r="AP235">
        <f t="shared" si="468"/>
        <v>4140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454"/>
        <v>45350</v>
      </c>
      <c r="AT235">
        <f>_xlfn.XLOOKUP(B235,'[4]june-2025'!$A:$A,'[4]june-2025'!$H:$H,0,0)</f>
        <v>2500</v>
      </c>
      <c r="AU235">
        <f>_xlfn.XLOOKUP(B235,'[4]june-2025'!$A:$A,'[4]june-2025'!$I:$I,0,0)</f>
        <v>0</v>
      </c>
      <c r="AV235">
        <f t="shared" si="469"/>
        <v>200</v>
      </c>
      <c r="AW235">
        <f t="shared" si="470"/>
        <v>42650</v>
      </c>
      <c r="AX235">
        <f>_xlfn.XLOOKUP(B235,'[5]july-2025'!$A:$A,'[5]july-2025'!$C:$C,0,0)</f>
        <v>35500</v>
      </c>
      <c r="AY235">
        <f t="shared" si="471"/>
        <v>6390</v>
      </c>
      <c r="AZ235">
        <v>0</v>
      </c>
      <c r="BA235">
        <f t="shared" si="472"/>
        <v>4260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>IF(AX235&gt;0,SUM(AX235:BC235),0)</f>
        <v>46650</v>
      </c>
      <c r="BE235">
        <f>_xlfn.XLOOKUP(B235,'[5]july-2025'!$A:$A,'[5]july-2025'!$H:$H,0,0)</f>
        <v>2500</v>
      </c>
      <c r="BF235">
        <f>_xlfn.XLOOKUP(B235,'[5]july-2025'!$A:$A,'[5]july-2025'!$I:$I,0,0)</f>
        <v>0</v>
      </c>
      <c r="BG235">
        <f t="shared" si="473"/>
        <v>200</v>
      </c>
      <c r="BH235">
        <f t="shared" si="474"/>
        <v>43950</v>
      </c>
      <c r="BI235">
        <f>_xlfn.XLOOKUP(B235,'[6]august-2025'!$A:$A,'[6]august-2025'!$C:$C,0,0)</f>
        <v>35500</v>
      </c>
      <c r="BJ235">
        <f t="shared" si="475"/>
        <v>6390</v>
      </c>
      <c r="BK235">
        <f t="shared" si="476"/>
        <v>4260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477"/>
        <v>46650</v>
      </c>
      <c r="BO235">
        <f>_xlfn.XLOOKUP(B235,'[6]august-2025'!$A:$A,'[6]august-2025'!$H:$H,0,0)</f>
        <v>2500</v>
      </c>
      <c r="BP235">
        <f>_xlfn.XLOOKUP(B235,'[6]august-2025'!$A:$A,'[6]august-2025'!$I:$I,0,0)</f>
        <v>0</v>
      </c>
      <c r="BQ235">
        <f>IF($F235="YES",0,IF(BN235&gt;40000,200,IF(BN235&gt;25000,150,IF(BN235&gt;15000,130,IF(BN235&gt;10000,110,0)))))</f>
        <v>200</v>
      </c>
      <c r="BR235">
        <f>BN235-BO235-BP235-BQ235</f>
        <v>43950</v>
      </c>
      <c r="BS235">
        <f>_xlfn.XLOOKUP(B235,'[7]september-2025'!$A:$A,'[7]september-2025'!$C:$C,0,0)</f>
        <v>35500</v>
      </c>
      <c r="BT235">
        <f t="shared" si="478"/>
        <v>6390</v>
      </c>
      <c r="BU235">
        <f t="shared" si="479"/>
        <v>4260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>IF(BS235&gt;0,SUM(BS235:BW235),0)</f>
        <v>46650</v>
      </c>
      <c r="BY235">
        <f>_xlfn.XLOOKUP(B235,'[7]september-2025'!$A:$A,'[7]september-2025'!$H:$H,0,0)</f>
        <v>2500</v>
      </c>
      <c r="BZ235">
        <f>_xlfn.XLOOKUP(B235,'[7]september-2025'!$A:$A,'[7]september-2025'!$I:$I,0,0)</f>
        <v>0</v>
      </c>
      <c r="CA235">
        <f t="shared" si="480"/>
        <v>200</v>
      </c>
      <c r="CB235">
        <f t="shared" si="481"/>
        <v>43950</v>
      </c>
      <c r="CC235">
        <f>_xlfn.XLOOKUP(B235,'[8]october-2025'!$A:$A,'[8]october-2025'!$C:$C,0,0)</f>
        <v>35500</v>
      </c>
      <c r="CD235">
        <f t="shared" si="482"/>
        <v>6390</v>
      </c>
      <c r="CE235">
        <f t="shared" si="483"/>
        <v>4260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>IF(CC235&gt;0,SUM(CC235:CG235),0)</f>
        <v>46650</v>
      </c>
      <c r="CI235">
        <f>_xlfn.XLOOKUP(B235,'[8]october-2025'!$A:$A,'[8]october-2025'!$H:$H,0,0)</f>
        <v>2500</v>
      </c>
      <c r="CJ235">
        <f>_xlfn.XLOOKUP(B235,'[8]october-2025'!$A:$A,'[8]october-2025'!$I:$I,0,0)</f>
        <v>0</v>
      </c>
      <c r="CK235">
        <f t="shared" si="484"/>
        <v>200</v>
      </c>
      <c r="CL235">
        <f t="shared" si="485"/>
        <v>43950</v>
      </c>
      <c r="CM235">
        <f>_xlfn.XLOOKUP(B235,'[9]november-2025'!$A:$A,'[9]november-2025'!$C:$C,0,0)</f>
        <v>35500</v>
      </c>
      <c r="CN235">
        <f t="shared" si="486"/>
        <v>6390</v>
      </c>
      <c r="CO235">
        <f t="shared" si="487"/>
        <v>4260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>IF(CM235&gt;0,SUM(CM235:CQ235),0)</f>
        <v>46650</v>
      </c>
      <c r="CS235">
        <f>_xlfn.XLOOKUP(B235,'[9]november-2025'!$A:$A,'[9]november-2025'!$H:$H,0,0)</f>
        <v>2500</v>
      </c>
      <c r="CT235">
        <f>_xlfn.XLOOKUP(B235,'[9]november-2025'!$A:$A,'[9]november-2025'!$I:$I,0,0)</f>
        <v>0</v>
      </c>
      <c r="CU235">
        <f t="shared" si="488"/>
        <v>200</v>
      </c>
      <c r="CV235">
        <f t="shared" si="489"/>
        <v>43950</v>
      </c>
      <c r="CW235">
        <f>_xlfn.XLOOKUP(B235,'[10]december-2025'!$A:$A,'[10]december-2025'!$C:$C,0,0)</f>
        <v>35500</v>
      </c>
      <c r="CX235">
        <f t="shared" si="490"/>
        <v>6390</v>
      </c>
      <c r="CY235">
        <f t="shared" si="491"/>
        <v>4260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>IF(CW235&gt;0,SUM(CW235:DA235),0)</f>
        <v>46650</v>
      </c>
      <c r="DC235">
        <f>_xlfn.XLOOKUP(B235,'[10]december-2025'!$A:$A,'[10]december-2025'!$H:$H,0,0)</f>
        <v>2500</v>
      </c>
      <c r="DD235">
        <f>_xlfn.XLOOKUP(B235,'[10]december-2025'!$A:$A,'[10]december-2025'!$I:$I,0,0)</f>
        <v>0</v>
      </c>
      <c r="DE235">
        <f t="shared" si="492"/>
        <v>200</v>
      </c>
      <c r="DF235">
        <f t="shared" si="493"/>
        <v>43950</v>
      </c>
      <c r="DG235">
        <f>_xlfn.XLOOKUP(B235,'[11]january-2026'!$A:$A,'[11]january-2026'!$C:$C,0,0)</f>
        <v>35500</v>
      </c>
      <c r="DH235">
        <f t="shared" si="494"/>
        <v>6390</v>
      </c>
      <c r="DI235">
        <f t="shared" si="495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>IF(DG235&gt;0,SUM(DG235:DK235),0)</f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496"/>
        <v>200</v>
      </c>
      <c r="DP235">
        <f t="shared" si="497"/>
        <v>43950</v>
      </c>
      <c r="DQ235">
        <f>_xlfn.XLOOKUP(B235,'[12]february-2026'!$A:$A,'[12]february-2026'!$C:$C,0,0)</f>
        <v>35500</v>
      </c>
      <c r="DR235">
        <f t="shared" si="498"/>
        <v>6390</v>
      </c>
      <c r="DS235">
        <f t="shared" si="499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>IF(DQ235&gt;0,SUM(DQ235:DU235),0)</f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00"/>
        <v>200</v>
      </c>
      <c r="DZ235">
        <f t="shared" si="501"/>
        <v>43950</v>
      </c>
      <c r="EA235">
        <f>_xlfn.XLOOKUP(B235,'[1]march-2025'!$A:$A,'[1]march-2025'!$J:$J,0,0)</f>
        <v>0</v>
      </c>
      <c r="EB235">
        <f>_xlfn.XLOOKUP(B235,'[2]april-2025'!$A:$A,'[2]april-2025'!$J:$J,0,0)</f>
        <v>0</v>
      </c>
      <c r="EC235">
        <f>_xlfn.XLOOKUP(B235,'[3]may-2025'!$A:$A,'[3]may-2025'!$J:$J,0,0)</f>
        <v>0</v>
      </c>
      <c r="ED235">
        <f>_xlfn.XLOOKUP(B235,'[4]june-2025'!$A:$A,'[4]june-2025'!$J:$J,0,0)</f>
        <v>0</v>
      </c>
      <c r="EE235">
        <f>_xlfn.XLOOKUP(B235,'[5]july-2025'!$A:$A,'[5]july-2025'!$J:$J,0,0)</f>
        <v>0</v>
      </c>
      <c r="EF235">
        <f>_xlfn.XLOOKUP(B235,'[6]august-2025'!$A:$A,'[6]august-2025'!$J:$J,0,0)</f>
        <v>0</v>
      </c>
      <c r="EG235">
        <f>_xlfn.XLOOKUP(B235,'[7]september-2025'!$A:$A,'[7]september-2025'!$J:$J,0,0)</f>
        <v>0</v>
      </c>
      <c r="EH235">
        <f>_xlfn.XLOOKUP(B235,'[8]october-2025'!$A:$A,'[8]october-2025'!$J:$J,0,0)</f>
        <v>0</v>
      </c>
      <c r="EI235">
        <f>_xlfn.XLOOKUP(C235,'[9]november-2025'!$A:$A,'[9]november-2025'!$J:$J,0,0)</f>
        <v>0</v>
      </c>
      <c r="EJ235">
        <f>_xlfn.XLOOKUP(B235,'[10]december-2025'!$A:$A,'[10]december-2025'!$J:$J,0,0)</f>
        <v>0</v>
      </c>
      <c r="EK235">
        <f>_xlfn.XLOOKUP(B235,'[11]january-2026'!$A:$A,'[11]january-2026'!$J:$J,0,0)</f>
        <v>0</v>
      </c>
      <c r="EL235">
        <f>_xlfn.XLOOKUP(B235,'[12]february-2026'!$A:$A,'[12]february-2026'!$J:$J,0,0)</f>
        <v>0</v>
      </c>
      <c r="EM235">
        <f t="shared" si="455"/>
        <v>0</v>
      </c>
      <c r="EN235">
        <f>DV235+DL235+DB235+CR235+CH235+BX235+BN235+BD235+AS235+AI235+Y235+O235+H235+I235</f>
        <v>560020</v>
      </c>
      <c r="EO235">
        <f>DY235+DO235+DE235+CU235+CK235+CA235+BQ235+BG235+AV235+AL235+AB235+R235</f>
        <v>2400</v>
      </c>
      <c r="EP235">
        <f t="shared" si="502"/>
        <v>50000</v>
      </c>
      <c r="EQ235">
        <v>0</v>
      </c>
      <c r="ER235">
        <f t="shared" si="456"/>
        <v>507620</v>
      </c>
      <c r="ES235">
        <f>DW235+DM235+DC235+CS235+CI235+BY235+BO235+BE235+AT235+AJ235+Z235+P235</f>
        <v>30000</v>
      </c>
      <c r="ET235">
        <f>DX235+DN235+DD235+CT235+CJ235+BZ235+BP235+BF235+AU235+AK235+AA235+Q235</f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503"/>
        <v>30000</v>
      </c>
      <c r="FF235">
        <f t="shared" si="504"/>
        <v>30000</v>
      </c>
      <c r="FG235">
        <f t="shared" si="505"/>
        <v>477620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>SUM(FH235:FN235)+(IF(F235="YES",50000,0))</f>
        <v>0</v>
      </c>
      <c r="FP235">
        <f t="shared" si="506"/>
        <v>477620</v>
      </c>
      <c r="FQ235">
        <f t="shared" si="507"/>
        <v>11381</v>
      </c>
      <c r="FR235">
        <f t="shared" si="508"/>
        <v>0</v>
      </c>
      <c r="FS235">
        <f t="shared" si="509"/>
        <v>11381</v>
      </c>
      <c r="FT235">
        <f t="shared" si="510"/>
        <v>0</v>
      </c>
      <c r="FU235">
        <f t="shared" si="511"/>
        <v>0</v>
      </c>
      <c r="FV235">
        <f t="shared" si="512"/>
        <v>0</v>
      </c>
      <c r="FW235">
        <v>0</v>
      </c>
      <c r="FX235">
        <f t="shared" si="513"/>
        <v>0</v>
      </c>
      <c r="FY235" t="b">
        <f t="shared" si="514"/>
        <v>1</v>
      </c>
      <c r="FZ235">
        <f t="shared" ca="1" si="515"/>
        <v>927</v>
      </c>
      <c r="GA235">
        <f t="shared" ca="1" si="516"/>
        <v>560947</v>
      </c>
      <c r="GB235">
        <f t="shared" si="517"/>
        <v>75000</v>
      </c>
      <c r="GC235">
        <f t="shared" ca="1" si="518"/>
        <v>485947</v>
      </c>
      <c r="GD235">
        <f t="shared" ca="1" si="519"/>
        <v>0</v>
      </c>
      <c r="GE235">
        <f t="shared" ca="1" si="520"/>
        <v>0</v>
      </c>
      <c r="GF235">
        <f t="shared" ca="1" si="521"/>
        <v>0</v>
      </c>
      <c r="GG235">
        <f t="shared" ca="1" si="522"/>
        <v>0</v>
      </c>
      <c r="GH235">
        <f t="shared" ca="1" si="523"/>
        <v>0</v>
      </c>
      <c r="GI235">
        <f t="shared" ca="1" si="524"/>
        <v>0</v>
      </c>
      <c r="GJ235">
        <f ca="1">IF(GC235&gt;1200000,GC235-1200000-IF(F235="YES",50000,0)-GH235,0)</f>
        <v>0</v>
      </c>
      <c r="GK235">
        <f t="shared" ca="1" si="525"/>
        <v>0</v>
      </c>
      <c r="GL235">
        <f t="shared" ca="1" si="526"/>
        <v>0</v>
      </c>
      <c r="GM235">
        <f t="shared" ca="1" si="527"/>
        <v>0</v>
      </c>
      <c r="GN235">
        <f t="shared" ca="1" si="528"/>
        <v>85947</v>
      </c>
      <c r="GO235">
        <f t="shared" ca="1" si="529"/>
        <v>4297.3500000000004</v>
      </c>
      <c r="GP235">
        <f t="shared" ca="1" si="530"/>
        <v>4297</v>
      </c>
      <c r="GQ235">
        <f t="shared" ca="1" si="531"/>
        <v>0</v>
      </c>
      <c r="GR235">
        <f t="shared" ca="1" si="532"/>
        <v>0</v>
      </c>
      <c r="GS235">
        <f t="shared" ca="1" si="533"/>
        <v>4297</v>
      </c>
      <c r="GT235">
        <f t="shared" ca="1" si="534"/>
        <v>0</v>
      </c>
      <c r="GU235" t="b">
        <f t="shared" ca="1" si="535"/>
        <v>0</v>
      </c>
      <c r="GV235">
        <f t="shared" ca="1" si="536"/>
        <v>0</v>
      </c>
      <c r="GW235">
        <f t="shared" ca="1" si="537"/>
        <v>4297</v>
      </c>
      <c r="GX235">
        <f t="shared" ca="1" si="538"/>
        <v>0</v>
      </c>
      <c r="GY235">
        <f t="shared" ca="1" si="539"/>
        <v>0</v>
      </c>
      <c r="GZ235">
        <f t="shared" ca="1" si="540"/>
        <v>0</v>
      </c>
    </row>
    <row r="236" spans="1:208" x14ac:dyDescent="0.25">
      <c r="A236">
        <f>_xlfn.AGGREGATE(3,5,$B$2:B236)</f>
        <v>235</v>
      </c>
      <c r="B236" t="s">
        <v>576</v>
      </c>
      <c r="C236" t="s">
        <v>577</v>
      </c>
      <c r="D236" t="s">
        <v>810</v>
      </c>
      <c r="E236" t="s">
        <v>831</v>
      </c>
      <c r="F236" t="s">
        <v>957</v>
      </c>
      <c r="G236" t="s">
        <v>904</v>
      </c>
      <c r="H236">
        <f t="shared" si="543"/>
        <v>6800</v>
      </c>
      <c r="I236">
        <f>_xlfn.XLOOKUP(B236,'[1]march-2025'!$A:$A,'[1]march-2025'!$J:$J,0,0)</f>
        <v>0</v>
      </c>
      <c r="J236">
        <f>_xlfn.XLOOKUP(B236,'[1]march-2025'!$A:$A,'[1]march-2025'!$C:$C,0,0)</f>
        <v>28900</v>
      </c>
      <c r="K236">
        <f t="shared" si="457"/>
        <v>4046.0000000000005</v>
      </c>
      <c r="L236">
        <f t="shared" si="458"/>
        <v>3468</v>
      </c>
      <c r="M236">
        <f>_xlfn.XLOOKUP(B236,'[1]march-2025'!$A:$A,'[1]march-2025'!$D:$D,0,0)</f>
        <v>0</v>
      </c>
      <c r="N236">
        <f>_xlfn.XLOOKUP(B236,'[1]march-2025'!$A:$A,'[1]march-2025'!$G:$G,0,0)</f>
        <v>500</v>
      </c>
      <c r="O236">
        <f>IF(J236&gt;0,SUM(J236:N236),0)</f>
        <v>36914</v>
      </c>
      <c r="P236">
        <f>_xlfn.XLOOKUP(B236,'[1]march-2025'!$A:$A,'[1]march-2025'!$H:$H,0,0)</f>
        <v>2000</v>
      </c>
      <c r="Q236">
        <f>_xlfn.XLOOKUP(B236,'[1]march-2025'!$A:$A,'[1]march-2025'!$I:$I,0,0)</f>
        <v>0</v>
      </c>
      <c r="R236">
        <f t="shared" si="541"/>
        <v>150</v>
      </c>
      <c r="S236">
        <f t="shared" si="451"/>
        <v>34764</v>
      </c>
      <c r="T236">
        <f>_xlfn.XLOOKUP(B236,'[2]april-2025'!$A:$A,'[2]april-2025'!$C:$C,0,0)</f>
        <v>28900</v>
      </c>
      <c r="U236">
        <f t="shared" si="459"/>
        <v>5202</v>
      </c>
      <c r="V236">
        <f t="shared" si="460"/>
        <v>3468</v>
      </c>
      <c r="W236">
        <f>_xlfn.XLOOKUP(B236,'[2]april-2025'!$A:$A,'[2]april-2025'!$D:$D,0,0)</f>
        <v>0</v>
      </c>
      <c r="X236">
        <f>_xlfn.XLOOKUP(B236,'[2]april-2025'!$A:$A,'[2]april-2025'!$G:$G,0,0)</f>
        <v>500</v>
      </c>
      <c r="Y236">
        <f t="shared" si="452"/>
        <v>38070</v>
      </c>
      <c r="Z236">
        <f>_xlfn.XLOOKUP(B236,'[2]april-2025'!$A:$A,'[2]april-2025'!$H:$H,0,0)</f>
        <v>2000</v>
      </c>
      <c r="AA236">
        <f>_xlfn.XLOOKUP(B236,'[2]april-2025'!$A:$A,'[2]april-2025'!$I:$I,0,0)</f>
        <v>0</v>
      </c>
      <c r="AB236">
        <f t="shared" si="461"/>
        <v>150</v>
      </c>
      <c r="AC236">
        <f t="shared" si="462"/>
        <v>35920</v>
      </c>
      <c r="AD236">
        <f>_xlfn.XLOOKUP(B236,'[3]may-2025'!$A:$A,'[3]may-2025'!$C:$C,0,0)</f>
        <v>28900</v>
      </c>
      <c r="AE236">
        <f t="shared" si="463"/>
        <v>5202</v>
      </c>
      <c r="AF236">
        <f t="shared" si="464"/>
        <v>3468</v>
      </c>
      <c r="AG236">
        <f>_xlfn.XLOOKUP(B236,'[3]may-2025'!$A:$A,'[3]may-2025'!$D:$D,0,0)</f>
        <v>0</v>
      </c>
      <c r="AH236">
        <f>_xlfn.XLOOKUP(B236,'[3]may-2025'!$A:$A,'[3]may-2025'!$G:$G,0,0)</f>
        <v>500</v>
      </c>
      <c r="AI236">
        <f t="shared" si="453"/>
        <v>38070</v>
      </c>
      <c r="AJ236">
        <f>_xlfn.XLOOKUP(B236,'[3]may-2025'!$A:$A,'[3]may-2025'!$H:$H,0,0)</f>
        <v>2000</v>
      </c>
      <c r="AK236">
        <f>_xlfn.XLOOKUP(B236,'[3]may-2025'!$A:$A,'[3]may-2025'!$I:$I,0,0)</f>
        <v>0</v>
      </c>
      <c r="AL236">
        <f t="shared" si="465"/>
        <v>150</v>
      </c>
      <c r="AM236">
        <f t="shared" si="466"/>
        <v>35920</v>
      </c>
      <c r="AN236">
        <f>_xlfn.XLOOKUP(B236,'[4]june-2025'!$A:$A,'[4]june-2025'!$C:$C,0,0)</f>
        <v>28900</v>
      </c>
      <c r="AO236">
        <f t="shared" si="467"/>
        <v>5202</v>
      </c>
      <c r="AP236">
        <f t="shared" si="468"/>
        <v>3468</v>
      </c>
      <c r="AQ236">
        <f>_xlfn.XLOOKUP(B236,'[4]june-2025'!$A:$A,'[4]june-2025'!$D:$D,0,0)</f>
        <v>0</v>
      </c>
      <c r="AR236">
        <f>_xlfn.XLOOKUP(B236,'[4]june-2025'!$A:$A,'[4]june-2025'!$G:$G,0,0)</f>
        <v>500</v>
      </c>
      <c r="AS236">
        <f t="shared" si="454"/>
        <v>38070</v>
      </c>
      <c r="AT236">
        <f>_xlfn.XLOOKUP(B236,'[4]june-2025'!$A:$A,'[4]june-2025'!$H:$H,0,0)</f>
        <v>2000</v>
      </c>
      <c r="AU236">
        <f>_xlfn.XLOOKUP(B236,'[4]june-2025'!$A:$A,'[4]june-2025'!$I:$I,0,0)</f>
        <v>0</v>
      </c>
      <c r="AV236">
        <f t="shared" si="469"/>
        <v>150</v>
      </c>
      <c r="AW236">
        <f t="shared" si="470"/>
        <v>35920</v>
      </c>
      <c r="AX236">
        <f>_xlfn.XLOOKUP(B236,'[5]july-2025'!$A:$A,'[5]july-2025'!$C:$C,0,0)</f>
        <v>29800</v>
      </c>
      <c r="AY236">
        <f t="shared" si="471"/>
        <v>5364</v>
      </c>
      <c r="AZ236">
        <v>0</v>
      </c>
      <c r="BA236">
        <f t="shared" si="472"/>
        <v>3576</v>
      </c>
      <c r="BB236">
        <f>_xlfn.XLOOKUP(B236,'[5]july-2025'!$A:$A,'[5]july-2025'!$D:$D,0,0)</f>
        <v>0</v>
      </c>
      <c r="BC236">
        <f>_xlfn.XLOOKUP(B236,'[5]july-2025'!$A:$A,'[5]july-2025'!$G:$G,0,0)</f>
        <v>500</v>
      </c>
      <c r="BD236">
        <f>IF(AX236&gt;0,SUM(AX236:BC236),0)</f>
        <v>39240</v>
      </c>
      <c r="BE236">
        <f>_xlfn.XLOOKUP(B236,'[5]july-2025'!$A:$A,'[5]july-2025'!$H:$H,0,0)</f>
        <v>2000</v>
      </c>
      <c r="BF236">
        <f>_xlfn.XLOOKUP(B236,'[5]july-2025'!$A:$A,'[5]july-2025'!$I:$I,0,0)</f>
        <v>0</v>
      </c>
      <c r="BG236">
        <f t="shared" si="473"/>
        <v>150</v>
      </c>
      <c r="BH236">
        <f t="shared" si="474"/>
        <v>37090</v>
      </c>
      <c r="BI236">
        <f>_xlfn.XLOOKUP(B236,'[6]august-2025'!$A:$A,'[6]august-2025'!$C:$C,0,0)</f>
        <v>29800</v>
      </c>
      <c r="BJ236">
        <f t="shared" si="475"/>
        <v>5364</v>
      </c>
      <c r="BK236">
        <f t="shared" si="476"/>
        <v>3576</v>
      </c>
      <c r="BL236">
        <f>_xlfn.XLOOKUP(B236,'[6]august-2025'!$A:$A,'[6]august-2025'!$D:$D,0,0)</f>
        <v>0</v>
      </c>
      <c r="BM236">
        <f>_xlfn.XLOOKUP(B236,'[6]august-2025'!$A:$A,'[6]august-2025'!$G:$G,0,0)</f>
        <v>500</v>
      </c>
      <c r="BN236">
        <f t="shared" si="477"/>
        <v>39240</v>
      </c>
      <c r="BO236">
        <f>_xlfn.XLOOKUP(B236,'[6]august-2025'!$A:$A,'[6]august-2025'!$H:$H,0,0)</f>
        <v>2000</v>
      </c>
      <c r="BP236">
        <f>_xlfn.XLOOKUP(B236,'[6]august-2025'!$A:$A,'[6]august-2025'!$I:$I,0,0)</f>
        <v>0</v>
      </c>
      <c r="BQ236">
        <f>IF($F236="YES",0,IF(BN236&gt;40000,200,IF(BN236&gt;25000,150,IF(BN236&gt;15000,130,IF(BN236&gt;10000,110,0)))))</f>
        <v>150</v>
      </c>
      <c r="BR236">
        <f>BN236-BO236-BP236-BQ236</f>
        <v>37090</v>
      </c>
      <c r="BS236">
        <f>_xlfn.XLOOKUP(B236,'[7]september-2025'!$A:$A,'[7]september-2025'!$C:$C,0,0)</f>
        <v>29800</v>
      </c>
      <c r="BT236">
        <f t="shared" si="478"/>
        <v>5364</v>
      </c>
      <c r="BU236">
        <f t="shared" si="479"/>
        <v>3576</v>
      </c>
      <c r="BV236">
        <f>_xlfn.XLOOKUP(B236,'[7]september-2025'!$A:$A,'[7]september-2025'!$D:$D,0,0)</f>
        <v>0</v>
      </c>
      <c r="BW236">
        <f>_xlfn.XLOOKUP(B236,'[7]september-2025'!$A:$A,'[7]september-2025'!$G:$G,0,0)</f>
        <v>500</v>
      </c>
      <c r="BX236">
        <f>IF(BS236&gt;0,SUM(BS236:BW236),0)</f>
        <v>39240</v>
      </c>
      <c r="BY236">
        <f>_xlfn.XLOOKUP(B236,'[7]september-2025'!$A:$A,'[7]september-2025'!$H:$H,0,0)</f>
        <v>2000</v>
      </c>
      <c r="BZ236">
        <f>_xlfn.XLOOKUP(B236,'[7]september-2025'!$A:$A,'[7]september-2025'!$I:$I,0,0)</f>
        <v>0</v>
      </c>
      <c r="CA236">
        <f t="shared" si="480"/>
        <v>150</v>
      </c>
      <c r="CB236">
        <f t="shared" si="481"/>
        <v>37090</v>
      </c>
      <c r="CC236">
        <f>_xlfn.XLOOKUP(B236,'[8]october-2025'!$A:$A,'[8]october-2025'!$C:$C,0,0)</f>
        <v>29800</v>
      </c>
      <c r="CD236">
        <f t="shared" si="482"/>
        <v>5364</v>
      </c>
      <c r="CE236">
        <f t="shared" si="483"/>
        <v>3576</v>
      </c>
      <c r="CF236">
        <f>_xlfn.XLOOKUP(B236,'[8]october-2025'!$A:$A,'[8]october-2025'!$D:$D,0,0)</f>
        <v>0</v>
      </c>
      <c r="CG236">
        <f>_xlfn.XLOOKUP(B236,'[8]october-2025'!$A:$A,'[8]october-2025'!$G:$G,0,0)</f>
        <v>500</v>
      </c>
      <c r="CH236">
        <f>IF(CC236&gt;0,SUM(CC236:CG236),0)</f>
        <v>39240</v>
      </c>
      <c r="CI236">
        <f>_xlfn.XLOOKUP(B236,'[8]october-2025'!$A:$A,'[8]october-2025'!$H:$H,0,0)</f>
        <v>2000</v>
      </c>
      <c r="CJ236">
        <f>_xlfn.XLOOKUP(B236,'[8]october-2025'!$A:$A,'[8]october-2025'!$I:$I,0,0)</f>
        <v>0</v>
      </c>
      <c r="CK236">
        <f t="shared" si="484"/>
        <v>150</v>
      </c>
      <c r="CL236">
        <f t="shared" si="485"/>
        <v>37090</v>
      </c>
      <c r="CM236">
        <f>_xlfn.XLOOKUP(B236,'[9]november-2025'!$A:$A,'[9]november-2025'!$C:$C,0,0)</f>
        <v>29800</v>
      </c>
      <c r="CN236">
        <f t="shared" si="486"/>
        <v>5364</v>
      </c>
      <c r="CO236">
        <f t="shared" si="487"/>
        <v>3576</v>
      </c>
      <c r="CP236">
        <f>_xlfn.XLOOKUP(B236,'[9]november-2025'!$A:$A,'[9]november-2025'!$D:$D,0,0)</f>
        <v>0</v>
      </c>
      <c r="CQ236">
        <f>_xlfn.XLOOKUP(B236,'[9]november-2025'!$A:$A,'[9]november-2025'!$G:$G,0,0)</f>
        <v>500</v>
      </c>
      <c r="CR236">
        <f>IF(CM236&gt;0,SUM(CM236:CQ236),0)</f>
        <v>39240</v>
      </c>
      <c r="CS236">
        <f>_xlfn.XLOOKUP(B236,'[9]november-2025'!$A:$A,'[9]november-2025'!$H:$H,0,0)</f>
        <v>2000</v>
      </c>
      <c r="CT236">
        <f>_xlfn.XLOOKUP(B236,'[9]november-2025'!$A:$A,'[9]november-2025'!$I:$I,0,0)</f>
        <v>0</v>
      </c>
      <c r="CU236">
        <f t="shared" si="488"/>
        <v>150</v>
      </c>
      <c r="CV236">
        <f t="shared" si="489"/>
        <v>37090</v>
      </c>
      <c r="CW236">
        <f>_xlfn.XLOOKUP(B236,'[10]december-2025'!$A:$A,'[10]december-2025'!$C:$C,0,0)</f>
        <v>29800</v>
      </c>
      <c r="CX236">
        <f t="shared" si="490"/>
        <v>5364</v>
      </c>
      <c r="CY236">
        <f t="shared" si="491"/>
        <v>3576</v>
      </c>
      <c r="CZ236">
        <f>_xlfn.XLOOKUP(B236,'[10]december-2025'!$A:$A,'[10]december-2025'!$D:$D,0,0)</f>
        <v>0</v>
      </c>
      <c r="DA236">
        <f>_xlfn.XLOOKUP(B236,'[10]december-2025'!$A:$A,'[10]december-2025'!$G:$G,0,0)</f>
        <v>500</v>
      </c>
      <c r="DB236">
        <f>IF(CW236&gt;0,SUM(CW236:DA236),0)</f>
        <v>39240</v>
      </c>
      <c r="DC236">
        <f>_xlfn.XLOOKUP(B236,'[10]december-2025'!$A:$A,'[10]december-2025'!$H:$H,0,0)</f>
        <v>2000</v>
      </c>
      <c r="DD236">
        <f>_xlfn.XLOOKUP(B236,'[10]december-2025'!$A:$A,'[10]december-2025'!$I:$I,0,0)</f>
        <v>0</v>
      </c>
      <c r="DE236">
        <f t="shared" si="492"/>
        <v>150</v>
      </c>
      <c r="DF236">
        <f t="shared" si="493"/>
        <v>37090</v>
      </c>
      <c r="DG236">
        <f>_xlfn.XLOOKUP(B236,'[11]january-2026'!$A:$A,'[11]january-2026'!$C:$C,0,0)</f>
        <v>29800</v>
      </c>
      <c r="DH236">
        <f t="shared" si="494"/>
        <v>5364</v>
      </c>
      <c r="DI236">
        <f t="shared" si="495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>IF(DG236&gt;0,SUM(DG236:DK236),0)</f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496"/>
        <v>150</v>
      </c>
      <c r="DP236">
        <f t="shared" si="497"/>
        <v>37090</v>
      </c>
      <c r="DQ236">
        <f>_xlfn.XLOOKUP(B236,'[12]february-2026'!$A:$A,'[12]february-2026'!$C:$C,0,0)</f>
        <v>29800</v>
      </c>
      <c r="DR236">
        <f t="shared" si="498"/>
        <v>5364</v>
      </c>
      <c r="DS236">
        <f t="shared" si="499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>IF(DQ236&gt;0,SUM(DQ236:DU236),0)</f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00"/>
        <v>150</v>
      </c>
      <c r="DZ236">
        <f t="shared" si="501"/>
        <v>37090</v>
      </c>
      <c r="EA236">
        <f>_xlfn.XLOOKUP(B236,'[1]march-2025'!$A:$A,'[1]march-2025'!$J:$J,0,0)</f>
        <v>0</v>
      </c>
      <c r="EB236">
        <f>_xlfn.XLOOKUP(B236,'[2]april-2025'!$A:$A,'[2]april-2025'!$J:$J,0,0)</f>
        <v>0</v>
      </c>
      <c r="EC236">
        <f>_xlfn.XLOOKUP(B236,'[3]may-2025'!$A:$A,'[3]may-2025'!$J:$J,0,0)</f>
        <v>0</v>
      </c>
      <c r="ED236">
        <f>_xlfn.XLOOKUP(B236,'[4]june-2025'!$A:$A,'[4]june-2025'!$J:$J,0,0)</f>
        <v>0</v>
      </c>
      <c r="EE236">
        <f>_xlfn.XLOOKUP(B236,'[5]july-2025'!$A:$A,'[5]july-2025'!$J:$J,0,0)</f>
        <v>0</v>
      </c>
      <c r="EF236">
        <f>_xlfn.XLOOKUP(B236,'[6]august-2025'!$A:$A,'[6]august-2025'!$J:$J,0,0)</f>
        <v>0</v>
      </c>
      <c r="EG236">
        <f>_xlfn.XLOOKUP(B236,'[7]september-2025'!$A:$A,'[7]september-2025'!$J:$J,0,0)</f>
        <v>0</v>
      </c>
      <c r="EH236">
        <f>_xlfn.XLOOKUP(B236,'[8]october-2025'!$A:$A,'[8]october-2025'!$J:$J,0,0)</f>
        <v>0</v>
      </c>
      <c r="EI236">
        <f>_xlfn.XLOOKUP(C236,'[9]november-2025'!$A:$A,'[9]november-2025'!$J:$J,0,0)</f>
        <v>0</v>
      </c>
      <c r="EJ236">
        <f>_xlfn.XLOOKUP(B236,'[10]december-2025'!$A:$A,'[10]december-2025'!$J:$J,0,0)</f>
        <v>0</v>
      </c>
      <c r="EK236">
        <f>_xlfn.XLOOKUP(B236,'[11]january-2026'!$A:$A,'[11]january-2026'!$J:$J,0,0)</f>
        <v>0</v>
      </c>
      <c r="EL236">
        <f>_xlfn.XLOOKUP(B236,'[12]february-2026'!$A:$A,'[12]february-2026'!$J:$J,0,0)</f>
        <v>0</v>
      </c>
      <c r="EM236">
        <f t="shared" si="455"/>
        <v>0</v>
      </c>
      <c r="EN236">
        <f>DV236+DL236+DB236+CR236+CH236+BX236+BN236+BD236+AS236+AI236+Y236+O236+H236+I236</f>
        <v>471844</v>
      </c>
      <c r="EO236">
        <f>DY236+DO236+DE236+CU236+CK236+CA236+BQ236+BG236+AV236+AL236+AB236+R236</f>
        <v>1800</v>
      </c>
      <c r="EP236">
        <f t="shared" si="502"/>
        <v>50000</v>
      </c>
      <c r="EQ236">
        <v>0</v>
      </c>
      <c r="ER236">
        <f t="shared" si="456"/>
        <v>420044</v>
      </c>
      <c r="ES236">
        <f>DW236+DM236+DC236+CS236+CI236+BY236+BO236+BE236+AT236+AJ236+Z236+P236</f>
        <v>24000</v>
      </c>
      <c r="ET236">
        <f>DX236+DN236+DD236+CT236+CJ236+BZ236+BP236+BF236+AU236+AK236+AA236+Q236</f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503"/>
        <v>24000</v>
      </c>
      <c r="FF236">
        <f t="shared" si="504"/>
        <v>24000</v>
      </c>
      <c r="FG236">
        <f t="shared" si="505"/>
        <v>396044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>SUM(FH236:FN236)+(IF(F236="YES",50000,0))</f>
        <v>0</v>
      </c>
      <c r="FP236">
        <f t="shared" si="506"/>
        <v>396044</v>
      </c>
      <c r="FQ236">
        <f t="shared" si="507"/>
        <v>7302</v>
      </c>
      <c r="FR236">
        <f t="shared" si="508"/>
        <v>0</v>
      </c>
      <c r="FS236">
        <f t="shared" si="509"/>
        <v>7302</v>
      </c>
      <c r="FT236">
        <f t="shared" si="510"/>
        <v>0</v>
      </c>
      <c r="FU236">
        <f t="shared" si="511"/>
        <v>0</v>
      </c>
      <c r="FV236">
        <f t="shared" si="512"/>
        <v>0</v>
      </c>
      <c r="FW236">
        <v>0</v>
      </c>
      <c r="FX236">
        <f t="shared" si="513"/>
        <v>0</v>
      </c>
      <c r="FY236" t="b">
        <f t="shared" si="514"/>
        <v>0</v>
      </c>
      <c r="FZ236">
        <f t="shared" ca="1" si="515"/>
        <v>1533</v>
      </c>
      <c r="GA236">
        <f t="shared" ca="1" si="516"/>
        <v>473377</v>
      </c>
      <c r="GB236">
        <f t="shared" si="517"/>
        <v>75000</v>
      </c>
      <c r="GC236">
        <f t="shared" ca="1" si="518"/>
        <v>398377</v>
      </c>
      <c r="GD236">
        <f t="shared" ca="1" si="519"/>
        <v>0</v>
      </c>
      <c r="GE236">
        <f t="shared" ca="1" si="520"/>
        <v>0</v>
      </c>
      <c r="GF236">
        <f t="shared" ca="1" si="521"/>
        <v>0</v>
      </c>
      <c r="GG236">
        <f t="shared" ca="1" si="522"/>
        <v>0</v>
      </c>
      <c r="GH236">
        <f t="shared" ca="1" si="523"/>
        <v>0</v>
      </c>
      <c r="GI236">
        <f t="shared" ca="1" si="524"/>
        <v>0</v>
      </c>
      <c r="GJ236">
        <f ca="1">IF(GC236&gt;1200000,GC236-1200000-IF(F236="YES",50000,0)-GH236,0)</f>
        <v>0</v>
      </c>
      <c r="GK236">
        <f t="shared" ca="1" si="525"/>
        <v>0</v>
      </c>
      <c r="GL236">
        <f t="shared" ca="1" si="526"/>
        <v>0</v>
      </c>
      <c r="GM236">
        <f t="shared" ca="1" si="527"/>
        <v>0</v>
      </c>
      <c r="GN236">
        <f t="shared" ca="1" si="528"/>
        <v>0</v>
      </c>
      <c r="GO236">
        <f t="shared" ca="1" si="529"/>
        <v>0</v>
      </c>
      <c r="GP236">
        <f t="shared" ca="1" si="530"/>
        <v>0</v>
      </c>
      <c r="GQ236">
        <f t="shared" ca="1" si="531"/>
        <v>0</v>
      </c>
      <c r="GR236">
        <f t="shared" ca="1" si="532"/>
        <v>0</v>
      </c>
      <c r="GS236">
        <f t="shared" ca="1" si="533"/>
        <v>0</v>
      </c>
      <c r="GT236">
        <f t="shared" ca="1" si="534"/>
        <v>0</v>
      </c>
      <c r="GU236" t="b">
        <f t="shared" ca="1" si="535"/>
        <v>0</v>
      </c>
      <c r="GV236">
        <f t="shared" ca="1" si="536"/>
        <v>0</v>
      </c>
      <c r="GW236">
        <f t="shared" ca="1" si="537"/>
        <v>0</v>
      </c>
      <c r="GX236">
        <f t="shared" ca="1" si="538"/>
        <v>0</v>
      </c>
      <c r="GY236">
        <f t="shared" ca="1" si="539"/>
        <v>0</v>
      </c>
      <c r="GZ236">
        <f t="shared" ca="1" si="540"/>
        <v>0</v>
      </c>
    </row>
    <row r="237" spans="1:208" x14ac:dyDescent="0.25">
      <c r="A237">
        <f>_xlfn.AGGREGATE(3,5,$B$2:B237)</f>
        <v>236</v>
      </c>
      <c r="B237" t="s">
        <v>578</v>
      </c>
      <c r="C237" t="s">
        <v>579</v>
      </c>
      <c r="D237" t="s">
        <v>811</v>
      </c>
      <c r="E237" t="s">
        <v>831</v>
      </c>
      <c r="F237" t="s">
        <v>957</v>
      </c>
      <c r="G237" t="s">
        <v>949</v>
      </c>
      <c r="H237">
        <f t="shared" si="543"/>
        <v>6800</v>
      </c>
      <c r="I237">
        <f>_xlfn.XLOOKUP(B237,'[1]march-2025'!$A:$A,'[1]march-2025'!$J:$J,0,0)</f>
        <v>0</v>
      </c>
      <c r="J237">
        <f>_xlfn.XLOOKUP(B237,'[1]march-2025'!$A:$A,'[1]march-2025'!$C:$C,0,0)</f>
        <v>48700</v>
      </c>
      <c r="K237">
        <f t="shared" si="457"/>
        <v>6818.0000000000009</v>
      </c>
      <c r="L237">
        <f t="shared" si="458"/>
        <v>5844</v>
      </c>
      <c r="M237">
        <f>_xlfn.XLOOKUP(B237,'[1]march-2025'!$A:$A,'[1]march-2025'!$D:$D,0,0)</f>
        <v>400</v>
      </c>
      <c r="N237">
        <f>_xlfn.XLOOKUP(B237,'[1]march-2025'!$A:$A,'[1]march-2025'!$G:$G,0,0)</f>
        <v>500</v>
      </c>
      <c r="O237">
        <f>IF(J237&gt;0,SUM(J237:N237),0)</f>
        <v>62262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541"/>
        <v>200</v>
      </c>
      <c r="S237">
        <f t="shared" si="451"/>
        <v>56062</v>
      </c>
      <c r="T237">
        <f>_xlfn.XLOOKUP(B237,'[2]april-2025'!$A:$A,'[2]april-2025'!$C:$C,0,0)</f>
        <v>48700</v>
      </c>
      <c r="U237">
        <f t="shared" si="459"/>
        <v>8766</v>
      </c>
      <c r="V237">
        <f t="shared" si="460"/>
        <v>5844</v>
      </c>
      <c r="W237">
        <f>_xlfn.XLOOKUP(B237,'[2]april-2025'!$A:$A,'[2]april-2025'!$D:$D,0,0)</f>
        <v>400</v>
      </c>
      <c r="X237">
        <f>_xlfn.XLOOKUP(B237,'[2]april-2025'!$A:$A,'[2]april-2025'!$G:$G,0,0)</f>
        <v>500</v>
      </c>
      <c r="Y237">
        <f t="shared" si="452"/>
        <v>64210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461"/>
        <v>200</v>
      </c>
      <c r="AC237">
        <f t="shared" si="462"/>
        <v>58010</v>
      </c>
      <c r="AD237">
        <f>_xlfn.XLOOKUP(B237,'[3]may-2025'!$A:$A,'[3]may-2025'!$C:$C,0,0)</f>
        <v>48700</v>
      </c>
      <c r="AE237">
        <f t="shared" si="463"/>
        <v>8766</v>
      </c>
      <c r="AF237">
        <f t="shared" si="464"/>
        <v>5844</v>
      </c>
      <c r="AG237">
        <f>_xlfn.XLOOKUP(B237,'[3]may-2025'!$A:$A,'[3]may-2025'!$D:$D,0,0)</f>
        <v>400</v>
      </c>
      <c r="AH237">
        <f>_xlfn.XLOOKUP(B237,'[3]may-2025'!$A:$A,'[3]may-2025'!$G:$G,0,0)</f>
        <v>500</v>
      </c>
      <c r="AI237">
        <f t="shared" si="453"/>
        <v>64210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465"/>
        <v>200</v>
      </c>
      <c r="AM237">
        <f t="shared" si="466"/>
        <v>58010</v>
      </c>
      <c r="AN237">
        <f>_xlfn.XLOOKUP(B237,'[4]june-2025'!$A:$A,'[4]june-2025'!$C:$C,0,0)</f>
        <v>48700</v>
      </c>
      <c r="AO237">
        <f t="shared" si="467"/>
        <v>8766</v>
      </c>
      <c r="AP237">
        <f t="shared" si="468"/>
        <v>5844</v>
      </c>
      <c r="AQ237">
        <f>_xlfn.XLOOKUP(B237,'[4]june-2025'!$A:$A,'[4]june-2025'!$D:$D,0,0)</f>
        <v>400</v>
      </c>
      <c r="AR237">
        <f>_xlfn.XLOOKUP(B237,'[4]june-2025'!$A:$A,'[4]june-2025'!$G:$G,0,0)</f>
        <v>500</v>
      </c>
      <c r="AS237">
        <f t="shared" si="454"/>
        <v>64210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469"/>
        <v>200</v>
      </c>
      <c r="AW237">
        <f t="shared" si="470"/>
        <v>58010</v>
      </c>
      <c r="AX237">
        <f>_xlfn.XLOOKUP(B237,'[5]july-2025'!$A:$A,'[5]july-2025'!$C:$C,0,0)</f>
        <v>50200</v>
      </c>
      <c r="AY237">
        <f t="shared" si="471"/>
        <v>9036</v>
      </c>
      <c r="AZ237">
        <v>0</v>
      </c>
      <c r="BA237">
        <f t="shared" si="472"/>
        <v>6024</v>
      </c>
      <c r="BB237">
        <f>_xlfn.XLOOKUP(B237,'[5]july-2025'!$A:$A,'[5]july-2025'!$D:$D,0,0)</f>
        <v>400</v>
      </c>
      <c r="BC237">
        <f>_xlfn.XLOOKUP(B237,'[5]july-2025'!$A:$A,'[5]july-2025'!$G:$G,0,0)</f>
        <v>500</v>
      </c>
      <c r="BD237">
        <f>IF(AX237&gt;0,SUM(AX237:BC237),0)</f>
        <v>66160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473"/>
        <v>200</v>
      </c>
      <c r="BH237">
        <f t="shared" si="474"/>
        <v>59960</v>
      </c>
      <c r="BI237">
        <f>_xlfn.XLOOKUP(B237,'[6]august-2025'!$A:$A,'[6]august-2025'!$C:$C,0,0)</f>
        <v>50200</v>
      </c>
      <c r="BJ237">
        <f t="shared" si="475"/>
        <v>9036</v>
      </c>
      <c r="BK237">
        <f t="shared" si="476"/>
        <v>6024</v>
      </c>
      <c r="BL237">
        <f>_xlfn.XLOOKUP(B237,'[6]august-2025'!$A:$A,'[6]august-2025'!$D:$D,0,0)</f>
        <v>400</v>
      </c>
      <c r="BM237">
        <f>_xlfn.XLOOKUP(B237,'[6]august-2025'!$A:$A,'[6]august-2025'!$G:$G,0,0)</f>
        <v>500</v>
      </c>
      <c r="BN237">
        <f t="shared" si="477"/>
        <v>66160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>IF($F237="YES",0,IF(BN237&gt;40000,200,IF(BN237&gt;25000,150,IF(BN237&gt;15000,130,IF(BN237&gt;10000,110,0)))))</f>
        <v>200</v>
      </c>
      <c r="BR237">
        <f>BN237-BO237-BP237-BQ237</f>
        <v>59960</v>
      </c>
      <c r="BS237">
        <f>_xlfn.XLOOKUP(B237,'[7]september-2025'!$A:$A,'[7]september-2025'!$C:$C,0,0)</f>
        <v>50200</v>
      </c>
      <c r="BT237">
        <f t="shared" si="478"/>
        <v>9036</v>
      </c>
      <c r="BU237">
        <f t="shared" si="479"/>
        <v>6024</v>
      </c>
      <c r="BV237">
        <f>_xlfn.XLOOKUP(B237,'[7]september-2025'!$A:$A,'[7]september-2025'!$D:$D,0,0)</f>
        <v>400</v>
      </c>
      <c r="BW237">
        <f>_xlfn.XLOOKUP(B237,'[7]september-2025'!$A:$A,'[7]september-2025'!$G:$G,0,0)</f>
        <v>500</v>
      </c>
      <c r="BX237">
        <f>IF(BS237&gt;0,SUM(BS237:BW237),0)</f>
        <v>66160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480"/>
        <v>200</v>
      </c>
      <c r="CB237">
        <f t="shared" si="481"/>
        <v>59960</v>
      </c>
      <c r="CC237">
        <f>_xlfn.XLOOKUP(B237,'[8]october-2025'!$A:$A,'[8]october-2025'!$C:$C,0,0)</f>
        <v>50200</v>
      </c>
      <c r="CD237">
        <f t="shared" si="482"/>
        <v>9036</v>
      </c>
      <c r="CE237">
        <f t="shared" si="483"/>
        <v>6024</v>
      </c>
      <c r="CF237">
        <f>_xlfn.XLOOKUP(B237,'[8]october-2025'!$A:$A,'[8]october-2025'!$D:$D,0,0)</f>
        <v>400</v>
      </c>
      <c r="CG237">
        <f>_xlfn.XLOOKUP(B237,'[8]october-2025'!$A:$A,'[8]october-2025'!$G:$G,0,0)</f>
        <v>500</v>
      </c>
      <c r="CH237">
        <f>IF(CC237&gt;0,SUM(CC237:CG237),0)</f>
        <v>66160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484"/>
        <v>200</v>
      </c>
      <c r="CL237">
        <f t="shared" si="485"/>
        <v>59960</v>
      </c>
      <c r="CM237">
        <f>_xlfn.XLOOKUP(B237,'[9]november-2025'!$A:$A,'[9]november-2025'!$C:$C,0,0)</f>
        <v>50200</v>
      </c>
      <c r="CN237">
        <f t="shared" si="486"/>
        <v>9036</v>
      </c>
      <c r="CO237">
        <f t="shared" si="487"/>
        <v>6024</v>
      </c>
      <c r="CP237">
        <f>_xlfn.XLOOKUP(B237,'[9]november-2025'!$A:$A,'[9]november-2025'!$D:$D,0,0)</f>
        <v>400</v>
      </c>
      <c r="CQ237">
        <f>_xlfn.XLOOKUP(B237,'[9]november-2025'!$A:$A,'[9]november-2025'!$G:$G,0,0)</f>
        <v>500</v>
      </c>
      <c r="CR237">
        <f>IF(CM237&gt;0,SUM(CM237:CQ237),0)</f>
        <v>66160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488"/>
        <v>200</v>
      </c>
      <c r="CV237">
        <f t="shared" si="489"/>
        <v>59960</v>
      </c>
      <c r="CW237">
        <f>_xlfn.XLOOKUP(B237,'[10]december-2025'!$A:$A,'[10]december-2025'!$C:$C,0,0)</f>
        <v>51604</v>
      </c>
      <c r="CX237">
        <f t="shared" si="490"/>
        <v>9289</v>
      </c>
      <c r="CY237">
        <f t="shared" si="491"/>
        <v>6192</v>
      </c>
      <c r="CZ237">
        <f>_xlfn.XLOOKUP(B237,'[10]december-2025'!$A:$A,'[10]december-2025'!$D:$D,0,0)</f>
        <v>400</v>
      </c>
      <c r="DA237">
        <f>_xlfn.XLOOKUP(B237,'[10]december-2025'!$A:$A,'[10]december-2025'!$G:$G,0,0)</f>
        <v>500</v>
      </c>
      <c r="DB237">
        <f>IF(CW237&gt;0,SUM(CW237:DA237),0)</f>
        <v>67985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492"/>
        <v>200</v>
      </c>
      <c r="DF237">
        <f t="shared" si="493"/>
        <v>61785</v>
      </c>
      <c r="DG237">
        <f>_xlfn.XLOOKUP(B237,'[11]january-2026'!$A:$A,'[11]january-2026'!$C:$C,0,0)</f>
        <v>51700</v>
      </c>
      <c r="DH237">
        <f t="shared" si="494"/>
        <v>9306</v>
      </c>
      <c r="DI237">
        <f t="shared" si="495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>IF(DG237&gt;0,SUM(DG237:DK237),0)</f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496"/>
        <v>200</v>
      </c>
      <c r="DP237">
        <f t="shared" si="497"/>
        <v>61910</v>
      </c>
      <c r="DQ237">
        <f>_xlfn.XLOOKUP(B237,'[12]february-2026'!$A:$A,'[12]february-2026'!$C:$C,0,0)</f>
        <v>51700</v>
      </c>
      <c r="DR237">
        <f t="shared" si="498"/>
        <v>9306</v>
      </c>
      <c r="DS237">
        <f t="shared" si="499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>IF(DQ237&gt;0,SUM(DQ237:DU237),0)</f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00"/>
        <v>200</v>
      </c>
      <c r="DZ237">
        <f t="shared" si="501"/>
        <v>61910</v>
      </c>
      <c r="EA237">
        <f>_xlfn.XLOOKUP(B237,'[1]march-2025'!$A:$A,'[1]march-2025'!$J:$J,0,0)</f>
        <v>0</v>
      </c>
      <c r="EB237">
        <f>_xlfn.XLOOKUP(B237,'[2]april-2025'!$A:$A,'[2]april-2025'!$J:$J,0,0)</f>
        <v>0</v>
      </c>
      <c r="EC237">
        <f>_xlfn.XLOOKUP(B237,'[3]may-2025'!$A:$A,'[3]may-2025'!$J:$J,0,0)</f>
        <v>0</v>
      </c>
      <c r="ED237">
        <f>_xlfn.XLOOKUP(B237,'[4]june-2025'!$A:$A,'[4]june-2025'!$J:$J,0,0)</f>
        <v>0</v>
      </c>
      <c r="EE237">
        <f>_xlfn.XLOOKUP(B237,'[5]july-2025'!$A:$A,'[5]july-2025'!$J:$J,0,0)</f>
        <v>0</v>
      </c>
      <c r="EF237">
        <f>_xlfn.XLOOKUP(B237,'[6]august-2025'!$A:$A,'[6]august-2025'!$J:$J,0,0)</f>
        <v>0</v>
      </c>
      <c r="EG237">
        <f>_xlfn.XLOOKUP(B237,'[7]september-2025'!$A:$A,'[7]september-2025'!$J:$J,0,0)</f>
        <v>0</v>
      </c>
      <c r="EH237">
        <f>_xlfn.XLOOKUP(B237,'[8]october-2025'!$A:$A,'[8]october-2025'!$J:$J,0,0)</f>
        <v>0</v>
      </c>
      <c r="EI237">
        <f>_xlfn.XLOOKUP(C237,'[9]november-2025'!$A:$A,'[9]november-2025'!$J:$J,0,0)</f>
        <v>0</v>
      </c>
      <c r="EJ237">
        <f>_xlfn.XLOOKUP(B237,'[10]december-2025'!$A:$A,'[10]december-2025'!$J:$J,0,0)</f>
        <v>0</v>
      </c>
      <c r="EK237">
        <f>_xlfn.XLOOKUP(B237,'[11]january-2026'!$A:$A,'[11]january-2026'!$J:$J,0,0)</f>
        <v>0</v>
      </c>
      <c r="EL237">
        <f>_xlfn.XLOOKUP(B237,'[12]february-2026'!$A:$A,'[12]february-2026'!$J:$J,0,0)</f>
        <v>0</v>
      </c>
      <c r="EM237">
        <f t="shared" si="455"/>
        <v>0</v>
      </c>
      <c r="EN237">
        <f>DV237+DL237+DB237+CR237+CH237+BX237+BN237+BD237+AS237+AI237+Y237+O237+H237+I237</f>
        <v>796697</v>
      </c>
      <c r="EO237">
        <f>DY237+DO237+DE237+CU237+CK237+CA237+BQ237+BG237+AV237+AL237+AB237+R237</f>
        <v>2400</v>
      </c>
      <c r="EP237">
        <f t="shared" si="502"/>
        <v>50000</v>
      </c>
      <c r="EQ237">
        <v>0</v>
      </c>
      <c r="ER237">
        <f t="shared" si="456"/>
        <v>744297</v>
      </c>
      <c r="ES237">
        <f>DW237+DM237+DC237+CS237+CI237+BY237+BO237+BE237+AT237+AJ237+Z237+P237</f>
        <v>72000</v>
      </c>
      <c r="ET237">
        <f>DX237+DN237+DD237+CT237+CJ237+BZ237+BP237+BF237+AU237+AK237+AA237+Q237</f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503"/>
        <v>72000</v>
      </c>
      <c r="FF237">
        <f t="shared" si="504"/>
        <v>72000</v>
      </c>
      <c r="FG237">
        <f t="shared" si="505"/>
        <v>672297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>SUM(FH237:FN237)+(IF(F237="YES",50000,0))</f>
        <v>0</v>
      </c>
      <c r="FP237">
        <f t="shared" si="506"/>
        <v>672297</v>
      </c>
      <c r="FQ237">
        <f t="shared" si="507"/>
        <v>12500</v>
      </c>
      <c r="FR237">
        <f t="shared" si="508"/>
        <v>34459</v>
      </c>
      <c r="FS237">
        <f t="shared" si="509"/>
        <v>46959</v>
      </c>
      <c r="FT237">
        <f t="shared" si="510"/>
        <v>46959</v>
      </c>
      <c r="FU237">
        <f t="shared" si="511"/>
        <v>1878.3600000000001</v>
      </c>
      <c r="FV237">
        <f t="shared" si="512"/>
        <v>48837</v>
      </c>
      <c r="FW237">
        <v>0</v>
      </c>
      <c r="FX237">
        <f t="shared" si="513"/>
        <v>48837</v>
      </c>
      <c r="FY237" t="b">
        <f t="shared" si="514"/>
        <v>1</v>
      </c>
      <c r="FZ237">
        <f t="shared" ca="1" si="515"/>
        <v>993</v>
      </c>
      <c r="GA237">
        <f t="shared" ca="1" si="516"/>
        <v>797690</v>
      </c>
      <c r="GB237">
        <f t="shared" si="517"/>
        <v>75000</v>
      </c>
      <c r="GC237">
        <f t="shared" ca="1" si="518"/>
        <v>722690</v>
      </c>
      <c r="GD237">
        <f t="shared" ca="1" si="519"/>
        <v>0</v>
      </c>
      <c r="GE237">
        <f t="shared" ca="1" si="520"/>
        <v>0</v>
      </c>
      <c r="GF237">
        <f t="shared" ca="1" si="521"/>
        <v>0</v>
      </c>
      <c r="GG237">
        <f t="shared" ca="1" si="522"/>
        <v>0</v>
      </c>
      <c r="GH237">
        <f t="shared" ca="1" si="523"/>
        <v>0</v>
      </c>
      <c r="GI237">
        <f t="shared" ca="1" si="524"/>
        <v>0</v>
      </c>
      <c r="GJ237">
        <f ca="1">IF(GC237&gt;1200000,GC237-1200000-IF(F237="YES",50000,0)-GH237,0)</f>
        <v>0</v>
      </c>
      <c r="GK237">
        <f t="shared" ca="1" si="525"/>
        <v>0</v>
      </c>
      <c r="GL237">
        <f t="shared" ca="1" si="526"/>
        <v>0</v>
      </c>
      <c r="GM237">
        <f t="shared" ca="1" si="527"/>
        <v>0</v>
      </c>
      <c r="GN237">
        <f t="shared" ca="1" si="528"/>
        <v>322690</v>
      </c>
      <c r="GO237">
        <f t="shared" ca="1" si="529"/>
        <v>16134.5</v>
      </c>
      <c r="GP237">
        <f t="shared" ca="1" si="530"/>
        <v>16135</v>
      </c>
      <c r="GQ237">
        <f t="shared" ca="1" si="531"/>
        <v>0</v>
      </c>
      <c r="GR237">
        <f t="shared" ca="1" si="532"/>
        <v>0</v>
      </c>
      <c r="GS237">
        <f t="shared" ca="1" si="533"/>
        <v>16135</v>
      </c>
      <c r="GT237">
        <f t="shared" ca="1" si="534"/>
        <v>0</v>
      </c>
      <c r="GU237" t="b">
        <f t="shared" ca="1" si="535"/>
        <v>0</v>
      </c>
      <c r="GV237">
        <f t="shared" ca="1" si="536"/>
        <v>0</v>
      </c>
      <c r="GW237">
        <f t="shared" ca="1" si="537"/>
        <v>16135</v>
      </c>
      <c r="GX237">
        <f t="shared" ca="1" si="538"/>
        <v>0</v>
      </c>
      <c r="GY237">
        <f t="shared" ca="1" si="539"/>
        <v>0</v>
      </c>
      <c r="GZ237">
        <f t="shared" ca="1" si="540"/>
        <v>0</v>
      </c>
    </row>
    <row r="238" spans="1:208" x14ac:dyDescent="0.25">
      <c r="A238">
        <f>_xlfn.AGGREGATE(3,5,$B$2:B238)</f>
        <v>237</v>
      </c>
      <c r="B238" t="s">
        <v>580</v>
      </c>
      <c r="C238" t="s">
        <v>581</v>
      </c>
      <c r="D238" t="s">
        <v>811</v>
      </c>
      <c r="E238" t="s">
        <v>831</v>
      </c>
      <c r="F238" t="s">
        <v>957</v>
      </c>
      <c r="G238" t="s">
        <v>950</v>
      </c>
      <c r="H238">
        <f t="shared" si="543"/>
        <v>6800</v>
      </c>
      <c r="I238">
        <f>_xlfn.XLOOKUP(B238,'[1]march-2025'!$A:$A,'[1]march-2025'!$J:$J,0,0)</f>
        <v>0</v>
      </c>
      <c r="J238">
        <f>_xlfn.XLOOKUP(B238,'[1]march-2025'!$A:$A,'[1]march-2025'!$C:$C,0,0)</f>
        <v>47300</v>
      </c>
      <c r="K238">
        <f t="shared" si="457"/>
        <v>6622.0000000000009</v>
      </c>
      <c r="L238">
        <f t="shared" si="458"/>
        <v>5676</v>
      </c>
      <c r="M238">
        <f>_xlfn.XLOOKUP(B238,'[1]march-2025'!$A:$A,'[1]march-2025'!$D:$D,0,0)</f>
        <v>0</v>
      </c>
      <c r="N238">
        <f>_xlfn.XLOOKUP(B238,'[1]march-2025'!$A:$A,'[1]march-2025'!$G:$G,0,0)</f>
        <v>0</v>
      </c>
      <c r="O238">
        <f>IF(J238&gt;0,SUM(J238:N238),0)</f>
        <v>59598</v>
      </c>
      <c r="P238">
        <f>_xlfn.XLOOKUP(B238,'[1]march-2025'!$A:$A,'[1]march-2025'!$H:$H,0,0)</f>
        <v>6000</v>
      </c>
      <c r="Q238">
        <f>_xlfn.XLOOKUP(B238,'[1]march-2025'!$A:$A,'[1]march-2025'!$I:$I,0,0)</f>
        <v>0</v>
      </c>
      <c r="R238">
        <f t="shared" si="541"/>
        <v>200</v>
      </c>
      <c r="S238">
        <f t="shared" si="451"/>
        <v>53398</v>
      </c>
      <c r="T238">
        <f>_xlfn.XLOOKUP(B238,'[2]april-2025'!$A:$A,'[2]april-2025'!$C:$C,0,0)</f>
        <v>47300</v>
      </c>
      <c r="U238">
        <f t="shared" si="459"/>
        <v>8514</v>
      </c>
      <c r="V238">
        <f t="shared" si="460"/>
        <v>5676</v>
      </c>
      <c r="W238">
        <f>_xlfn.XLOOKUP(B238,'[2]april-2025'!$A:$A,'[2]april-2025'!$D:$D,0,0)</f>
        <v>0</v>
      </c>
      <c r="X238">
        <f>_xlfn.XLOOKUP(B238,'[2]april-2025'!$A:$A,'[2]april-2025'!$G:$G,0,0)</f>
        <v>0</v>
      </c>
      <c r="Y238">
        <f t="shared" si="452"/>
        <v>61490</v>
      </c>
      <c r="Z238">
        <f>_xlfn.XLOOKUP(B238,'[2]april-2025'!$A:$A,'[2]april-2025'!$H:$H,0,0)</f>
        <v>6000</v>
      </c>
      <c r="AA238">
        <f>_xlfn.XLOOKUP(B238,'[2]april-2025'!$A:$A,'[2]april-2025'!$I:$I,0,0)</f>
        <v>0</v>
      </c>
      <c r="AB238">
        <f t="shared" si="461"/>
        <v>200</v>
      </c>
      <c r="AC238">
        <f t="shared" si="462"/>
        <v>55290</v>
      </c>
      <c r="AD238">
        <f>_xlfn.XLOOKUP(B238,'[3]may-2025'!$A:$A,'[3]may-2025'!$C:$C,0,0)</f>
        <v>47300</v>
      </c>
      <c r="AE238">
        <f t="shared" si="463"/>
        <v>8514</v>
      </c>
      <c r="AF238">
        <f t="shared" si="464"/>
        <v>5676</v>
      </c>
      <c r="AG238">
        <f>_xlfn.XLOOKUP(B238,'[3]may-2025'!$A:$A,'[3]may-2025'!$D:$D,0,0)</f>
        <v>0</v>
      </c>
      <c r="AH238">
        <f>_xlfn.XLOOKUP(B238,'[3]may-2025'!$A:$A,'[3]may-2025'!$G:$G,0,0)</f>
        <v>0</v>
      </c>
      <c r="AI238">
        <f t="shared" si="453"/>
        <v>61490</v>
      </c>
      <c r="AJ238">
        <f>_xlfn.XLOOKUP(B238,'[3]may-2025'!$A:$A,'[3]may-2025'!$H:$H,0,0)</f>
        <v>6000</v>
      </c>
      <c r="AK238">
        <f>_xlfn.XLOOKUP(B238,'[3]may-2025'!$A:$A,'[3]may-2025'!$I:$I,0,0)</f>
        <v>0</v>
      </c>
      <c r="AL238">
        <f t="shared" si="465"/>
        <v>200</v>
      </c>
      <c r="AM238">
        <f t="shared" si="466"/>
        <v>55290</v>
      </c>
      <c r="AN238">
        <f>_xlfn.XLOOKUP(B238,'[4]june-2025'!$A:$A,'[4]june-2025'!$C:$C,0,0)</f>
        <v>47300</v>
      </c>
      <c r="AO238">
        <f t="shared" si="467"/>
        <v>8514</v>
      </c>
      <c r="AP238">
        <f t="shared" si="468"/>
        <v>5676</v>
      </c>
      <c r="AQ238">
        <f>_xlfn.XLOOKUP(B238,'[4]june-2025'!$A:$A,'[4]june-2025'!$D:$D,0,0)</f>
        <v>0</v>
      </c>
      <c r="AR238">
        <f>_xlfn.XLOOKUP(B238,'[4]june-2025'!$A:$A,'[4]june-2025'!$G:$G,0,0)</f>
        <v>0</v>
      </c>
      <c r="AS238">
        <f t="shared" si="454"/>
        <v>61490</v>
      </c>
      <c r="AT238">
        <f>_xlfn.XLOOKUP(B238,'[4]june-2025'!$A:$A,'[4]june-2025'!$H:$H,0,0)</f>
        <v>6000</v>
      </c>
      <c r="AU238">
        <f>_xlfn.XLOOKUP(B238,'[4]june-2025'!$A:$A,'[4]june-2025'!$I:$I,0,0)</f>
        <v>0</v>
      </c>
      <c r="AV238">
        <f t="shared" si="469"/>
        <v>200</v>
      </c>
      <c r="AW238">
        <f t="shared" si="470"/>
        <v>55290</v>
      </c>
      <c r="AX238">
        <f>_xlfn.XLOOKUP(B238,'[5]july-2025'!$A:$A,'[5]july-2025'!$C:$C,0,0)</f>
        <v>48700</v>
      </c>
      <c r="AY238">
        <f t="shared" si="471"/>
        <v>8766</v>
      </c>
      <c r="AZ238">
        <v>0</v>
      </c>
      <c r="BA238">
        <f t="shared" si="472"/>
        <v>5844</v>
      </c>
      <c r="BB238">
        <f>_xlfn.XLOOKUP(B238,'[5]july-2025'!$A:$A,'[5]july-2025'!$D:$D,0,0)</f>
        <v>0</v>
      </c>
      <c r="BC238">
        <f>_xlfn.XLOOKUP(B238,'[5]july-2025'!$A:$A,'[5]july-2025'!$G:$G,0,0)</f>
        <v>0</v>
      </c>
      <c r="BD238">
        <f>IF(AX238&gt;0,SUM(AX238:BC238),0)</f>
        <v>63310</v>
      </c>
      <c r="BE238">
        <f>_xlfn.XLOOKUP(B238,'[5]july-2025'!$A:$A,'[5]july-2025'!$H:$H,0,0)</f>
        <v>6000</v>
      </c>
      <c r="BF238">
        <f>_xlfn.XLOOKUP(B238,'[5]july-2025'!$A:$A,'[5]july-2025'!$I:$I,0,0)</f>
        <v>0</v>
      </c>
      <c r="BG238">
        <f t="shared" si="473"/>
        <v>200</v>
      </c>
      <c r="BH238">
        <f t="shared" si="474"/>
        <v>57110</v>
      </c>
      <c r="BI238">
        <f>_xlfn.XLOOKUP(B238,'[6]august-2025'!$A:$A,'[6]august-2025'!$C:$C,0,0)</f>
        <v>48700</v>
      </c>
      <c r="BJ238">
        <f t="shared" si="475"/>
        <v>8766</v>
      </c>
      <c r="BK238">
        <f t="shared" si="476"/>
        <v>5844</v>
      </c>
      <c r="BL238">
        <f>_xlfn.XLOOKUP(B238,'[6]august-2025'!$A:$A,'[6]august-2025'!$D:$D,0,0)</f>
        <v>0</v>
      </c>
      <c r="BM238">
        <f>_xlfn.XLOOKUP(B238,'[6]august-2025'!$A:$A,'[6]august-2025'!$G:$G,0,0)</f>
        <v>0</v>
      </c>
      <c r="BN238">
        <f t="shared" si="477"/>
        <v>63310</v>
      </c>
      <c r="BO238">
        <f>_xlfn.XLOOKUP(B238,'[6]august-2025'!$A:$A,'[6]august-2025'!$H:$H,0,0)</f>
        <v>6000</v>
      </c>
      <c r="BP238">
        <f>_xlfn.XLOOKUP(B238,'[6]august-2025'!$A:$A,'[6]august-2025'!$I:$I,0,0)</f>
        <v>0</v>
      </c>
      <c r="BQ238">
        <f>IF($F238="YES",0,IF(BN238&gt;40000,200,IF(BN238&gt;25000,150,IF(BN238&gt;15000,130,IF(BN238&gt;10000,110,0)))))</f>
        <v>200</v>
      </c>
      <c r="BR238">
        <f>BN238-BO238-BP238-BQ238</f>
        <v>57110</v>
      </c>
      <c r="BS238">
        <f>_xlfn.XLOOKUP(B238,'[7]september-2025'!$A:$A,'[7]september-2025'!$C:$C,0,0)</f>
        <v>48700</v>
      </c>
      <c r="BT238">
        <f t="shared" si="478"/>
        <v>8766</v>
      </c>
      <c r="BU238">
        <f t="shared" si="479"/>
        <v>5844</v>
      </c>
      <c r="BV238">
        <f>_xlfn.XLOOKUP(B238,'[7]september-2025'!$A:$A,'[7]september-2025'!$D:$D,0,0)</f>
        <v>0</v>
      </c>
      <c r="BW238">
        <f>_xlfn.XLOOKUP(B238,'[7]september-2025'!$A:$A,'[7]september-2025'!$G:$G,0,0)</f>
        <v>0</v>
      </c>
      <c r="BX238">
        <f>IF(BS238&gt;0,SUM(BS238:BW238),0)</f>
        <v>63310</v>
      </c>
      <c r="BY238">
        <f>_xlfn.XLOOKUP(B238,'[7]september-2025'!$A:$A,'[7]september-2025'!$H:$H,0,0)</f>
        <v>6000</v>
      </c>
      <c r="BZ238">
        <f>_xlfn.XLOOKUP(B238,'[7]september-2025'!$A:$A,'[7]september-2025'!$I:$I,0,0)</f>
        <v>0</v>
      </c>
      <c r="CA238">
        <f t="shared" si="480"/>
        <v>200</v>
      </c>
      <c r="CB238">
        <f t="shared" si="481"/>
        <v>57110</v>
      </c>
      <c r="CC238">
        <f>_xlfn.XLOOKUP(B238,'[8]october-2025'!$A:$A,'[8]october-2025'!$C:$C,0,0)</f>
        <v>48700</v>
      </c>
      <c r="CD238">
        <f t="shared" si="482"/>
        <v>8766</v>
      </c>
      <c r="CE238">
        <f t="shared" si="483"/>
        <v>5844</v>
      </c>
      <c r="CF238">
        <f>_xlfn.XLOOKUP(B238,'[8]october-2025'!$A:$A,'[8]october-2025'!$D:$D,0,0)</f>
        <v>0</v>
      </c>
      <c r="CG238">
        <f>_xlfn.XLOOKUP(B238,'[8]october-2025'!$A:$A,'[8]october-2025'!$G:$G,0,0)</f>
        <v>0</v>
      </c>
      <c r="CH238">
        <f>IF(CC238&gt;0,SUM(CC238:CG238),0)</f>
        <v>63310</v>
      </c>
      <c r="CI238">
        <f>_xlfn.XLOOKUP(B238,'[8]october-2025'!$A:$A,'[8]october-2025'!$H:$H,0,0)</f>
        <v>6000</v>
      </c>
      <c r="CJ238">
        <f>_xlfn.XLOOKUP(B238,'[8]october-2025'!$A:$A,'[8]october-2025'!$I:$I,0,0)</f>
        <v>0</v>
      </c>
      <c r="CK238">
        <f t="shared" si="484"/>
        <v>200</v>
      </c>
      <c r="CL238">
        <f t="shared" si="485"/>
        <v>57110</v>
      </c>
      <c r="CM238">
        <f>_xlfn.XLOOKUP(B238,'[9]november-2025'!$A:$A,'[9]november-2025'!$C:$C,0,0)</f>
        <v>48700</v>
      </c>
      <c r="CN238">
        <f t="shared" si="486"/>
        <v>8766</v>
      </c>
      <c r="CO238">
        <f t="shared" si="487"/>
        <v>5844</v>
      </c>
      <c r="CP238">
        <f>_xlfn.XLOOKUP(B238,'[9]november-2025'!$A:$A,'[9]november-2025'!$D:$D,0,0)</f>
        <v>0</v>
      </c>
      <c r="CQ238">
        <f>_xlfn.XLOOKUP(B238,'[9]november-2025'!$A:$A,'[9]november-2025'!$G:$G,0,0)</f>
        <v>0</v>
      </c>
      <c r="CR238">
        <f>IF(CM238&gt;0,SUM(CM238:CQ238),0)</f>
        <v>63310</v>
      </c>
      <c r="CS238">
        <f>_xlfn.XLOOKUP(B238,'[9]november-2025'!$A:$A,'[9]november-2025'!$H:$H,0,0)</f>
        <v>6000</v>
      </c>
      <c r="CT238">
        <f>_xlfn.XLOOKUP(B238,'[9]november-2025'!$A:$A,'[9]november-2025'!$I:$I,0,0)</f>
        <v>0</v>
      </c>
      <c r="CU238">
        <f t="shared" si="488"/>
        <v>200</v>
      </c>
      <c r="CV238">
        <f t="shared" si="489"/>
        <v>57110</v>
      </c>
      <c r="CW238">
        <f>_xlfn.XLOOKUP(B238,'[10]december-2025'!$A:$A,'[10]december-2025'!$C:$C,0,0)</f>
        <v>48700</v>
      </c>
      <c r="CX238">
        <f t="shared" si="490"/>
        <v>8766</v>
      </c>
      <c r="CY238">
        <f t="shared" si="491"/>
        <v>5844</v>
      </c>
      <c r="CZ238">
        <f>_xlfn.XLOOKUP(B238,'[10]december-2025'!$A:$A,'[10]december-2025'!$D:$D,0,0)</f>
        <v>0</v>
      </c>
      <c r="DA238">
        <f>_xlfn.XLOOKUP(B238,'[10]december-2025'!$A:$A,'[10]december-2025'!$G:$G,0,0)</f>
        <v>0</v>
      </c>
      <c r="DB238">
        <f>IF(CW238&gt;0,SUM(CW238:DA238),0)</f>
        <v>63310</v>
      </c>
      <c r="DC238">
        <f>_xlfn.XLOOKUP(B238,'[10]december-2025'!$A:$A,'[10]december-2025'!$H:$H,0,0)</f>
        <v>6000</v>
      </c>
      <c r="DD238">
        <f>_xlfn.XLOOKUP(B238,'[10]december-2025'!$A:$A,'[10]december-2025'!$I:$I,0,0)</f>
        <v>0</v>
      </c>
      <c r="DE238">
        <f t="shared" si="492"/>
        <v>200</v>
      </c>
      <c r="DF238">
        <f t="shared" si="493"/>
        <v>57110</v>
      </c>
      <c r="DG238">
        <f>_xlfn.XLOOKUP(B238,'[11]january-2026'!$A:$A,'[11]january-2026'!$C:$C,0,0)</f>
        <v>48700</v>
      </c>
      <c r="DH238">
        <f t="shared" si="494"/>
        <v>8766</v>
      </c>
      <c r="DI238">
        <f t="shared" si="495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>IF(DG238&gt;0,SUM(DG238:DK238),0)</f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496"/>
        <v>200</v>
      </c>
      <c r="DP238">
        <f t="shared" si="497"/>
        <v>57110</v>
      </c>
      <c r="DQ238">
        <f>_xlfn.XLOOKUP(B238,'[12]february-2026'!$A:$A,'[12]february-2026'!$C:$C,0,0)</f>
        <v>48700</v>
      </c>
      <c r="DR238">
        <f t="shared" si="498"/>
        <v>8766</v>
      </c>
      <c r="DS238">
        <f t="shared" si="499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>IF(DQ238&gt;0,SUM(DQ238:DU238),0)</f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00"/>
        <v>200</v>
      </c>
      <c r="DZ238">
        <f t="shared" si="501"/>
        <v>57110</v>
      </c>
      <c r="EA238">
        <f>_xlfn.XLOOKUP(B238,'[1]march-2025'!$A:$A,'[1]march-2025'!$J:$J,0,0)</f>
        <v>0</v>
      </c>
      <c r="EB238">
        <f>_xlfn.XLOOKUP(B238,'[2]april-2025'!$A:$A,'[2]april-2025'!$J:$J,0,0)</f>
        <v>0</v>
      </c>
      <c r="EC238">
        <f>_xlfn.XLOOKUP(B238,'[3]may-2025'!$A:$A,'[3]may-2025'!$J:$J,0,0)</f>
        <v>0</v>
      </c>
      <c r="ED238">
        <f>_xlfn.XLOOKUP(B238,'[4]june-2025'!$A:$A,'[4]june-2025'!$J:$J,0,0)</f>
        <v>0</v>
      </c>
      <c r="EE238">
        <f>_xlfn.XLOOKUP(B238,'[5]july-2025'!$A:$A,'[5]july-2025'!$J:$J,0,0)</f>
        <v>0</v>
      </c>
      <c r="EF238">
        <f>_xlfn.XLOOKUP(B238,'[6]august-2025'!$A:$A,'[6]august-2025'!$J:$J,0,0)</f>
        <v>0</v>
      </c>
      <c r="EG238">
        <f>_xlfn.XLOOKUP(B238,'[7]september-2025'!$A:$A,'[7]september-2025'!$J:$J,0,0)</f>
        <v>0</v>
      </c>
      <c r="EH238">
        <f>_xlfn.XLOOKUP(B238,'[8]october-2025'!$A:$A,'[8]october-2025'!$J:$J,0,0)</f>
        <v>0</v>
      </c>
      <c r="EI238">
        <f>_xlfn.XLOOKUP(C238,'[9]november-2025'!$A:$A,'[9]november-2025'!$J:$J,0,0)</f>
        <v>0</v>
      </c>
      <c r="EJ238">
        <f>_xlfn.XLOOKUP(B238,'[10]december-2025'!$A:$A,'[10]december-2025'!$J:$J,0,0)</f>
        <v>0</v>
      </c>
      <c r="EK238">
        <f>_xlfn.XLOOKUP(B238,'[11]january-2026'!$A:$A,'[11]january-2026'!$J:$J,0,0)</f>
        <v>0</v>
      </c>
      <c r="EL238">
        <f>_xlfn.XLOOKUP(B238,'[12]february-2026'!$A:$A,'[12]february-2026'!$J:$J,0,0)</f>
        <v>0</v>
      </c>
      <c r="EM238">
        <f t="shared" si="455"/>
        <v>0</v>
      </c>
      <c r="EN238">
        <f>DV238+DL238+DB238+CR238+CH238+BX238+BN238+BD238+AS238+AI238+Y238+O238+H238+I238</f>
        <v>757348</v>
      </c>
      <c r="EO238">
        <f>DY238+DO238+DE238+CU238+CK238+CA238+BQ238+BG238+AV238+AL238+AB238+R238</f>
        <v>2400</v>
      </c>
      <c r="EP238">
        <f t="shared" si="502"/>
        <v>50000</v>
      </c>
      <c r="EQ238">
        <v>0</v>
      </c>
      <c r="ER238">
        <f t="shared" si="456"/>
        <v>704948</v>
      </c>
      <c r="ES238">
        <f>DW238+DM238+DC238+CS238+CI238+BY238+BO238+BE238+AT238+AJ238+Z238+P238</f>
        <v>72000</v>
      </c>
      <c r="ET238">
        <f>DX238+DN238+DD238+CT238+CJ238+BZ238+BP238+BF238+AU238+AK238+AA238+Q238</f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503"/>
        <v>72000</v>
      </c>
      <c r="FF238">
        <f t="shared" si="504"/>
        <v>72000</v>
      </c>
      <c r="FG238">
        <f t="shared" si="505"/>
        <v>632948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>SUM(FH238:FN238)+(IF(F238="YES",50000,0))</f>
        <v>0</v>
      </c>
      <c r="FP238">
        <f t="shared" si="506"/>
        <v>632948</v>
      </c>
      <c r="FQ238">
        <f t="shared" si="507"/>
        <v>12500</v>
      </c>
      <c r="FR238">
        <f t="shared" si="508"/>
        <v>26590</v>
      </c>
      <c r="FS238">
        <f t="shared" si="509"/>
        <v>39090</v>
      </c>
      <c r="FT238">
        <f t="shared" si="510"/>
        <v>39090</v>
      </c>
      <c r="FU238">
        <f t="shared" si="511"/>
        <v>1563.6000000000001</v>
      </c>
      <c r="FV238">
        <f t="shared" si="512"/>
        <v>40654</v>
      </c>
      <c r="FW238">
        <v>0</v>
      </c>
      <c r="FX238">
        <f t="shared" si="513"/>
        <v>40654</v>
      </c>
      <c r="FY238" t="b">
        <f t="shared" si="514"/>
        <v>1</v>
      </c>
      <c r="FZ238">
        <f t="shared" ca="1" si="515"/>
        <v>809</v>
      </c>
      <c r="GA238">
        <f t="shared" ca="1" si="516"/>
        <v>758157</v>
      </c>
      <c r="GB238">
        <f t="shared" si="517"/>
        <v>75000</v>
      </c>
      <c r="GC238">
        <f t="shared" ca="1" si="518"/>
        <v>683157</v>
      </c>
      <c r="GD238">
        <f t="shared" ca="1" si="519"/>
        <v>0</v>
      </c>
      <c r="GE238">
        <f t="shared" ca="1" si="520"/>
        <v>0</v>
      </c>
      <c r="GF238">
        <f t="shared" ca="1" si="521"/>
        <v>0</v>
      </c>
      <c r="GG238">
        <f t="shared" ca="1" si="522"/>
        <v>0</v>
      </c>
      <c r="GH238">
        <f t="shared" ca="1" si="523"/>
        <v>0</v>
      </c>
      <c r="GI238">
        <f t="shared" ca="1" si="524"/>
        <v>0</v>
      </c>
      <c r="GJ238">
        <f ca="1">IF(GC238&gt;1200000,GC238-1200000-IF(F238="YES",50000,0)-GH238,0)</f>
        <v>0</v>
      </c>
      <c r="GK238">
        <f t="shared" ca="1" si="525"/>
        <v>0</v>
      </c>
      <c r="GL238">
        <f t="shared" ca="1" si="526"/>
        <v>0</v>
      </c>
      <c r="GM238">
        <f t="shared" ca="1" si="527"/>
        <v>0</v>
      </c>
      <c r="GN238">
        <f t="shared" ca="1" si="528"/>
        <v>283157</v>
      </c>
      <c r="GO238">
        <f t="shared" ca="1" si="529"/>
        <v>14157.85</v>
      </c>
      <c r="GP238">
        <f t="shared" ca="1" si="530"/>
        <v>14158</v>
      </c>
      <c r="GQ238">
        <f t="shared" ca="1" si="531"/>
        <v>0</v>
      </c>
      <c r="GR238">
        <f t="shared" ca="1" si="532"/>
        <v>0</v>
      </c>
      <c r="GS238">
        <f t="shared" ca="1" si="533"/>
        <v>14158</v>
      </c>
      <c r="GT238">
        <f t="shared" ca="1" si="534"/>
        <v>0</v>
      </c>
      <c r="GU238" t="b">
        <f t="shared" ca="1" si="535"/>
        <v>0</v>
      </c>
      <c r="GV238">
        <f t="shared" ca="1" si="536"/>
        <v>0</v>
      </c>
      <c r="GW238">
        <f t="shared" ca="1" si="537"/>
        <v>14158</v>
      </c>
      <c r="GX238">
        <f t="shared" ca="1" si="538"/>
        <v>0</v>
      </c>
      <c r="GY238">
        <f t="shared" ca="1" si="539"/>
        <v>0</v>
      </c>
      <c r="GZ238">
        <f t="shared" ca="1" si="540"/>
        <v>0</v>
      </c>
    </row>
    <row r="239" spans="1:208" x14ac:dyDescent="0.25">
      <c r="A239">
        <f>_xlfn.AGGREGATE(3,5,$B$2:B239)</f>
        <v>238</v>
      </c>
      <c r="B239" t="s">
        <v>582</v>
      </c>
      <c r="C239" t="s">
        <v>583</v>
      </c>
      <c r="D239" t="s">
        <v>811</v>
      </c>
      <c r="E239" t="s">
        <v>831</v>
      </c>
      <c r="F239" t="s">
        <v>957</v>
      </c>
      <c r="G239" t="s">
        <v>924</v>
      </c>
      <c r="H239">
        <f t="shared" si="543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457"/>
        <v>4690</v>
      </c>
      <c r="L239">
        <f t="shared" si="458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>IF(J239&gt;0,SUM(J239:N239),0)</f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541"/>
        <v>200</v>
      </c>
      <c r="S239">
        <f t="shared" si="451"/>
        <v>40010</v>
      </c>
      <c r="T239">
        <f>_xlfn.XLOOKUP(B239,'[2]april-2025'!$A:$A,'[2]april-2025'!$C:$C,0,0)</f>
        <v>33500</v>
      </c>
      <c r="U239">
        <f t="shared" si="459"/>
        <v>6030</v>
      </c>
      <c r="V239">
        <f t="shared" si="460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452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461"/>
        <v>200</v>
      </c>
      <c r="AC239">
        <f t="shared" si="462"/>
        <v>41350</v>
      </c>
      <c r="AD239">
        <f>_xlfn.XLOOKUP(B239,'[3]may-2025'!$A:$A,'[3]may-2025'!$C:$C,0,0)</f>
        <v>33500</v>
      </c>
      <c r="AE239">
        <f t="shared" si="463"/>
        <v>6030</v>
      </c>
      <c r="AF239">
        <f t="shared" si="464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453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465"/>
        <v>200</v>
      </c>
      <c r="AM239">
        <f t="shared" si="466"/>
        <v>41350</v>
      </c>
      <c r="AN239">
        <f>_xlfn.XLOOKUP(B239,'[4]june-2025'!$A:$A,'[4]june-2025'!$C:$C,0,0)</f>
        <v>33500</v>
      </c>
      <c r="AO239">
        <f t="shared" si="467"/>
        <v>6030</v>
      </c>
      <c r="AP239">
        <f t="shared" si="468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454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469"/>
        <v>200</v>
      </c>
      <c r="AW239">
        <f t="shared" si="470"/>
        <v>41350</v>
      </c>
      <c r="AX239">
        <f>_xlfn.XLOOKUP(B239,'[5]july-2025'!$A:$A,'[5]july-2025'!$C:$C,0,0)</f>
        <v>34500</v>
      </c>
      <c r="AY239">
        <f t="shared" si="471"/>
        <v>6210</v>
      </c>
      <c r="AZ239">
        <v>0</v>
      </c>
      <c r="BA239">
        <f t="shared" si="472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>IF(AX239&gt;0,SUM(AX239:BC239),0)</f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473"/>
        <v>200</v>
      </c>
      <c r="BH239">
        <f t="shared" si="474"/>
        <v>42650</v>
      </c>
      <c r="BI239">
        <f>_xlfn.XLOOKUP(B239,'[6]august-2025'!$A:$A,'[6]august-2025'!$C:$C,0,0)</f>
        <v>34500</v>
      </c>
      <c r="BJ239">
        <f t="shared" si="475"/>
        <v>6210</v>
      </c>
      <c r="BK239">
        <f t="shared" si="476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477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>IF($F239="YES",0,IF(BN239&gt;40000,200,IF(BN239&gt;25000,150,IF(BN239&gt;15000,130,IF(BN239&gt;10000,110,0)))))</f>
        <v>200</v>
      </c>
      <c r="BR239">
        <f>BN239-BO239-BP239-BQ239</f>
        <v>42650</v>
      </c>
      <c r="BS239">
        <f>_xlfn.XLOOKUP(B239,'[7]september-2025'!$A:$A,'[7]september-2025'!$C:$C,0,0)</f>
        <v>34500</v>
      </c>
      <c r="BT239">
        <f t="shared" si="478"/>
        <v>6210</v>
      </c>
      <c r="BU239">
        <f t="shared" si="479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>IF(BS239&gt;0,SUM(BS239:BW239),0)</f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480"/>
        <v>200</v>
      </c>
      <c r="CB239">
        <f t="shared" si="481"/>
        <v>42650</v>
      </c>
      <c r="CC239">
        <f>_xlfn.XLOOKUP(B239,'[8]october-2025'!$A:$A,'[8]october-2025'!$C:$C,0,0)</f>
        <v>34500</v>
      </c>
      <c r="CD239">
        <f t="shared" si="482"/>
        <v>6210</v>
      </c>
      <c r="CE239">
        <f t="shared" si="483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>IF(CC239&gt;0,SUM(CC239:CG239),0)</f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484"/>
        <v>200</v>
      </c>
      <c r="CL239">
        <f t="shared" si="485"/>
        <v>42650</v>
      </c>
      <c r="CM239">
        <f>_xlfn.XLOOKUP(B239,'[9]november-2025'!$A:$A,'[9]november-2025'!$C:$C,0,0)</f>
        <v>34500</v>
      </c>
      <c r="CN239">
        <f t="shared" si="486"/>
        <v>6210</v>
      </c>
      <c r="CO239">
        <f t="shared" si="487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>IF(CM239&gt;0,SUM(CM239:CQ239),0)</f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488"/>
        <v>200</v>
      </c>
      <c r="CV239">
        <f t="shared" si="489"/>
        <v>42650</v>
      </c>
      <c r="CW239">
        <f>_xlfn.XLOOKUP(B239,'[10]december-2025'!$A:$A,'[10]december-2025'!$C:$C,0,0)</f>
        <v>34500</v>
      </c>
      <c r="CX239">
        <f t="shared" si="490"/>
        <v>6210</v>
      </c>
      <c r="CY239">
        <f t="shared" si="491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>IF(CW239&gt;0,SUM(CW239:DA239),0)</f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492"/>
        <v>200</v>
      </c>
      <c r="DF239">
        <f t="shared" si="493"/>
        <v>42650</v>
      </c>
      <c r="DG239">
        <f>_xlfn.XLOOKUP(B239,'[11]january-2026'!$A:$A,'[11]january-2026'!$C:$C,0,0)</f>
        <v>34500</v>
      </c>
      <c r="DH239">
        <f t="shared" si="494"/>
        <v>6210</v>
      </c>
      <c r="DI239">
        <f t="shared" si="495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>IF(DG239&gt;0,SUM(DG239:DK239),0)</f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496"/>
        <v>200</v>
      </c>
      <c r="DP239">
        <f t="shared" si="497"/>
        <v>42650</v>
      </c>
      <c r="DQ239">
        <f>_xlfn.XLOOKUP(B239,'[12]february-2026'!$A:$A,'[12]february-2026'!$C:$C,0,0)</f>
        <v>34500</v>
      </c>
      <c r="DR239">
        <f t="shared" si="498"/>
        <v>6210</v>
      </c>
      <c r="DS239">
        <f t="shared" si="499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>IF(DQ239&gt;0,SUM(DQ239:DU239),0)</f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00"/>
        <v>200</v>
      </c>
      <c r="DZ239">
        <f t="shared" si="501"/>
        <v>42650</v>
      </c>
      <c r="EA239">
        <f>_xlfn.XLOOKUP(B239,'[1]march-2025'!$A:$A,'[1]march-2025'!$J:$J,0,0)</f>
        <v>0</v>
      </c>
      <c r="EB239">
        <f>_xlfn.XLOOKUP(B239,'[2]april-2025'!$A:$A,'[2]april-2025'!$J:$J,0,0)</f>
        <v>0</v>
      </c>
      <c r="EC239">
        <f>_xlfn.XLOOKUP(B239,'[3]may-2025'!$A:$A,'[3]may-2025'!$J:$J,0,0)</f>
        <v>0</v>
      </c>
      <c r="ED239">
        <f>_xlfn.XLOOKUP(B239,'[4]june-2025'!$A:$A,'[4]june-2025'!$J:$J,0,0)</f>
        <v>0</v>
      </c>
      <c r="EE239">
        <f>_xlfn.XLOOKUP(B239,'[5]july-2025'!$A:$A,'[5]july-2025'!$J:$J,0,0)</f>
        <v>0</v>
      </c>
      <c r="EF239">
        <f>_xlfn.XLOOKUP(B239,'[6]august-2025'!$A:$A,'[6]august-2025'!$J:$J,0,0)</f>
        <v>0</v>
      </c>
      <c r="EG239">
        <f>_xlfn.XLOOKUP(B239,'[7]september-2025'!$A:$A,'[7]september-2025'!$J:$J,0,0)</f>
        <v>0</v>
      </c>
      <c r="EH239">
        <f>_xlfn.XLOOKUP(B239,'[8]october-2025'!$A:$A,'[8]october-2025'!$J:$J,0,0)</f>
        <v>0</v>
      </c>
      <c r="EI239">
        <f>_xlfn.XLOOKUP(C239,'[9]november-2025'!$A:$A,'[9]november-2025'!$J:$J,0,0)</f>
        <v>0</v>
      </c>
      <c r="EJ239">
        <f>_xlfn.XLOOKUP(B239,'[10]december-2025'!$A:$A,'[10]december-2025'!$J:$J,0,0)</f>
        <v>0</v>
      </c>
      <c r="EK239">
        <f>_xlfn.XLOOKUP(B239,'[11]january-2026'!$A:$A,'[11]january-2026'!$J:$J,0,0)</f>
        <v>0</v>
      </c>
      <c r="EL239">
        <f>_xlfn.XLOOKUP(B239,'[12]february-2026'!$A:$A,'[12]february-2026'!$J:$J,0,0)</f>
        <v>0</v>
      </c>
      <c r="EM239">
        <f t="shared" si="455"/>
        <v>0</v>
      </c>
      <c r="EN239">
        <f>DV239+DL239+DB239+CR239+CH239+BX239+BN239+BD239+AS239+AI239+Y239+O239+H239+I239</f>
        <v>544460</v>
      </c>
      <c r="EO239">
        <f>DY239+DO239+DE239+CU239+CK239+CA239+BQ239+BG239+AV239+AL239+AB239+R239</f>
        <v>2400</v>
      </c>
      <c r="EP239">
        <f t="shared" si="502"/>
        <v>50000</v>
      </c>
      <c r="EQ239">
        <v>0</v>
      </c>
      <c r="ER239">
        <f t="shared" si="456"/>
        <v>492060</v>
      </c>
      <c r="ES239">
        <f>DW239+DM239+DC239+CS239+CI239+BY239+BO239+BE239+AT239+AJ239+Z239+P239</f>
        <v>30000</v>
      </c>
      <c r="ET239">
        <f>DX239+DN239+DD239+CT239+CJ239+BZ239+BP239+BF239+AU239+AK239+AA239+Q239</f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503"/>
        <v>30000</v>
      </c>
      <c r="FF239">
        <f t="shared" si="504"/>
        <v>30000</v>
      </c>
      <c r="FG239">
        <f t="shared" si="505"/>
        <v>462060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>SUM(FH239:FN239)+(IF(F239="YES",50000,0))</f>
        <v>0</v>
      </c>
      <c r="FP239">
        <f t="shared" si="506"/>
        <v>462060</v>
      </c>
      <c r="FQ239">
        <f t="shared" si="507"/>
        <v>10603</v>
      </c>
      <c r="FR239">
        <f t="shared" si="508"/>
        <v>0</v>
      </c>
      <c r="FS239">
        <f t="shared" si="509"/>
        <v>10603</v>
      </c>
      <c r="FT239">
        <f t="shared" si="510"/>
        <v>0</v>
      </c>
      <c r="FU239">
        <f t="shared" si="511"/>
        <v>0</v>
      </c>
      <c r="FV239">
        <f t="shared" si="512"/>
        <v>0</v>
      </c>
      <c r="FW239">
        <v>0</v>
      </c>
      <c r="FX239">
        <f t="shared" si="513"/>
        <v>0</v>
      </c>
      <c r="FY239" t="b">
        <f t="shared" si="514"/>
        <v>1</v>
      </c>
      <c r="FZ239">
        <f t="shared" ca="1" si="515"/>
        <v>948</v>
      </c>
      <c r="GA239">
        <f t="shared" ca="1" si="516"/>
        <v>545408</v>
      </c>
      <c r="GB239">
        <f t="shared" si="517"/>
        <v>75000</v>
      </c>
      <c r="GC239">
        <f t="shared" ca="1" si="518"/>
        <v>470408</v>
      </c>
      <c r="GD239">
        <f t="shared" ca="1" si="519"/>
        <v>0</v>
      </c>
      <c r="GE239">
        <f t="shared" ca="1" si="520"/>
        <v>0</v>
      </c>
      <c r="GF239">
        <f t="shared" ca="1" si="521"/>
        <v>0</v>
      </c>
      <c r="GG239">
        <f t="shared" ca="1" si="522"/>
        <v>0</v>
      </c>
      <c r="GH239">
        <f t="shared" ca="1" si="523"/>
        <v>0</v>
      </c>
      <c r="GI239">
        <f t="shared" ca="1" si="524"/>
        <v>0</v>
      </c>
      <c r="GJ239">
        <f ca="1">IF(GC239&gt;1200000,GC239-1200000-IF(F239="YES",50000,0)-GH239,0)</f>
        <v>0</v>
      </c>
      <c r="GK239">
        <f t="shared" ca="1" si="525"/>
        <v>0</v>
      </c>
      <c r="GL239">
        <f t="shared" ca="1" si="526"/>
        <v>0</v>
      </c>
      <c r="GM239">
        <f t="shared" ca="1" si="527"/>
        <v>0</v>
      </c>
      <c r="GN239">
        <f t="shared" ca="1" si="528"/>
        <v>70408</v>
      </c>
      <c r="GO239">
        <f t="shared" ca="1" si="529"/>
        <v>3520.4</v>
      </c>
      <c r="GP239">
        <f t="shared" ca="1" si="530"/>
        <v>3520</v>
      </c>
      <c r="GQ239">
        <f t="shared" ca="1" si="531"/>
        <v>0</v>
      </c>
      <c r="GR239">
        <f t="shared" ca="1" si="532"/>
        <v>0</v>
      </c>
      <c r="GS239">
        <f t="shared" ca="1" si="533"/>
        <v>3520</v>
      </c>
      <c r="GT239">
        <f t="shared" ca="1" si="534"/>
        <v>0</v>
      </c>
      <c r="GU239" t="b">
        <f t="shared" ca="1" si="535"/>
        <v>0</v>
      </c>
      <c r="GV239">
        <f t="shared" ca="1" si="536"/>
        <v>0</v>
      </c>
      <c r="GW239">
        <f t="shared" ca="1" si="537"/>
        <v>3520</v>
      </c>
      <c r="GX239">
        <f t="shared" ca="1" si="538"/>
        <v>0</v>
      </c>
      <c r="GY239">
        <f t="shared" ca="1" si="539"/>
        <v>0</v>
      </c>
      <c r="GZ239">
        <f t="shared" ca="1" si="540"/>
        <v>0</v>
      </c>
    </row>
    <row r="240" spans="1:208" x14ac:dyDescent="0.25">
      <c r="A240">
        <f>_xlfn.AGGREGATE(3,5,$B$2:B240)</f>
        <v>239</v>
      </c>
      <c r="B240" t="s">
        <v>584</v>
      </c>
      <c r="C240" t="s">
        <v>585</v>
      </c>
      <c r="D240" t="s">
        <v>811</v>
      </c>
      <c r="E240" t="s">
        <v>831</v>
      </c>
      <c r="F240" t="s">
        <v>957</v>
      </c>
      <c r="G240" t="s">
        <v>924</v>
      </c>
      <c r="H240">
        <f t="shared" si="543"/>
        <v>6800</v>
      </c>
      <c r="I240">
        <f>_xlfn.XLOOKUP(B240,'[1]march-2025'!$A:$A,'[1]march-2025'!$J:$J,0,0)</f>
        <v>0</v>
      </c>
      <c r="J240">
        <f>_xlfn.XLOOKUP(B240,'[1]march-2025'!$A:$A,'[1]march-2025'!$C:$C,0,0)</f>
        <v>33500</v>
      </c>
      <c r="K240">
        <f t="shared" si="457"/>
        <v>4690</v>
      </c>
      <c r="L240">
        <f t="shared" si="458"/>
        <v>4020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>IF(J240&gt;0,SUM(J240:N240),0)</f>
        <v>42710</v>
      </c>
      <c r="P240">
        <f>_xlfn.XLOOKUP(B240,'[1]march-2025'!$A:$A,'[1]march-2025'!$H:$H,0,0)</f>
        <v>2500</v>
      </c>
      <c r="Q240">
        <f>_xlfn.XLOOKUP(B240,'[1]march-2025'!$A:$A,'[1]march-2025'!$I:$I,0,0)</f>
        <v>0</v>
      </c>
      <c r="R240">
        <f t="shared" si="541"/>
        <v>200</v>
      </c>
      <c r="S240">
        <f t="shared" si="451"/>
        <v>40010</v>
      </c>
      <c r="T240">
        <f>_xlfn.XLOOKUP(B240,'[2]april-2025'!$A:$A,'[2]april-2025'!$C:$C,0,0)</f>
        <v>33500</v>
      </c>
      <c r="U240">
        <f t="shared" si="459"/>
        <v>6030</v>
      </c>
      <c r="V240">
        <f t="shared" si="460"/>
        <v>4020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452"/>
        <v>44050</v>
      </c>
      <c r="Z240">
        <f>_xlfn.XLOOKUP(B240,'[2]april-2025'!$A:$A,'[2]april-2025'!$H:$H,0,0)</f>
        <v>2500</v>
      </c>
      <c r="AA240">
        <f>_xlfn.XLOOKUP(B240,'[2]april-2025'!$A:$A,'[2]april-2025'!$I:$I,0,0)</f>
        <v>0</v>
      </c>
      <c r="AB240">
        <f t="shared" si="461"/>
        <v>200</v>
      </c>
      <c r="AC240">
        <f t="shared" si="462"/>
        <v>41350</v>
      </c>
      <c r="AD240">
        <f>_xlfn.XLOOKUP(B240,'[3]may-2025'!$A:$A,'[3]may-2025'!$C:$C,0,0)</f>
        <v>33500</v>
      </c>
      <c r="AE240">
        <f t="shared" si="463"/>
        <v>6030</v>
      </c>
      <c r="AF240">
        <f t="shared" si="464"/>
        <v>4020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453"/>
        <v>44050</v>
      </c>
      <c r="AJ240">
        <f>_xlfn.XLOOKUP(B240,'[3]may-2025'!$A:$A,'[3]may-2025'!$H:$H,0,0)</f>
        <v>2500</v>
      </c>
      <c r="AK240">
        <f>_xlfn.XLOOKUP(B240,'[3]may-2025'!$A:$A,'[3]may-2025'!$I:$I,0,0)</f>
        <v>0</v>
      </c>
      <c r="AL240">
        <f t="shared" si="465"/>
        <v>200</v>
      </c>
      <c r="AM240">
        <f t="shared" si="466"/>
        <v>41350</v>
      </c>
      <c r="AN240">
        <f>_xlfn.XLOOKUP(B240,'[4]june-2025'!$A:$A,'[4]june-2025'!$C:$C,0,0)</f>
        <v>33500</v>
      </c>
      <c r="AO240">
        <f t="shared" si="467"/>
        <v>6030</v>
      </c>
      <c r="AP240">
        <f t="shared" si="468"/>
        <v>4020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454"/>
        <v>44050</v>
      </c>
      <c r="AT240">
        <f>_xlfn.XLOOKUP(B240,'[4]june-2025'!$A:$A,'[4]june-2025'!$H:$H,0,0)</f>
        <v>2500</v>
      </c>
      <c r="AU240">
        <f>_xlfn.XLOOKUP(B240,'[4]june-2025'!$A:$A,'[4]june-2025'!$I:$I,0,0)</f>
        <v>0</v>
      </c>
      <c r="AV240">
        <f t="shared" si="469"/>
        <v>200</v>
      </c>
      <c r="AW240">
        <f t="shared" si="470"/>
        <v>41350</v>
      </c>
      <c r="AX240">
        <f>_xlfn.XLOOKUP(B240,'[5]july-2025'!$A:$A,'[5]july-2025'!$C:$C,0,0)</f>
        <v>34500</v>
      </c>
      <c r="AY240">
        <f t="shared" si="471"/>
        <v>6210</v>
      </c>
      <c r="AZ240">
        <v>0</v>
      </c>
      <c r="BA240">
        <f t="shared" si="472"/>
        <v>4140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>IF(AX240&gt;0,SUM(AX240:BC240),0)</f>
        <v>45350</v>
      </c>
      <c r="BE240">
        <f>_xlfn.XLOOKUP(B240,'[5]july-2025'!$A:$A,'[5]july-2025'!$H:$H,0,0)</f>
        <v>2500</v>
      </c>
      <c r="BF240">
        <f>_xlfn.XLOOKUP(B240,'[5]july-2025'!$A:$A,'[5]july-2025'!$I:$I,0,0)</f>
        <v>0</v>
      </c>
      <c r="BG240">
        <f t="shared" si="473"/>
        <v>200</v>
      </c>
      <c r="BH240">
        <f t="shared" si="474"/>
        <v>42650</v>
      </c>
      <c r="BI240">
        <f>_xlfn.XLOOKUP(B240,'[6]august-2025'!$A:$A,'[6]august-2025'!$C:$C,0,0)</f>
        <v>34500</v>
      </c>
      <c r="BJ240">
        <f t="shared" si="475"/>
        <v>6210</v>
      </c>
      <c r="BK240">
        <f t="shared" si="476"/>
        <v>4140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477"/>
        <v>45350</v>
      </c>
      <c r="BO240">
        <f>_xlfn.XLOOKUP(B240,'[6]august-2025'!$A:$A,'[6]august-2025'!$H:$H,0,0)</f>
        <v>2500</v>
      </c>
      <c r="BP240">
        <f>_xlfn.XLOOKUP(B240,'[6]august-2025'!$A:$A,'[6]august-2025'!$I:$I,0,0)</f>
        <v>0</v>
      </c>
      <c r="BQ240">
        <f>IF($F240="YES",0,IF(BN240&gt;40000,200,IF(BN240&gt;25000,150,IF(BN240&gt;15000,130,IF(BN240&gt;10000,110,0)))))</f>
        <v>200</v>
      </c>
      <c r="BR240">
        <f>BN240-BO240-BP240-BQ240</f>
        <v>42650</v>
      </c>
      <c r="BS240">
        <f>_xlfn.XLOOKUP(B240,'[7]september-2025'!$A:$A,'[7]september-2025'!$C:$C,0,0)</f>
        <v>34500</v>
      </c>
      <c r="BT240">
        <f t="shared" si="478"/>
        <v>6210</v>
      </c>
      <c r="BU240">
        <f t="shared" si="479"/>
        <v>4140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>IF(BS240&gt;0,SUM(BS240:BW240),0)</f>
        <v>45350</v>
      </c>
      <c r="BY240">
        <f>_xlfn.XLOOKUP(B240,'[7]september-2025'!$A:$A,'[7]september-2025'!$H:$H,0,0)</f>
        <v>2500</v>
      </c>
      <c r="BZ240">
        <f>_xlfn.XLOOKUP(B240,'[7]september-2025'!$A:$A,'[7]september-2025'!$I:$I,0,0)</f>
        <v>0</v>
      </c>
      <c r="CA240">
        <f t="shared" si="480"/>
        <v>200</v>
      </c>
      <c r="CB240">
        <f t="shared" si="481"/>
        <v>42650</v>
      </c>
      <c r="CC240">
        <f>_xlfn.XLOOKUP(B240,'[8]october-2025'!$A:$A,'[8]october-2025'!$C:$C,0,0)</f>
        <v>34500</v>
      </c>
      <c r="CD240">
        <f t="shared" si="482"/>
        <v>6210</v>
      </c>
      <c r="CE240">
        <f t="shared" si="483"/>
        <v>4140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>IF(CC240&gt;0,SUM(CC240:CG240),0)</f>
        <v>45350</v>
      </c>
      <c r="CI240">
        <f>_xlfn.XLOOKUP(B240,'[8]october-2025'!$A:$A,'[8]october-2025'!$H:$H,0,0)</f>
        <v>2500</v>
      </c>
      <c r="CJ240">
        <f>_xlfn.XLOOKUP(B240,'[8]october-2025'!$A:$A,'[8]october-2025'!$I:$I,0,0)</f>
        <v>0</v>
      </c>
      <c r="CK240">
        <f t="shared" si="484"/>
        <v>200</v>
      </c>
      <c r="CL240">
        <f t="shared" si="485"/>
        <v>42650</v>
      </c>
      <c r="CM240">
        <f>_xlfn.XLOOKUP(B240,'[9]november-2025'!$A:$A,'[9]november-2025'!$C:$C,0,0)</f>
        <v>34500</v>
      </c>
      <c r="CN240">
        <f t="shared" si="486"/>
        <v>6210</v>
      </c>
      <c r="CO240">
        <f t="shared" si="487"/>
        <v>4140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>IF(CM240&gt;0,SUM(CM240:CQ240),0)</f>
        <v>45350</v>
      </c>
      <c r="CS240">
        <f>_xlfn.XLOOKUP(B240,'[9]november-2025'!$A:$A,'[9]november-2025'!$H:$H,0,0)</f>
        <v>2500</v>
      </c>
      <c r="CT240">
        <f>_xlfn.XLOOKUP(B240,'[9]november-2025'!$A:$A,'[9]november-2025'!$I:$I,0,0)</f>
        <v>0</v>
      </c>
      <c r="CU240">
        <f t="shared" si="488"/>
        <v>200</v>
      </c>
      <c r="CV240">
        <f t="shared" si="489"/>
        <v>42650</v>
      </c>
      <c r="CW240">
        <f>_xlfn.XLOOKUP(B240,'[10]december-2025'!$A:$A,'[10]december-2025'!$C:$C,0,0)</f>
        <v>34500</v>
      </c>
      <c r="CX240">
        <f t="shared" si="490"/>
        <v>6210</v>
      </c>
      <c r="CY240">
        <f t="shared" si="491"/>
        <v>4140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>IF(CW240&gt;0,SUM(CW240:DA240),0)</f>
        <v>45350</v>
      </c>
      <c r="DC240">
        <f>_xlfn.XLOOKUP(B240,'[10]december-2025'!$A:$A,'[10]december-2025'!$H:$H,0,0)</f>
        <v>2500</v>
      </c>
      <c r="DD240">
        <f>_xlfn.XLOOKUP(B240,'[10]december-2025'!$A:$A,'[10]december-2025'!$I:$I,0,0)</f>
        <v>0</v>
      </c>
      <c r="DE240">
        <f t="shared" si="492"/>
        <v>200</v>
      </c>
      <c r="DF240">
        <f t="shared" si="493"/>
        <v>42650</v>
      </c>
      <c r="DG240">
        <f>_xlfn.XLOOKUP(B240,'[11]january-2026'!$A:$A,'[11]january-2026'!$C:$C,0,0)</f>
        <v>34500</v>
      </c>
      <c r="DH240">
        <f t="shared" si="494"/>
        <v>6210</v>
      </c>
      <c r="DI240">
        <f t="shared" si="495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>IF(DG240&gt;0,SUM(DG240:DK240),0)</f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496"/>
        <v>200</v>
      </c>
      <c r="DP240">
        <f t="shared" si="497"/>
        <v>42650</v>
      </c>
      <c r="DQ240">
        <f>_xlfn.XLOOKUP(B240,'[12]february-2026'!$A:$A,'[12]february-2026'!$C:$C,0,0)</f>
        <v>34500</v>
      </c>
      <c r="DR240">
        <f t="shared" si="498"/>
        <v>6210</v>
      </c>
      <c r="DS240">
        <f t="shared" si="499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>IF(DQ240&gt;0,SUM(DQ240:DU240),0)</f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00"/>
        <v>200</v>
      </c>
      <c r="DZ240">
        <f t="shared" si="501"/>
        <v>42650</v>
      </c>
      <c r="EA240">
        <f>_xlfn.XLOOKUP(B240,'[1]march-2025'!$A:$A,'[1]march-2025'!$J:$J,0,0)</f>
        <v>0</v>
      </c>
      <c r="EB240">
        <f>_xlfn.XLOOKUP(B240,'[2]april-2025'!$A:$A,'[2]april-2025'!$J:$J,0,0)</f>
        <v>0</v>
      </c>
      <c r="EC240">
        <f>_xlfn.XLOOKUP(B240,'[3]may-2025'!$A:$A,'[3]may-2025'!$J:$J,0,0)</f>
        <v>0</v>
      </c>
      <c r="ED240">
        <f>_xlfn.XLOOKUP(B240,'[4]june-2025'!$A:$A,'[4]june-2025'!$J:$J,0,0)</f>
        <v>0</v>
      </c>
      <c r="EE240">
        <f>_xlfn.XLOOKUP(B240,'[5]july-2025'!$A:$A,'[5]july-2025'!$J:$J,0,0)</f>
        <v>0</v>
      </c>
      <c r="EF240">
        <f>_xlfn.XLOOKUP(B240,'[6]august-2025'!$A:$A,'[6]august-2025'!$J:$J,0,0)</f>
        <v>0</v>
      </c>
      <c r="EG240">
        <f>_xlfn.XLOOKUP(B240,'[7]september-2025'!$A:$A,'[7]september-2025'!$J:$J,0,0)</f>
        <v>0</v>
      </c>
      <c r="EH240">
        <f>_xlfn.XLOOKUP(B240,'[8]october-2025'!$A:$A,'[8]october-2025'!$J:$J,0,0)</f>
        <v>0</v>
      </c>
      <c r="EI240">
        <f>_xlfn.XLOOKUP(C240,'[9]november-2025'!$A:$A,'[9]november-2025'!$J:$J,0,0)</f>
        <v>0</v>
      </c>
      <c r="EJ240">
        <f>_xlfn.XLOOKUP(B240,'[10]december-2025'!$A:$A,'[10]december-2025'!$J:$J,0,0)</f>
        <v>0</v>
      </c>
      <c r="EK240">
        <f>_xlfn.XLOOKUP(B240,'[11]january-2026'!$A:$A,'[11]january-2026'!$J:$J,0,0)</f>
        <v>0</v>
      </c>
      <c r="EL240">
        <f>_xlfn.XLOOKUP(B240,'[12]february-2026'!$A:$A,'[12]february-2026'!$J:$J,0,0)</f>
        <v>0</v>
      </c>
      <c r="EM240">
        <f t="shared" si="455"/>
        <v>0</v>
      </c>
      <c r="EN240">
        <f>DV240+DL240+DB240+CR240+CH240+BX240+BN240+BD240+AS240+AI240+Y240+O240+H240+I240</f>
        <v>544460</v>
      </c>
      <c r="EO240">
        <f>DY240+DO240+DE240+CU240+CK240+CA240+BQ240+BG240+AV240+AL240+AB240+R240</f>
        <v>2400</v>
      </c>
      <c r="EP240">
        <f t="shared" si="502"/>
        <v>50000</v>
      </c>
      <c r="EQ240">
        <v>0</v>
      </c>
      <c r="ER240">
        <f t="shared" si="456"/>
        <v>492060</v>
      </c>
      <c r="ES240">
        <f>DW240+DM240+DC240+CS240+CI240+BY240+BO240+BE240+AT240+AJ240+Z240+P240</f>
        <v>30000</v>
      </c>
      <c r="ET240">
        <f>DX240+DN240+DD240+CT240+CJ240+BZ240+BP240+BF240+AU240+AK240+AA240+Q240</f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503"/>
        <v>30000</v>
      </c>
      <c r="FF240">
        <f t="shared" si="504"/>
        <v>30000</v>
      </c>
      <c r="FG240">
        <f t="shared" si="505"/>
        <v>462060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>SUM(FH240:FN240)+(IF(F240="YES",50000,0))</f>
        <v>0</v>
      </c>
      <c r="FP240">
        <f t="shared" si="506"/>
        <v>462060</v>
      </c>
      <c r="FQ240">
        <f t="shared" si="507"/>
        <v>10603</v>
      </c>
      <c r="FR240">
        <f t="shared" si="508"/>
        <v>0</v>
      </c>
      <c r="FS240">
        <f t="shared" si="509"/>
        <v>10603</v>
      </c>
      <c r="FT240">
        <f t="shared" si="510"/>
        <v>0</v>
      </c>
      <c r="FU240">
        <f t="shared" si="511"/>
        <v>0</v>
      </c>
      <c r="FV240">
        <f t="shared" si="512"/>
        <v>0</v>
      </c>
      <c r="FW240">
        <v>0</v>
      </c>
      <c r="FX240">
        <f t="shared" si="513"/>
        <v>0</v>
      </c>
      <c r="FY240" t="b">
        <f t="shared" si="514"/>
        <v>1</v>
      </c>
      <c r="FZ240">
        <f t="shared" ca="1" si="515"/>
        <v>614</v>
      </c>
      <c r="GA240">
        <f t="shared" ca="1" si="516"/>
        <v>545074</v>
      </c>
      <c r="GB240">
        <f t="shared" si="517"/>
        <v>75000</v>
      </c>
      <c r="GC240">
        <f t="shared" ca="1" si="518"/>
        <v>470074</v>
      </c>
      <c r="GD240">
        <f t="shared" ca="1" si="519"/>
        <v>0</v>
      </c>
      <c r="GE240">
        <f t="shared" ca="1" si="520"/>
        <v>0</v>
      </c>
      <c r="GF240">
        <f t="shared" ca="1" si="521"/>
        <v>0</v>
      </c>
      <c r="GG240">
        <f t="shared" ca="1" si="522"/>
        <v>0</v>
      </c>
      <c r="GH240">
        <f t="shared" ca="1" si="523"/>
        <v>0</v>
      </c>
      <c r="GI240">
        <f t="shared" ca="1" si="524"/>
        <v>0</v>
      </c>
      <c r="GJ240">
        <f ca="1">IF(GC240&gt;1200000,GC240-1200000-IF(F240="YES",50000,0)-GH240,0)</f>
        <v>0</v>
      </c>
      <c r="GK240">
        <f t="shared" ca="1" si="525"/>
        <v>0</v>
      </c>
      <c r="GL240">
        <f t="shared" ca="1" si="526"/>
        <v>0</v>
      </c>
      <c r="GM240">
        <f t="shared" ca="1" si="527"/>
        <v>0</v>
      </c>
      <c r="GN240">
        <f t="shared" ca="1" si="528"/>
        <v>70074</v>
      </c>
      <c r="GO240">
        <f t="shared" ca="1" si="529"/>
        <v>3503.7000000000003</v>
      </c>
      <c r="GP240">
        <f t="shared" ca="1" si="530"/>
        <v>3504</v>
      </c>
      <c r="GQ240">
        <f t="shared" ca="1" si="531"/>
        <v>0</v>
      </c>
      <c r="GR240">
        <f t="shared" ca="1" si="532"/>
        <v>0</v>
      </c>
      <c r="GS240">
        <f t="shared" ca="1" si="533"/>
        <v>3504</v>
      </c>
      <c r="GT240">
        <f t="shared" ca="1" si="534"/>
        <v>0</v>
      </c>
      <c r="GU240" t="b">
        <f t="shared" ca="1" si="535"/>
        <v>0</v>
      </c>
      <c r="GV240">
        <f t="shared" ca="1" si="536"/>
        <v>0</v>
      </c>
      <c r="GW240">
        <f t="shared" ca="1" si="537"/>
        <v>3504</v>
      </c>
      <c r="GX240">
        <f t="shared" ca="1" si="538"/>
        <v>0</v>
      </c>
      <c r="GY240">
        <f t="shared" ca="1" si="539"/>
        <v>0</v>
      </c>
      <c r="GZ240">
        <f t="shared" ca="1" si="540"/>
        <v>0</v>
      </c>
    </row>
    <row r="241" spans="1:208" x14ac:dyDescent="0.25">
      <c r="A241">
        <f>_xlfn.AGGREGATE(3,5,$B$2:B241)</f>
        <v>240</v>
      </c>
      <c r="B241" t="s">
        <v>586</v>
      </c>
      <c r="C241" t="s">
        <v>587</v>
      </c>
      <c r="D241" t="s">
        <v>811</v>
      </c>
      <c r="E241" t="s">
        <v>831</v>
      </c>
      <c r="F241" t="s">
        <v>957</v>
      </c>
      <c r="G241" t="s">
        <v>888</v>
      </c>
      <c r="H241">
        <f t="shared" si="543"/>
        <v>6800</v>
      </c>
      <c r="I241">
        <f>_xlfn.XLOOKUP(B241,'[1]march-2025'!$A:$A,'[1]march-2025'!$J:$J,0,0)</f>
        <v>0</v>
      </c>
      <c r="J241">
        <f>_xlfn.XLOOKUP(B241,'[1]march-2025'!$A:$A,'[1]march-2025'!$C:$C,0,0)</f>
        <v>37700</v>
      </c>
      <c r="K241">
        <f t="shared" si="457"/>
        <v>5278.0000000000009</v>
      </c>
      <c r="L241">
        <f t="shared" si="458"/>
        <v>4524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>IF(J241&gt;0,SUM(J241:N241),0)</f>
        <v>48002</v>
      </c>
      <c r="P241">
        <f>_xlfn.XLOOKUP(B241,'[1]march-2025'!$A:$A,'[1]march-2025'!$H:$H,0,0)</f>
        <v>3000</v>
      </c>
      <c r="Q241">
        <f>_xlfn.XLOOKUP(B241,'[1]march-2025'!$A:$A,'[1]march-2025'!$I:$I,0,0)</f>
        <v>0</v>
      </c>
      <c r="R241">
        <f t="shared" si="541"/>
        <v>200</v>
      </c>
      <c r="S241">
        <f t="shared" si="451"/>
        <v>44802</v>
      </c>
      <c r="T241">
        <f>_xlfn.XLOOKUP(B241,'[2]april-2025'!$A:$A,'[2]april-2025'!$C:$C,0,0)</f>
        <v>37700</v>
      </c>
      <c r="U241">
        <f t="shared" si="459"/>
        <v>6786</v>
      </c>
      <c r="V241">
        <f t="shared" si="460"/>
        <v>4524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452"/>
        <v>49510</v>
      </c>
      <c r="Z241">
        <f>_xlfn.XLOOKUP(B241,'[2]april-2025'!$A:$A,'[2]april-2025'!$H:$H,0,0)</f>
        <v>3000</v>
      </c>
      <c r="AA241">
        <f>_xlfn.XLOOKUP(B241,'[2]april-2025'!$A:$A,'[2]april-2025'!$I:$I,0,0)</f>
        <v>0</v>
      </c>
      <c r="AB241">
        <f t="shared" si="461"/>
        <v>200</v>
      </c>
      <c r="AC241">
        <f t="shared" si="462"/>
        <v>46310</v>
      </c>
      <c r="AD241">
        <f>_xlfn.XLOOKUP(B241,'[3]may-2025'!$A:$A,'[3]may-2025'!$C:$C,0,0)</f>
        <v>37700</v>
      </c>
      <c r="AE241">
        <f t="shared" si="463"/>
        <v>6786</v>
      </c>
      <c r="AF241">
        <f t="shared" si="464"/>
        <v>4524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453"/>
        <v>49510</v>
      </c>
      <c r="AJ241">
        <f>_xlfn.XLOOKUP(B241,'[3]may-2025'!$A:$A,'[3]may-2025'!$H:$H,0,0)</f>
        <v>3000</v>
      </c>
      <c r="AK241">
        <f>_xlfn.XLOOKUP(B241,'[3]may-2025'!$A:$A,'[3]may-2025'!$I:$I,0,0)</f>
        <v>0</v>
      </c>
      <c r="AL241">
        <f t="shared" si="465"/>
        <v>200</v>
      </c>
      <c r="AM241">
        <f t="shared" si="466"/>
        <v>46310</v>
      </c>
      <c r="AN241">
        <f>_xlfn.XLOOKUP(B241,'[4]june-2025'!$A:$A,'[4]june-2025'!$C:$C,0,0)</f>
        <v>37700</v>
      </c>
      <c r="AO241">
        <f t="shared" si="467"/>
        <v>6786</v>
      </c>
      <c r="AP241">
        <f t="shared" si="468"/>
        <v>4524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454"/>
        <v>49510</v>
      </c>
      <c r="AT241">
        <f>_xlfn.XLOOKUP(B241,'[4]june-2025'!$A:$A,'[4]june-2025'!$H:$H,0,0)</f>
        <v>3000</v>
      </c>
      <c r="AU241">
        <f>_xlfn.XLOOKUP(B241,'[4]june-2025'!$A:$A,'[4]june-2025'!$I:$I,0,0)</f>
        <v>0</v>
      </c>
      <c r="AV241">
        <f t="shared" si="469"/>
        <v>200</v>
      </c>
      <c r="AW241">
        <f t="shared" si="470"/>
        <v>46310</v>
      </c>
      <c r="AX241">
        <f>_xlfn.XLOOKUP(B241,'[5]july-2025'!$A:$A,'[5]july-2025'!$C:$C,0,0)</f>
        <v>38800</v>
      </c>
      <c r="AY241">
        <f t="shared" si="471"/>
        <v>6984</v>
      </c>
      <c r="AZ241">
        <v>0</v>
      </c>
      <c r="BA241">
        <f t="shared" si="472"/>
        <v>4656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>IF(AX241&gt;0,SUM(AX241:BC241),0)</f>
        <v>50940</v>
      </c>
      <c r="BE241">
        <f>_xlfn.XLOOKUP(B241,'[5]july-2025'!$A:$A,'[5]july-2025'!$H:$H,0,0)</f>
        <v>3000</v>
      </c>
      <c r="BF241">
        <f>_xlfn.XLOOKUP(B241,'[5]july-2025'!$A:$A,'[5]july-2025'!$I:$I,0,0)</f>
        <v>0</v>
      </c>
      <c r="BG241">
        <f t="shared" si="473"/>
        <v>200</v>
      </c>
      <c r="BH241">
        <f t="shared" si="474"/>
        <v>47740</v>
      </c>
      <c r="BI241">
        <f>_xlfn.XLOOKUP(B241,'[6]august-2025'!$A:$A,'[6]august-2025'!$C:$C,0,0)</f>
        <v>38800</v>
      </c>
      <c r="BJ241">
        <f t="shared" si="475"/>
        <v>6984</v>
      </c>
      <c r="BK241">
        <f t="shared" si="476"/>
        <v>4656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477"/>
        <v>50940</v>
      </c>
      <c r="BO241">
        <f>_xlfn.XLOOKUP(B241,'[6]august-2025'!$A:$A,'[6]august-2025'!$H:$H,0,0)</f>
        <v>3000</v>
      </c>
      <c r="BP241">
        <f>_xlfn.XLOOKUP(B241,'[6]august-2025'!$A:$A,'[6]august-2025'!$I:$I,0,0)</f>
        <v>0</v>
      </c>
      <c r="BQ241">
        <f>IF($F241="YES",0,IF(BN241&gt;40000,200,IF(BN241&gt;25000,150,IF(BN241&gt;15000,130,IF(BN241&gt;10000,110,0)))))</f>
        <v>200</v>
      </c>
      <c r="BR241">
        <f>BN241-BO241-BP241-BQ241</f>
        <v>47740</v>
      </c>
      <c r="BS241">
        <f>_xlfn.XLOOKUP(B241,'[7]september-2025'!$A:$A,'[7]september-2025'!$C:$C,0,0)</f>
        <v>38800</v>
      </c>
      <c r="BT241">
        <f t="shared" si="478"/>
        <v>6984</v>
      </c>
      <c r="BU241">
        <f t="shared" si="479"/>
        <v>4656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>IF(BS241&gt;0,SUM(BS241:BW241),0)</f>
        <v>50940</v>
      </c>
      <c r="BY241">
        <f>_xlfn.XLOOKUP(B241,'[7]september-2025'!$A:$A,'[7]september-2025'!$H:$H,0,0)</f>
        <v>3000</v>
      </c>
      <c r="BZ241">
        <f>_xlfn.XLOOKUP(B241,'[7]september-2025'!$A:$A,'[7]september-2025'!$I:$I,0,0)</f>
        <v>0</v>
      </c>
      <c r="CA241">
        <f t="shared" si="480"/>
        <v>200</v>
      </c>
      <c r="CB241">
        <f t="shared" si="481"/>
        <v>47740</v>
      </c>
      <c r="CC241">
        <f>_xlfn.XLOOKUP(B241,'[8]october-2025'!$A:$A,'[8]october-2025'!$C:$C,0,0)</f>
        <v>38800</v>
      </c>
      <c r="CD241">
        <f t="shared" si="482"/>
        <v>6984</v>
      </c>
      <c r="CE241">
        <f t="shared" si="483"/>
        <v>4656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>IF(CC241&gt;0,SUM(CC241:CG241),0)</f>
        <v>50940</v>
      </c>
      <c r="CI241">
        <f>_xlfn.XLOOKUP(B241,'[8]october-2025'!$A:$A,'[8]october-2025'!$H:$H,0,0)</f>
        <v>3000</v>
      </c>
      <c r="CJ241">
        <f>_xlfn.XLOOKUP(B241,'[8]october-2025'!$A:$A,'[8]october-2025'!$I:$I,0,0)</f>
        <v>0</v>
      </c>
      <c r="CK241">
        <f t="shared" si="484"/>
        <v>200</v>
      </c>
      <c r="CL241">
        <f t="shared" si="485"/>
        <v>47740</v>
      </c>
      <c r="CM241">
        <f>_xlfn.XLOOKUP(B241,'[9]november-2025'!$A:$A,'[9]november-2025'!$C:$C,0,0)</f>
        <v>38800</v>
      </c>
      <c r="CN241">
        <f t="shared" si="486"/>
        <v>6984</v>
      </c>
      <c r="CO241">
        <f t="shared" si="487"/>
        <v>4656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>IF(CM241&gt;0,SUM(CM241:CQ241),0)</f>
        <v>50940</v>
      </c>
      <c r="CS241">
        <f>_xlfn.XLOOKUP(B241,'[9]november-2025'!$A:$A,'[9]november-2025'!$H:$H,0,0)</f>
        <v>3000</v>
      </c>
      <c r="CT241">
        <f>_xlfn.XLOOKUP(B241,'[9]november-2025'!$A:$A,'[9]november-2025'!$I:$I,0,0)</f>
        <v>0</v>
      </c>
      <c r="CU241">
        <f t="shared" si="488"/>
        <v>200</v>
      </c>
      <c r="CV241">
        <f t="shared" si="489"/>
        <v>47740</v>
      </c>
      <c r="CW241">
        <f>_xlfn.XLOOKUP(B241,'[10]december-2025'!$A:$A,'[10]december-2025'!$C:$C,0,0)</f>
        <v>38800</v>
      </c>
      <c r="CX241">
        <f t="shared" si="490"/>
        <v>6984</v>
      </c>
      <c r="CY241">
        <f t="shared" si="491"/>
        <v>4656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>IF(CW241&gt;0,SUM(CW241:DA241),0)</f>
        <v>50940</v>
      </c>
      <c r="DC241">
        <f>_xlfn.XLOOKUP(B241,'[10]december-2025'!$A:$A,'[10]december-2025'!$H:$H,0,0)</f>
        <v>3000</v>
      </c>
      <c r="DD241">
        <f>_xlfn.XLOOKUP(B241,'[10]december-2025'!$A:$A,'[10]december-2025'!$I:$I,0,0)</f>
        <v>0</v>
      </c>
      <c r="DE241">
        <f t="shared" si="492"/>
        <v>200</v>
      </c>
      <c r="DF241">
        <f t="shared" si="493"/>
        <v>47740</v>
      </c>
      <c r="DG241">
        <f>_xlfn.XLOOKUP(B241,'[11]january-2026'!$A:$A,'[11]january-2026'!$C:$C,0,0)</f>
        <v>38800</v>
      </c>
      <c r="DH241">
        <f t="shared" si="494"/>
        <v>6984</v>
      </c>
      <c r="DI241">
        <f t="shared" si="495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>IF(DG241&gt;0,SUM(DG241:DK241),0)</f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496"/>
        <v>200</v>
      </c>
      <c r="DP241">
        <f t="shared" si="497"/>
        <v>47740</v>
      </c>
      <c r="DQ241">
        <f>_xlfn.XLOOKUP(B241,'[12]february-2026'!$A:$A,'[12]february-2026'!$C:$C,0,0)</f>
        <v>38800</v>
      </c>
      <c r="DR241">
        <f t="shared" si="498"/>
        <v>6984</v>
      </c>
      <c r="DS241">
        <f t="shared" si="499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>IF(DQ241&gt;0,SUM(DQ241:DU241),0)</f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00"/>
        <v>200</v>
      </c>
      <c r="DZ241">
        <f t="shared" si="501"/>
        <v>47740</v>
      </c>
      <c r="EA241">
        <f>_xlfn.XLOOKUP(B241,'[1]march-2025'!$A:$A,'[1]march-2025'!$J:$J,0,0)</f>
        <v>0</v>
      </c>
      <c r="EB241">
        <f>_xlfn.XLOOKUP(B241,'[2]april-2025'!$A:$A,'[2]april-2025'!$J:$J,0,0)</f>
        <v>0</v>
      </c>
      <c r="EC241">
        <f>_xlfn.XLOOKUP(B241,'[3]may-2025'!$A:$A,'[3]may-2025'!$J:$J,0,0)</f>
        <v>0</v>
      </c>
      <c r="ED241">
        <f>_xlfn.XLOOKUP(B241,'[4]june-2025'!$A:$A,'[4]june-2025'!$J:$J,0,0)</f>
        <v>0</v>
      </c>
      <c r="EE241">
        <f>_xlfn.XLOOKUP(B241,'[5]july-2025'!$A:$A,'[5]july-2025'!$J:$J,0,0)</f>
        <v>0</v>
      </c>
      <c r="EF241">
        <f>_xlfn.XLOOKUP(B241,'[6]august-2025'!$A:$A,'[6]august-2025'!$J:$J,0,0)</f>
        <v>0</v>
      </c>
      <c r="EG241">
        <f>_xlfn.XLOOKUP(B241,'[7]september-2025'!$A:$A,'[7]september-2025'!$J:$J,0,0)</f>
        <v>0</v>
      </c>
      <c r="EH241">
        <f>_xlfn.XLOOKUP(B241,'[8]october-2025'!$A:$A,'[8]october-2025'!$J:$J,0,0)</f>
        <v>0</v>
      </c>
      <c r="EI241">
        <f>_xlfn.XLOOKUP(C241,'[9]november-2025'!$A:$A,'[9]november-2025'!$J:$J,0,0)</f>
        <v>0</v>
      </c>
      <c r="EJ241">
        <f>_xlfn.XLOOKUP(B241,'[10]december-2025'!$A:$A,'[10]december-2025'!$J:$J,0,0)</f>
        <v>0</v>
      </c>
      <c r="EK241">
        <f>_xlfn.XLOOKUP(B241,'[11]january-2026'!$A:$A,'[11]january-2026'!$J:$J,0,0)</f>
        <v>0</v>
      </c>
      <c r="EL241">
        <f>_xlfn.XLOOKUP(B241,'[12]february-2026'!$A:$A,'[12]february-2026'!$J:$J,0,0)</f>
        <v>0</v>
      </c>
      <c r="EM241">
        <f t="shared" si="455"/>
        <v>0</v>
      </c>
      <c r="EN241">
        <f>DV241+DL241+DB241+CR241+CH241+BX241+BN241+BD241+AS241+AI241+Y241+O241+H241+I241</f>
        <v>610852</v>
      </c>
      <c r="EO241">
        <f>DY241+DO241+DE241+CU241+CK241+CA241+BQ241+BG241+AV241+AL241+AB241+R241</f>
        <v>2400</v>
      </c>
      <c r="EP241">
        <f t="shared" si="502"/>
        <v>50000</v>
      </c>
      <c r="EQ241">
        <v>0</v>
      </c>
      <c r="ER241">
        <f t="shared" si="456"/>
        <v>558452</v>
      </c>
      <c r="ES241">
        <f>DW241+DM241+DC241+CS241+CI241+BY241+BO241+BE241+AT241+AJ241+Z241+P241</f>
        <v>36000</v>
      </c>
      <c r="ET241">
        <f>DX241+DN241+DD241+CT241+CJ241+BZ241+BP241+BF241+AU241+AK241+AA241+Q241</f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503"/>
        <v>36000</v>
      </c>
      <c r="FF241">
        <f t="shared" si="504"/>
        <v>36000</v>
      </c>
      <c r="FG241">
        <f t="shared" si="505"/>
        <v>522452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>SUM(FH241:FN241)+(IF(F241="YES",50000,0))</f>
        <v>0</v>
      </c>
      <c r="FP241">
        <f t="shared" si="506"/>
        <v>522452</v>
      </c>
      <c r="FQ241">
        <f t="shared" si="507"/>
        <v>12500</v>
      </c>
      <c r="FR241">
        <f t="shared" si="508"/>
        <v>4490</v>
      </c>
      <c r="FS241">
        <f t="shared" si="509"/>
        <v>16990</v>
      </c>
      <c r="FT241">
        <f t="shared" si="510"/>
        <v>16990</v>
      </c>
      <c r="FU241">
        <f t="shared" si="511"/>
        <v>679.6</v>
      </c>
      <c r="FV241">
        <f t="shared" si="512"/>
        <v>17670</v>
      </c>
      <c r="FW241">
        <v>0</v>
      </c>
      <c r="FX241">
        <f t="shared" si="513"/>
        <v>17670</v>
      </c>
      <c r="FY241" t="b">
        <f t="shared" si="514"/>
        <v>1</v>
      </c>
      <c r="FZ241">
        <f t="shared" ca="1" si="515"/>
        <v>732</v>
      </c>
      <c r="GA241">
        <f t="shared" ca="1" si="516"/>
        <v>611584</v>
      </c>
      <c r="GB241">
        <f t="shared" si="517"/>
        <v>75000</v>
      </c>
      <c r="GC241">
        <f t="shared" ca="1" si="518"/>
        <v>536584</v>
      </c>
      <c r="GD241">
        <f t="shared" ca="1" si="519"/>
        <v>0</v>
      </c>
      <c r="GE241">
        <f t="shared" ca="1" si="520"/>
        <v>0</v>
      </c>
      <c r="GF241">
        <f t="shared" ca="1" si="521"/>
        <v>0</v>
      </c>
      <c r="GG241">
        <f t="shared" ca="1" si="522"/>
        <v>0</v>
      </c>
      <c r="GH241">
        <f t="shared" ca="1" si="523"/>
        <v>0</v>
      </c>
      <c r="GI241">
        <f t="shared" ca="1" si="524"/>
        <v>0</v>
      </c>
      <c r="GJ241">
        <f ca="1">IF(GC241&gt;1200000,GC241-1200000-IF(F241="YES",50000,0)-GH241,0)</f>
        <v>0</v>
      </c>
      <c r="GK241">
        <f t="shared" ca="1" si="525"/>
        <v>0</v>
      </c>
      <c r="GL241">
        <f t="shared" ca="1" si="526"/>
        <v>0</v>
      </c>
      <c r="GM241">
        <f t="shared" ca="1" si="527"/>
        <v>0</v>
      </c>
      <c r="GN241">
        <f t="shared" ca="1" si="528"/>
        <v>136584</v>
      </c>
      <c r="GO241">
        <f t="shared" ca="1" si="529"/>
        <v>6829.2000000000007</v>
      </c>
      <c r="GP241">
        <f t="shared" ca="1" si="530"/>
        <v>6829</v>
      </c>
      <c r="GQ241">
        <f t="shared" ca="1" si="531"/>
        <v>0</v>
      </c>
      <c r="GR241">
        <f t="shared" ca="1" si="532"/>
        <v>0</v>
      </c>
      <c r="GS241">
        <f t="shared" ca="1" si="533"/>
        <v>6829</v>
      </c>
      <c r="GT241">
        <f t="shared" ca="1" si="534"/>
        <v>0</v>
      </c>
      <c r="GU241" t="b">
        <f t="shared" ca="1" si="535"/>
        <v>0</v>
      </c>
      <c r="GV241">
        <f t="shared" ca="1" si="536"/>
        <v>0</v>
      </c>
      <c r="GW241">
        <f t="shared" ca="1" si="537"/>
        <v>6829</v>
      </c>
      <c r="GX241">
        <f t="shared" ca="1" si="538"/>
        <v>0</v>
      </c>
      <c r="GY241">
        <f t="shared" ca="1" si="539"/>
        <v>0</v>
      </c>
      <c r="GZ241">
        <f t="shared" ca="1" si="540"/>
        <v>0</v>
      </c>
    </row>
    <row r="242" spans="1:208" x14ac:dyDescent="0.25">
      <c r="A242">
        <f>_xlfn.AGGREGATE(3,5,$B$2:B242)</f>
        <v>241</v>
      </c>
      <c r="B242" t="s">
        <v>588</v>
      </c>
      <c r="C242" t="s">
        <v>589</v>
      </c>
      <c r="D242" t="s">
        <v>812</v>
      </c>
      <c r="E242" t="s">
        <v>831</v>
      </c>
      <c r="F242" t="s">
        <v>957</v>
      </c>
      <c r="G242" t="s">
        <v>951</v>
      </c>
      <c r="H242">
        <f t="shared" si="543"/>
        <v>6800</v>
      </c>
      <c r="I242">
        <f>_xlfn.XLOOKUP(B242,'[1]march-2025'!$A:$A,'[1]march-2025'!$J:$J,0,0)</f>
        <v>0</v>
      </c>
      <c r="J242">
        <f>_xlfn.XLOOKUP(B242,'[1]march-2025'!$A:$A,'[1]march-2025'!$C:$C,0,0)</f>
        <v>55400</v>
      </c>
      <c r="K242">
        <f t="shared" si="457"/>
        <v>7756.0000000000009</v>
      </c>
      <c r="L242">
        <f t="shared" si="458"/>
        <v>6648</v>
      </c>
      <c r="M242">
        <f>_xlfn.XLOOKUP(B242,'[1]march-2025'!$A:$A,'[1]march-2025'!$D:$D,0,0)</f>
        <v>400</v>
      </c>
      <c r="N242">
        <f>_xlfn.XLOOKUP(B242,'[1]march-2025'!$A:$A,'[1]march-2025'!$G:$G,0,0)</f>
        <v>0</v>
      </c>
      <c r="O242">
        <f>IF(J242&gt;0,SUM(J242:N242),0)</f>
        <v>70204</v>
      </c>
      <c r="P242">
        <f>_xlfn.XLOOKUP(B242,'[1]march-2025'!$A:$A,'[1]march-2025'!$H:$H,0,0)</f>
        <v>3500</v>
      </c>
      <c r="Q242">
        <f>_xlfn.XLOOKUP(B242,'[1]march-2025'!$A:$A,'[1]march-2025'!$I:$I,0,0)</f>
        <v>0</v>
      </c>
      <c r="R242">
        <f t="shared" si="541"/>
        <v>200</v>
      </c>
      <c r="S242">
        <f t="shared" si="451"/>
        <v>66504</v>
      </c>
      <c r="T242">
        <f>_xlfn.XLOOKUP(B242,'[2]april-2025'!$A:$A,'[2]april-2025'!$C:$C,0,0)</f>
        <v>55400</v>
      </c>
      <c r="U242">
        <f t="shared" si="459"/>
        <v>9972</v>
      </c>
      <c r="V242">
        <f t="shared" si="460"/>
        <v>6648</v>
      </c>
      <c r="W242">
        <f>_xlfn.XLOOKUP(B242,'[2]april-2025'!$A:$A,'[2]april-2025'!$D:$D,0,0)</f>
        <v>400</v>
      </c>
      <c r="X242">
        <f>_xlfn.XLOOKUP(B242,'[2]april-2025'!$A:$A,'[2]april-2025'!$G:$G,0,0)</f>
        <v>0</v>
      </c>
      <c r="Y242">
        <f t="shared" si="452"/>
        <v>72420</v>
      </c>
      <c r="Z242">
        <f>_xlfn.XLOOKUP(B242,'[2]april-2025'!$A:$A,'[2]april-2025'!$H:$H,0,0)</f>
        <v>3500</v>
      </c>
      <c r="AA242">
        <f>_xlfn.XLOOKUP(B242,'[2]april-2025'!$A:$A,'[2]april-2025'!$I:$I,0,0)</f>
        <v>0</v>
      </c>
      <c r="AB242">
        <f t="shared" si="461"/>
        <v>200</v>
      </c>
      <c r="AC242">
        <f t="shared" si="462"/>
        <v>68720</v>
      </c>
      <c r="AD242">
        <f>_xlfn.XLOOKUP(B242,'[3]may-2025'!$A:$A,'[3]may-2025'!$C:$C,0,0)</f>
        <v>55400</v>
      </c>
      <c r="AE242">
        <f t="shared" si="463"/>
        <v>9972</v>
      </c>
      <c r="AF242">
        <f t="shared" si="464"/>
        <v>6648</v>
      </c>
      <c r="AG242">
        <f>_xlfn.XLOOKUP(B242,'[3]may-2025'!$A:$A,'[3]may-2025'!$D:$D,0,0)</f>
        <v>400</v>
      </c>
      <c r="AH242">
        <f>_xlfn.XLOOKUP(B242,'[3]may-2025'!$A:$A,'[3]may-2025'!$G:$G,0,0)</f>
        <v>0</v>
      </c>
      <c r="AI242">
        <f t="shared" si="453"/>
        <v>72420</v>
      </c>
      <c r="AJ242">
        <f>_xlfn.XLOOKUP(B242,'[3]may-2025'!$A:$A,'[3]may-2025'!$H:$H,0,0)</f>
        <v>3500</v>
      </c>
      <c r="AK242">
        <f>_xlfn.XLOOKUP(B242,'[3]may-2025'!$A:$A,'[3]may-2025'!$I:$I,0,0)</f>
        <v>0</v>
      </c>
      <c r="AL242">
        <f t="shared" si="465"/>
        <v>200</v>
      </c>
      <c r="AM242">
        <f t="shared" si="466"/>
        <v>68720</v>
      </c>
      <c r="AN242">
        <f>_xlfn.XLOOKUP(B242,'[4]june-2025'!$A:$A,'[4]june-2025'!$C:$C,0,0)</f>
        <v>55400</v>
      </c>
      <c r="AO242">
        <f t="shared" si="467"/>
        <v>9972</v>
      </c>
      <c r="AP242">
        <f t="shared" si="468"/>
        <v>6648</v>
      </c>
      <c r="AQ242">
        <f>_xlfn.XLOOKUP(B242,'[4]june-2025'!$A:$A,'[4]june-2025'!$D:$D,0,0)</f>
        <v>400</v>
      </c>
      <c r="AR242">
        <f>_xlfn.XLOOKUP(B242,'[4]june-2025'!$A:$A,'[4]june-2025'!$G:$G,0,0)</f>
        <v>0</v>
      </c>
      <c r="AS242">
        <f t="shared" si="454"/>
        <v>72420</v>
      </c>
      <c r="AT242">
        <f>_xlfn.XLOOKUP(B242,'[4]june-2025'!$A:$A,'[4]june-2025'!$H:$H,0,0)</f>
        <v>3500</v>
      </c>
      <c r="AU242">
        <f>_xlfn.XLOOKUP(B242,'[4]june-2025'!$A:$A,'[4]june-2025'!$I:$I,0,0)</f>
        <v>0</v>
      </c>
      <c r="AV242">
        <f t="shared" si="469"/>
        <v>200</v>
      </c>
      <c r="AW242">
        <f t="shared" si="470"/>
        <v>68720</v>
      </c>
      <c r="AX242">
        <f>_xlfn.XLOOKUP(B242,'[5]july-2025'!$A:$A,'[5]july-2025'!$C:$C,0,0)</f>
        <v>57100</v>
      </c>
      <c r="AY242">
        <f t="shared" si="471"/>
        <v>10278</v>
      </c>
      <c r="AZ242">
        <v>0</v>
      </c>
      <c r="BA242">
        <f t="shared" si="472"/>
        <v>6852</v>
      </c>
      <c r="BB242">
        <f>_xlfn.XLOOKUP(B242,'[5]july-2025'!$A:$A,'[5]july-2025'!$D:$D,0,0)</f>
        <v>400</v>
      </c>
      <c r="BC242">
        <f>_xlfn.XLOOKUP(B242,'[5]july-2025'!$A:$A,'[5]july-2025'!$G:$G,0,0)</f>
        <v>0</v>
      </c>
      <c r="BD242">
        <f>IF(AX242&gt;0,SUM(AX242:BC242),0)</f>
        <v>74630</v>
      </c>
      <c r="BE242">
        <f>_xlfn.XLOOKUP(B242,'[5]july-2025'!$A:$A,'[5]july-2025'!$H:$H,0,0)</f>
        <v>3500</v>
      </c>
      <c r="BF242">
        <f>_xlfn.XLOOKUP(B242,'[5]july-2025'!$A:$A,'[5]july-2025'!$I:$I,0,0)</f>
        <v>0</v>
      </c>
      <c r="BG242">
        <f t="shared" si="473"/>
        <v>200</v>
      </c>
      <c r="BH242">
        <f t="shared" si="474"/>
        <v>70930</v>
      </c>
      <c r="BI242">
        <f>_xlfn.XLOOKUP(B242,'[6]august-2025'!$A:$A,'[6]august-2025'!$C:$C,0,0)</f>
        <v>57100</v>
      </c>
      <c r="BJ242">
        <f t="shared" si="475"/>
        <v>10278</v>
      </c>
      <c r="BK242">
        <f t="shared" si="476"/>
        <v>6852</v>
      </c>
      <c r="BL242">
        <f>_xlfn.XLOOKUP(B242,'[6]august-2025'!$A:$A,'[6]august-2025'!$D:$D,0,0)</f>
        <v>400</v>
      </c>
      <c r="BM242">
        <f>_xlfn.XLOOKUP(B242,'[6]august-2025'!$A:$A,'[6]august-2025'!$G:$G,0,0)</f>
        <v>0</v>
      </c>
      <c r="BN242">
        <f t="shared" si="477"/>
        <v>74630</v>
      </c>
      <c r="BO242">
        <f>_xlfn.XLOOKUP(B242,'[6]august-2025'!$A:$A,'[6]august-2025'!$H:$H,0,0)</f>
        <v>3500</v>
      </c>
      <c r="BP242">
        <f>_xlfn.XLOOKUP(B242,'[6]august-2025'!$A:$A,'[6]august-2025'!$I:$I,0,0)</f>
        <v>0</v>
      </c>
      <c r="BQ242">
        <f>IF($F242="YES",0,IF(BN242&gt;40000,200,IF(BN242&gt;25000,150,IF(BN242&gt;15000,130,IF(BN242&gt;10000,110,0)))))</f>
        <v>200</v>
      </c>
      <c r="BR242">
        <f>BN242-BO242-BP242-BQ242</f>
        <v>70930</v>
      </c>
      <c r="BS242">
        <f>_xlfn.XLOOKUP(B242,'[7]september-2025'!$A:$A,'[7]september-2025'!$C:$C,0,0)</f>
        <v>57100</v>
      </c>
      <c r="BT242">
        <f t="shared" si="478"/>
        <v>10278</v>
      </c>
      <c r="BU242">
        <f t="shared" si="479"/>
        <v>6852</v>
      </c>
      <c r="BV242">
        <f>_xlfn.XLOOKUP(B242,'[7]september-2025'!$A:$A,'[7]september-2025'!$D:$D,0,0)</f>
        <v>400</v>
      </c>
      <c r="BW242">
        <f>_xlfn.XLOOKUP(B242,'[7]september-2025'!$A:$A,'[7]september-2025'!$G:$G,0,0)</f>
        <v>0</v>
      </c>
      <c r="BX242">
        <f>IF(BS242&gt;0,SUM(BS242:BW242),0)</f>
        <v>74630</v>
      </c>
      <c r="BY242">
        <f>_xlfn.XLOOKUP(B242,'[7]september-2025'!$A:$A,'[7]september-2025'!$H:$H,0,0)</f>
        <v>3500</v>
      </c>
      <c r="BZ242">
        <f>_xlfn.XLOOKUP(B242,'[7]september-2025'!$A:$A,'[7]september-2025'!$I:$I,0,0)</f>
        <v>0</v>
      </c>
      <c r="CA242">
        <f t="shared" si="480"/>
        <v>200</v>
      </c>
      <c r="CB242">
        <f t="shared" si="481"/>
        <v>70930</v>
      </c>
      <c r="CC242">
        <f>_xlfn.XLOOKUP(B242,'[8]october-2025'!$A:$A,'[8]october-2025'!$C:$C,0,0)</f>
        <v>57100</v>
      </c>
      <c r="CD242">
        <f t="shared" si="482"/>
        <v>10278</v>
      </c>
      <c r="CE242">
        <f t="shared" si="483"/>
        <v>6852</v>
      </c>
      <c r="CF242">
        <f>_xlfn.XLOOKUP(B242,'[8]october-2025'!$A:$A,'[8]october-2025'!$D:$D,0,0)</f>
        <v>400</v>
      </c>
      <c r="CG242">
        <f>_xlfn.XLOOKUP(B242,'[8]october-2025'!$A:$A,'[8]october-2025'!$G:$G,0,0)</f>
        <v>0</v>
      </c>
      <c r="CH242">
        <f>IF(CC242&gt;0,SUM(CC242:CG242),0)</f>
        <v>74630</v>
      </c>
      <c r="CI242">
        <f>_xlfn.XLOOKUP(B242,'[8]october-2025'!$A:$A,'[8]october-2025'!$H:$H,0,0)</f>
        <v>0</v>
      </c>
      <c r="CJ242">
        <f>_xlfn.XLOOKUP(B242,'[8]october-2025'!$A:$A,'[8]october-2025'!$I:$I,0,0)</f>
        <v>0</v>
      </c>
      <c r="CK242">
        <f t="shared" si="484"/>
        <v>200</v>
      </c>
      <c r="CL242">
        <f t="shared" si="485"/>
        <v>74430</v>
      </c>
      <c r="CM242">
        <f>_xlfn.XLOOKUP(B242,'[9]november-2025'!$A:$A,'[9]november-2025'!$C:$C,0,0)</f>
        <v>57100</v>
      </c>
      <c r="CN242">
        <f t="shared" si="486"/>
        <v>10278</v>
      </c>
      <c r="CO242">
        <f t="shared" si="487"/>
        <v>6852</v>
      </c>
      <c r="CP242">
        <f>_xlfn.XLOOKUP(B242,'[9]november-2025'!$A:$A,'[9]november-2025'!$D:$D,0,0)</f>
        <v>400</v>
      </c>
      <c r="CQ242">
        <f>_xlfn.XLOOKUP(B242,'[9]november-2025'!$A:$A,'[9]november-2025'!$G:$G,0,0)</f>
        <v>0</v>
      </c>
      <c r="CR242">
        <f>IF(CM242&gt;0,SUM(CM242:CQ242),0)</f>
        <v>74630</v>
      </c>
      <c r="CS242">
        <f>_xlfn.XLOOKUP(B242,'[9]november-2025'!$A:$A,'[9]november-2025'!$H:$H,0,0)</f>
        <v>0</v>
      </c>
      <c r="CT242">
        <f>_xlfn.XLOOKUP(B242,'[9]november-2025'!$A:$A,'[9]november-2025'!$I:$I,0,0)</f>
        <v>0</v>
      </c>
      <c r="CU242">
        <f t="shared" si="488"/>
        <v>200</v>
      </c>
      <c r="CV242">
        <f t="shared" si="489"/>
        <v>74430</v>
      </c>
      <c r="CW242">
        <f>_xlfn.XLOOKUP(B242,'[10]december-2025'!$A:$A,'[10]december-2025'!$C:$C,0,0)</f>
        <v>57100</v>
      </c>
      <c r="CX242">
        <f t="shared" si="490"/>
        <v>10278</v>
      </c>
      <c r="CY242">
        <f t="shared" si="491"/>
        <v>6852</v>
      </c>
      <c r="CZ242">
        <f>_xlfn.XLOOKUP(B242,'[10]december-2025'!$A:$A,'[10]december-2025'!$D:$D,0,0)</f>
        <v>400</v>
      </c>
      <c r="DA242">
        <f>_xlfn.XLOOKUP(B242,'[10]december-2025'!$A:$A,'[10]december-2025'!$G:$G,0,0)</f>
        <v>0</v>
      </c>
      <c r="DB242">
        <f>IF(CW242&gt;0,SUM(CW242:DA242),0)</f>
        <v>74630</v>
      </c>
      <c r="DC242">
        <f>_xlfn.XLOOKUP(B242,'[10]december-2025'!$A:$A,'[10]december-2025'!$H:$H,0,0)</f>
        <v>0</v>
      </c>
      <c r="DD242">
        <f>_xlfn.XLOOKUP(B242,'[10]december-2025'!$A:$A,'[10]december-2025'!$I:$I,0,0)</f>
        <v>0</v>
      </c>
      <c r="DE242">
        <f t="shared" si="492"/>
        <v>200</v>
      </c>
      <c r="DF242">
        <f t="shared" si="493"/>
        <v>74430</v>
      </c>
      <c r="DG242">
        <f>_xlfn.XLOOKUP(B242,'[11]january-2026'!$A:$A,'[11]january-2026'!$C:$C,0,0)</f>
        <v>57100</v>
      </c>
      <c r="DH242">
        <f t="shared" si="494"/>
        <v>10278</v>
      </c>
      <c r="DI242">
        <f t="shared" si="495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>IF(DG242&gt;0,SUM(DG242:DK242),0)</f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496"/>
        <v>200</v>
      </c>
      <c r="DP242">
        <f t="shared" si="497"/>
        <v>74430</v>
      </c>
      <c r="DQ242">
        <f>_xlfn.XLOOKUP(B242,'[12]february-2026'!$A:$A,'[12]february-2026'!$C:$C,0,0)</f>
        <v>57100</v>
      </c>
      <c r="DR242">
        <f t="shared" si="498"/>
        <v>10278</v>
      </c>
      <c r="DS242">
        <f t="shared" si="499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>IF(DQ242&gt;0,SUM(DQ242:DU242),0)</f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00"/>
        <v>200</v>
      </c>
      <c r="DZ242">
        <f t="shared" si="501"/>
        <v>74430</v>
      </c>
      <c r="EA242">
        <f>_xlfn.XLOOKUP(B242,'[1]march-2025'!$A:$A,'[1]march-2025'!$J:$J,0,0)</f>
        <v>0</v>
      </c>
      <c r="EB242">
        <f>_xlfn.XLOOKUP(B242,'[2]april-2025'!$A:$A,'[2]april-2025'!$J:$J,0,0)</f>
        <v>0</v>
      </c>
      <c r="EC242">
        <f>_xlfn.XLOOKUP(B242,'[3]may-2025'!$A:$A,'[3]may-2025'!$J:$J,0,0)</f>
        <v>0</v>
      </c>
      <c r="ED242">
        <f>_xlfn.XLOOKUP(B242,'[4]june-2025'!$A:$A,'[4]june-2025'!$J:$J,0,0)</f>
        <v>0</v>
      </c>
      <c r="EE242">
        <f>_xlfn.XLOOKUP(B242,'[5]july-2025'!$A:$A,'[5]july-2025'!$J:$J,0,0)</f>
        <v>0</v>
      </c>
      <c r="EF242">
        <f>_xlfn.XLOOKUP(B242,'[6]august-2025'!$A:$A,'[6]august-2025'!$J:$J,0,0)</f>
        <v>0</v>
      </c>
      <c r="EG242">
        <f>_xlfn.XLOOKUP(B242,'[7]september-2025'!$A:$A,'[7]september-2025'!$J:$J,0,0)</f>
        <v>0</v>
      </c>
      <c r="EH242">
        <f>_xlfn.XLOOKUP(B242,'[8]october-2025'!$A:$A,'[8]october-2025'!$J:$J,0,0)</f>
        <v>0</v>
      </c>
      <c r="EI242">
        <f>_xlfn.XLOOKUP(C242,'[9]november-2025'!$A:$A,'[9]november-2025'!$J:$J,0,0)</f>
        <v>0</v>
      </c>
      <c r="EJ242">
        <f>_xlfn.XLOOKUP(B242,'[10]december-2025'!$A:$A,'[10]december-2025'!$J:$J,0,0)</f>
        <v>0</v>
      </c>
      <c r="EK242">
        <f>_xlfn.XLOOKUP(B242,'[11]january-2026'!$A:$A,'[11]january-2026'!$J:$J,0,0)</f>
        <v>0</v>
      </c>
      <c r="EL242">
        <f>_xlfn.XLOOKUP(B242,'[12]february-2026'!$A:$A,'[12]february-2026'!$J:$J,0,0)</f>
        <v>0</v>
      </c>
      <c r="EM242">
        <f t="shared" si="455"/>
        <v>0</v>
      </c>
      <c r="EN242">
        <f>DV242+DL242+DB242+CR242+CH242+BX242+BN242+BD242+AS242+AI242+Y242+O242+H242+I242</f>
        <v>891304</v>
      </c>
      <c r="EO242">
        <f>DY242+DO242+DE242+CU242+CK242+CA242+BQ242+BG242+AV242+AL242+AB242+R242</f>
        <v>2400</v>
      </c>
      <c r="EP242">
        <f t="shared" si="502"/>
        <v>50000</v>
      </c>
      <c r="EQ242">
        <v>0</v>
      </c>
      <c r="ER242">
        <f t="shared" si="456"/>
        <v>838904</v>
      </c>
      <c r="ES242">
        <f>DW242+DM242+DC242+CS242+CI242+BY242+BO242+BE242+AT242+AJ242+Z242+P242</f>
        <v>24500</v>
      </c>
      <c r="ET242">
        <f>DX242+DN242+DD242+CT242+CJ242+BZ242+BP242+BF242+AU242+AK242+AA242+Q242</f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503"/>
        <v>24500</v>
      </c>
      <c r="FF242">
        <f t="shared" si="504"/>
        <v>24500</v>
      </c>
      <c r="FG242">
        <f t="shared" si="505"/>
        <v>814404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>SUM(FH242:FN242)+(IF(F242="YES",50000,0))</f>
        <v>0</v>
      </c>
      <c r="FP242">
        <f t="shared" si="506"/>
        <v>814404</v>
      </c>
      <c r="FQ242">
        <f t="shared" si="507"/>
        <v>12500</v>
      </c>
      <c r="FR242">
        <f t="shared" si="508"/>
        <v>62881</v>
      </c>
      <c r="FS242">
        <f t="shared" si="509"/>
        <v>75381</v>
      </c>
      <c r="FT242">
        <f t="shared" si="510"/>
        <v>75381</v>
      </c>
      <c r="FU242">
        <f t="shared" si="511"/>
        <v>3015.2400000000002</v>
      </c>
      <c r="FV242">
        <f t="shared" si="512"/>
        <v>78396</v>
      </c>
      <c r="FW242">
        <v>0</v>
      </c>
      <c r="FX242">
        <f t="shared" si="513"/>
        <v>78396</v>
      </c>
      <c r="FY242" t="b">
        <f t="shared" si="514"/>
        <v>1</v>
      </c>
      <c r="FZ242">
        <f t="shared" ca="1" si="515"/>
        <v>503</v>
      </c>
      <c r="GA242">
        <f t="shared" ca="1" si="516"/>
        <v>891807</v>
      </c>
      <c r="GB242">
        <f t="shared" si="517"/>
        <v>75000</v>
      </c>
      <c r="GC242">
        <f t="shared" ca="1" si="518"/>
        <v>816807</v>
      </c>
      <c r="GD242">
        <f t="shared" ca="1" si="519"/>
        <v>0</v>
      </c>
      <c r="GE242">
        <f t="shared" ca="1" si="520"/>
        <v>0</v>
      </c>
      <c r="GF242">
        <f t="shared" ca="1" si="521"/>
        <v>0</v>
      </c>
      <c r="GG242">
        <f t="shared" ca="1" si="522"/>
        <v>0</v>
      </c>
      <c r="GH242">
        <f t="shared" ca="1" si="523"/>
        <v>0</v>
      </c>
      <c r="GI242">
        <f t="shared" ca="1" si="524"/>
        <v>0</v>
      </c>
      <c r="GJ242">
        <f ca="1">IF(GC242&gt;1200000,GC242-1200000-IF(F242="YES",50000,0)-GH242,0)</f>
        <v>0</v>
      </c>
      <c r="GK242">
        <f t="shared" ca="1" si="525"/>
        <v>0</v>
      </c>
      <c r="GL242">
        <f t="shared" ca="1" si="526"/>
        <v>16807</v>
      </c>
      <c r="GM242">
        <f t="shared" ca="1" si="527"/>
        <v>1680.7</v>
      </c>
      <c r="GN242">
        <f t="shared" ca="1" si="528"/>
        <v>400000</v>
      </c>
      <c r="GO242">
        <f t="shared" ca="1" si="529"/>
        <v>20000</v>
      </c>
      <c r="GP242">
        <f t="shared" ca="1" si="530"/>
        <v>21681</v>
      </c>
      <c r="GQ242">
        <f t="shared" ca="1" si="531"/>
        <v>0</v>
      </c>
      <c r="GR242">
        <f t="shared" ca="1" si="532"/>
        <v>0</v>
      </c>
      <c r="GS242">
        <f t="shared" ca="1" si="533"/>
        <v>21681</v>
      </c>
      <c r="GT242">
        <f t="shared" ca="1" si="534"/>
        <v>0</v>
      </c>
      <c r="GU242" t="b">
        <f t="shared" ca="1" si="535"/>
        <v>0</v>
      </c>
      <c r="GV242">
        <f t="shared" ca="1" si="536"/>
        <v>0</v>
      </c>
      <c r="GW242">
        <f t="shared" ca="1" si="537"/>
        <v>21681</v>
      </c>
      <c r="GX242">
        <f t="shared" ca="1" si="538"/>
        <v>0</v>
      </c>
      <c r="GY242">
        <f t="shared" ca="1" si="539"/>
        <v>0</v>
      </c>
      <c r="GZ242">
        <f t="shared" ca="1" si="540"/>
        <v>0</v>
      </c>
    </row>
    <row r="243" spans="1:208" x14ac:dyDescent="0.25">
      <c r="A243">
        <f>_xlfn.AGGREGATE(3,5,$B$2:B243)</f>
        <v>242</v>
      </c>
      <c r="B243" t="s">
        <v>590</v>
      </c>
      <c r="C243" t="s">
        <v>591</v>
      </c>
      <c r="D243" t="s">
        <v>812</v>
      </c>
      <c r="E243" t="s">
        <v>831</v>
      </c>
      <c r="F243" t="s">
        <v>957</v>
      </c>
      <c r="G243" t="s">
        <v>934</v>
      </c>
      <c r="H243">
        <f t="shared" si="543"/>
        <v>6800</v>
      </c>
      <c r="I243">
        <f>_xlfn.XLOOKUP(B243,'[1]march-2025'!$A:$A,'[1]march-2025'!$J:$J,0,0)</f>
        <v>0</v>
      </c>
      <c r="J243">
        <f>_xlfn.XLOOKUP(B243,'[1]march-2025'!$A:$A,'[1]march-2025'!$C:$C,0,0)</f>
        <v>29800</v>
      </c>
      <c r="K243">
        <f t="shared" si="457"/>
        <v>4172</v>
      </c>
      <c r="L243">
        <f t="shared" si="458"/>
        <v>3576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>IF(J243&gt;0,SUM(J243:N243),0)</f>
        <v>38048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541"/>
        <v>150</v>
      </c>
      <c r="S243">
        <f t="shared" si="451"/>
        <v>35898</v>
      </c>
      <c r="T243">
        <f>_xlfn.XLOOKUP(B243,'[2]april-2025'!$A:$A,'[2]april-2025'!$C:$C,0,0)</f>
        <v>29800</v>
      </c>
      <c r="U243">
        <f t="shared" si="459"/>
        <v>5364</v>
      </c>
      <c r="V243">
        <f t="shared" si="460"/>
        <v>3576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452"/>
        <v>39240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461"/>
        <v>150</v>
      </c>
      <c r="AC243">
        <f t="shared" si="462"/>
        <v>37090</v>
      </c>
      <c r="AD243">
        <f>_xlfn.XLOOKUP(B243,'[3]may-2025'!$A:$A,'[3]may-2025'!$C:$C,0,0)</f>
        <v>29800</v>
      </c>
      <c r="AE243">
        <f t="shared" si="463"/>
        <v>5364</v>
      </c>
      <c r="AF243">
        <f t="shared" si="464"/>
        <v>3576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453"/>
        <v>39240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465"/>
        <v>150</v>
      </c>
      <c r="AM243">
        <f t="shared" si="466"/>
        <v>37090</v>
      </c>
      <c r="AN243">
        <f>_xlfn.XLOOKUP(B243,'[4]june-2025'!$A:$A,'[4]june-2025'!$C:$C,0,0)</f>
        <v>29800</v>
      </c>
      <c r="AO243">
        <f t="shared" si="467"/>
        <v>5364</v>
      </c>
      <c r="AP243">
        <f t="shared" si="468"/>
        <v>3576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454"/>
        <v>39240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469"/>
        <v>150</v>
      </c>
      <c r="AW243">
        <f t="shared" si="470"/>
        <v>37090</v>
      </c>
      <c r="AX243">
        <f>_xlfn.XLOOKUP(B243,'[5]july-2025'!$A:$A,'[5]july-2025'!$C:$C,0,0)</f>
        <v>30700</v>
      </c>
      <c r="AY243">
        <f t="shared" si="471"/>
        <v>5526</v>
      </c>
      <c r="AZ243">
        <v>0</v>
      </c>
      <c r="BA243">
        <f t="shared" si="472"/>
        <v>3684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>IF(AX243&gt;0,SUM(AX243:BC243),0)</f>
        <v>40410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473"/>
        <v>200</v>
      </c>
      <c r="BH243">
        <f t="shared" si="474"/>
        <v>38210</v>
      </c>
      <c r="BI243">
        <f>_xlfn.XLOOKUP(B243,'[6]august-2025'!$A:$A,'[6]august-2025'!$C:$C,0,0)</f>
        <v>30700</v>
      </c>
      <c r="BJ243">
        <f t="shared" si="475"/>
        <v>5526</v>
      </c>
      <c r="BK243">
        <f t="shared" si="476"/>
        <v>3684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477"/>
        <v>40410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>IF($F243="YES",0,IF(BN243&gt;40000,200,IF(BN243&gt;25000,150,IF(BN243&gt;15000,130,IF(BN243&gt;10000,110,0)))))</f>
        <v>200</v>
      </c>
      <c r="BR243">
        <f>BN243-BO243-BP243-BQ243</f>
        <v>38210</v>
      </c>
      <c r="BS243">
        <f>_xlfn.XLOOKUP(B243,'[7]september-2025'!$A:$A,'[7]september-2025'!$C:$C,0,0)</f>
        <v>30700</v>
      </c>
      <c r="BT243">
        <f t="shared" si="478"/>
        <v>5526</v>
      </c>
      <c r="BU243">
        <f t="shared" si="479"/>
        <v>3684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>IF(BS243&gt;0,SUM(BS243:BW243),0)</f>
        <v>40410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480"/>
        <v>200</v>
      </c>
      <c r="CB243">
        <f t="shared" si="481"/>
        <v>38210</v>
      </c>
      <c r="CC243">
        <f>_xlfn.XLOOKUP(B243,'[8]october-2025'!$A:$A,'[8]october-2025'!$C:$C,0,0)</f>
        <v>30700</v>
      </c>
      <c r="CD243">
        <f t="shared" si="482"/>
        <v>5526</v>
      </c>
      <c r="CE243">
        <f t="shared" si="483"/>
        <v>3684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>IF(CC243&gt;0,SUM(CC243:CG243),0)</f>
        <v>40410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484"/>
        <v>200</v>
      </c>
      <c r="CL243">
        <f t="shared" si="485"/>
        <v>38210</v>
      </c>
      <c r="CM243">
        <f>_xlfn.XLOOKUP(B243,'[9]november-2025'!$A:$A,'[9]november-2025'!$C:$C,0,0)</f>
        <v>30700</v>
      </c>
      <c r="CN243">
        <f t="shared" si="486"/>
        <v>5526</v>
      </c>
      <c r="CO243">
        <f t="shared" si="487"/>
        <v>3684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>IF(CM243&gt;0,SUM(CM243:CQ243),0)</f>
        <v>40410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488"/>
        <v>200</v>
      </c>
      <c r="CV243">
        <f t="shared" si="489"/>
        <v>38210</v>
      </c>
      <c r="CW243">
        <f>_xlfn.XLOOKUP(B243,'[10]december-2025'!$A:$A,'[10]december-2025'!$C:$C,0,0)</f>
        <v>30700</v>
      </c>
      <c r="CX243">
        <f t="shared" si="490"/>
        <v>5526</v>
      </c>
      <c r="CY243">
        <f t="shared" si="491"/>
        <v>3684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>IF(CW243&gt;0,SUM(CW243:DA243),0)</f>
        <v>40410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492"/>
        <v>200</v>
      </c>
      <c r="DF243">
        <f t="shared" si="493"/>
        <v>38210</v>
      </c>
      <c r="DG243">
        <f>_xlfn.XLOOKUP(B243,'[11]january-2026'!$A:$A,'[11]january-2026'!$C:$C,0,0)</f>
        <v>30700</v>
      </c>
      <c r="DH243">
        <f t="shared" si="494"/>
        <v>5526</v>
      </c>
      <c r="DI243">
        <f t="shared" si="495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>IF(DG243&gt;0,SUM(DG243:DK243),0)</f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496"/>
        <v>200</v>
      </c>
      <c r="DP243">
        <f t="shared" si="497"/>
        <v>38210</v>
      </c>
      <c r="DQ243">
        <f>_xlfn.XLOOKUP(B243,'[12]february-2026'!$A:$A,'[12]february-2026'!$C:$C,0,0)</f>
        <v>30700</v>
      </c>
      <c r="DR243">
        <f t="shared" si="498"/>
        <v>5526</v>
      </c>
      <c r="DS243">
        <f t="shared" si="499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>IF(DQ243&gt;0,SUM(DQ243:DU243),0)</f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00"/>
        <v>200</v>
      </c>
      <c r="DZ243">
        <f t="shared" si="501"/>
        <v>38210</v>
      </c>
      <c r="EA243">
        <f>_xlfn.XLOOKUP(B243,'[1]march-2025'!$A:$A,'[1]march-2025'!$J:$J,0,0)</f>
        <v>0</v>
      </c>
      <c r="EB243">
        <f>_xlfn.XLOOKUP(B243,'[2]april-2025'!$A:$A,'[2]april-2025'!$J:$J,0,0)</f>
        <v>0</v>
      </c>
      <c r="EC243">
        <f>_xlfn.XLOOKUP(B243,'[3]may-2025'!$A:$A,'[3]may-2025'!$J:$J,0,0)</f>
        <v>0</v>
      </c>
      <c r="ED243">
        <f>_xlfn.XLOOKUP(B243,'[4]june-2025'!$A:$A,'[4]june-2025'!$J:$J,0,0)</f>
        <v>0</v>
      </c>
      <c r="EE243">
        <f>_xlfn.XLOOKUP(B243,'[5]july-2025'!$A:$A,'[5]july-2025'!$J:$J,0,0)</f>
        <v>0</v>
      </c>
      <c r="EF243">
        <f>_xlfn.XLOOKUP(B243,'[6]august-2025'!$A:$A,'[6]august-2025'!$J:$J,0,0)</f>
        <v>0</v>
      </c>
      <c r="EG243">
        <f>_xlfn.XLOOKUP(B243,'[7]september-2025'!$A:$A,'[7]september-2025'!$J:$J,0,0)</f>
        <v>0</v>
      </c>
      <c r="EH243">
        <f>_xlfn.XLOOKUP(B243,'[8]october-2025'!$A:$A,'[8]october-2025'!$J:$J,0,0)</f>
        <v>0</v>
      </c>
      <c r="EI243">
        <f>_xlfn.XLOOKUP(C243,'[9]november-2025'!$A:$A,'[9]november-2025'!$J:$J,0,0)</f>
        <v>0</v>
      </c>
      <c r="EJ243">
        <f>_xlfn.XLOOKUP(B243,'[10]december-2025'!$A:$A,'[10]december-2025'!$J:$J,0,0)</f>
        <v>0</v>
      </c>
      <c r="EK243">
        <f>_xlfn.XLOOKUP(B243,'[11]january-2026'!$A:$A,'[11]january-2026'!$J:$J,0,0)</f>
        <v>0</v>
      </c>
      <c r="EL243">
        <f>_xlfn.XLOOKUP(B243,'[12]february-2026'!$A:$A,'[12]february-2026'!$J:$J,0,0)</f>
        <v>0</v>
      </c>
      <c r="EM243">
        <f t="shared" si="455"/>
        <v>0</v>
      </c>
      <c r="EN243">
        <f>DV243+DL243+DB243+CR243+CH243+BX243+BN243+BD243+AS243+AI243+Y243+O243+H243+I243</f>
        <v>485848</v>
      </c>
      <c r="EO243">
        <f>DY243+DO243+DE243+CU243+CK243+CA243+BQ243+BG243+AV243+AL243+AB243+R243</f>
        <v>2200</v>
      </c>
      <c r="EP243">
        <f t="shared" si="502"/>
        <v>50000</v>
      </c>
      <c r="EQ243">
        <v>0</v>
      </c>
      <c r="ER243">
        <f t="shared" si="456"/>
        <v>433648</v>
      </c>
      <c r="ES243">
        <f>DW243+DM243+DC243+CS243+CI243+BY243+BO243+BE243+AT243+AJ243+Z243+P243</f>
        <v>24000</v>
      </c>
      <c r="ET243">
        <f>DX243+DN243+DD243+CT243+CJ243+BZ243+BP243+BF243+AU243+AK243+AA243+Q243</f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503"/>
        <v>24000</v>
      </c>
      <c r="FF243">
        <f t="shared" si="504"/>
        <v>24000</v>
      </c>
      <c r="FG243">
        <f t="shared" si="505"/>
        <v>409648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>SUM(FH243:FN243)+(IF(F243="YES",50000,0))</f>
        <v>0</v>
      </c>
      <c r="FP243">
        <f t="shared" si="506"/>
        <v>409648</v>
      </c>
      <c r="FQ243">
        <f t="shared" si="507"/>
        <v>7982</v>
      </c>
      <c r="FR243">
        <f t="shared" si="508"/>
        <v>0</v>
      </c>
      <c r="FS243">
        <f t="shared" si="509"/>
        <v>7982</v>
      </c>
      <c r="FT243">
        <f t="shared" si="510"/>
        <v>0</v>
      </c>
      <c r="FU243">
        <f t="shared" si="511"/>
        <v>0</v>
      </c>
      <c r="FV243">
        <f t="shared" si="512"/>
        <v>0</v>
      </c>
      <c r="FW243">
        <v>0</v>
      </c>
      <c r="FX243">
        <f t="shared" si="513"/>
        <v>0</v>
      </c>
      <c r="FY243" t="b">
        <f t="shared" si="514"/>
        <v>0</v>
      </c>
      <c r="FZ243">
        <f t="shared" ca="1" si="515"/>
        <v>1443</v>
      </c>
      <c r="GA243">
        <f t="shared" ca="1" si="516"/>
        <v>487291</v>
      </c>
      <c r="GB243">
        <f t="shared" si="517"/>
        <v>75000</v>
      </c>
      <c r="GC243">
        <f t="shared" ca="1" si="518"/>
        <v>412291</v>
      </c>
      <c r="GD243">
        <f t="shared" ca="1" si="519"/>
        <v>0</v>
      </c>
      <c r="GE243">
        <f t="shared" ca="1" si="520"/>
        <v>0</v>
      </c>
      <c r="GF243">
        <f t="shared" ca="1" si="521"/>
        <v>0</v>
      </c>
      <c r="GG243">
        <f t="shared" ca="1" si="522"/>
        <v>0</v>
      </c>
      <c r="GH243">
        <f t="shared" ca="1" si="523"/>
        <v>0</v>
      </c>
      <c r="GI243">
        <f t="shared" ca="1" si="524"/>
        <v>0</v>
      </c>
      <c r="GJ243">
        <f ca="1">IF(GC243&gt;1200000,GC243-1200000-IF(F243="YES",50000,0)-GH243,0)</f>
        <v>0</v>
      </c>
      <c r="GK243">
        <f t="shared" ca="1" si="525"/>
        <v>0</v>
      </c>
      <c r="GL243">
        <f t="shared" ca="1" si="526"/>
        <v>0</v>
      </c>
      <c r="GM243">
        <f t="shared" ca="1" si="527"/>
        <v>0</v>
      </c>
      <c r="GN243">
        <f t="shared" ca="1" si="528"/>
        <v>12291</v>
      </c>
      <c r="GO243">
        <f t="shared" ca="1" si="529"/>
        <v>614.55000000000007</v>
      </c>
      <c r="GP243">
        <f t="shared" ca="1" si="530"/>
        <v>615</v>
      </c>
      <c r="GQ243">
        <f t="shared" ca="1" si="531"/>
        <v>0</v>
      </c>
      <c r="GR243">
        <f t="shared" ca="1" si="532"/>
        <v>0</v>
      </c>
      <c r="GS243">
        <f t="shared" ca="1" si="533"/>
        <v>615</v>
      </c>
      <c r="GT243">
        <f t="shared" ca="1" si="534"/>
        <v>0</v>
      </c>
      <c r="GU243" t="b">
        <f t="shared" ca="1" si="535"/>
        <v>0</v>
      </c>
      <c r="GV243">
        <f t="shared" ca="1" si="536"/>
        <v>0</v>
      </c>
      <c r="GW243">
        <f t="shared" ca="1" si="537"/>
        <v>615</v>
      </c>
      <c r="GX243">
        <f t="shared" ca="1" si="538"/>
        <v>0</v>
      </c>
      <c r="GY243">
        <f t="shared" ca="1" si="539"/>
        <v>0</v>
      </c>
      <c r="GZ243">
        <f t="shared" ca="1" si="540"/>
        <v>0</v>
      </c>
    </row>
    <row r="244" spans="1:208" x14ac:dyDescent="0.25">
      <c r="A244">
        <f>_xlfn.AGGREGATE(3,5,$B$2:B244)</f>
        <v>243</v>
      </c>
      <c r="B244" t="s">
        <v>592</v>
      </c>
      <c r="C244" t="s">
        <v>593</v>
      </c>
      <c r="D244" t="s">
        <v>812</v>
      </c>
      <c r="E244" t="s">
        <v>831</v>
      </c>
      <c r="F244" t="s">
        <v>957</v>
      </c>
      <c r="G244" t="s">
        <v>881</v>
      </c>
      <c r="H244">
        <f t="shared" si="543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457"/>
        <v>4046.0000000000005</v>
      </c>
      <c r="L244">
        <f t="shared" si="458"/>
        <v>3468</v>
      </c>
      <c r="M244">
        <f>_xlfn.XLOOKUP(B244,'[1]march-2025'!$A:$A,'[1]march-2025'!$D:$D,0,0)</f>
        <v>0</v>
      </c>
      <c r="N244">
        <f>_xlfn.XLOOKUP(B244,'[1]march-2025'!$A:$A,'[1]march-2025'!$G:$G,0,0)</f>
        <v>0</v>
      </c>
      <c r="O244">
        <f>IF(J244&gt;0,SUM(J244:N244),0)</f>
        <v>36414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541"/>
        <v>150</v>
      </c>
      <c r="S244">
        <f t="shared" si="451"/>
        <v>34264</v>
      </c>
      <c r="T244">
        <f>_xlfn.XLOOKUP(B244,'[2]april-2025'!$A:$A,'[2]april-2025'!$C:$C,0,0)</f>
        <v>28900</v>
      </c>
      <c r="U244">
        <f t="shared" si="459"/>
        <v>5202</v>
      </c>
      <c r="V244">
        <f t="shared" si="460"/>
        <v>3468</v>
      </c>
      <c r="W244">
        <f>_xlfn.XLOOKUP(B244,'[2]april-2025'!$A:$A,'[2]april-2025'!$D:$D,0,0)</f>
        <v>0</v>
      </c>
      <c r="X244">
        <f>_xlfn.XLOOKUP(B244,'[2]april-2025'!$A:$A,'[2]april-2025'!$G:$G,0,0)</f>
        <v>0</v>
      </c>
      <c r="Y244">
        <f t="shared" si="452"/>
        <v>37570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461"/>
        <v>150</v>
      </c>
      <c r="AC244">
        <f t="shared" si="462"/>
        <v>35420</v>
      </c>
      <c r="AD244">
        <f>_xlfn.XLOOKUP(B244,'[3]may-2025'!$A:$A,'[3]may-2025'!$C:$C,0,0)</f>
        <v>28900</v>
      </c>
      <c r="AE244">
        <f t="shared" si="463"/>
        <v>5202</v>
      </c>
      <c r="AF244">
        <f t="shared" si="464"/>
        <v>3468</v>
      </c>
      <c r="AG244">
        <f>_xlfn.XLOOKUP(B244,'[3]may-2025'!$A:$A,'[3]may-2025'!$D:$D,0,0)</f>
        <v>0</v>
      </c>
      <c r="AH244">
        <f>_xlfn.XLOOKUP(B244,'[3]may-2025'!$A:$A,'[3]may-2025'!$G:$G,0,0)</f>
        <v>0</v>
      </c>
      <c r="AI244">
        <f t="shared" si="453"/>
        <v>37570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465"/>
        <v>150</v>
      </c>
      <c r="AM244">
        <f t="shared" si="466"/>
        <v>35420</v>
      </c>
      <c r="AN244">
        <f>_xlfn.XLOOKUP(B244,'[4]june-2025'!$A:$A,'[4]june-2025'!$C:$C,0,0)</f>
        <v>28900</v>
      </c>
      <c r="AO244">
        <f t="shared" si="467"/>
        <v>5202</v>
      </c>
      <c r="AP244">
        <f t="shared" si="468"/>
        <v>3468</v>
      </c>
      <c r="AQ244">
        <f>_xlfn.XLOOKUP(B244,'[4]june-2025'!$A:$A,'[4]june-2025'!$D:$D,0,0)</f>
        <v>0</v>
      </c>
      <c r="AR244">
        <f>_xlfn.XLOOKUP(B244,'[4]june-2025'!$A:$A,'[4]june-2025'!$G:$G,0,0)</f>
        <v>0</v>
      </c>
      <c r="AS244">
        <f t="shared" si="454"/>
        <v>37570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469"/>
        <v>150</v>
      </c>
      <c r="AW244">
        <f t="shared" si="470"/>
        <v>35420</v>
      </c>
      <c r="AX244">
        <f>_xlfn.XLOOKUP(B244,'[5]july-2025'!$A:$A,'[5]july-2025'!$C:$C,0,0)</f>
        <v>29800</v>
      </c>
      <c r="AY244">
        <f t="shared" si="471"/>
        <v>5364</v>
      </c>
      <c r="AZ244">
        <v>0</v>
      </c>
      <c r="BA244">
        <f t="shared" si="472"/>
        <v>3576</v>
      </c>
      <c r="BB244">
        <f>_xlfn.XLOOKUP(B244,'[5]july-2025'!$A:$A,'[5]july-2025'!$D:$D,0,0)</f>
        <v>0</v>
      </c>
      <c r="BC244">
        <f>_xlfn.XLOOKUP(B244,'[5]july-2025'!$A:$A,'[5]july-2025'!$G:$G,0,0)</f>
        <v>0</v>
      </c>
      <c r="BD244">
        <f>IF(AX244&gt;0,SUM(AX244:BC244),0)</f>
        <v>38740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473"/>
        <v>150</v>
      </c>
      <c r="BH244">
        <f t="shared" si="474"/>
        <v>36590</v>
      </c>
      <c r="BI244">
        <f>_xlfn.XLOOKUP(B244,'[6]august-2025'!$A:$A,'[6]august-2025'!$C:$C,0,0)</f>
        <v>29800</v>
      </c>
      <c r="BJ244">
        <f t="shared" si="475"/>
        <v>5364</v>
      </c>
      <c r="BK244">
        <f t="shared" si="476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0</v>
      </c>
      <c r="BN244">
        <f t="shared" si="477"/>
        <v>38740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>IF($F244="YES",0,IF(BN244&gt;40000,200,IF(BN244&gt;25000,150,IF(BN244&gt;15000,130,IF(BN244&gt;10000,110,0)))))</f>
        <v>150</v>
      </c>
      <c r="BR244">
        <f>BN244-BO244-BP244-BQ244</f>
        <v>36590</v>
      </c>
      <c r="BS244">
        <f>_xlfn.XLOOKUP(B244,'[7]september-2025'!$A:$A,'[7]september-2025'!$C:$C,0,0)</f>
        <v>29800</v>
      </c>
      <c r="BT244">
        <f t="shared" si="478"/>
        <v>5364</v>
      </c>
      <c r="BU244">
        <f t="shared" si="479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0</v>
      </c>
      <c r="BX244">
        <f>IF(BS244&gt;0,SUM(BS244:BW244),0)</f>
        <v>38740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480"/>
        <v>150</v>
      </c>
      <c r="CB244">
        <f t="shared" si="481"/>
        <v>36590</v>
      </c>
      <c r="CC244">
        <f>_xlfn.XLOOKUP(B244,'[8]october-2025'!$A:$A,'[8]october-2025'!$C:$C,0,0)</f>
        <v>29800</v>
      </c>
      <c r="CD244">
        <f t="shared" si="482"/>
        <v>5364</v>
      </c>
      <c r="CE244">
        <f t="shared" si="483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0</v>
      </c>
      <c r="CH244">
        <f>IF(CC244&gt;0,SUM(CC244:CG244),0)</f>
        <v>38740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484"/>
        <v>150</v>
      </c>
      <c r="CL244">
        <f t="shared" si="485"/>
        <v>36590</v>
      </c>
      <c r="CM244">
        <f>_xlfn.XLOOKUP(B244,'[9]november-2025'!$A:$A,'[9]november-2025'!$C:$C,0,0)</f>
        <v>29800</v>
      </c>
      <c r="CN244">
        <f t="shared" si="486"/>
        <v>5364</v>
      </c>
      <c r="CO244">
        <f t="shared" si="487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0</v>
      </c>
      <c r="CR244">
        <f>IF(CM244&gt;0,SUM(CM244:CQ244),0)</f>
        <v>38740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488"/>
        <v>150</v>
      </c>
      <c r="CV244">
        <f t="shared" si="489"/>
        <v>36590</v>
      </c>
      <c r="CW244">
        <f>_xlfn.XLOOKUP(B244,'[10]december-2025'!$A:$A,'[10]december-2025'!$C:$C,0,0)</f>
        <v>29800</v>
      </c>
      <c r="CX244">
        <f t="shared" si="490"/>
        <v>5364</v>
      </c>
      <c r="CY244">
        <f t="shared" si="491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0</v>
      </c>
      <c r="DB244">
        <f>IF(CW244&gt;0,SUM(CW244:DA244),0)</f>
        <v>38740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492"/>
        <v>150</v>
      </c>
      <c r="DF244">
        <f t="shared" si="493"/>
        <v>36590</v>
      </c>
      <c r="DG244">
        <f>_xlfn.XLOOKUP(B244,'[11]january-2026'!$A:$A,'[11]january-2026'!$C:$C,0,0)</f>
        <v>29800</v>
      </c>
      <c r="DH244">
        <f t="shared" si="494"/>
        <v>5364</v>
      </c>
      <c r="DI244">
        <f t="shared" si="495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>IF(DG244&gt;0,SUM(DG244:DK244),0)</f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496"/>
        <v>150</v>
      </c>
      <c r="DP244">
        <f t="shared" si="497"/>
        <v>36590</v>
      </c>
      <c r="DQ244">
        <f>_xlfn.XLOOKUP(B244,'[12]february-2026'!$A:$A,'[12]february-2026'!$C:$C,0,0)</f>
        <v>29800</v>
      </c>
      <c r="DR244">
        <f t="shared" si="498"/>
        <v>5364</v>
      </c>
      <c r="DS244">
        <f t="shared" si="499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>IF(DQ244&gt;0,SUM(DQ244:DU244),0)</f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00"/>
        <v>150</v>
      </c>
      <c r="DZ244">
        <f t="shared" si="501"/>
        <v>36590</v>
      </c>
      <c r="EA244">
        <f>_xlfn.XLOOKUP(B244,'[1]march-2025'!$A:$A,'[1]march-2025'!$J:$J,0,0)</f>
        <v>0</v>
      </c>
      <c r="EB244">
        <f>_xlfn.XLOOKUP(B244,'[2]april-2025'!$A:$A,'[2]april-2025'!$J:$J,0,0)</f>
        <v>0</v>
      </c>
      <c r="EC244">
        <f>_xlfn.XLOOKUP(B244,'[3]may-2025'!$A:$A,'[3]may-2025'!$J:$J,0,0)</f>
        <v>60490</v>
      </c>
      <c r="ED244">
        <f>_xlfn.XLOOKUP(B244,'[4]june-2025'!$A:$A,'[4]june-2025'!$J:$J,0,0)</f>
        <v>0</v>
      </c>
      <c r="EE244">
        <f>_xlfn.XLOOKUP(B244,'[5]july-2025'!$A:$A,'[5]july-2025'!$J:$J,0,0)</f>
        <v>0</v>
      </c>
      <c r="EF244">
        <f>_xlfn.XLOOKUP(B244,'[6]august-2025'!$A:$A,'[6]august-2025'!$J:$J,0,0)</f>
        <v>0</v>
      </c>
      <c r="EG244">
        <f>_xlfn.XLOOKUP(B244,'[7]september-2025'!$A:$A,'[7]september-2025'!$J:$J,0,0)</f>
        <v>0</v>
      </c>
      <c r="EH244">
        <f>_xlfn.XLOOKUP(B244,'[8]october-2025'!$A:$A,'[8]october-2025'!$J:$J,0,0)</f>
        <v>0</v>
      </c>
      <c r="EI244">
        <f>_xlfn.XLOOKUP(C244,'[9]november-2025'!$A:$A,'[9]november-2025'!$J:$J,0,0)</f>
        <v>0</v>
      </c>
      <c r="EJ244">
        <f>_xlfn.XLOOKUP(B244,'[10]december-2025'!$A:$A,'[10]december-2025'!$J:$J,0,0)</f>
        <v>0</v>
      </c>
      <c r="EK244">
        <f>_xlfn.XLOOKUP(B244,'[11]january-2026'!$A:$A,'[11]january-2026'!$J:$J,0,0)</f>
        <v>0</v>
      </c>
      <c r="EL244">
        <f>_xlfn.XLOOKUP(B244,'[12]february-2026'!$A:$A,'[12]february-2026'!$J:$J,0,0)</f>
        <v>0</v>
      </c>
      <c r="EM244">
        <f t="shared" si="455"/>
        <v>60490</v>
      </c>
      <c r="EN244">
        <f>DV244+DL244+DB244+CR244+CH244+BX244+BN244+BD244+AS244+AI244+Y244+O244+H244+I244</f>
        <v>465844</v>
      </c>
      <c r="EO244">
        <f>DY244+DO244+DE244+CU244+CK244+CA244+BQ244+BG244+AV244+AL244+AB244+R244</f>
        <v>1800</v>
      </c>
      <c r="EP244">
        <f t="shared" si="502"/>
        <v>50000</v>
      </c>
      <c r="EQ244">
        <v>0</v>
      </c>
      <c r="ER244">
        <f t="shared" si="456"/>
        <v>474534</v>
      </c>
      <c r="ES244">
        <f>DW244+DM244+DC244+CS244+CI244+BY244+BO244+BE244+AT244+AJ244+Z244+P244</f>
        <v>24000</v>
      </c>
      <c r="ET244">
        <f>DX244+DN244+DD244+CT244+CJ244+BZ244+BP244+BF244+AU244+AK244+AA244+Q244</f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503"/>
        <v>24000</v>
      </c>
      <c r="FF244">
        <f t="shared" si="504"/>
        <v>24000</v>
      </c>
      <c r="FG244">
        <f t="shared" si="505"/>
        <v>450534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>SUM(FH244:FN244)+(IF(F244="YES",50000,0))</f>
        <v>0</v>
      </c>
      <c r="FP244">
        <f t="shared" si="506"/>
        <v>450534</v>
      </c>
      <c r="FQ244">
        <f t="shared" si="507"/>
        <v>10027</v>
      </c>
      <c r="FR244">
        <f t="shared" si="508"/>
        <v>0</v>
      </c>
      <c r="FS244">
        <f t="shared" si="509"/>
        <v>10027</v>
      </c>
      <c r="FT244">
        <f t="shared" si="510"/>
        <v>0</v>
      </c>
      <c r="FU244">
        <f t="shared" si="511"/>
        <v>0</v>
      </c>
      <c r="FV244">
        <f t="shared" si="512"/>
        <v>0</v>
      </c>
      <c r="FW244">
        <v>0</v>
      </c>
      <c r="FX244">
        <f t="shared" si="513"/>
        <v>0</v>
      </c>
      <c r="FY244" t="b">
        <f t="shared" si="514"/>
        <v>0</v>
      </c>
      <c r="FZ244">
        <f t="shared" ca="1" si="515"/>
        <v>2986</v>
      </c>
      <c r="GA244">
        <f t="shared" ca="1" si="516"/>
        <v>468830</v>
      </c>
      <c r="GB244">
        <f t="shared" si="517"/>
        <v>75000</v>
      </c>
      <c r="GC244">
        <f t="shared" ca="1" si="518"/>
        <v>393830</v>
      </c>
      <c r="GD244">
        <f t="shared" ca="1" si="519"/>
        <v>0</v>
      </c>
      <c r="GE244">
        <f t="shared" ca="1" si="520"/>
        <v>0</v>
      </c>
      <c r="GF244">
        <f t="shared" ca="1" si="521"/>
        <v>0</v>
      </c>
      <c r="GG244">
        <f t="shared" ca="1" si="522"/>
        <v>0</v>
      </c>
      <c r="GH244">
        <f t="shared" ca="1" si="523"/>
        <v>0</v>
      </c>
      <c r="GI244">
        <f t="shared" ca="1" si="524"/>
        <v>0</v>
      </c>
      <c r="GJ244">
        <f ca="1">IF(GC244&gt;1200000,GC244-1200000-IF(F244="YES",50000,0)-GH244,0)</f>
        <v>0</v>
      </c>
      <c r="GK244">
        <f t="shared" ca="1" si="525"/>
        <v>0</v>
      </c>
      <c r="GL244">
        <f t="shared" ca="1" si="526"/>
        <v>0</v>
      </c>
      <c r="GM244">
        <f t="shared" ca="1" si="527"/>
        <v>0</v>
      </c>
      <c r="GN244">
        <f t="shared" ca="1" si="528"/>
        <v>0</v>
      </c>
      <c r="GO244">
        <f t="shared" ca="1" si="529"/>
        <v>0</v>
      </c>
      <c r="GP244">
        <f t="shared" ca="1" si="530"/>
        <v>0</v>
      </c>
      <c r="GQ244">
        <f t="shared" ca="1" si="531"/>
        <v>0</v>
      </c>
      <c r="GR244">
        <f t="shared" ca="1" si="532"/>
        <v>0</v>
      </c>
      <c r="GS244">
        <f t="shared" ca="1" si="533"/>
        <v>0</v>
      </c>
      <c r="GT244">
        <f t="shared" ca="1" si="534"/>
        <v>0</v>
      </c>
      <c r="GU244" t="b">
        <f t="shared" ca="1" si="535"/>
        <v>0</v>
      </c>
      <c r="GV244">
        <f t="shared" ca="1" si="536"/>
        <v>0</v>
      </c>
      <c r="GW244">
        <f t="shared" ca="1" si="537"/>
        <v>0</v>
      </c>
      <c r="GX244">
        <f t="shared" ca="1" si="538"/>
        <v>0</v>
      </c>
      <c r="GY244">
        <f t="shared" ca="1" si="539"/>
        <v>0</v>
      </c>
      <c r="GZ244">
        <f t="shared" ca="1" si="540"/>
        <v>0</v>
      </c>
    </row>
    <row r="245" spans="1:208" x14ac:dyDescent="0.25">
      <c r="A245">
        <f>_xlfn.AGGREGATE(3,5,$B$2:B245)</f>
        <v>244</v>
      </c>
      <c r="B245" t="s">
        <v>594</v>
      </c>
      <c r="C245" t="s">
        <v>595</v>
      </c>
      <c r="D245" t="s">
        <v>812</v>
      </c>
      <c r="E245" t="s">
        <v>831</v>
      </c>
      <c r="F245" t="s">
        <v>957</v>
      </c>
      <c r="G245" t="s">
        <v>889</v>
      </c>
      <c r="H245">
        <f t="shared" si="543"/>
        <v>6800</v>
      </c>
      <c r="I245">
        <f>_xlfn.XLOOKUP(B245,'[1]march-2025'!$A:$A,'[1]march-2025'!$J:$J,0,0)</f>
        <v>0</v>
      </c>
      <c r="J245">
        <f>_xlfn.XLOOKUP(B245,'[1]march-2025'!$A:$A,'[1]march-2025'!$C:$C,0,0)</f>
        <v>28900</v>
      </c>
      <c r="K245">
        <f t="shared" si="457"/>
        <v>4046.0000000000005</v>
      </c>
      <c r="L245">
        <f t="shared" si="458"/>
        <v>3468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>IF(J245&gt;0,SUM(J245:N245),0)</f>
        <v>36914</v>
      </c>
      <c r="P245">
        <f>_xlfn.XLOOKUP(B245,'[1]march-2025'!$A:$A,'[1]march-2025'!$H:$H,0,0)</f>
        <v>2000</v>
      </c>
      <c r="Q245">
        <f>_xlfn.XLOOKUP(B245,'[1]march-2025'!$A:$A,'[1]march-2025'!$I:$I,0,0)</f>
        <v>0</v>
      </c>
      <c r="R245">
        <f t="shared" si="541"/>
        <v>150</v>
      </c>
      <c r="S245">
        <f t="shared" si="451"/>
        <v>34764</v>
      </c>
      <c r="T245">
        <f>_xlfn.XLOOKUP(B245,'[2]april-2025'!$A:$A,'[2]april-2025'!$C:$C,0,0)</f>
        <v>28900</v>
      </c>
      <c r="U245">
        <f t="shared" si="459"/>
        <v>5202</v>
      </c>
      <c r="V245">
        <f t="shared" si="460"/>
        <v>3468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452"/>
        <v>38070</v>
      </c>
      <c r="Z245">
        <f>_xlfn.XLOOKUP(B245,'[2]april-2025'!$A:$A,'[2]april-2025'!$H:$H,0,0)</f>
        <v>2000</v>
      </c>
      <c r="AA245">
        <f>_xlfn.XLOOKUP(B245,'[2]april-2025'!$A:$A,'[2]april-2025'!$I:$I,0,0)</f>
        <v>0</v>
      </c>
      <c r="AB245">
        <f t="shared" si="461"/>
        <v>150</v>
      </c>
      <c r="AC245">
        <f t="shared" si="462"/>
        <v>35920</v>
      </c>
      <c r="AD245">
        <f>_xlfn.XLOOKUP(B245,'[3]may-2025'!$A:$A,'[3]may-2025'!$C:$C,0,0)</f>
        <v>28900</v>
      </c>
      <c r="AE245">
        <f t="shared" si="463"/>
        <v>5202</v>
      </c>
      <c r="AF245">
        <f t="shared" si="464"/>
        <v>3468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453"/>
        <v>38070</v>
      </c>
      <c r="AJ245">
        <f>_xlfn.XLOOKUP(B245,'[3]may-2025'!$A:$A,'[3]may-2025'!$H:$H,0,0)</f>
        <v>2000</v>
      </c>
      <c r="AK245">
        <f>_xlfn.XLOOKUP(B245,'[3]may-2025'!$A:$A,'[3]may-2025'!$I:$I,0,0)</f>
        <v>0</v>
      </c>
      <c r="AL245">
        <f t="shared" si="465"/>
        <v>150</v>
      </c>
      <c r="AM245">
        <f t="shared" si="466"/>
        <v>35920</v>
      </c>
      <c r="AN245">
        <f>_xlfn.XLOOKUP(B245,'[4]june-2025'!$A:$A,'[4]june-2025'!$C:$C,0,0)</f>
        <v>28900</v>
      </c>
      <c r="AO245">
        <f t="shared" si="467"/>
        <v>5202</v>
      </c>
      <c r="AP245">
        <f t="shared" si="468"/>
        <v>3468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454"/>
        <v>38070</v>
      </c>
      <c r="AT245">
        <f>_xlfn.XLOOKUP(B245,'[4]june-2025'!$A:$A,'[4]june-2025'!$H:$H,0,0)</f>
        <v>2000</v>
      </c>
      <c r="AU245">
        <f>_xlfn.XLOOKUP(B245,'[4]june-2025'!$A:$A,'[4]june-2025'!$I:$I,0,0)</f>
        <v>0</v>
      </c>
      <c r="AV245">
        <f t="shared" si="469"/>
        <v>150</v>
      </c>
      <c r="AW245">
        <f t="shared" si="470"/>
        <v>35920</v>
      </c>
      <c r="AX245">
        <f>_xlfn.XLOOKUP(B245,'[5]july-2025'!$A:$A,'[5]july-2025'!$C:$C,0,0)</f>
        <v>29800</v>
      </c>
      <c r="AY245">
        <f t="shared" si="471"/>
        <v>5364</v>
      </c>
      <c r="AZ245">
        <v>0</v>
      </c>
      <c r="BA245">
        <f t="shared" si="472"/>
        <v>3576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>IF(AX245&gt;0,SUM(AX245:BC245),0)</f>
        <v>39240</v>
      </c>
      <c r="BE245">
        <f>_xlfn.XLOOKUP(B245,'[5]july-2025'!$A:$A,'[5]july-2025'!$H:$H,0,0)</f>
        <v>2000</v>
      </c>
      <c r="BF245">
        <f>_xlfn.XLOOKUP(B245,'[5]july-2025'!$A:$A,'[5]july-2025'!$I:$I,0,0)</f>
        <v>0</v>
      </c>
      <c r="BG245">
        <f t="shared" si="473"/>
        <v>150</v>
      </c>
      <c r="BH245">
        <f t="shared" si="474"/>
        <v>37090</v>
      </c>
      <c r="BI245">
        <f>_xlfn.XLOOKUP(B245,'[6]august-2025'!$A:$A,'[6]august-2025'!$C:$C,0,0)</f>
        <v>29800</v>
      </c>
      <c r="BJ245">
        <f t="shared" si="475"/>
        <v>5364</v>
      </c>
      <c r="BK245">
        <f t="shared" si="476"/>
        <v>3576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477"/>
        <v>39240</v>
      </c>
      <c r="BO245">
        <f>_xlfn.XLOOKUP(B245,'[6]august-2025'!$A:$A,'[6]august-2025'!$H:$H,0,0)</f>
        <v>2000</v>
      </c>
      <c r="BP245">
        <f>_xlfn.XLOOKUP(B245,'[6]august-2025'!$A:$A,'[6]august-2025'!$I:$I,0,0)</f>
        <v>0</v>
      </c>
      <c r="BQ245">
        <f>IF($F245="YES",0,IF(BN245&gt;40000,200,IF(BN245&gt;25000,150,IF(BN245&gt;15000,130,IF(BN245&gt;10000,110,0)))))</f>
        <v>150</v>
      </c>
      <c r="BR245">
        <f>BN245-BO245-BP245-BQ245</f>
        <v>37090</v>
      </c>
      <c r="BS245">
        <f>_xlfn.XLOOKUP(B245,'[7]september-2025'!$A:$A,'[7]september-2025'!$C:$C,0,0)</f>
        <v>29800</v>
      </c>
      <c r="BT245">
        <f t="shared" si="478"/>
        <v>5364</v>
      </c>
      <c r="BU245">
        <f t="shared" si="479"/>
        <v>3576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>IF(BS245&gt;0,SUM(BS245:BW245),0)</f>
        <v>39240</v>
      </c>
      <c r="BY245">
        <f>_xlfn.XLOOKUP(B245,'[7]september-2025'!$A:$A,'[7]september-2025'!$H:$H,0,0)</f>
        <v>2000</v>
      </c>
      <c r="BZ245">
        <f>_xlfn.XLOOKUP(B245,'[7]september-2025'!$A:$A,'[7]september-2025'!$I:$I,0,0)</f>
        <v>0</v>
      </c>
      <c r="CA245">
        <f t="shared" si="480"/>
        <v>150</v>
      </c>
      <c r="CB245">
        <f t="shared" si="481"/>
        <v>37090</v>
      </c>
      <c r="CC245">
        <f>_xlfn.XLOOKUP(B245,'[8]october-2025'!$A:$A,'[8]october-2025'!$C:$C,0,0)</f>
        <v>29800</v>
      </c>
      <c r="CD245">
        <f t="shared" si="482"/>
        <v>5364</v>
      </c>
      <c r="CE245">
        <f t="shared" si="483"/>
        <v>3576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>IF(CC245&gt;0,SUM(CC245:CG245),0)</f>
        <v>39240</v>
      </c>
      <c r="CI245">
        <f>_xlfn.XLOOKUP(B245,'[8]october-2025'!$A:$A,'[8]october-2025'!$H:$H,0,0)</f>
        <v>2000</v>
      </c>
      <c r="CJ245">
        <f>_xlfn.XLOOKUP(B245,'[8]october-2025'!$A:$A,'[8]october-2025'!$I:$I,0,0)</f>
        <v>0</v>
      </c>
      <c r="CK245">
        <f t="shared" si="484"/>
        <v>150</v>
      </c>
      <c r="CL245">
        <f t="shared" si="485"/>
        <v>37090</v>
      </c>
      <c r="CM245">
        <f>_xlfn.XLOOKUP(B245,'[9]november-2025'!$A:$A,'[9]november-2025'!$C:$C,0,0)</f>
        <v>29800</v>
      </c>
      <c r="CN245">
        <f t="shared" si="486"/>
        <v>5364</v>
      </c>
      <c r="CO245">
        <f t="shared" si="487"/>
        <v>3576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>IF(CM245&gt;0,SUM(CM245:CQ245),0)</f>
        <v>39240</v>
      </c>
      <c r="CS245">
        <f>_xlfn.XLOOKUP(B245,'[9]november-2025'!$A:$A,'[9]november-2025'!$H:$H,0,0)</f>
        <v>2000</v>
      </c>
      <c r="CT245">
        <f>_xlfn.XLOOKUP(B245,'[9]november-2025'!$A:$A,'[9]november-2025'!$I:$I,0,0)</f>
        <v>0</v>
      </c>
      <c r="CU245">
        <f t="shared" si="488"/>
        <v>150</v>
      </c>
      <c r="CV245">
        <f t="shared" si="489"/>
        <v>37090</v>
      </c>
      <c r="CW245">
        <f>_xlfn.XLOOKUP(B245,'[10]december-2025'!$A:$A,'[10]december-2025'!$C:$C,0,0)</f>
        <v>29800</v>
      </c>
      <c r="CX245">
        <f t="shared" si="490"/>
        <v>5364</v>
      </c>
      <c r="CY245">
        <f t="shared" si="491"/>
        <v>3576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>IF(CW245&gt;0,SUM(CW245:DA245),0)</f>
        <v>39240</v>
      </c>
      <c r="DC245">
        <f>_xlfn.XLOOKUP(B245,'[10]december-2025'!$A:$A,'[10]december-2025'!$H:$H,0,0)</f>
        <v>2000</v>
      </c>
      <c r="DD245">
        <f>_xlfn.XLOOKUP(B245,'[10]december-2025'!$A:$A,'[10]december-2025'!$I:$I,0,0)</f>
        <v>0</v>
      </c>
      <c r="DE245">
        <f t="shared" si="492"/>
        <v>150</v>
      </c>
      <c r="DF245">
        <f t="shared" si="493"/>
        <v>37090</v>
      </c>
      <c r="DG245">
        <f>_xlfn.XLOOKUP(B245,'[11]january-2026'!$A:$A,'[11]january-2026'!$C:$C,0,0)</f>
        <v>29800</v>
      </c>
      <c r="DH245">
        <f t="shared" si="494"/>
        <v>5364</v>
      </c>
      <c r="DI245">
        <f t="shared" si="495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>IF(DG245&gt;0,SUM(DG245:DK245),0)</f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496"/>
        <v>150</v>
      </c>
      <c r="DP245">
        <f t="shared" si="497"/>
        <v>37090</v>
      </c>
      <c r="DQ245">
        <f>_xlfn.XLOOKUP(B245,'[12]february-2026'!$A:$A,'[12]february-2026'!$C:$C,0,0)</f>
        <v>29800</v>
      </c>
      <c r="DR245">
        <f t="shared" si="498"/>
        <v>5364</v>
      </c>
      <c r="DS245">
        <f t="shared" si="499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>IF(DQ245&gt;0,SUM(DQ245:DU245),0)</f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00"/>
        <v>150</v>
      </c>
      <c r="DZ245">
        <f t="shared" si="501"/>
        <v>37090</v>
      </c>
      <c r="EA245">
        <f>_xlfn.XLOOKUP(B245,'[1]march-2025'!$A:$A,'[1]march-2025'!$J:$J,0,0)</f>
        <v>0</v>
      </c>
      <c r="EB245">
        <f>_xlfn.XLOOKUP(B245,'[2]april-2025'!$A:$A,'[2]april-2025'!$J:$J,0,0)</f>
        <v>0</v>
      </c>
      <c r="EC245">
        <f>_xlfn.XLOOKUP(B245,'[3]may-2025'!$A:$A,'[3]may-2025'!$J:$J,0,0)</f>
        <v>0</v>
      </c>
      <c r="ED245">
        <f>_xlfn.XLOOKUP(B245,'[4]june-2025'!$A:$A,'[4]june-2025'!$J:$J,0,0)</f>
        <v>60294</v>
      </c>
      <c r="EE245">
        <f>_xlfn.XLOOKUP(B245,'[5]july-2025'!$A:$A,'[5]july-2025'!$J:$J,0,0)</f>
        <v>0</v>
      </c>
      <c r="EF245">
        <f>_xlfn.XLOOKUP(B245,'[6]august-2025'!$A:$A,'[6]august-2025'!$J:$J,0,0)</f>
        <v>0</v>
      </c>
      <c r="EG245">
        <f>_xlfn.XLOOKUP(B245,'[7]september-2025'!$A:$A,'[7]september-2025'!$J:$J,0,0)</f>
        <v>0</v>
      </c>
      <c r="EH245">
        <f>_xlfn.XLOOKUP(B245,'[8]october-2025'!$A:$A,'[8]october-2025'!$J:$J,0,0)</f>
        <v>0</v>
      </c>
      <c r="EI245">
        <f>_xlfn.XLOOKUP(C245,'[9]november-2025'!$A:$A,'[9]november-2025'!$J:$J,0,0)</f>
        <v>0</v>
      </c>
      <c r="EJ245">
        <f>_xlfn.XLOOKUP(B245,'[10]december-2025'!$A:$A,'[10]december-2025'!$J:$J,0,0)</f>
        <v>0</v>
      </c>
      <c r="EK245">
        <f>_xlfn.XLOOKUP(B245,'[11]january-2026'!$A:$A,'[11]january-2026'!$J:$J,0,0)</f>
        <v>0</v>
      </c>
      <c r="EL245">
        <f>_xlfn.XLOOKUP(B245,'[12]february-2026'!$A:$A,'[12]february-2026'!$J:$J,0,0)</f>
        <v>0</v>
      </c>
      <c r="EM245">
        <f t="shared" si="455"/>
        <v>60294</v>
      </c>
      <c r="EN245">
        <f>DV245+DL245+DB245+CR245+CH245+BX245+BN245+BD245+AS245+AI245+Y245+O245+H245+I245</f>
        <v>471844</v>
      </c>
      <c r="EO245">
        <f>DY245+DO245+DE245+CU245+CK245+CA245+BQ245+BG245+AV245+AL245+AB245+R245</f>
        <v>1800</v>
      </c>
      <c r="EP245">
        <f t="shared" si="502"/>
        <v>50000</v>
      </c>
      <c r="EQ245">
        <v>0</v>
      </c>
      <c r="ER245">
        <f t="shared" si="456"/>
        <v>480338</v>
      </c>
      <c r="ES245">
        <f>DW245+DM245+DC245+CS245+CI245+BY245+BO245+BE245+AT245+AJ245+Z245+P245</f>
        <v>24000</v>
      </c>
      <c r="ET245">
        <f>DX245+DN245+DD245+CT245+CJ245+BZ245+BP245+BF245+AU245+AK245+AA245+Q245</f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503"/>
        <v>24000</v>
      </c>
      <c r="FF245">
        <f t="shared" si="504"/>
        <v>24000</v>
      </c>
      <c r="FG245">
        <f t="shared" si="505"/>
        <v>456338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>SUM(FH245:FN245)+(IF(F245="YES",50000,0))</f>
        <v>0</v>
      </c>
      <c r="FP245">
        <f t="shared" si="506"/>
        <v>456338</v>
      </c>
      <c r="FQ245">
        <f t="shared" si="507"/>
        <v>10317</v>
      </c>
      <c r="FR245">
        <f t="shared" si="508"/>
        <v>0</v>
      </c>
      <c r="FS245">
        <f t="shared" si="509"/>
        <v>10317</v>
      </c>
      <c r="FT245">
        <f t="shared" si="510"/>
        <v>0</v>
      </c>
      <c r="FU245">
        <f t="shared" si="511"/>
        <v>0</v>
      </c>
      <c r="FV245">
        <f t="shared" si="512"/>
        <v>0</v>
      </c>
      <c r="FW245">
        <v>0</v>
      </c>
      <c r="FX245">
        <f t="shared" si="513"/>
        <v>0</v>
      </c>
      <c r="FY245" t="b">
        <f t="shared" si="514"/>
        <v>0</v>
      </c>
      <c r="FZ245">
        <f t="shared" ca="1" si="515"/>
        <v>1126</v>
      </c>
      <c r="GA245">
        <f t="shared" ca="1" si="516"/>
        <v>472970</v>
      </c>
      <c r="GB245">
        <f t="shared" si="517"/>
        <v>75000</v>
      </c>
      <c r="GC245">
        <f t="shared" ca="1" si="518"/>
        <v>397970</v>
      </c>
      <c r="GD245">
        <f t="shared" ca="1" si="519"/>
        <v>0</v>
      </c>
      <c r="GE245">
        <f t="shared" ca="1" si="520"/>
        <v>0</v>
      </c>
      <c r="GF245">
        <f t="shared" ca="1" si="521"/>
        <v>0</v>
      </c>
      <c r="GG245">
        <f t="shared" ca="1" si="522"/>
        <v>0</v>
      </c>
      <c r="GH245">
        <f t="shared" ca="1" si="523"/>
        <v>0</v>
      </c>
      <c r="GI245">
        <f t="shared" ca="1" si="524"/>
        <v>0</v>
      </c>
      <c r="GJ245">
        <f ca="1">IF(GC245&gt;1200000,GC245-1200000-IF(F245="YES",50000,0)-GH245,0)</f>
        <v>0</v>
      </c>
      <c r="GK245">
        <f t="shared" ca="1" si="525"/>
        <v>0</v>
      </c>
      <c r="GL245">
        <f t="shared" ca="1" si="526"/>
        <v>0</v>
      </c>
      <c r="GM245">
        <f t="shared" ca="1" si="527"/>
        <v>0</v>
      </c>
      <c r="GN245">
        <f t="shared" ca="1" si="528"/>
        <v>0</v>
      </c>
      <c r="GO245">
        <f t="shared" ca="1" si="529"/>
        <v>0</v>
      </c>
      <c r="GP245">
        <f t="shared" ca="1" si="530"/>
        <v>0</v>
      </c>
      <c r="GQ245">
        <f t="shared" ca="1" si="531"/>
        <v>0</v>
      </c>
      <c r="GR245">
        <f t="shared" ca="1" si="532"/>
        <v>0</v>
      </c>
      <c r="GS245">
        <f t="shared" ca="1" si="533"/>
        <v>0</v>
      </c>
      <c r="GT245">
        <f t="shared" ca="1" si="534"/>
        <v>0</v>
      </c>
      <c r="GU245" t="b">
        <f t="shared" ca="1" si="535"/>
        <v>0</v>
      </c>
      <c r="GV245">
        <f t="shared" ca="1" si="536"/>
        <v>0</v>
      </c>
      <c r="GW245">
        <f t="shared" ca="1" si="537"/>
        <v>0</v>
      </c>
      <c r="GX245">
        <f t="shared" ca="1" si="538"/>
        <v>0</v>
      </c>
      <c r="GY245">
        <f t="shared" ca="1" si="539"/>
        <v>0</v>
      </c>
      <c r="GZ245">
        <f t="shared" ca="1" si="540"/>
        <v>0</v>
      </c>
    </row>
    <row r="246" spans="1:208" x14ac:dyDescent="0.25">
      <c r="A246">
        <f>_xlfn.AGGREGATE(3,5,$B$2:B246)</f>
        <v>245</v>
      </c>
      <c r="B246" t="s">
        <v>596</v>
      </c>
      <c r="C246" t="s">
        <v>597</v>
      </c>
      <c r="D246" t="s">
        <v>813</v>
      </c>
      <c r="E246" t="s">
        <v>831</v>
      </c>
      <c r="F246" t="s">
        <v>957</v>
      </c>
      <c r="G246" t="s">
        <v>888</v>
      </c>
      <c r="H246">
        <f t="shared" si="543"/>
        <v>6800</v>
      </c>
      <c r="I246">
        <f>_xlfn.XLOOKUP(B246,'[1]march-2025'!$A:$A,'[1]march-2025'!$J:$J,0,0)</f>
        <v>0</v>
      </c>
      <c r="J246">
        <f>_xlfn.XLOOKUP(B246,'[1]march-2025'!$A:$A,'[1]march-2025'!$C:$C,0,0)</f>
        <v>37700</v>
      </c>
      <c r="K246">
        <f t="shared" si="457"/>
        <v>5278.0000000000009</v>
      </c>
      <c r="L246">
        <f t="shared" si="458"/>
        <v>4524</v>
      </c>
      <c r="M246">
        <f>_xlfn.XLOOKUP(B246,'[1]march-2025'!$A:$A,'[1]march-2025'!$D:$D,0,0)</f>
        <v>400</v>
      </c>
      <c r="N246">
        <f>_xlfn.XLOOKUP(B246,'[1]march-2025'!$A:$A,'[1]march-2025'!$G:$G,0,0)</f>
        <v>500</v>
      </c>
      <c r="O246">
        <f>IF(J246&gt;0,SUM(J246:N246),0)</f>
        <v>48402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541"/>
        <v>200</v>
      </c>
      <c r="S246">
        <f t="shared" si="451"/>
        <v>45202</v>
      </c>
      <c r="T246">
        <f>_xlfn.XLOOKUP(B246,'[2]april-2025'!$A:$A,'[2]april-2025'!$C:$C,0,0)</f>
        <v>37700</v>
      </c>
      <c r="U246">
        <f t="shared" si="459"/>
        <v>6786</v>
      </c>
      <c r="V246">
        <f t="shared" si="460"/>
        <v>4524</v>
      </c>
      <c r="W246">
        <f>_xlfn.XLOOKUP(B246,'[2]april-2025'!$A:$A,'[2]april-2025'!$D:$D,0,0)</f>
        <v>400</v>
      </c>
      <c r="X246">
        <f>_xlfn.XLOOKUP(B246,'[2]april-2025'!$A:$A,'[2]april-2025'!$G:$G,0,0)</f>
        <v>500</v>
      </c>
      <c r="Y246">
        <f t="shared" si="452"/>
        <v>49910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461"/>
        <v>200</v>
      </c>
      <c r="AC246">
        <f t="shared" si="462"/>
        <v>46710</v>
      </c>
      <c r="AD246">
        <f>_xlfn.XLOOKUP(B246,'[3]may-2025'!$A:$A,'[3]may-2025'!$C:$C,0,0)</f>
        <v>37700</v>
      </c>
      <c r="AE246">
        <f t="shared" si="463"/>
        <v>6786</v>
      </c>
      <c r="AF246">
        <f t="shared" si="464"/>
        <v>4524</v>
      </c>
      <c r="AG246">
        <f>_xlfn.XLOOKUP(B246,'[3]may-2025'!$A:$A,'[3]may-2025'!$D:$D,0,0)</f>
        <v>400</v>
      </c>
      <c r="AH246">
        <f>_xlfn.XLOOKUP(B246,'[3]may-2025'!$A:$A,'[3]may-2025'!$G:$G,0,0)</f>
        <v>500</v>
      </c>
      <c r="AI246">
        <f t="shared" si="453"/>
        <v>49910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465"/>
        <v>200</v>
      </c>
      <c r="AM246">
        <f t="shared" si="466"/>
        <v>46710</v>
      </c>
      <c r="AN246">
        <f>_xlfn.XLOOKUP(B246,'[4]june-2025'!$A:$A,'[4]june-2025'!$C:$C,0,0)</f>
        <v>37700</v>
      </c>
      <c r="AO246">
        <f t="shared" si="467"/>
        <v>6786</v>
      </c>
      <c r="AP246">
        <f t="shared" si="468"/>
        <v>4524</v>
      </c>
      <c r="AQ246">
        <f>_xlfn.XLOOKUP(B246,'[4]june-2025'!$A:$A,'[4]june-2025'!$D:$D,0,0)</f>
        <v>400</v>
      </c>
      <c r="AR246">
        <f>_xlfn.XLOOKUP(B246,'[4]june-2025'!$A:$A,'[4]june-2025'!$G:$G,0,0)</f>
        <v>500</v>
      </c>
      <c r="AS246">
        <f t="shared" si="454"/>
        <v>49910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469"/>
        <v>200</v>
      </c>
      <c r="AW246">
        <f t="shared" si="470"/>
        <v>46710</v>
      </c>
      <c r="AX246">
        <f>_xlfn.XLOOKUP(B246,'[5]july-2025'!$A:$A,'[5]july-2025'!$C:$C,0,0)</f>
        <v>38800</v>
      </c>
      <c r="AY246">
        <f t="shared" si="471"/>
        <v>6984</v>
      </c>
      <c r="AZ246">
        <v>0</v>
      </c>
      <c r="BA246">
        <f t="shared" si="472"/>
        <v>4656</v>
      </c>
      <c r="BB246">
        <f>_xlfn.XLOOKUP(B246,'[5]july-2025'!$A:$A,'[5]july-2025'!$D:$D,0,0)</f>
        <v>400</v>
      </c>
      <c r="BC246">
        <f>_xlfn.XLOOKUP(B246,'[5]july-2025'!$A:$A,'[5]july-2025'!$G:$G,0,0)</f>
        <v>500</v>
      </c>
      <c r="BD246">
        <f>IF(AX246&gt;0,SUM(AX246:BC246),0)</f>
        <v>51340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473"/>
        <v>200</v>
      </c>
      <c r="BH246">
        <f t="shared" si="474"/>
        <v>48140</v>
      </c>
      <c r="BI246">
        <f>_xlfn.XLOOKUP(B246,'[6]august-2025'!$A:$A,'[6]august-2025'!$C:$C,0,0)</f>
        <v>38800</v>
      </c>
      <c r="BJ246">
        <f t="shared" si="475"/>
        <v>6984</v>
      </c>
      <c r="BK246">
        <f t="shared" si="476"/>
        <v>4656</v>
      </c>
      <c r="BL246">
        <f>_xlfn.XLOOKUP(B246,'[6]august-2025'!$A:$A,'[6]august-2025'!$D:$D,0,0)</f>
        <v>400</v>
      </c>
      <c r="BM246">
        <f>_xlfn.XLOOKUP(B246,'[6]august-2025'!$A:$A,'[6]august-2025'!$G:$G,0,0)</f>
        <v>500</v>
      </c>
      <c r="BN246">
        <f t="shared" si="477"/>
        <v>51340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>IF($F246="YES",0,IF(BN246&gt;40000,200,IF(BN246&gt;25000,150,IF(BN246&gt;15000,130,IF(BN246&gt;10000,110,0)))))</f>
        <v>200</v>
      </c>
      <c r="BR246">
        <f>BN246-BO246-BP246-BQ246</f>
        <v>48140</v>
      </c>
      <c r="BS246">
        <f>_xlfn.XLOOKUP(B246,'[7]september-2025'!$A:$A,'[7]september-2025'!$C:$C,0,0)</f>
        <v>38800</v>
      </c>
      <c r="BT246">
        <f t="shared" si="478"/>
        <v>6984</v>
      </c>
      <c r="BU246">
        <f t="shared" si="479"/>
        <v>4656</v>
      </c>
      <c r="BV246">
        <f>_xlfn.XLOOKUP(B246,'[7]september-2025'!$A:$A,'[7]september-2025'!$D:$D,0,0)</f>
        <v>400</v>
      </c>
      <c r="BW246">
        <f>_xlfn.XLOOKUP(B246,'[7]september-2025'!$A:$A,'[7]september-2025'!$G:$G,0,0)</f>
        <v>500</v>
      </c>
      <c r="BX246">
        <f>IF(BS246&gt;0,SUM(BS246:BW246),0)</f>
        <v>51340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480"/>
        <v>200</v>
      </c>
      <c r="CB246">
        <f t="shared" si="481"/>
        <v>48140</v>
      </c>
      <c r="CC246">
        <f>_xlfn.XLOOKUP(B246,'[8]october-2025'!$A:$A,'[8]october-2025'!$C:$C,0,0)</f>
        <v>38800</v>
      </c>
      <c r="CD246">
        <f t="shared" si="482"/>
        <v>6984</v>
      </c>
      <c r="CE246">
        <f t="shared" si="483"/>
        <v>4656</v>
      </c>
      <c r="CF246">
        <f>_xlfn.XLOOKUP(B246,'[8]october-2025'!$A:$A,'[8]october-2025'!$D:$D,0,0)</f>
        <v>400</v>
      </c>
      <c r="CG246">
        <f>_xlfn.XLOOKUP(B246,'[8]october-2025'!$A:$A,'[8]october-2025'!$G:$G,0,0)</f>
        <v>500</v>
      </c>
      <c r="CH246">
        <f>IF(CC246&gt;0,SUM(CC246:CG246),0)</f>
        <v>51340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484"/>
        <v>200</v>
      </c>
      <c r="CL246">
        <f t="shared" si="485"/>
        <v>48140</v>
      </c>
      <c r="CM246">
        <f>_xlfn.XLOOKUP(B246,'[9]november-2025'!$A:$A,'[9]november-2025'!$C:$C,0,0)</f>
        <v>38800</v>
      </c>
      <c r="CN246">
        <f t="shared" si="486"/>
        <v>6984</v>
      </c>
      <c r="CO246">
        <f t="shared" si="487"/>
        <v>4656</v>
      </c>
      <c r="CP246">
        <f>_xlfn.XLOOKUP(B246,'[9]november-2025'!$A:$A,'[9]november-2025'!$D:$D,0,0)</f>
        <v>400</v>
      </c>
      <c r="CQ246">
        <f>_xlfn.XLOOKUP(B246,'[9]november-2025'!$A:$A,'[9]november-2025'!$G:$G,0,0)</f>
        <v>500</v>
      </c>
      <c r="CR246">
        <f>IF(CM246&gt;0,SUM(CM246:CQ246),0)</f>
        <v>51340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488"/>
        <v>200</v>
      </c>
      <c r="CV246">
        <f t="shared" si="489"/>
        <v>48140</v>
      </c>
      <c r="CW246">
        <f>_xlfn.XLOOKUP(B246,'[10]december-2025'!$A:$A,'[10]december-2025'!$C:$C,0,0)</f>
        <v>38800</v>
      </c>
      <c r="CX246">
        <f t="shared" si="490"/>
        <v>6984</v>
      </c>
      <c r="CY246">
        <f t="shared" si="491"/>
        <v>4656</v>
      </c>
      <c r="CZ246">
        <f>_xlfn.XLOOKUP(B246,'[10]december-2025'!$A:$A,'[10]december-2025'!$D:$D,0,0)</f>
        <v>400</v>
      </c>
      <c r="DA246">
        <f>_xlfn.XLOOKUP(B246,'[10]december-2025'!$A:$A,'[10]december-2025'!$G:$G,0,0)</f>
        <v>500</v>
      </c>
      <c r="DB246">
        <f>IF(CW246&gt;0,SUM(CW246:DA246),0)</f>
        <v>51340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492"/>
        <v>200</v>
      </c>
      <c r="DF246">
        <f t="shared" si="493"/>
        <v>48140</v>
      </c>
      <c r="DG246">
        <f>_xlfn.XLOOKUP(B246,'[11]january-2026'!$A:$A,'[11]january-2026'!$C:$C,0,0)</f>
        <v>38800</v>
      </c>
      <c r="DH246">
        <f t="shared" si="494"/>
        <v>6984</v>
      </c>
      <c r="DI246">
        <f t="shared" si="495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>IF(DG246&gt;0,SUM(DG246:DK246),0)</f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496"/>
        <v>200</v>
      </c>
      <c r="DP246">
        <f t="shared" si="497"/>
        <v>48140</v>
      </c>
      <c r="DQ246">
        <f>_xlfn.XLOOKUP(B246,'[12]february-2026'!$A:$A,'[12]february-2026'!$C:$C,0,0)</f>
        <v>38800</v>
      </c>
      <c r="DR246">
        <f t="shared" si="498"/>
        <v>6984</v>
      </c>
      <c r="DS246">
        <f t="shared" si="499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>IF(DQ246&gt;0,SUM(DQ246:DU246),0)</f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00"/>
        <v>200</v>
      </c>
      <c r="DZ246">
        <f t="shared" si="501"/>
        <v>48140</v>
      </c>
      <c r="EA246">
        <f>_xlfn.XLOOKUP(B246,'[1]march-2025'!$A:$A,'[1]march-2025'!$J:$J,0,0)</f>
        <v>0</v>
      </c>
      <c r="EB246">
        <f>_xlfn.XLOOKUP(B246,'[2]april-2025'!$A:$A,'[2]april-2025'!$J:$J,0,0)</f>
        <v>0</v>
      </c>
      <c r="EC246">
        <f>_xlfn.XLOOKUP(B246,'[3]may-2025'!$A:$A,'[3]may-2025'!$J:$J,0,0)</f>
        <v>0</v>
      </c>
      <c r="ED246">
        <f>_xlfn.XLOOKUP(B246,'[4]june-2025'!$A:$A,'[4]june-2025'!$J:$J,0,0)</f>
        <v>0</v>
      </c>
      <c r="EE246">
        <f>_xlfn.XLOOKUP(B246,'[5]july-2025'!$A:$A,'[5]july-2025'!$J:$J,0,0)</f>
        <v>0</v>
      </c>
      <c r="EF246">
        <f>_xlfn.XLOOKUP(B246,'[6]august-2025'!$A:$A,'[6]august-2025'!$J:$J,0,0)</f>
        <v>0</v>
      </c>
      <c r="EG246">
        <f>_xlfn.XLOOKUP(B246,'[7]september-2025'!$A:$A,'[7]september-2025'!$J:$J,0,0)</f>
        <v>0</v>
      </c>
      <c r="EH246">
        <f>_xlfn.XLOOKUP(B246,'[8]october-2025'!$A:$A,'[8]october-2025'!$J:$J,0,0)</f>
        <v>0</v>
      </c>
      <c r="EI246">
        <f>_xlfn.XLOOKUP(C246,'[9]november-2025'!$A:$A,'[9]november-2025'!$J:$J,0,0)</f>
        <v>0</v>
      </c>
      <c r="EJ246">
        <f>_xlfn.XLOOKUP(B246,'[10]december-2025'!$A:$A,'[10]december-2025'!$J:$J,0,0)</f>
        <v>0</v>
      </c>
      <c r="EK246">
        <f>_xlfn.XLOOKUP(B246,'[11]january-2026'!$A:$A,'[11]january-2026'!$J:$J,0,0)</f>
        <v>0</v>
      </c>
      <c r="EL246">
        <f>_xlfn.XLOOKUP(B246,'[12]february-2026'!$A:$A,'[12]february-2026'!$J:$J,0,0)</f>
        <v>0</v>
      </c>
      <c r="EM246">
        <f t="shared" si="455"/>
        <v>0</v>
      </c>
      <c r="EN246">
        <f>DV246+DL246+DB246+CR246+CH246+BX246+BN246+BD246+AS246+AI246+Y246+O246+H246+I246</f>
        <v>615652</v>
      </c>
      <c r="EO246">
        <f>DY246+DO246+DE246+CU246+CK246+CA246+BQ246+BG246+AV246+AL246+AB246+R246</f>
        <v>2400</v>
      </c>
      <c r="EP246">
        <f t="shared" si="502"/>
        <v>50000</v>
      </c>
      <c r="EQ246">
        <v>0</v>
      </c>
      <c r="ER246">
        <f t="shared" si="456"/>
        <v>563252</v>
      </c>
      <c r="ES246">
        <f>DW246+DM246+DC246+CS246+CI246+BY246+BO246+BE246+AT246+AJ246+Z246+P246</f>
        <v>36000</v>
      </c>
      <c r="ET246">
        <f>DX246+DN246+DD246+CT246+CJ246+BZ246+BP246+BF246+AU246+AK246+AA246+Q246</f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503"/>
        <v>36000</v>
      </c>
      <c r="FF246">
        <f t="shared" si="504"/>
        <v>36000</v>
      </c>
      <c r="FG246">
        <f t="shared" si="505"/>
        <v>527252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>SUM(FH246:FN246)+(IF(F246="YES",50000,0))</f>
        <v>0</v>
      </c>
      <c r="FP246">
        <f t="shared" si="506"/>
        <v>527252</v>
      </c>
      <c r="FQ246">
        <f t="shared" si="507"/>
        <v>12500</v>
      </c>
      <c r="FR246">
        <f t="shared" si="508"/>
        <v>5450</v>
      </c>
      <c r="FS246">
        <f t="shared" si="509"/>
        <v>17950</v>
      </c>
      <c r="FT246">
        <f t="shared" si="510"/>
        <v>17950</v>
      </c>
      <c r="FU246">
        <f t="shared" si="511"/>
        <v>718</v>
      </c>
      <c r="FV246">
        <f t="shared" si="512"/>
        <v>18668</v>
      </c>
      <c r="FW246">
        <v>0</v>
      </c>
      <c r="FX246">
        <f t="shared" si="513"/>
        <v>18668</v>
      </c>
      <c r="FY246" t="b">
        <f t="shared" si="514"/>
        <v>1</v>
      </c>
      <c r="FZ246">
        <f t="shared" ca="1" si="515"/>
        <v>759</v>
      </c>
      <c r="GA246">
        <f t="shared" ca="1" si="516"/>
        <v>616411</v>
      </c>
      <c r="GB246">
        <f t="shared" si="517"/>
        <v>75000</v>
      </c>
      <c r="GC246">
        <f t="shared" ca="1" si="518"/>
        <v>541411</v>
      </c>
      <c r="GD246">
        <f t="shared" ca="1" si="519"/>
        <v>0</v>
      </c>
      <c r="GE246">
        <f t="shared" ca="1" si="520"/>
        <v>0</v>
      </c>
      <c r="GF246">
        <f t="shared" ca="1" si="521"/>
        <v>0</v>
      </c>
      <c r="GG246">
        <f t="shared" ca="1" si="522"/>
        <v>0</v>
      </c>
      <c r="GH246">
        <f t="shared" ca="1" si="523"/>
        <v>0</v>
      </c>
      <c r="GI246">
        <f t="shared" ca="1" si="524"/>
        <v>0</v>
      </c>
      <c r="GJ246">
        <f ca="1">IF(GC246&gt;1200000,GC246-1200000-IF(F246="YES",50000,0)-GH246,0)</f>
        <v>0</v>
      </c>
      <c r="GK246">
        <f t="shared" ca="1" si="525"/>
        <v>0</v>
      </c>
      <c r="GL246">
        <f t="shared" ca="1" si="526"/>
        <v>0</v>
      </c>
      <c r="GM246">
        <f t="shared" ca="1" si="527"/>
        <v>0</v>
      </c>
      <c r="GN246">
        <f t="shared" ca="1" si="528"/>
        <v>141411</v>
      </c>
      <c r="GO246">
        <f t="shared" ca="1" si="529"/>
        <v>7070.55</v>
      </c>
      <c r="GP246">
        <f t="shared" ca="1" si="530"/>
        <v>7071</v>
      </c>
      <c r="GQ246">
        <f t="shared" ca="1" si="531"/>
        <v>0</v>
      </c>
      <c r="GR246">
        <f t="shared" ca="1" si="532"/>
        <v>0</v>
      </c>
      <c r="GS246">
        <f t="shared" ca="1" si="533"/>
        <v>7071</v>
      </c>
      <c r="GT246">
        <f t="shared" ca="1" si="534"/>
        <v>0</v>
      </c>
      <c r="GU246" t="b">
        <f t="shared" ca="1" si="535"/>
        <v>0</v>
      </c>
      <c r="GV246">
        <f t="shared" ca="1" si="536"/>
        <v>0</v>
      </c>
      <c r="GW246">
        <f t="shared" ca="1" si="537"/>
        <v>7071</v>
      </c>
      <c r="GX246">
        <f t="shared" ca="1" si="538"/>
        <v>0</v>
      </c>
      <c r="GY246">
        <f t="shared" ca="1" si="539"/>
        <v>0</v>
      </c>
      <c r="GZ246">
        <f t="shared" ca="1" si="540"/>
        <v>0</v>
      </c>
    </row>
    <row r="247" spans="1:208" x14ac:dyDescent="0.25">
      <c r="A247">
        <f>_xlfn.AGGREGATE(3,5,$B$2:B247)</f>
        <v>246</v>
      </c>
      <c r="B247" t="s">
        <v>598</v>
      </c>
      <c r="C247" t="s">
        <v>599</v>
      </c>
      <c r="D247" t="s">
        <v>813</v>
      </c>
      <c r="E247" t="s">
        <v>831</v>
      </c>
      <c r="F247" t="s">
        <v>957</v>
      </c>
      <c r="G247" t="s">
        <v>885</v>
      </c>
      <c r="H247">
        <f t="shared" si="543"/>
        <v>6800</v>
      </c>
      <c r="I247">
        <f>_xlfn.XLOOKUP(B247,'[1]march-2025'!$A:$A,'[1]march-2025'!$J:$J,0,0)</f>
        <v>0</v>
      </c>
      <c r="J247">
        <f>_xlfn.XLOOKUP(B247,'[1]march-2025'!$A:$A,'[1]march-2025'!$C:$C,0,0)</f>
        <v>47300</v>
      </c>
      <c r="K247">
        <f t="shared" si="457"/>
        <v>6622.0000000000009</v>
      </c>
      <c r="L247">
        <f t="shared" si="458"/>
        <v>5676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>IF(J247&gt;0,SUM(J247:N247),0)</f>
        <v>60098</v>
      </c>
      <c r="P247">
        <f>_xlfn.XLOOKUP(B247,'[1]march-2025'!$A:$A,'[1]march-2025'!$H:$H,0,0)</f>
        <v>3000</v>
      </c>
      <c r="Q247">
        <f>_xlfn.XLOOKUP(B247,'[1]march-2025'!$A:$A,'[1]march-2025'!$I:$I,0,0)</f>
        <v>0</v>
      </c>
      <c r="R247">
        <f t="shared" si="541"/>
        <v>200</v>
      </c>
      <c r="S247">
        <f t="shared" si="451"/>
        <v>56898</v>
      </c>
      <c r="T247">
        <f>_xlfn.XLOOKUP(B247,'[2]april-2025'!$A:$A,'[2]april-2025'!$C:$C,0,0)</f>
        <v>47300</v>
      </c>
      <c r="U247">
        <f t="shared" si="459"/>
        <v>8514</v>
      </c>
      <c r="V247">
        <f t="shared" si="460"/>
        <v>5676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452"/>
        <v>61990</v>
      </c>
      <c r="Z247">
        <f>_xlfn.XLOOKUP(B247,'[2]april-2025'!$A:$A,'[2]april-2025'!$H:$H,0,0)</f>
        <v>3000</v>
      </c>
      <c r="AA247">
        <f>_xlfn.XLOOKUP(B247,'[2]april-2025'!$A:$A,'[2]april-2025'!$I:$I,0,0)</f>
        <v>0</v>
      </c>
      <c r="AB247">
        <f t="shared" si="461"/>
        <v>200</v>
      </c>
      <c r="AC247">
        <f t="shared" si="462"/>
        <v>58790</v>
      </c>
      <c r="AD247">
        <f>_xlfn.XLOOKUP(B247,'[3]may-2025'!$A:$A,'[3]may-2025'!$C:$C,0,0)</f>
        <v>47300</v>
      </c>
      <c r="AE247">
        <f t="shared" si="463"/>
        <v>8514</v>
      </c>
      <c r="AF247">
        <f t="shared" si="464"/>
        <v>5676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453"/>
        <v>61990</v>
      </c>
      <c r="AJ247">
        <f>_xlfn.XLOOKUP(B247,'[3]may-2025'!$A:$A,'[3]may-2025'!$H:$H,0,0)</f>
        <v>3000</v>
      </c>
      <c r="AK247">
        <f>_xlfn.XLOOKUP(B247,'[3]may-2025'!$A:$A,'[3]may-2025'!$I:$I,0,0)</f>
        <v>0</v>
      </c>
      <c r="AL247">
        <f t="shared" si="465"/>
        <v>200</v>
      </c>
      <c r="AM247">
        <f t="shared" si="466"/>
        <v>58790</v>
      </c>
      <c r="AN247">
        <f>_xlfn.XLOOKUP(B247,'[4]june-2025'!$A:$A,'[4]june-2025'!$C:$C,0,0)</f>
        <v>47300</v>
      </c>
      <c r="AO247">
        <f t="shared" si="467"/>
        <v>8514</v>
      </c>
      <c r="AP247">
        <f t="shared" si="468"/>
        <v>5676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454"/>
        <v>61990</v>
      </c>
      <c r="AT247">
        <f>_xlfn.XLOOKUP(B247,'[4]june-2025'!$A:$A,'[4]june-2025'!$H:$H,0,0)</f>
        <v>3000</v>
      </c>
      <c r="AU247">
        <f>_xlfn.XLOOKUP(B247,'[4]june-2025'!$A:$A,'[4]june-2025'!$I:$I,0,0)</f>
        <v>0</v>
      </c>
      <c r="AV247">
        <f t="shared" si="469"/>
        <v>200</v>
      </c>
      <c r="AW247">
        <f t="shared" si="470"/>
        <v>58790</v>
      </c>
      <c r="AX247">
        <f>_xlfn.XLOOKUP(B247,'[5]july-2025'!$A:$A,'[5]july-2025'!$C:$C,0,0)</f>
        <v>48700</v>
      </c>
      <c r="AY247">
        <f t="shared" si="471"/>
        <v>8766</v>
      </c>
      <c r="AZ247">
        <v>0</v>
      </c>
      <c r="BA247">
        <f t="shared" si="472"/>
        <v>5844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>IF(AX247&gt;0,SUM(AX247:BC247),0)</f>
        <v>63810</v>
      </c>
      <c r="BE247">
        <f>_xlfn.XLOOKUP(B247,'[5]july-2025'!$A:$A,'[5]july-2025'!$H:$H,0,0)</f>
        <v>3000</v>
      </c>
      <c r="BF247">
        <f>_xlfn.XLOOKUP(B247,'[5]july-2025'!$A:$A,'[5]july-2025'!$I:$I,0,0)</f>
        <v>0</v>
      </c>
      <c r="BG247">
        <f t="shared" si="473"/>
        <v>200</v>
      </c>
      <c r="BH247">
        <f t="shared" si="474"/>
        <v>60610</v>
      </c>
      <c r="BI247">
        <f>_xlfn.XLOOKUP(B247,'[6]august-2025'!$A:$A,'[6]august-2025'!$C:$C,0,0)</f>
        <v>48700</v>
      </c>
      <c r="BJ247">
        <f t="shared" si="475"/>
        <v>8766</v>
      </c>
      <c r="BK247">
        <f t="shared" si="476"/>
        <v>5844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477"/>
        <v>63810</v>
      </c>
      <c r="BO247">
        <f>_xlfn.XLOOKUP(B247,'[6]august-2025'!$A:$A,'[6]august-2025'!$H:$H,0,0)</f>
        <v>3000</v>
      </c>
      <c r="BP247">
        <f>_xlfn.XLOOKUP(B247,'[6]august-2025'!$A:$A,'[6]august-2025'!$I:$I,0,0)</f>
        <v>0</v>
      </c>
      <c r="BQ247">
        <f>IF($F247="YES",0,IF(BN247&gt;40000,200,IF(BN247&gt;25000,150,IF(BN247&gt;15000,130,IF(BN247&gt;10000,110,0)))))</f>
        <v>200</v>
      </c>
      <c r="BR247">
        <f>BN247-BO247-BP247-BQ247</f>
        <v>60610</v>
      </c>
      <c r="BS247">
        <f>_xlfn.XLOOKUP(B247,'[7]september-2025'!$A:$A,'[7]september-2025'!$C:$C,0,0)</f>
        <v>48700</v>
      </c>
      <c r="BT247">
        <f t="shared" si="478"/>
        <v>8766</v>
      </c>
      <c r="BU247">
        <f t="shared" si="479"/>
        <v>5844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>IF(BS247&gt;0,SUM(BS247:BW247),0)</f>
        <v>63810</v>
      </c>
      <c r="BY247">
        <f>_xlfn.XLOOKUP(B247,'[7]september-2025'!$A:$A,'[7]september-2025'!$H:$H,0,0)</f>
        <v>3000</v>
      </c>
      <c r="BZ247">
        <f>_xlfn.XLOOKUP(B247,'[7]september-2025'!$A:$A,'[7]september-2025'!$I:$I,0,0)</f>
        <v>0</v>
      </c>
      <c r="CA247">
        <f t="shared" si="480"/>
        <v>200</v>
      </c>
      <c r="CB247">
        <f t="shared" si="481"/>
        <v>60610</v>
      </c>
      <c r="CC247">
        <f>_xlfn.XLOOKUP(B247,'[8]october-2025'!$A:$A,'[8]october-2025'!$C:$C,0,0)</f>
        <v>48700</v>
      </c>
      <c r="CD247">
        <f t="shared" si="482"/>
        <v>8766</v>
      </c>
      <c r="CE247">
        <f t="shared" si="483"/>
        <v>5844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>IF(CC247&gt;0,SUM(CC247:CG247),0)</f>
        <v>63810</v>
      </c>
      <c r="CI247">
        <f>_xlfn.XLOOKUP(B247,'[8]october-2025'!$A:$A,'[8]october-2025'!$H:$H,0,0)</f>
        <v>3000</v>
      </c>
      <c r="CJ247">
        <f>_xlfn.XLOOKUP(B247,'[8]october-2025'!$A:$A,'[8]october-2025'!$I:$I,0,0)</f>
        <v>0</v>
      </c>
      <c r="CK247">
        <f t="shared" si="484"/>
        <v>200</v>
      </c>
      <c r="CL247">
        <f t="shared" si="485"/>
        <v>60610</v>
      </c>
      <c r="CM247">
        <f>_xlfn.XLOOKUP(B247,'[9]november-2025'!$A:$A,'[9]november-2025'!$C:$C,0,0)</f>
        <v>48700</v>
      </c>
      <c r="CN247">
        <f t="shared" si="486"/>
        <v>8766</v>
      </c>
      <c r="CO247">
        <f t="shared" si="487"/>
        <v>5844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>IF(CM247&gt;0,SUM(CM247:CQ247),0)</f>
        <v>63810</v>
      </c>
      <c r="CS247">
        <f>_xlfn.XLOOKUP(B247,'[9]november-2025'!$A:$A,'[9]november-2025'!$H:$H,0,0)</f>
        <v>3000</v>
      </c>
      <c r="CT247">
        <f>_xlfn.XLOOKUP(B247,'[9]november-2025'!$A:$A,'[9]november-2025'!$I:$I,0,0)</f>
        <v>0</v>
      </c>
      <c r="CU247">
        <f t="shared" si="488"/>
        <v>200</v>
      </c>
      <c r="CV247">
        <f t="shared" si="489"/>
        <v>60610</v>
      </c>
      <c r="CW247">
        <f>_xlfn.XLOOKUP(B247,'[10]december-2025'!$A:$A,'[10]december-2025'!$C:$C,0,0)</f>
        <v>48700</v>
      </c>
      <c r="CX247">
        <f t="shared" si="490"/>
        <v>8766</v>
      </c>
      <c r="CY247">
        <f t="shared" si="491"/>
        <v>5844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>IF(CW247&gt;0,SUM(CW247:DA247),0)</f>
        <v>63810</v>
      </c>
      <c r="DC247">
        <f>_xlfn.XLOOKUP(B247,'[10]december-2025'!$A:$A,'[10]december-2025'!$H:$H,0,0)</f>
        <v>3000</v>
      </c>
      <c r="DD247">
        <f>_xlfn.XLOOKUP(B247,'[10]december-2025'!$A:$A,'[10]december-2025'!$I:$I,0,0)</f>
        <v>0</v>
      </c>
      <c r="DE247">
        <f t="shared" si="492"/>
        <v>200</v>
      </c>
      <c r="DF247">
        <f t="shared" si="493"/>
        <v>60610</v>
      </c>
      <c r="DG247">
        <f>_xlfn.XLOOKUP(B247,'[11]january-2026'!$A:$A,'[11]january-2026'!$C:$C,0,0)</f>
        <v>48700</v>
      </c>
      <c r="DH247">
        <f t="shared" si="494"/>
        <v>8766</v>
      </c>
      <c r="DI247">
        <f t="shared" si="495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>IF(DG247&gt;0,SUM(DG247:DK247),0)</f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496"/>
        <v>200</v>
      </c>
      <c r="DP247">
        <f t="shared" si="497"/>
        <v>60610</v>
      </c>
      <c r="DQ247">
        <f>_xlfn.XLOOKUP(B247,'[12]february-2026'!$A:$A,'[12]february-2026'!$C:$C,0,0)</f>
        <v>48700</v>
      </c>
      <c r="DR247">
        <f t="shared" si="498"/>
        <v>8766</v>
      </c>
      <c r="DS247">
        <f t="shared" si="499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>IF(DQ247&gt;0,SUM(DQ247:DU247),0)</f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00"/>
        <v>200</v>
      </c>
      <c r="DZ247">
        <f t="shared" si="501"/>
        <v>60610</v>
      </c>
      <c r="EA247">
        <f>_xlfn.XLOOKUP(B247,'[1]march-2025'!$A:$A,'[1]march-2025'!$J:$J,0,0)</f>
        <v>0</v>
      </c>
      <c r="EB247">
        <f>_xlfn.XLOOKUP(B247,'[2]april-2025'!$A:$A,'[2]april-2025'!$J:$J,0,0)</f>
        <v>0</v>
      </c>
      <c r="EC247">
        <f>_xlfn.XLOOKUP(B247,'[3]may-2025'!$A:$A,'[3]may-2025'!$J:$J,0,0)</f>
        <v>0</v>
      </c>
      <c r="ED247">
        <f>_xlfn.XLOOKUP(B247,'[4]june-2025'!$A:$A,'[4]june-2025'!$J:$J,0,0)</f>
        <v>0</v>
      </c>
      <c r="EE247">
        <f>_xlfn.XLOOKUP(B247,'[5]july-2025'!$A:$A,'[5]july-2025'!$J:$J,0,0)</f>
        <v>0</v>
      </c>
      <c r="EF247">
        <f>_xlfn.XLOOKUP(B247,'[6]august-2025'!$A:$A,'[6]august-2025'!$J:$J,0,0)</f>
        <v>0</v>
      </c>
      <c r="EG247">
        <f>_xlfn.XLOOKUP(B247,'[7]september-2025'!$A:$A,'[7]september-2025'!$J:$J,0,0)</f>
        <v>0</v>
      </c>
      <c r="EH247">
        <f>_xlfn.XLOOKUP(B247,'[8]october-2025'!$A:$A,'[8]october-2025'!$J:$J,0,0)</f>
        <v>0</v>
      </c>
      <c r="EI247">
        <f>_xlfn.XLOOKUP(C247,'[9]november-2025'!$A:$A,'[9]november-2025'!$J:$J,0,0)</f>
        <v>0</v>
      </c>
      <c r="EJ247">
        <f>_xlfn.XLOOKUP(B247,'[10]december-2025'!$A:$A,'[10]december-2025'!$J:$J,0,0)</f>
        <v>0</v>
      </c>
      <c r="EK247">
        <f>_xlfn.XLOOKUP(B247,'[11]january-2026'!$A:$A,'[11]january-2026'!$J:$J,0,0)</f>
        <v>0</v>
      </c>
      <c r="EL247">
        <f>_xlfn.XLOOKUP(B247,'[12]february-2026'!$A:$A,'[12]february-2026'!$J:$J,0,0)</f>
        <v>0</v>
      </c>
      <c r="EM247">
        <f t="shared" si="455"/>
        <v>0</v>
      </c>
      <c r="EN247">
        <f>DV247+DL247+DB247+CR247+CH247+BX247+BN247+BD247+AS247+AI247+Y247+O247+H247+I247</f>
        <v>763348</v>
      </c>
      <c r="EO247">
        <f>DY247+DO247+DE247+CU247+CK247+CA247+BQ247+BG247+AV247+AL247+AB247+R247</f>
        <v>2400</v>
      </c>
      <c r="EP247">
        <f t="shared" si="502"/>
        <v>50000</v>
      </c>
      <c r="EQ247">
        <v>0</v>
      </c>
      <c r="ER247">
        <f t="shared" si="456"/>
        <v>710948</v>
      </c>
      <c r="ES247">
        <f>DW247+DM247+DC247+CS247+CI247+BY247+BO247+BE247+AT247+AJ247+Z247+P247</f>
        <v>36000</v>
      </c>
      <c r="ET247">
        <f>DX247+DN247+DD247+CT247+CJ247+BZ247+BP247+BF247+AU247+AK247+AA247+Q247</f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503"/>
        <v>36000</v>
      </c>
      <c r="FF247">
        <f t="shared" si="504"/>
        <v>36000</v>
      </c>
      <c r="FG247">
        <f t="shared" si="505"/>
        <v>674948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>SUM(FH247:FN247)+(IF(F247="YES",50000,0))</f>
        <v>0</v>
      </c>
      <c r="FP247">
        <f t="shared" si="506"/>
        <v>674948</v>
      </c>
      <c r="FQ247">
        <f t="shared" si="507"/>
        <v>12500</v>
      </c>
      <c r="FR247">
        <f t="shared" si="508"/>
        <v>34990</v>
      </c>
      <c r="FS247">
        <f t="shared" si="509"/>
        <v>47490</v>
      </c>
      <c r="FT247">
        <f t="shared" si="510"/>
        <v>47490</v>
      </c>
      <c r="FU247">
        <f t="shared" si="511"/>
        <v>1899.6000000000001</v>
      </c>
      <c r="FV247">
        <f t="shared" si="512"/>
        <v>49390</v>
      </c>
      <c r="FW247">
        <v>0</v>
      </c>
      <c r="FX247">
        <f t="shared" si="513"/>
        <v>49390</v>
      </c>
      <c r="FY247" t="b">
        <f t="shared" si="514"/>
        <v>1</v>
      </c>
      <c r="FZ247">
        <f t="shared" ca="1" si="515"/>
        <v>774</v>
      </c>
      <c r="GA247">
        <f t="shared" ca="1" si="516"/>
        <v>764122</v>
      </c>
      <c r="GB247">
        <f t="shared" si="517"/>
        <v>75000</v>
      </c>
      <c r="GC247">
        <f t="shared" ca="1" si="518"/>
        <v>689122</v>
      </c>
      <c r="GD247">
        <f t="shared" ca="1" si="519"/>
        <v>0</v>
      </c>
      <c r="GE247">
        <f t="shared" ca="1" si="520"/>
        <v>0</v>
      </c>
      <c r="GF247">
        <f t="shared" ca="1" si="521"/>
        <v>0</v>
      </c>
      <c r="GG247">
        <f t="shared" ca="1" si="522"/>
        <v>0</v>
      </c>
      <c r="GH247">
        <f t="shared" ca="1" si="523"/>
        <v>0</v>
      </c>
      <c r="GI247">
        <f t="shared" ca="1" si="524"/>
        <v>0</v>
      </c>
      <c r="GJ247">
        <f ca="1">IF(GC247&gt;1200000,GC247-1200000-IF(F247="YES",50000,0)-GH247,0)</f>
        <v>0</v>
      </c>
      <c r="GK247">
        <f t="shared" ca="1" si="525"/>
        <v>0</v>
      </c>
      <c r="GL247">
        <f t="shared" ca="1" si="526"/>
        <v>0</v>
      </c>
      <c r="GM247">
        <f t="shared" ca="1" si="527"/>
        <v>0</v>
      </c>
      <c r="GN247">
        <f t="shared" ca="1" si="528"/>
        <v>289122</v>
      </c>
      <c r="GO247">
        <f t="shared" ca="1" si="529"/>
        <v>14456.1</v>
      </c>
      <c r="GP247">
        <f t="shared" ca="1" si="530"/>
        <v>14456</v>
      </c>
      <c r="GQ247">
        <f t="shared" ca="1" si="531"/>
        <v>0</v>
      </c>
      <c r="GR247">
        <f t="shared" ca="1" si="532"/>
        <v>0</v>
      </c>
      <c r="GS247">
        <f t="shared" ca="1" si="533"/>
        <v>14456</v>
      </c>
      <c r="GT247">
        <f t="shared" ca="1" si="534"/>
        <v>0</v>
      </c>
      <c r="GU247" t="b">
        <f t="shared" ca="1" si="535"/>
        <v>0</v>
      </c>
      <c r="GV247">
        <f t="shared" ca="1" si="536"/>
        <v>0</v>
      </c>
      <c r="GW247">
        <f t="shared" ca="1" si="537"/>
        <v>14456</v>
      </c>
      <c r="GX247">
        <f t="shared" ca="1" si="538"/>
        <v>0</v>
      </c>
      <c r="GY247">
        <f t="shared" ca="1" si="539"/>
        <v>0</v>
      </c>
      <c r="GZ247">
        <f t="shared" ca="1" si="540"/>
        <v>0</v>
      </c>
    </row>
    <row r="248" spans="1:208" x14ac:dyDescent="0.25">
      <c r="A248">
        <f>_xlfn.AGGREGATE(3,5,$B$2:B248)</f>
        <v>247</v>
      </c>
      <c r="B248" t="s">
        <v>600</v>
      </c>
      <c r="C248" t="s">
        <v>601</v>
      </c>
      <c r="D248" t="s">
        <v>813</v>
      </c>
      <c r="E248" t="s">
        <v>831</v>
      </c>
      <c r="F248" t="s">
        <v>957</v>
      </c>
      <c r="G248" t="s">
        <v>897</v>
      </c>
      <c r="H248">
        <f t="shared" si="543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457"/>
        <v>4690</v>
      </c>
      <c r="L248">
        <f t="shared" si="458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>IF(J248&gt;0,SUM(J248:N248),0)</f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541"/>
        <v>200</v>
      </c>
      <c r="S248">
        <f t="shared" si="451"/>
        <v>40010</v>
      </c>
      <c r="T248">
        <f>_xlfn.XLOOKUP(B248,'[2]april-2025'!$A:$A,'[2]april-2025'!$C:$C,0,0)</f>
        <v>33500</v>
      </c>
      <c r="U248">
        <f t="shared" si="459"/>
        <v>6030</v>
      </c>
      <c r="V248">
        <f t="shared" si="460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452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461"/>
        <v>200</v>
      </c>
      <c r="AC248">
        <f t="shared" si="462"/>
        <v>41350</v>
      </c>
      <c r="AD248">
        <f>_xlfn.XLOOKUP(B248,'[3]may-2025'!$A:$A,'[3]may-2025'!$C:$C,0,0)</f>
        <v>33500</v>
      </c>
      <c r="AE248">
        <f t="shared" si="463"/>
        <v>6030</v>
      </c>
      <c r="AF248">
        <f t="shared" si="464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453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465"/>
        <v>200</v>
      </c>
      <c r="AM248">
        <f t="shared" si="466"/>
        <v>41350</v>
      </c>
      <c r="AN248">
        <f>_xlfn.XLOOKUP(B248,'[4]june-2025'!$A:$A,'[4]june-2025'!$C:$C,0,0)</f>
        <v>33500</v>
      </c>
      <c r="AO248">
        <f t="shared" si="467"/>
        <v>6030</v>
      </c>
      <c r="AP248">
        <f t="shared" si="468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454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469"/>
        <v>200</v>
      </c>
      <c r="AW248">
        <f t="shared" si="470"/>
        <v>41350</v>
      </c>
      <c r="AX248">
        <f>_xlfn.XLOOKUP(B248,'[5]july-2025'!$A:$A,'[5]july-2025'!$C:$C,0,0)</f>
        <v>34500</v>
      </c>
      <c r="AY248">
        <f t="shared" si="471"/>
        <v>6210</v>
      </c>
      <c r="AZ248">
        <v>0</v>
      </c>
      <c r="BA248">
        <f t="shared" si="472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>IF(AX248&gt;0,SUM(AX248:BC248),0)</f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473"/>
        <v>200</v>
      </c>
      <c r="BH248">
        <f t="shared" si="474"/>
        <v>42650</v>
      </c>
      <c r="BI248">
        <f>_xlfn.XLOOKUP(B248,'[6]august-2025'!$A:$A,'[6]august-2025'!$C:$C,0,0)</f>
        <v>34500</v>
      </c>
      <c r="BJ248">
        <f t="shared" si="475"/>
        <v>6210</v>
      </c>
      <c r="BK248">
        <f t="shared" si="476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477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>IF($F248="YES",0,IF(BN248&gt;40000,200,IF(BN248&gt;25000,150,IF(BN248&gt;15000,130,IF(BN248&gt;10000,110,0)))))</f>
        <v>200</v>
      </c>
      <c r="BR248">
        <f>BN248-BO248-BP248-BQ248</f>
        <v>42650</v>
      </c>
      <c r="BS248">
        <f>_xlfn.XLOOKUP(B248,'[7]september-2025'!$A:$A,'[7]september-2025'!$C:$C,0,0)</f>
        <v>34500</v>
      </c>
      <c r="BT248">
        <f t="shared" si="478"/>
        <v>6210</v>
      </c>
      <c r="BU248">
        <f t="shared" si="479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>IF(BS248&gt;0,SUM(BS248:BW248),0)</f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480"/>
        <v>200</v>
      </c>
      <c r="CB248">
        <f t="shared" si="481"/>
        <v>42650</v>
      </c>
      <c r="CC248">
        <f>_xlfn.XLOOKUP(B248,'[8]october-2025'!$A:$A,'[8]october-2025'!$C:$C,0,0)</f>
        <v>34500</v>
      </c>
      <c r="CD248">
        <f t="shared" si="482"/>
        <v>6210</v>
      </c>
      <c r="CE248">
        <f t="shared" si="483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>IF(CC248&gt;0,SUM(CC248:CG248),0)</f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484"/>
        <v>200</v>
      </c>
      <c r="CL248">
        <f t="shared" si="485"/>
        <v>42650</v>
      </c>
      <c r="CM248">
        <f>_xlfn.XLOOKUP(B248,'[9]november-2025'!$A:$A,'[9]november-2025'!$C:$C,0,0)</f>
        <v>34500</v>
      </c>
      <c r="CN248">
        <f t="shared" si="486"/>
        <v>6210</v>
      </c>
      <c r="CO248">
        <f t="shared" si="487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>IF(CM248&gt;0,SUM(CM248:CQ248),0)</f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488"/>
        <v>200</v>
      </c>
      <c r="CV248">
        <f t="shared" si="489"/>
        <v>42650</v>
      </c>
      <c r="CW248">
        <f>_xlfn.XLOOKUP(B248,'[10]december-2025'!$A:$A,'[10]december-2025'!$C:$C,0,0)</f>
        <v>34500</v>
      </c>
      <c r="CX248">
        <f t="shared" si="490"/>
        <v>6210</v>
      </c>
      <c r="CY248">
        <f t="shared" si="491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>IF(CW248&gt;0,SUM(CW248:DA248),0)</f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492"/>
        <v>200</v>
      </c>
      <c r="DF248">
        <f t="shared" si="493"/>
        <v>42650</v>
      </c>
      <c r="DG248">
        <f>_xlfn.XLOOKUP(B248,'[11]january-2026'!$A:$A,'[11]january-2026'!$C:$C,0,0)</f>
        <v>34500</v>
      </c>
      <c r="DH248">
        <f t="shared" si="494"/>
        <v>6210</v>
      </c>
      <c r="DI248">
        <f t="shared" si="495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>IF(DG248&gt;0,SUM(DG248:DK248),0)</f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496"/>
        <v>200</v>
      </c>
      <c r="DP248">
        <f t="shared" si="497"/>
        <v>42650</v>
      </c>
      <c r="DQ248">
        <f>_xlfn.XLOOKUP(B248,'[12]february-2026'!$A:$A,'[12]february-2026'!$C:$C,0,0)</f>
        <v>34500</v>
      </c>
      <c r="DR248">
        <f t="shared" si="498"/>
        <v>6210</v>
      </c>
      <c r="DS248">
        <f t="shared" si="499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>IF(DQ248&gt;0,SUM(DQ248:DU248),0)</f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00"/>
        <v>200</v>
      </c>
      <c r="DZ248">
        <f t="shared" si="501"/>
        <v>42650</v>
      </c>
      <c r="EA248">
        <f>_xlfn.XLOOKUP(B248,'[1]march-2025'!$A:$A,'[1]march-2025'!$J:$J,0,0)</f>
        <v>0</v>
      </c>
      <c r="EB248">
        <f>_xlfn.XLOOKUP(B248,'[2]april-2025'!$A:$A,'[2]april-2025'!$J:$J,0,0)</f>
        <v>0</v>
      </c>
      <c r="EC248">
        <f>_xlfn.XLOOKUP(B248,'[3]may-2025'!$A:$A,'[3]may-2025'!$J:$J,0,0)</f>
        <v>0</v>
      </c>
      <c r="ED248">
        <f>_xlfn.XLOOKUP(B248,'[4]june-2025'!$A:$A,'[4]june-2025'!$J:$J,0,0)</f>
        <v>0</v>
      </c>
      <c r="EE248">
        <f>_xlfn.XLOOKUP(B248,'[5]july-2025'!$A:$A,'[5]july-2025'!$J:$J,0,0)</f>
        <v>0</v>
      </c>
      <c r="EF248">
        <f>_xlfn.XLOOKUP(B248,'[6]august-2025'!$A:$A,'[6]august-2025'!$J:$J,0,0)</f>
        <v>0</v>
      </c>
      <c r="EG248">
        <f>_xlfn.XLOOKUP(B248,'[7]september-2025'!$A:$A,'[7]september-2025'!$J:$J,0,0)</f>
        <v>0</v>
      </c>
      <c r="EH248">
        <f>_xlfn.XLOOKUP(B248,'[8]october-2025'!$A:$A,'[8]october-2025'!$J:$J,0,0)</f>
        <v>0</v>
      </c>
      <c r="EI248">
        <f>_xlfn.XLOOKUP(C248,'[9]november-2025'!$A:$A,'[9]november-2025'!$J:$J,0,0)</f>
        <v>0</v>
      </c>
      <c r="EJ248">
        <f>_xlfn.XLOOKUP(B248,'[10]december-2025'!$A:$A,'[10]december-2025'!$J:$J,0,0)</f>
        <v>0</v>
      </c>
      <c r="EK248">
        <f>_xlfn.XLOOKUP(B248,'[11]january-2026'!$A:$A,'[11]january-2026'!$J:$J,0,0)</f>
        <v>0</v>
      </c>
      <c r="EL248">
        <f>_xlfn.XLOOKUP(B248,'[12]february-2026'!$A:$A,'[12]february-2026'!$J:$J,0,0)</f>
        <v>0</v>
      </c>
      <c r="EM248">
        <f t="shared" si="455"/>
        <v>0</v>
      </c>
      <c r="EN248">
        <f>DV248+DL248+DB248+CR248+CH248+BX248+BN248+BD248+AS248+AI248+Y248+O248+H248+I248</f>
        <v>544460</v>
      </c>
      <c r="EO248">
        <f>DY248+DO248+DE248+CU248+CK248+CA248+BQ248+BG248+AV248+AL248+AB248+R248</f>
        <v>2400</v>
      </c>
      <c r="EP248">
        <f t="shared" si="502"/>
        <v>50000</v>
      </c>
      <c r="EQ248">
        <v>0</v>
      </c>
      <c r="ER248">
        <f t="shared" si="456"/>
        <v>492060</v>
      </c>
      <c r="ES248">
        <f>DW248+DM248+DC248+CS248+CI248+BY248+BO248+BE248+AT248+AJ248+Z248+P248</f>
        <v>30000</v>
      </c>
      <c r="ET248">
        <f>DX248+DN248+DD248+CT248+CJ248+BZ248+BP248+BF248+AU248+AK248+AA248+Q248</f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503"/>
        <v>30000</v>
      </c>
      <c r="FF248">
        <f t="shared" si="504"/>
        <v>30000</v>
      </c>
      <c r="FG248">
        <f t="shared" si="505"/>
        <v>462060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>SUM(FH248:FN248)+(IF(F248="YES",50000,0))</f>
        <v>0</v>
      </c>
      <c r="FP248">
        <f t="shared" si="506"/>
        <v>462060</v>
      </c>
      <c r="FQ248">
        <f t="shared" si="507"/>
        <v>10603</v>
      </c>
      <c r="FR248">
        <f t="shared" si="508"/>
        <v>0</v>
      </c>
      <c r="FS248">
        <f t="shared" si="509"/>
        <v>10603</v>
      </c>
      <c r="FT248">
        <f t="shared" si="510"/>
        <v>0</v>
      </c>
      <c r="FU248">
        <f t="shared" si="511"/>
        <v>0</v>
      </c>
      <c r="FV248">
        <f t="shared" si="512"/>
        <v>0</v>
      </c>
      <c r="FW248">
        <v>0</v>
      </c>
      <c r="FX248">
        <f t="shared" si="513"/>
        <v>0</v>
      </c>
      <c r="FY248" t="b">
        <f t="shared" si="514"/>
        <v>1</v>
      </c>
      <c r="FZ248">
        <f t="shared" ca="1" si="515"/>
        <v>913</v>
      </c>
      <c r="GA248">
        <f t="shared" ca="1" si="516"/>
        <v>545373</v>
      </c>
      <c r="GB248">
        <f t="shared" si="517"/>
        <v>75000</v>
      </c>
      <c r="GC248">
        <f t="shared" ca="1" si="518"/>
        <v>470373</v>
      </c>
      <c r="GD248">
        <f t="shared" ca="1" si="519"/>
        <v>0</v>
      </c>
      <c r="GE248">
        <f t="shared" ca="1" si="520"/>
        <v>0</v>
      </c>
      <c r="GF248">
        <f t="shared" ca="1" si="521"/>
        <v>0</v>
      </c>
      <c r="GG248">
        <f t="shared" ca="1" si="522"/>
        <v>0</v>
      </c>
      <c r="GH248">
        <f t="shared" ca="1" si="523"/>
        <v>0</v>
      </c>
      <c r="GI248">
        <f t="shared" ca="1" si="524"/>
        <v>0</v>
      </c>
      <c r="GJ248">
        <f ca="1">IF(GC248&gt;1200000,GC248-1200000-IF(F248="YES",50000,0)-GH248,0)</f>
        <v>0</v>
      </c>
      <c r="GK248">
        <f t="shared" ca="1" si="525"/>
        <v>0</v>
      </c>
      <c r="GL248">
        <f t="shared" ca="1" si="526"/>
        <v>0</v>
      </c>
      <c r="GM248">
        <f t="shared" ca="1" si="527"/>
        <v>0</v>
      </c>
      <c r="GN248">
        <f t="shared" ca="1" si="528"/>
        <v>70373</v>
      </c>
      <c r="GO248">
        <f t="shared" ca="1" si="529"/>
        <v>3518.65</v>
      </c>
      <c r="GP248">
        <f t="shared" ca="1" si="530"/>
        <v>3519</v>
      </c>
      <c r="GQ248">
        <f t="shared" ca="1" si="531"/>
        <v>0</v>
      </c>
      <c r="GR248">
        <f t="shared" ca="1" si="532"/>
        <v>0</v>
      </c>
      <c r="GS248">
        <f t="shared" ca="1" si="533"/>
        <v>3519</v>
      </c>
      <c r="GT248">
        <f t="shared" ca="1" si="534"/>
        <v>0</v>
      </c>
      <c r="GU248" t="b">
        <f t="shared" ca="1" si="535"/>
        <v>0</v>
      </c>
      <c r="GV248">
        <f t="shared" ca="1" si="536"/>
        <v>0</v>
      </c>
      <c r="GW248">
        <f t="shared" ca="1" si="537"/>
        <v>3519</v>
      </c>
      <c r="GX248">
        <f t="shared" ca="1" si="538"/>
        <v>0</v>
      </c>
      <c r="GY248">
        <f t="shared" ca="1" si="539"/>
        <v>0</v>
      </c>
      <c r="GZ248">
        <f t="shared" ca="1" si="540"/>
        <v>0</v>
      </c>
    </row>
    <row r="249" spans="1:208" x14ac:dyDescent="0.25">
      <c r="A249">
        <f>_xlfn.AGGREGATE(3,5,$B$2:B249)</f>
        <v>248</v>
      </c>
      <c r="B249" t="s">
        <v>602</v>
      </c>
      <c r="C249" t="s">
        <v>603</v>
      </c>
      <c r="D249" t="s">
        <v>813</v>
      </c>
      <c r="E249" t="s">
        <v>831</v>
      </c>
      <c r="F249" t="s">
        <v>957</v>
      </c>
      <c r="G249" t="s">
        <v>897</v>
      </c>
      <c r="H249">
        <f t="shared" si="543"/>
        <v>6800</v>
      </c>
      <c r="I249">
        <f>_xlfn.XLOOKUP(B249,'[1]march-2025'!$A:$A,'[1]march-2025'!$J:$J,0,0)</f>
        <v>0</v>
      </c>
      <c r="J249">
        <f>_xlfn.XLOOKUP(B249,'[1]march-2025'!$A:$A,'[1]march-2025'!$C:$C,0,0)</f>
        <v>33500</v>
      </c>
      <c r="K249">
        <f t="shared" si="457"/>
        <v>4690</v>
      </c>
      <c r="L249">
        <f t="shared" si="458"/>
        <v>4020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>IF(J249&gt;0,SUM(J249:N249),0)</f>
        <v>42710</v>
      </c>
      <c r="P249">
        <f>_xlfn.XLOOKUP(B249,'[1]march-2025'!$A:$A,'[1]march-2025'!$H:$H,0,0)</f>
        <v>2500</v>
      </c>
      <c r="Q249">
        <f>_xlfn.XLOOKUP(B249,'[1]march-2025'!$A:$A,'[1]march-2025'!$I:$I,0,0)</f>
        <v>0</v>
      </c>
      <c r="R249">
        <f t="shared" si="541"/>
        <v>200</v>
      </c>
      <c r="S249">
        <f t="shared" si="451"/>
        <v>40010</v>
      </c>
      <c r="T249">
        <f>_xlfn.XLOOKUP(B249,'[2]april-2025'!$A:$A,'[2]april-2025'!$C:$C,0,0)</f>
        <v>33500</v>
      </c>
      <c r="U249">
        <f t="shared" si="459"/>
        <v>6030</v>
      </c>
      <c r="V249">
        <f t="shared" si="460"/>
        <v>4020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452"/>
        <v>44050</v>
      </c>
      <c r="Z249">
        <f>_xlfn.XLOOKUP(B249,'[2]april-2025'!$A:$A,'[2]april-2025'!$H:$H,0,0)</f>
        <v>2500</v>
      </c>
      <c r="AA249">
        <f>_xlfn.XLOOKUP(B249,'[2]april-2025'!$A:$A,'[2]april-2025'!$I:$I,0,0)</f>
        <v>0</v>
      </c>
      <c r="AB249">
        <f t="shared" si="461"/>
        <v>200</v>
      </c>
      <c r="AC249">
        <f t="shared" si="462"/>
        <v>41350</v>
      </c>
      <c r="AD249">
        <f>_xlfn.XLOOKUP(B249,'[3]may-2025'!$A:$A,'[3]may-2025'!$C:$C,0,0)</f>
        <v>33500</v>
      </c>
      <c r="AE249">
        <f t="shared" si="463"/>
        <v>6030</v>
      </c>
      <c r="AF249">
        <f t="shared" si="464"/>
        <v>4020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453"/>
        <v>44050</v>
      </c>
      <c r="AJ249">
        <f>_xlfn.XLOOKUP(B249,'[3]may-2025'!$A:$A,'[3]may-2025'!$H:$H,0,0)</f>
        <v>2500</v>
      </c>
      <c r="AK249">
        <f>_xlfn.XLOOKUP(B249,'[3]may-2025'!$A:$A,'[3]may-2025'!$I:$I,0,0)</f>
        <v>0</v>
      </c>
      <c r="AL249">
        <f t="shared" si="465"/>
        <v>200</v>
      </c>
      <c r="AM249">
        <f t="shared" si="466"/>
        <v>41350</v>
      </c>
      <c r="AN249">
        <f>_xlfn.XLOOKUP(B249,'[4]june-2025'!$A:$A,'[4]june-2025'!$C:$C,0,0)</f>
        <v>33500</v>
      </c>
      <c r="AO249">
        <f t="shared" si="467"/>
        <v>6030</v>
      </c>
      <c r="AP249">
        <f t="shared" si="468"/>
        <v>4020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454"/>
        <v>44050</v>
      </c>
      <c r="AT249">
        <f>_xlfn.XLOOKUP(B249,'[4]june-2025'!$A:$A,'[4]june-2025'!$H:$H,0,0)</f>
        <v>2500</v>
      </c>
      <c r="AU249">
        <f>_xlfn.XLOOKUP(B249,'[4]june-2025'!$A:$A,'[4]june-2025'!$I:$I,0,0)</f>
        <v>0</v>
      </c>
      <c r="AV249">
        <f t="shared" si="469"/>
        <v>200</v>
      </c>
      <c r="AW249">
        <f t="shared" si="470"/>
        <v>41350</v>
      </c>
      <c r="AX249">
        <f>_xlfn.XLOOKUP(B249,'[5]july-2025'!$A:$A,'[5]july-2025'!$C:$C,0,0)</f>
        <v>34500</v>
      </c>
      <c r="AY249">
        <f t="shared" si="471"/>
        <v>6210</v>
      </c>
      <c r="AZ249">
        <v>0</v>
      </c>
      <c r="BA249">
        <f t="shared" si="472"/>
        <v>4140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>IF(AX249&gt;0,SUM(AX249:BC249),0)</f>
        <v>45350</v>
      </c>
      <c r="BE249">
        <f>_xlfn.XLOOKUP(B249,'[5]july-2025'!$A:$A,'[5]july-2025'!$H:$H,0,0)</f>
        <v>2500</v>
      </c>
      <c r="BF249">
        <f>_xlfn.XLOOKUP(B249,'[5]july-2025'!$A:$A,'[5]july-2025'!$I:$I,0,0)</f>
        <v>0</v>
      </c>
      <c r="BG249">
        <f t="shared" si="473"/>
        <v>200</v>
      </c>
      <c r="BH249">
        <f t="shared" si="474"/>
        <v>42650</v>
      </c>
      <c r="BI249">
        <f>_xlfn.XLOOKUP(B249,'[6]august-2025'!$A:$A,'[6]august-2025'!$C:$C,0,0)</f>
        <v>34500</v>
      </c>
      <c r="BJ249">
        <f t="shared" si="475"/>
        <v>6210</v>
      </c>
      <c r="BK249">
        <f t="shared" si="476"/>
        <v>4140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477"/>
        <v>45350</v>
      </c>
      <c r="BO249">
        <f>_xlfn.XLOOKUP(B249,'[6]august-2025'!$A:$A,'[6]august-2025'!$H:$H,0,0)</f>
        <v>2500</v>
      </c>
      <c r="BP249">
        <f>_xlfn.XLOOKUP(B249,'[6]august-2025'!$A:$A,'[6]august-2025'!$I:$I,0,0)</f>
        <v>0</v>
      </c>
      <c r="BQ249">
        <f>IF($F249="YES",0,IF(BN249&gt;40000,200,IF(BN249&gt;25000,150,IF(BN249&gt;15000,130,IF(BN249&gt;10000,110,0)))))</f>
        <v>200</v>
      </c>
      <c r="BR249">
        <f>BN249-BO249-BP249-BQ249</f>
        <v>42650</v>
      </c>
      <c r="BS249">
        <f>_xlfn.XLOOKUP(B249,'[7]september-2025'!$A:$A,'[7]september-2025'!$C:$C,0,0)</f>
        <v>34500</v>
      </c>
      <c r="BT249">
        <f t="shared" si="478"/>
        <v>6210</v>
      </c>
      <c r="BU249">
        <f t="shared" si="479"/>
        <v>4140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>IF(BS249&gt;0,SUM(BS249:BW249),0)</f>
        <v>45350</v>
      </c>
      <c r="BY249">
        <f>_xlfn.XLOOKUP(B249,'[7]september-2025'!$A:$A,'[7]september-2025'!$H:$H,0,0)</f>
        <v>2500</v>
      </c>
      <c r="BZ249">
        <f>_xlfn.XLOOKUP(B249,'[7]september-2025'!$A:$A,'[7]september-2025'!$I:$I,0,0)</f>
        <v>0</v>
      </c>
      <c r="CA249">
        <f t="shared" si="480"/>
        <v>200</v>
      </c>
      <c r="CB249">
        <f t="shared" si="481"/>
        <v>42650</v>
      </c>
      <c r="CC249">
        <f>_xlfn.XLOOKUP(B249,'[8]october-2025'!$A:$A,'[8]october-2025'!$C:$C,0,0)</f>
        <v>34500</v>
      </c>
      <c r="CD249">
        <f t="shared" si="482"/>
        <v>6210</v>
      </c>
      <c r="CE249">
        <f t="shared" si="483"/>
        <v>4140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>IF(CC249&gt;0,SUM(CC249:CG249),0)</f>
        <v>45350</v>
      </c>
      <c r="CI249">
        <f>_xlfn.XLOOKUP(B249,'[8]october-2025'!$A:$A,'[8]october-2025'!$H:$H,0,0)</f>
        <v>2500</v>
      </c>
      <c r="CJ249">
        <f>_xlfn.XLOOKUP(B249,'[8]october-2025'!$A:$A,'[8]october-2025'!$I:$I,0,0)</f>
        <v>0</v>
      </c>
      <c r="CK249">
        <f t="shared" si="484"/>
        <v>200</v>
      </c>
      <c r="CL249">
        <f t="shared" si="485"/>
        <v>42650</v>
      </c>
      <c r="CM249">
        <f>_xlfn.XLOOKUP(B249,'[9]november-2025'!$A:$A,'[9]november-2025'!$C:$C,0,0)</f>
        <v>34500</v>
      </c>
      <c r="CN249">
        <f t="shared" si="486"/>
        <v>6210</v>
      </c>
      <c r="CO249">
        <f t="shared" si="487"/>
        <v>4140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>IF(CM249&gt;0,SUM(CM249:CQ249),0)</f>
        <v>45350</v>
      </c>
      <c r="CS249">
        <f>_xlfn.XLOOKUP(B249,'[9]november-2025'!$A:$A,'[9]november-2025'!$H:$H,0,0)</f>
        <v>2500</v>
      </c>
      <c r="CT249">
        <f>_xlfn.XLOOKUP(B249,'[9]november-2025'!$A:$A,'[9]november-2025'!$I:$I,0,0)</f>
        <v>0</v>
      </c>
      <c r="CU249">
        <f t="shared" si="488"/>
        <v>200</v>
      </c>
      <c r="CV249">
        <f t="shared" si="489"/>
        <v>42650</v>
      </c>
      <c r="CW249">
        <f>_xlfn.XLOOKUP(B249,'[10]december-2025'!$A:$A,'[10]december-2025'!$C:$C,0,0)</f>
        <v>34500</v>
      </c>
      <c r="CX249">
        <f t="shared" si="490"/>
        <v>6210</v>
      </c>
      <c r="CY249">
        <f t="shared" si="491"/>
        <v>4140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>IF(CW249&gt;0,SUM(CW249:DA249),0)</f>
        <v>45350</v>
      </c>
      <c r="DC249">
        <f>_xlfn.XLOOKUP(B249,'[10]december-2025'!$A:$A,'[10]december-2025'!$H:$H,0,0)</f>
        <v>2500</v>
      </c>
      <c r="DD249">
        <f>_xlfn.XLOOKUP(B249,'[10]december-2025'!$A:$A,'[10]december-2025'!$I:$I,0,0)</f>
        <v>0</v>
      </c>
      <c r="DE249">
        <f t="shared" si="492"/>
        <v>200</v>
      </c>
      <c r="DF249">
        <f t="shared" si="493"/>
        <v>42650</v>
      </c>
      <c r="DG249">
        <f>_xlfn.XLOOKUP(B249,'[11]january-2026'!$A:$A,'[11]january-2026'!$C:$C,0,0)</f>
        <v>34500</v>
      </c>
      <c r="DH249">
        <f t="shared" si="494"/>
        <v>6210</v>
      </c>
      <c r="DI249">
        <f t="shared" si="495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>IF(DG249&gt;0,SUM(DG249:DK249),0)</f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496"/>
        <v>200</v>
      </c>
      <c r="DP249">
        <f t="shared" si="497"/>
        <v>42650</v>
      </c>
      <c r="DQ249">
        <f>_xlfn.XLOOKUP(B249,'[12]february-2026'!$A:$A,'[12]february-2026'!$C:$C,0,0)</f>
        <v>34500</v>
      </c>
      <c r="DR249">
        <f t="shared" si="498"/>
        <v>6210</v>
      </c>
      <c r="DS249">
        <f t="shared" si="499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>IF(DQ249&gt;0,SUM(DQ249:DU249),0)</f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00"/>
        <v>200</v>
      </c>
      <c r="DZ249">
        <f t="shared" si="501"/>
        <v>42650</v>
      </c>
      <c r="EA249">
        <f>_xlfn.XLOOKUP(B249,'[1]march-2025'!$A:$A,'[1]march-2025'!$J:$J,0,0)</f>
        <v>0</v>
      </c>
      <c r="EB249">
        <f>_xlfn.XLOOKUP(B249,'[2]april-2025'!$A:$A,'[2]april-2025'!$J:$J,0,0)</f>
        <v>0</v>
      </c>
      <c r="EC249">
        <f>_xlfn.XLOOKUP(B249,'[3]may-2025'!$A:$A,'[3]may-2025'!$J:$J,0,0)</f>
        <v>0</v>
      </c>
      <c r="ED249">
        <f>_xlfn.XLOOKUP(B249,'[4]june-2025'!$A:$A,'[4]june-2025'!$J:$J,0,0)</f>
        <v>0</v>
      </c>
      <c r="EE249">
        <f>_xlfn.XLOOKUP(B249,'[5]july-2025'!$A:$A,'[5]july-2025'!$J:$J,0,0)</f>
        <v>0</v>
      </c>
      <c r="EF249">
        <f>_xlfn.XLOOKUP(B249,'[6]august-2025'!$A:$A,'[6]august-2025'!$J:$J,0,0)</f>
        <v>0</v>
      </c>
      <c r="EG249">
        <f>_xlfn.XLOOKUP(B249,'[7]september-2025'!$A:$A,'[7]september-2025'!$J:$J,0,0)</f>
        <v>0</v>
      </c>
      <c r="EH249">
        <f>_xlfn.XLOOKUP(B249,'[8]october-2025'!$A:$A,'[8]october-2025'!$J:$J,0,0)</f>
        <v>0</v>
      </c>
      <c r="EI249">
        <f>_xlfn.XLOOKUP(C249,'[9]november-2025'!$A:$A,'[9]november-2025'!$J:$J,0,0)</f>
        <v>0</v>
      </c>
      <c r="EJ249">
        <f>_xlfn.XLOOKUP(B249,'[10]december-2025'!$A:$A,'[10]december-2025'!$J:$J,0,0)</f>
        <v>0</v>
      </c>
      <c r="EK249">
        <f>_xlfn.XLOOKUP(B249,'[11]january-2026'!$A:$A,'[11]january-2026'!$J:$J,0,0)</f>
        <v>0</v>
      </c>
      <c r="EL249">
        <f>_xlfn.XLOOKUP(B249,'[12]february-2026'!$A:$A,'[12]february-2026'!$J:$J,0,0)</f>
        <v>0</v>
      </c>
      <c r="EM249">
        <f t="shared" si="455"/>
        <v>0</v>
      </c>
      <c r="EN249">
        <f>DV249+DL249+DB249+CR249+CH249+BX249+BN249+BD249+AS249+AI249+Y249+O249+H249+I249</f>
        <v>544460</v>
      </c>
      <c r="EO249">
        <f>DY249+DO249+DE249+CU249+CK249+CA249+BQ249+BG249+AV249+AL249+AB249+R249</f>
        <v>2400</v>
      </c>
      <c r="EP249">
        <f t="shared" si="502"/>
        <v>50000</v>
      </c>
      <c r="EQ249">
        <v>0</v>
      </c>
      <c r="ER249">
        <f t="shared" si="456"/>
        <v>492060</v>
      </c>
      <c r="ES249">
        <f>DW249+DM249+DC249+CS249+CI249+BY249+BO249+BE249+AT249+AJ249+Z249+P249</f>
        <v>30000</v>
      </c>
      <c r="ET249">
        <f>DX249+DN249+DD249+CT249+CJ249+BZ249+BP249+BF249+AU249+AK249+AA249+Q249</f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503"/>
        <v>30000</v>
      </c>
      <c r="FF249">
        <f t="shared" si="504"/>
        <v>30000</v>
      </c>
      <c r="FG249">
        <f t="shared" si="505"/>
        <v>462060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>SUM(FH249:FN249)+(IF(F249="YES",50000,0))</f>
        <v>0</v>
      </c>
      <c r="FP249">
        <f t="shared" si="506"/>
        <v>462060</v>
      </c>
      <c r="FQ249">
        <f t="shared" si="507"/>
        <v>10603</v>
      </c>
      <c r="FR249">
        <f t="shared" si="508"/>
        <v>0</v>
      </c>
      <c r="FS249">
        <f t="shared" si="509"/>
        <v>10603</v>
      </c>
      <c r="FT249">
        <f t="shared" si="510"/>
        <v>0</v>
      </c>
      <c r="FU249">
        <f t="shared" si="511"/>
        <v>0</v>
      </c>
      <c r="FV249">
        <f t="shared" si="512"/>
        <v>0</v>
      </c>
      <c r="FW249">
        <v>0</v>
      </c>
      <c r="FX249">
        <f t="shared" si="513"/>
        <v>0</v>
      </c>
      <c r="FY249" t="b">
        <f t="shared" si="514"/>
        <v>1</v>
      </c>
      <c r="FZ249">
        <f t="shared" ca="1" si="515"/>
        <v>879</v>
      </c>
      <c r="GA249">
        <f t="shared" ca="1" si="516"/>
        <v>545339</v>
      </c>
      <c r="GB249">
        <f t="shared" si="517"/>
        <v>75000</v>
      </c>
      <c r="GC249">
        <f t="shared" ca="1" si="518"/>
        <v>470339</v>
      </c>
      <c r="GD249">
        <f t="shared" ca="1" si="519"/>
        <v>0</v>
      </c>
      <c r="GE249">
        <f t="shared" ca="1" si="520"/>
        <v>0</v>
      </c>
      <c r="GF249">
        <f t="shared" ca="1" si="521"/>
        <v>0</v>
      </c>
      <c r="GG249">
        <f t="shared" ca="1" si="522"/>
        <v>0</v>
      </c>
      <c r="GH249">
        <f t="shared" ca="1" si="523"/>
        <v>0</v>
      </c>
      <c r="GI249">
        <f t="shared" ca="1" si="524"/>
        <v>0</v>
      </c>
      <c r="GJ249">
        <f ca="1">IF(GC249&gt;1200000,GC249-1200000-IF(F249="YES",50000,0)-GH249,0)</f>
        <v>0</v>
      </c>
      <c r="GK249">
        <f t="shared" ca="1" si="525"/>
        <v>0</v>
      </c>
      <c r="GL249">
        <f t="shared" ca="1" si="526"/>
        <v>0</v>
      </c>
      <c r="GM249">
        <f t="shared" ca="1" si="527"/>
        <v>0</v>
      </c>
      <c r="GN249">
        <f t="shared" ca="1" si="528"/>
        <v>70339</v>
      </c>
      <c r="GO249">
        <f t="shared" ca="1" si="529"/>
        <v>3516.9500000000003</v>
      </c>
      <c r="GP249">
        <f t="shared" ca="1" si="530"/>
        <v>3517</v>
      </c>
      <c r="GQ249">
        <f t="shared" ca="1" si="531"/>
        <v>0</v>
      </c>
      <c r="GR249">
        <f t="shared" ca="1" si="532"/>
        <v>0</v>
      </c>
      <c r="GS249">
        <f t="shared" ca="1" si="533"/>
        <v>3517</v>
      </c>
      <c r="GT249">
        <f t="shared" ca="1" si="534"/>
        <v>0</v>
      </c>
      <c r="GU249" t="b">
        <f t="shared" ca="1" si="535"/>
        <v>0</v>
      </c>
      <c r="GV249">
        <f t="shared" ca="1" si="536"/>
        <v>0</v>
      </c>
      <c r="GW249">
        <f t="shared" ca="1" si="537"/>
        <v>3517</v>
      </c>
      <c r="GX249">
        <f t="shared" ca="1" si="538"/>
        <v>0</v>
      </c>
      <c r="GY249">
        <f t="shared" ca="1" si="539"/>
        <v>0</v>
      </c>
      <c r="GZ249">
        <f t="shared" ca="1" si="540"/>
        <v>0</v>
      </c>
    </row>
    <row r="250" spans="1:208" x14ac:dyDescent="0.25">
      <c r="A250">
        <f>_xlfn.AGGREGATE(3,5,$B$2:B250)</f>
        <v>249</v>
      </c>
      <c r="B250" t="s">
        <v>604</v>
      </c>
      <c r="C250" t="s">
        <v>605</v>
      </c>
      <c r="D250" t="s">
        <v>813</v>
      </c>
      <c r="E250" t="s">
        <v>831</v>
      </c>
      <c r="F250" t="s">
        <v>957</v>
      </c>
      <c r="G250" t="s">
        <v>952</v>
      </c>
      <c r="H250">
        <f t="shared" si="543"/>
        <v>6800</v>
      </c>
      <c r="I250">
        <f>_xlfn.XLOOKUP(B250,'[1]march-2025'!$A:$A,'[1]march-2025'!$J:$J,0,0)</f>
        <v>0</v>
      </c>
      <c r="J250">
        <f>_xlfn.XLOOKUP(B250,'[1]march-2025'!$A:$A,'[1]march-2025'!$C:$C,0,0)</f>
        <v>28900</v>
      </c>
      <c r="K250">
        <f t="shared" si="457"/>
        <v>4046.0000000000005</v>
      </c>
      <c r="L250">
        <f t="shared" si="458"/>
        <v>3468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>IF(J250&gt;0,SUM(J250:N250),0)</f>
        <v>36914</v>
      </c>
      <c r="P250">
        <f>_xlfn.XLOOKUP(B250,'[1]march-2025'!$A:$A,'[1]march-2025'!$H:$H,0,0)</f>
        <v>2000</v>
      </c>
      <c r="Q250">
        <f>_xlfn.XLOOKUP(B250,'[1]march-2025'!$A:$A,'[1]march-2025'!$I:$I,0,0)</f>
        <v>0</v>
      </c>
      <c r="R250">
        <f t="shared" si="541"/>
        <v>150</v>
      </c>
      <c r="S250">
        <f t="shared" si="451"/>
        <v>34764</v>
      </c>
      <c r="T250">
        <f>_xlfn.XLOOKUP(B250,'[2]april-2025'!$A:$A,'[2]april-2025'!$C:$C,0,0)</f>
        <v>28900</v>
      </c>
      <c r="U250">
        <f t="shared" si="459"/>
        <v>5202</v>
      </c>
      <c r="V250">
        <f t="shared" si="460"/>
        <v>3468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452"/>
        <v>38070</v>
      </c>
      <c r="Z250">
        <f>_xlfn.XLOOKUP(B250,'[2]april-2025'!$A:$A,'[2]april-2025'!$H:$H,0,0)</f>
        <v>2000</v>
      </c>
      <c r="AA250">
        <f>_xlfn.XLOOKUP(B250,'[2]april-2025'!$A:$A,'[2]april-2025'!$I:$I,0,0)</f>
        <v>0</v>
      </c>
      <c r="AB250">
        <f t="shared" si="461"/>
        <v>150</v>
      </c>
      <c r="AC250">
        <f t="shared" si="462"/>
        <v>35920</v>
      </c>
      <c r="AD250">
        <f>_xlfn.XLOOKUP(B250,'[3]may-2025'!$A:$A,'[3]may-2025'!$C:$C,0,0)</f>
        <v>28900</v>
      </c>
      <c r="AE250">
        <f t="shared" si="463"/>
        <v>5202</v>
      </c>
      <c r="AF250">
        <f t="shared" si="464"/>
        <v>3468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453"/>
        <v>38070</v>
      </c>
      <c r="AJ250">
        <f>_xlfn.XLOOKUP(B250,'[3]may-2025'!$A:$A,'[3]may-2025'!$H:$H,0,0)</f>
        <v>2000</v>
      </c>
      <c r="AK250">
        <f>_xlfn.XLOOKUP(B250,'[3]may-2025'!$A:$A,'[3]may-2025'!$I:$I,0,0)</f>
        <v>0</v>
      </c>
      <c r="AL250">
        <f t="shared" si="465"/>
        <v>150</v>
      </c>
      <c r="AM250">
        <f t="shared" si="466"/>
        <v>35920</v>
      </c>
      <c r="AN250">
        <f>_xlfn.XLOOKUP(B250,'[4]june-2025'!$A:$A,'[4]june-2025'!$C:$C,0,0)</f>
        <v>28900</v>
      </c>
      <c r="AO250">
        <f t="shared" si="467"/>
        <v>5202</v>
      </c>
      <c r="AP250">
        <f t="shared" si="468"/>
        <v>3468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454"/>
        <v>38070</v>
      </c>
      <c r="AT250">
        <f>_xlfn.XLOOKUP(B250,'[4]june-2025'!$A:$A,'[4]june-2025'!$H:$H,0,0)</f>
        <v>2000</v>
      </c>
      <c r="AU250">
        <f>_xlfn.XLOOKUP(B250,'[4]june-2025'!$A:$A,'[4]june-2025'!$I:$I,0,0)</f>
        <v>0</v>
      </c>
      <c r="AV250">
        <f t="shared" si="469"/>
        <v>150</v>
      </c>
      <c r="AW250">
        <f t="shared" si="470"/>
        <v>35920</v>
      </c>
      <c r="AX250">
        <f>_xlfn.XLOOKUP(B250,'[5]july-2025'!$A:$A,'[5]july-2025'!$C:$C,0,0)</f>
        <v>29800</v>
      </c>
      <c r="AY250">
        <f t="shared" si="471"/>
        <v>5364</v>
      </c>
      <c r="AZ250">
        <v>0</v>
      </c>
      <c r="BA250">
        <f t="shared" si="472"/>
        <v>3576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>IF(AX250&gt;0,SUM(AX250:BC250),0)</f>
        <v>39240</v>
      </c>
      <c r="BE250">
        <f>_xlfn.XLOOKUP(B250,'[5]july-2025'!$A:$A,'[5]july-2025'!$H:$H,0,0)</f>
        <v>2000</v>
      </c>
      <c r="BF250">
        <f>_xlfn.XLOOKUP(B250,'[5]july-2025'!$A:$A,'[5]july-2025'!$I:$I,0,0)</f>
        <v>0</v>
      </c>
      <c r="BG250">
        <f t="shared" si="473"/>
        <v>150</v>
      </c>
      <c r="BH250">
        <f t="shared" si="474"/>
        <v>37090</v>
      </c>
      <c r="BI250">
        <f>_xlfn.XLOOKUP(B250,'[6]august-2025'!$A:$A,'[6]august-2025'!$C:$C,0,0)</f>
        <v>29800</v>
      </c>
      <c r="BJ250">
        <f t="shared" si="475"/>
        <v>5364</v>
      </c>
      <c r="BK250">
        <f t="shared" si="476"/>
        <v>3576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477"/>
        <v>39240</v>
      </c>
      <c r="BO250">
        <f>_xlfn.XLOOKUP(B250,'[6]august-2025'!$A:$A,'[6]august-2025'!$H:$H,0,0)</f>
        <v>2000</v>
      </c>
      <c r="BP250">
        <f>_xlfn.XLOOKUP(B250,'[6]august-2025'!$A:$A,'[6]august-2025'!$I:$I,0,0)</f>
        <v>0</v>
      </c>
      <c r="BQ250">
        <f>IF($F250="YES",0,IF(BN250&gt;40000,200,IF(BN250&gt;25000,150,IF(BN250&gt;15000,130,IF(BN250&gt;10000,110,0)))))</f>
        <v>150</v>
      </c>
      <c r="BR250">
        <f>BN250-BO250-BP250-BQ250</f>
        <v>37090</v>
      </c>
      <c r="BS250">
        <f>_xlfn.XLOOKUP(B250,'[7]september-2025'!$A:$A,'[7]september-2025'!$C:$C,0,0)</f>
        <v>29800</v>
      </c>
      <c r="BT250">
        <f t="shared" si="478"/>
        <v>5364</v>
      </c>
      <c r="BU250">
        <f t="shared" si="479"/>
        <v>3576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>IF(BS250&gt;0,SUM(BS250:BW250),0)</f>
        <v>39240</v>
      </c>
      <c r="BY250">
        <f>_xlfn.XLOOKUP(B250,'[7]september-2025'!$A:$A,'[7]september-2025'!$H:$H,0,0)</f>
        <v>2000</v>
      </c>
      <c r="BZ250">
        <f>_xlfn.XLOOKUP(B250,'[7]september-2025'!$A:$A,'[7]september-2025'!$I:$I,0,0)</f>
        <v>0</v>
      </c>
      <c r="CA250">
        <f t="shared" si="480"/>
        <v>150</v>
      </c>
      <c r="CB250">
        <f t="shared" si="481"/>
        <v>37090</v>
      </c>
      <c r="CC250">
        <f>_xlfn.XLOOKUP(B250,'[8]october-2025'!$A:$A,'[8]october-2025'!$C:$C,0,0)</f>
        <v>29800</v>
      </c>
      <c r="CD250">
        <f t="shared" si="482"/>
        <v>5364</v>
      </c>
      <c r="CE250">
        <f t="shared" si="483"/>
        <v>3576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>IF(CC250&gt;0,SUM(CC250:CG250),0)</f>
        <v>39240</v>
      </c>
      <c r="CI250">
        <f>_xlfn.XLOOKUP(B250,'[8]october-2025'!$A:$A,'[8]october-2025'!$H:$H,0,0)</f>
        <v>2000</v>
      </c>
      <c r="CJ250">
        <f>_xlfn.XLOOKUP(B250,'[8]october-2025'!$A:$A,'[8]october-2025'!$I:$I,0,0)</f>
        <v>0</v>
      </c>
      <c r="CK250">
        <f t="shared" si="484"/>
        <v>150</v>
      </c>
      <c r="CL250">
        <f t="shared" si="485"/>
        <v>37090</v>
      </c>
      <c r="CM250">
        <f>_xlfn.XLOOKUP(B250,'[9]november-2025'!$A:$A,'[9]november-2025'!$C:$C,0,0)</f>
        <v>29800</v>
      </c>
      <c r="CN250">
        <f t="shared" si="486"/>
        <v>5364</v>
      </c>
      <c r="CO250">
        <f t="shared" si="487"/>
        <v>3576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>IF(CM250&gt;0,SUM(CM250:CQ250),0)</f>
        <v>39240</v>
      </c>
      <c r="CS250">
        <f>_xlfn.XLOOKUP(B250,'[9]november-2025'!$A:$A,'[9]november-2025'!$H:$H,0,0)</f>
        <v>2000</v>
      </c>
      <c r="CT250">
        <f>_xlfn.XLOOKUP(B250,'[9]november-2025'!$A:$A,'[9]november-2025'!$I:$I,0,0)</f>
        <v>0</v>
      </c>
      <c r="CU250">
        <f t="shared" si="488"/>
        <v>150</v>
      </c>
      <c r="CV250">
        <f t="shared" si="489"/>
        <v>37090</v>
      </c>
      <c r="CW250">
        <f>_xlfn.XLOOKUP(B250,'[10]december-2025'!$A:$A,'[10]december-2025'!$C:$C,0,0)</f>
        <v>29800</v>
      </c>
      <c r="CX250">
        <f t="shared" si="490"/>
        <v>5364</v>
      </c>
      <c r="CY250">
        <f t="shared" si="491"/>
        <v>3576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>IF(CW250&gt;0,SUM(CW250:DA250),0)</f>
        <v>39240</v>
      </c>
      <c r="DC250">
        <f>_xlfn.XLOOKUP(B250,'[10]december-2025'!$A:$A,'[10]december-2025'!$H:$H,0,0)</f>
        <v>2000</v>
      </c>
      <c r="DD250">
        <f>_xlfn.XLOOKUP(B250,'[10]december-2025'!$A:$A,'[10]december-2025'!$I:$I,0,0)</f>
        <v>0</v>
      </c>
      <c r="DE250">
        <f t="shared" si="492"/>
        <v>150</v>
      </c>
      <c r="DF250">
        <f t="shared" si="493"/>
        <v>37090</v>
      </c>
      <c r="DG250">
        <f>_xlfn.XLOOKUP(B250,'[11]january-2026'!$A:$A,'[11]january-2026'!$C:$C,0,0)</f>
        <v>29800</v>
      </c>
      <c r="DH250">
        <f t="shared" si="494"/>
        <v>5364</v>
      </c>
      <c r="DI250">
        <f t="shared" si="495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>IF(DG250&gt;0,SUM(DG250:DK250),0)</f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496"/>
        <v>150</v>
      </c>
      <c r="DP250">
        <f t="shared" si="497"/>
        <v>37090</v>
      </c>
      <c r="DQ250">
        <f>_xlfn.XLOOKUP(B250,'[12]february-2026'!$A:$A,'[12]february-2026'!$C:$C,0,0)</f>
        <v>29800</v>
      </c>
      <c r="DR250">
        <f t="shared" si="498"/>
        <v>5364</v>
      </c>
      <c r="DS250">
        <f t="shared" si="499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>IF(DQ250&gt;0,SUM(DQ250:DU250),0)</f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00"/>
        <v>150</v>
      </c>
      <c r="DZ250">
        <f t="shared" si="501"/>
        <v>37090</v>
      </c>
      <c r="EA250">
        <f>_xlfn.XLOOKUP(B250,'[1]march-2025'!$A:$A,'[1]march-2025'!$J:$J,0,0)</f>
        <v>0</v>
      </c>
      <c r="EB250">
        <f>_xlfn.XLOOKUP(B250,'[2]april-2025'!$A:$A,'[2]april-2025'!$J:$J,0,0)</f>
        <v>0</v>
      </c>
      <c r="EC250">
        <f>_xlfn.XLOOKUP(B250,'[3]may-2025'!$A:$A,'[3]may-2025'!$J:$J,0,0)</f>
        <v>0</v>
      </c>
      <c r="ED250">
        <f>_xlfn.XLOOKUP(B250,'[4]june-2025'!$A:$A,'[4]june-2025'!$J:$J,0,0)</f>
        <v>0</v>
      </c>
      <c r="EE250">
        <f>_xlfn.XLOOKUP(B250,'[5]july-2025'!$A:$A,'[5]july-2025'!$J:$J,0,0)</f>
        <v>0</v>
      </c>
      <c r="EF250">
        <f>_xlfn.XLOOKUP(B250,'[6]august-2025'!$A:$A,'[6]august-2025'!$J:$J,0,0)</f>
        <v>0</v>
      </c>
      <c r="EG250">
        <f>_xlfn.XLOOKUP(B250,'[7]september-2025'!$A:$A,'[7]september-2025'!$J:$J,0,0)</f>
        <v>0</v>
      </c>
      <c r="EH250">
        <f>_xlfn.XLOOKUP(B250,'[8]october-2025'!$A:$A,'[8]october-2025'!$J:$J,0,0)</f>
        <v>0</v>
      </c>
      <c r="EI250">
        <f>_xlfn.XLOOKUP(C250,'[9]november-2025'!$A:$A,'[9]november-2025'!$J:$J,0,0)</f>
        <v>0</v>
      </c>
      <c r="EJ250">
        <f>_xlfn.XLOOKUP(B250,'[10]december-2025'!$A:$A,'[10]december-2025'!$J:$J,0,0)</f>
        <v>0</v>
      </c>
      <c r="EK250">
        <f>_xlfn.XLOOKUP(B250,'[11]january-2026'!$A:$A,'[11]january-2026'!$J:$J,0,0)</f>
        <v>0</v>
      </c>
      <c r="EL250">
        <f>_xlfn.XLOOKUP(B250,'[12]february-2026'!$A:$A,'[12]february-2026'!$J:$J,0,0)</f>
        <v>0</v>
      </c>
      <c r="EM250">
        <f t="shared" si="455"/>
        <v>0</v>
      </c>
      <c r="EN250">
        <f>DV250+DL250+DB250+CR250+CH250+BX250+BN250+BD250+AS250+AI250+Y250+O250+H250+I250</f>
        <v>471844</v>
      </c>
      <c r="EO250">
        <f>DY250+DO250+DE250+CU250+CK250+CA250+BQ250+BG250+AV250+AL250+AB250+R250</f>
        <v>1800</v>
      </c>
      <c r="EP250">
        <f t="shared" si="502"/>
        <v>50000</v>
      </c>
      <c r="EQ250">
        <v>0</v>
      </c>
      <c r="ER250">
        <f t="shared" si="456"/>
        <v>420044</v>
      </c>
      <c r="ES250">
        <f>DW250+DM250+DC250+CS250+CI250+BY250+BO250+BE250+AT250+AJ250+Z250+P250</f>
        <v>24000</v>
      </c>
      <c r="ET250">
        <f>DX250+DN250+DD250+CT250+CJ250+BZ250+BP250+BF250+AU250+AK250+AA250+Q250</f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503"/>
        <v>24000</v>
      </c>
      <c r="FF250">
        <f t="shared" si="504"/>
        <v>24000</v>
      </c>
      <c r="FG250">
        <f t="shared" si="505"/>
        <v>396044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>SUM(FH250:FN250)+(IF(F250="YES",50000,0))</f>
        <v>0</v>
      </c>
      <c r="FP250">
        <f t="shared" si="506"/>
        <v>396044</v>
      </c>
      <c r="FQ250">
        <f t="shared" si="507"/>
        <v>7302</v>
      </c>
      <c r="FR250">
        <f t="shared" si="508"/>
        <v>0</v>
      </c>
      <c r="FS250">
        <f t="shared" si="509"/>
        <v>7302</v>
      </c>
      <c r="FT250">
        <f t="shared" si="510"/>
        <v>0</v>
      </c>
      <c r="FU250">
        <f t="shared" si="511"/>
        <v>0</v>
      </c>
      <c r="FV250">
        <f t="shared" si="512"/>
        <v>0</v>
      </c>
      <c r="FW250">
        <v>0</v>
      </c>
      <c r="FX250">
        <f t="shared" si="513"/>
        <v>0</v>
      </c>
      <c r="FY250" t="b">
        <f t="shared" si="514"/>
        <v>0</v>
      </c>
      <c r="FZ250">
        <f t="shared" ca="1" si="515"/>
        <v>2381</v>
      </c>
      <c r="GA250">
        <f t="shared" ca="1" si="516"/>
        <v>474225</v>
      </c>
      <c r="GB250">
        <f t="shared" si="517"/>
        <v>75000</v>
      </c>
      <c r="GC250">
        <f t="shared" ca="1" si="518"/>
        <v>399225</v>
      </c>
      <c r="GD250">
        <f t="shared" ca="1" si="519"/>
        <v>0</v>
      </c>
      <c r="GE250">
        <f t="shared" ca="1" si="520"/>
        <v>0</v>
      </c>
      <c r="GF250">
        <f t="shared" ca="1" si="521"/>
        <v>0</v>
      </c>
      <c r="GG250">
        <f t="shared" ca="1" si="522"/>
        <v>0</v>
      </c>
      <c r="GH250">
        <f t="shared" ca="1" si="523"/>
        <v>0</v>
      </c>
      <c r="GI250">
        <f t="shared" ca="1" si="524"/>
        <v>0</v>
      </c>
      <c r="GJ250">
        <f ca="1">IF(GC250&gt;1200000,GC250-1200000-IF(F250="YES",50000,0)-GH250,0)</f>
        <v>0</v>
      </c>
      <c r="GK250">
        <f t="shared" ca="1" si="525"/>
        <v>0</v>
      </c>
      <c r="GL250">
        <f t="shared" ca="1" si="526"/>
        <v>0</v>
      </c>
      <c r="GM250">
        <f t="shared" ca="1" si="527"/>
        <v>0</v>
      </c>
      <c r="GN250">
        <f t="shared" ca="1" si="528"/>
        <v>0</v>
      </c>
      <c r="GO250">
        <f t="shared" ca="1" si="529"/>
        <v>0</v>
      </c>
      <c r="GP250">
        <f t="shared" ca="1" si="530"/>
        <v>0</v>
      </c>
      <c r="GQ250">
        <f t="shared" ca="1" si="531"/>
        <v>0</v>
      </c>
      <c r="GR250">
        <f t="shared" ca="1" si="532"/>
        <v>0</v>
      </c>
      <c r="GS250">
        <f t="shared" ca="1" si="533"/>
        <v>0</v>
      </c>
      <c r="GT250">
        <f t="shared" ca="1" si="534"/>
        <v>0</v>
      </c>
      <c r="GU250" t="b">
        <f t="shared" ca="1" si="535"/>
        <v>0</v>
      </c>
      <c r="GV250">
        <f t="shared" ca="1" si="536"/>
        <v>0</v>
      </c>
      <c r="GW250">
        <f t="shared" ca="1" si="537"/>
        <v>0</v>
      </c>
      <c r="GX250">
        <f t="shared" ca="1" si="538"/>
        <v>0</v>
      </c>
      <c r="GY250">
        <f t="shared" ca="1" si="539"/>
        <v>0</v>
      </c>
      <c r="GZ250">
        <f t="shared" ca="1" si="540"/>
        <v>0</v>
      </c>
    </row>
    <row r="251" spans="1:208" x14ac:dyDescent="0.25">
      <c r="A251">
        <f>_xlfn.AGGREGATE(3,5,$B$2:B251)</f>
        <v>250</v>
      </c>
      <c r="B251" t="s">
        <v>606</v>
      </c>
      <c r="C251" t="s">
        <v>976</v>
      </c>
      <c r="D251" t="s">
        <v>814</v>
      </c>
      <c r="E251" t="s">
        <v>831</v>
      </c>
      <c r="F251" t="s">
        <v>957</v>
      </c>
      <c r="G251" t="s">
        <v>885</v>
      </c>
      <c r="H251">
        <f t="shared" si="543"/>
        <v>6800</v>
      </c>
      <c r="I251">
        <f>_xlfn.XLOOKUP(B251,'[1]march-2025'!$A:$A,'[1]march-2025'!$J:$J,0,0)</f>
        <v>0</v>
      </c>
      <c r="J251">
        <f>_xlfn.XLOOKUP(B251,'[1]march-2025'!$A:$A,'[1]march-2025'!$C:$C,0,0)</f>
        <v>48700</v>
      </c>
      <c r="K251">
        <f t="shared" si="457"/>
        <v>6818.0000000000009</v>
      </c>
      <c r="L251">
        <f t="shared" si="458"/>
        <v>5844</v>
      </c>
      <c r="M251">
        <f>_xlfn.XLOOKUP(B251,'[1]march-2025'!$A:$A,'[1]march-2025'!$D:$D,0,0)</f>
        <v>400</v>
      </c>
      <c r="N251">
        <f>_xlfn.XLOOKUP(B251,'[1]march-2025'!$A:$A,'[1]march-2025'!$G:$G,0,0)</f>
        <v>500</v>
      </c>
      <c r="O251">
        <f>IF(J251&gt;0,SUM(J251:N251),0)</f>
        <v>62262</v>
      </c>
      <c r="P251">
        <f>_xlfn.XLOOKUP(B251,'[1]march-2025'!$A:$A,'[1]march-2025'!$H:$H,0,0)</f>
        <v>5000</v>
      </c>
      <c r="Q251">
        <f>_xlfn.XLOOKUP(B251,'[1]march-2025'!$A:$A,'[1]march-2025'!$I:$I,0,0)</f>
        <v>0</v>
      </c>
      <c r="R251">
        <f t="shared" si="541"/>
        <v>200</v>
      </c>
      <c r="S251">
        <f t="shared" si="451"/>
        <v>57062</v>
      </c>
      <c r="T251">
        <f>_xlfn.XLOOKUP(B251,'[2]april-2025'!$A:$A,'[2]april-2025'!$C:$C,0,0)</f>
        <v>48700</v>
      </c>
      <c r="U251">
        <f t="shared" si="459"/>
        <v>8766</v>
      </c>
      <c r="V251">
        <f t="shared" si="460"/>
        <v>5844</v>
      </c>
      <c r="W251">
        <f>_xlfn.XLOOKUP(B251,'[2]april-2025'!$A:$A,'[2]april-2025'!$D:$D,0,0)</f>
        <v>400</v>
      </c>
      <c r="X251">
        <f>_xlfn.XLOOKUP(B251,'[2]april-2025'!$A:$A,'[2]april-2025'!$G:$G,0,0)</f>
        <v>500</v>
      </c>
      <c r="Y251">
        <f t="shared" si="452"/>
        <v>64210</v>
      </c>
      <c r="Z251">
        <f>_xlfn.XLOOKUP(B251,'[2]april-2025'!$A:$A,'[2]april-2025'!$H:$H,0,0)</f>
        <v>5000</v>
      </c>
      <c r="AA251">
        <f>_xlfn.XLOOKUP(B251,'[2]april-2025'!$A:$A,'[2]april-2025'!$I:$I,0,0)</f>
        <v>0</v>
      </c>
      <c r="AB251">
        <f t="shared" si="461"/>
        <v>200</v>
      </c>
      <c r="AC251">
        <f t="shared" si="462"/>
        <v>59010</v>
      </c>
      <c r="AD251">
        <f>_xlfn.XLOOKUP(B251,'[3]may-2025'!$A:$A,'[3]may-2025'!$C:$C,0,0)</f>
        <v>48700</v>
      </c>
      <c r="AE251">
        <f t="shared" si="463"/>
        <v>8766</v>
      </c>
      <c r="AF251">
        <f t="shared" si="464"/>
        <v>5844</v>
      </c>
      <c r="AG251">
        <f>_xlfn.XLOOKUP(B251,'[3]may-2025'!$A:$A,'[3]may-2025'!$D:$D,0,0)</f>
        <v>400</v>
      </c>
      <c r="AH251">
        <f>_xlfn.XLOOKUP(B251,'[3]may-2025'!$A:$A,'[3]may-2025'!$G:$G,0,0)</f>
        <v>500</v>
      </c>
      <c r="AI251">
        <f t="shared" si="453"/>
        <v>64210</v>
      </c>
      <c r="AJ251">
        <f>_xlfn.XLOOKUP(B251,'[3]may-2025'!$A:$A,'[3]may-2025'!$H:$H,0,0)</f>
        <v>5000</v>
      </c>
      <c r="AK251">
        <f>_xlfn.XLOOKUP(B251,'[3]may-2025'!$A:$A,'[3]may-2025'!$I:$I,0,0)</f>
        <v>0</v>
      </c>
      <c r="AL251">
        <f t="shared" si="465"/>
        <v>200</v>
      </c>
      <c r="AM251">
        <f t="shared" si="466"/>
        <v>59010</v>
      </c>
      <c r="AN251">
        <f>_xlfn.XLOOKUP(B251,'[4]june-2025'!$A:$A,'[4]june-2025'!$C:$C,0,0)</f>
        <v>48700</v>
      </c>
      <c r="AO251">
        <f t="shared" si="467"/>
        <v>8766</v>
      </c>
      <c r="AP251">
        <f t="shared" si="468"/>
        <v>5844</v>
      </c>
      <c r="AQ251">
        <f>_xlfn.XLOOKUP(B251,'[4]june-2025'!$A:$A,'[4]june-2025'!$D:$D,0,0)</f>
        <v>400</v>
      </c>
      <c r="AR251">
        <f>_xlfn.XLOOKUP(B251,'[4]june-2025'!$A:$A,'[4]june-2025'!$G:$G,0,0)</f>
        <v>500</v>
      </c>
      <c r="AS251">
        <f t="shared" si="454"/>
        <v>64210</v>
      </c>
      <c r="AT251">
        <f>_xlfn.XLOOKUP(B251,'[4]june-2025'!$A:$A,'[4]june-2025'!$H:$H,0,0)</f>
        <v>5000</v>
      </c>
      <c r="AU251">
        <f>_xlfn.XLOOKUP(B251,'[4]june-2025'!$A:$A,'[4]june-2025'!$I:$I,0,0)</f>
        <v>0</v>
      </c>
      <c r="AV251">
        <f t="shared" si="469"/>
        <v>200</v>
      </c>
      <c r="AW251">
        <f t="shared" si="470"/>
        <v>59010</v>
      </c>
      <c r="AX251">
        <f>_xlfn.XLOOKUP(B251,'[5]july-2025'!$A:$A,'[5]july-2025'!$C:$C,0,0)</f>
        <v>50200</v>
      </c>
      <c r="AY251">
        <f t="shared" si="471"/>
        <v>9036</v>
      </c>
      <c r="AZ251">
        <v>0</v>
      </c>
      <c r="BA251">
        <f t="shared" si="472"/>
        <v>6024</v>
      </c>
      <c r="BB251">
        <f>_xlfn.XLOOKUP(B251,'[5]july-2025'!$A:$A,'[5]july-2025'!$D:$D,0,0)</f>
        <v>400</v>
      </c>
      <c r="BC251">
        <f>_xlfn.XLOOKUP(B251,'[5]july-2025'!$A:$A,'[5]july-2025'!$G:$G,0,0)</f>
        <v>500</v>
      </c>
      <c r="BD251">
        <f>IF(AX251&gt;0,SUM(AX251:BC251),0)</f>
        <v>66160</v>
      </c>
      <c r="BE251">
        <f>_xlfn.XLOOKUP(B251,'[5]july-2025'!$A:$A,'[5]july-2025'!$H:$H,0,0)</f>
        <v>5000</v>
      </c>
      <c r="BF251">
        <f>_xlfn.XLOOKUP(B251,'[5]july-2025'!$A:$A,'[5]july-2025'!$I:$I,0,0)</f>
        <v>0</v>
      </c>
      <c r="BG251">
        <f t="shared" si="473"/>
        <v>200</v>
      </c>
      <c r="BH251">
        <f t="shared" si="474"/>
        <v>60960</v>
      </c>
      <c r="BI251">
        <f>_xlfn.XLOOKUP(B251,'[6]august-2025'!$A:$A,'[6]august-2025'!$C:$C,0,0)</f>
        <v>50200</v>
      </c>
      <c r="BJ251">
        <f t="shared" si="475"/>
        <v>9036</v>
      </c>
      <c r="BK251">
        <f t="shared" si="476"/>
        <v>6024</v>
      </c>
      <c r="BL251">
        <f>_xlfn.XLOOKUP(B251,'[6]august-2025'!$A:$A,'[6]august-2025'!$D:$D,0,0)</f>
        <v>400</v>
      </c>
      <c r="BM251">
        <f>_xlfn.XLOOKUP(B251,'[6]august-2025'!$A:$A,'[6]august-2025'!$G:$G,0,0)</f>
        <v>500</v>
      </c>
      <c r="BN251">
        <f t="shared" si="477"/>
        <v>66160</v>
      </c>
      <c r="BO251">
        <f>_xlfn.XLOOKUP(B251,'[6]august-2025'!$A:$A,'[6]august-2025'!$H:$H,0,0)</f>
        <v>5000</v>
      </c>
      <c r="BP251">
        <f>_xlfn.XLOOKUP(B251,'[6]august-2025'!$A:$A,'[6]august-2025'!$I:$I,0,0)</f>
        <v>0</v>
      </c>
      <c r="BQ251">
        <f>IF($F251="YES",0,IF(BN251&gt;40000,200,IF(BN251&gt;25000,150,IF(BN251&gt;15000,130,IF(BN251&gt;10000,110,0)))))</f>
        <v>200</v>
      </c>
      <c r="BR251">
        <f>BN251-BO251-BP251-BQ251</f>
        <v>60960</v>
      </c>
      <c r="BS251">
        <f>_xlfn.XLOOKUP(B251,'[7]september-2025'!$A:$A,'[7]september-2025'!$C:$C,0,0)</f>
        <v>50200</v>
      </c>
      <c r="BT251">
        <f t="shared" si="478"/>
        <v>9036</v>
      </c>
      <c r="BU251">
        <f t="shared" si="479"/>
        <v>6024</v>
      </c>
      <c r="BV251">
        <f>_xlfn.XLOOKUP(B251,'[7]september-2025'!$A:$A,'[7]september-2025'!$D:$D,0,0)</f>
        <v>400</v>
      </c>
      <c r="BW251">
        <f>_xlfn.XLOOKUP(B251,'[7]september-2025'!$A:$A,'[7]september-2025'!$G:$G,0,0)</f>
        <v>500</v>
      </c>
      <c r="BX251">
        <f>IF(BS251&gt;0,SUM(BS251:BW251),0)</f>
        <v>66160</v>
      </c>
      <c r="BY251">
        <f>_xlfn.XLOOKUP(B251,'[7]september-2025'!$A:$A,'[7]september-2025'!$H:$H,0,0)</f>
        <v>5000</v>
      </c>
      <c r="BZ251">
        <f>_xlfn.XLOOKUP(B251,'[7]september-2025'!$A:$A,'[7]september-2025'!$I:$I,0,0)</f>
        <v>0</v>
      </c>
      <c r="CA251">
        <f t="shared" si="480"/>
        <v>200</v>
      </c>
      <c r="CB251">
        <f t="shared" si="481"/>
        <v>60960</v>
      </c>
      <c r="CC251">
        <f>_xlfn.XLOOKUP(B251,'[8]october-2025'!$A:$A,'[8]october-2025'!$C:$C,0,0)</f>
        <v>50200</v>
      </c>
      <c r="CD251">
        <f t="shared" si="482"/>
        <v>9036</v>
      </c>
      <c r="CE251">
        <f t="shared" si="483"/>
        <v>6024</v>
      </c>
      <c r="CF251">
        <f>_xlfn.XLOOKUP(B251,'[8]october-2025'!$A:$A,'[8]october-2025'!$D:$D,0,0)</f>
        <v>400</v>
      </c>
      <c r="CG251">
        <f>_xlfn.XLOOKUP(B251,'[8]october-2025'!$A:$A,'[8]october-2025'!$G:$G,0,0)</f>
        <v>500</v>
      </c>
      <c r="CH251">
        <f>IF(CC251&gt;0,SUM(CC251:CG251),0)</f>
        <v>66160</v>
      </c>
      <c r="CI251">
        <f>_xlfn.XLOOKUP(B251,'[8]october-2025'!$A:$A,'[8]october-2025'!$H:$H,0,0)</f>
        <v>5000</v>
      </c>
      <c r="CJ251">
        <f>_xlfn.XLOOKUP(B251,'[8]october-2025'!$A:$A,'[8]october-2025'!$I:$I,0,0)</f>
        <v>0</v>
      </c>
      <c r="CK251">
        <f t="shared" si="484"/>
        <v>200</v>
      </c>
      <c r="CL251">
        <f t="shared" si="485"/>
        <v>60960</v>
      </c>
      <c r="CM251">
        <f>_xlfn.XLOOKUP(B251,'[9]november-2025'!$A:$A,'[9]november-2025'!$C:$C,0,0)</f>
        <v>50200</v>
      </c>
      <c r="CN251">
        <f t="shared" si="486"/>
        <v>9036</v>
      </c>
      <c r="CO251">
        <f t="shared" si="487"/>
        <v>6024</v>
      </c>
      <c r="CP251">
        <f>_xlfn.XLOOKUP(B251,'[9]november-2025'!$A:$A,'[9]november-2025'!$D:$D,0,0)</f>
        <v>400</v>
      </c>
      <c r="CQ251">
        <f>_xlfn.XLOOKUP(B251,'[9]november-2025'!$A:$A,'[9]november-2025'!$G:$G,0,0)</f>
        <v>500</v>
      </c>
      <c r="CR251">
        <f>IF(CM251&gt;0,SUM(CM251:CQ251),0)</f>
        <v>66160</v>
      </c>
      <c r="CS251">
        <f>_xlfn.XLOOKUP(B251,'[9]november-2025'!$A:$A,'[9]november-2025'!$H:$H,0,0)</f>
        <v>5000</v>
      </c>
      <c r="CT251">
        <f>_xlfn.XLOOKUP(B251,'[9]november-2025'!$A:$A,'[9]november-2025'!$I:$I,0,0)</f>
        <v>0</v>
      </c>
      <c r="CU251">
        <f t="shared" si="488"/>
        <v>200</v>
      </c>
      <c r="CV251">
        <f t="shared" si="489"/>
        <v>60960</v>
      </c>
      <c r="CW251">
        <f>_xlfn.XLOOKUP(B251,'[10]december-2025'!$A:$A,'[10]december-2025'!$C:$C,0,0)</f>
        <v>50200</v>
      </c>
      <c r="CX251">
        <f t="shared" si="490"/>
        <v>9036</v>
      </c>
      <c r="CY251">
        <f t="shared" si="491"/>
        <v>6024</v>
      </c>
      <c r="CZ251">
        <f>_xlfn.XLOOKUP(B251,'[10]december-2025'!$A:$A,'[10]december-2025'!$D:$D,0,0)</f>
        <v>400</v>
      </c>
      <c r="DA251">
        <f>_xlfn.XLOOKUP(B251,'[10]december-2025'!$A:$A,'[10]december-2025'!$G:$G,0,0)</f>
        <v>500</v>
      </c>
      <c r="DB251">
        <f>IF(CW251&gt;0,SUM(CW251:DA251),0)</f>
        <v>66160</v>
      </c>
      <c r="DC251">
        <f>_xlfn.XLOOKUP(B251,'[10]december-2025'!$A:$A,'[10]december-2025'!$H:$H,0,0)</f>
        <v>5000</v>
      </c>
      <c r="DD251">
        <f>_xlfn.XLOOKUP(B251,'[10]december-2025'!$A:$A,'[10]december-2025'!$I:$I,0,0)</f>
        <v>0</v>
      </c>
      <c r="DE251">
        <f t="shared" si="492"/>
        <v>200</v>
      </c>
      <c r="DF251">
        <f t="shared" si="493"/>
        <v>60960</v>
      </c>
      <c r="DG251">
        <f>_xlfn.XLOOKUP(B251,'[11]january-2026'!$A:$A,'[11]january-2026'!$C:$C,0,0)</f>
        <v>50200</v>
      </c>
      <c r="DH251">
        <f t="shared" si="494"/>
        <v>9036</v>
      </c>
      <c r="DI251">
        <f t="shared" si="495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>IF(DG251&gt;0,SUM(DG251:DK251),0)</f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496"/>
        <v>200</v>
      </c>
      <c r="DP251">
        <f t="shared" si="497"/>
        <v>60960</v>
      </c>
      <c r="DQ251">
        <f>_xlfn.XLOOKUP(B251,'[12]february-2026'!$A:$A,'[12]february-2026'!$C:$C,0,0)</f>
        <v>50200</v>
      </c>
      <c r="DR251">
        <f t="shared" si="498"/>
        <v>9036</v>
      </c>
      <c r="DS251">
        <f t="shared" si="499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>IF(DQ251&gt;0,SUM(DQ251:DU251),0)</f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00"/>
        <v>200</v>
      </c>
      <c r="DZ251">
        <f t="shared" si="501"/>
        <v>60960</v>
      </c>
      <c r="EA251">
        <f>_xlfn.XLOOKUP(B251,'[1]march-2025'!$A:$A,'[1]march-2025'!$J:$J,0,0)</f>
        <v>0</v>
      </c>
      <c r="EB251">
        <f>_xlfn.XLOOKUP(B251,'[2]april-2025'!$A:$A,'[2]april-2025'!$J:$J,0,0)</f>
        <v>0</v>
      </c>
      <c r="EC251">
        <f>_xlfn.XLOOKUP(B251,'[3]may-2025'!$A:$A,'[3]may-2025'!$J:$J,0,0)</f>
        <v>0</v>
      </c>
      <c r="ED251">
        <f>_xlfn.XLOOKUP(B251,'[4]june-2025'!$A:$A,'[4]june-2025'!$J:$J,0,0)</f>
        <v>0</v>
      </c>
      <c r="EE251">
        <f>_xlfn.XLOOKUP(B251,'[5]july-2025'!$A:$A,'[5]july-2025'!$J:$J,0,0)</f>
        <v>0</v>
      </c>
      <c r="EF251">
        <f>_xlfn.XLOOKUP(B251,'[6]august-2025'!$A:$A,'[6]august-2025'!$J:$J,0,0)</f>
        <v>0</v>
      </c>
      <c r="EG251">
        <f>_xlfn.XLOOKUP(B251,'[7]september-2025'!$A:$A,'[7]september-2025'!$J:$J,0,0)</f>
        <v>0</v>
      </c>
      <c r="EH251">
        <f>_xlfn.XLOOKUP(B251,'[8]october-2025'!$A:$A,'[8]october-2025'!$J:$J,0,0)</f>
        <v>0</v>
      </c>
      <c r="EI251">
        <f>_xlfn.XLOOKUP(C251,'[9]november-2025'!$A:$A,'[9]november-2025'!$J:$J,0,0)</f>
        <v>0</v>
      </c>
      <c r="EJ251">
        <f>_xlfn.XLOOKUP(B251,'[10]december-2025'!$A:$A,'[10]december-2025'!$J:$J,0,0)</f>
        <v>0</v>
      </c>
      <c r="EK251">
        <f>_xlfn.XLOOKUP(B251,'[11]january-2026'!$A:$A,'[11]january-2026'!$J:$J,0,0)</f>
        <v>0</v>
      </c>
      <c r="EL251">
        <f>_xlfn.XLOOKUP(B251,'[12]february-2026'!$A:$A,'[12]february-2026'!$J:$J,0,0)</f>
        <v>0</v>
      </c>
      <c r="EM251">
        <f t="shared" si="455"/>
        <v>0</v>
      </c>
      <c r="EN251">
        <f>DV251+DL251+DB251+CR251+CH251+BX251+BN251+BD251+AS251+AI251+Y251+O251+H251+I251</f>
        <v>790972</v>
      </c>
      <c r="EO251">
        <f>DY251+DO251+DE251+CU251+CK251+CA251+BQ251+BG251+AV251+AL251+AB251+R251</f>
        <v>2400</v>
      </c>
      <c r="EP251">
        <f t="shared" si="502"/>
        <v>50000</v>
      </c>
      <c r="EQ251">
        <v>0</v>
      </c>
      <c r="ER251">
        <f t="shared" si="456"/>
        <v>738572</v>
      </c>
      <c r="ES251">
        <f>DW251+DM251+DC251+CS251+CI251+BY251+BO251+BE251+AT251+AJ251+Z251+P251</f>
        <v>60000</v>
      </c>
      <c r="ET251">
        <f>DX251+DN251+DD251+CT251+CJ251+BZ251+BP251+BF251+AU251+AK251+AA251+Q251</f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si="503"/>
        <v>60000</v>
      </c>
      <c r="FF251">
        <f t="shared" si="504"/>
        <v>60000</v>
      </c>
      <c r="FG251">
        <f t="shared" si="505"/>
        <v>678572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>SUM(FH251:FN251)+(IF(F251="YES",50000,0))</f>
        <v>0</v>
      </c>
      <c r="FP251">
        <f t="shared" si="506"/>
        <v>678572</v>
      </c>
      <c r="FQ251">
        <f t="shared" si="507"/>
        <v>12500</v>
      </c>
      <c r="FR251">
        <f t="shared" si="508"/>
        <v>35714</v>
      </c>
      <c r="FS251">
        <f t="shared" si="509"/>
        <v>48214</v>
      </c>
      <c r="FT251">
        <f t="shared" si="510"/>
        <v>48214</v>
      </c>
      <c r="FU251">
        <f t="shared" si="511"/>
        <v>1928.56</v>
      </c>
      <c r="FV251">
        <f t="shared" si="512"/>
        <v>50143</v>
      </c>
      <c r="FW251">
        <v>0</v>
      </c>
      <c r="FX251">
        <f t="shared" si="513"/>
        <v>50143</v>
      </c>
      <c r="FY251" t="b">
        <f t="shared" si="514"/>
        <v>1</v>
      </c>
      <c r="FZ251">
        <f t="shared" ca="1" si="515"/>
        <v>980</v>
      </c>
      <c r="GA251">
        <f t="shared" ca="1" si="516"/>
        <v>791952</v>
      </c>
      <c r="GB251">
        <f t="shared" si="517"/>
        <v>75000</v>
      </c>
      <c r="GC251">
        <f t="shared" ca="1" si="518"/>
        <v>716952</v>
      </c>
      <c r="GD251">
        <f t="shared" ca="1" si="519"/>
        <v>0</v>
      </c>
      <c r="GE251">
        <f t="shared" ca="1" si="520"/>
        <v>0</v>
      </c>
      <c r="GF251">
        <f t="shared" ca="1" si="521"/>
        <v>0</v>
      </c>
      <c r="GG251">
        <f t="shared" ca="1" si="522"/>
        <v>0</v>
      </c>
      <c r="GH251">
        <f t="shared" ca="1" si="523"/>
        <v>0</v>
      </c>
      <c r="GI251">
        <f t="shared" ca="1" si="524"/>
        <v>0</v>
      </c>
      <c r="GJ251">
        <f ca="1">IF(GC251&gt;1200000,GC251-1200000-IF(F251="YES",50000,0)-GH251,0)</f>
        <v>0</v>
      </c>
      <c r="GK251">
        <f t="shared" ca="1" si="525"/>
        <v>0</v>
      </c>
      <c r="GL251">
        <f t="shared" ca="1" si="526"/>
        <v>0</v>
      </c>
      <c r="GM251">
        <f t="shared" ca="1" si="527"/>
        <v>0</v>
      </c>
      <c r="GN251">
        <f t="shared" ca="1" si="528"/>
        <v>316952</v>
      </c>
      <c r="GO251">
        <f t="shared" ca="1" si="529"/>
        <v>15847.6</v>
      </c>
      <c r="GP251">
        <f t="shared" ca="1" si="530"/>
        <v>15848</v>
      </c>
      <c r="GQ251">
        <f t="shared" ca="1" si="531"/>
        <v>0</v>
      </c>
      <c r="GR251">
        <f t="shared" ca="1" si="532"/>
        <v>0</v>
      </c>
      <c r="GS251">
        <f t="shared" ca="1" si="533"/>
        <v>15848</v>
      </c>
      <c r="GT251">
        <f t="shared" ca="1" si="534"/>
        <v>0</v>
      </c>
      <c r="GU251" t="b">
        <f t="shared" ca="1" si="535"/>
        <v>0</v>
      </c>
      <c r="GV251">
        <f t="shared" ca="1" si="536"/>
        <v>0</v>
      </c>
      <c r="GW251">
        <f t="shared" ca="1" si="537"/>
        <v>15848</v>
      </c>
      <c r="GX251">
        <f t="shared" ca="1" si="538"/>
        <v>0</v>
      </c>
      <c r="GY251">
        <f t="shared" ca="1" si="539"/>
        <v>0</v>
      </c>
      <c r="GZ251">
        <f t="shared" ca="1" si="540"/>
        <v>0</v>
      </c>
    </row>
    <row r="252" spans="1:208" x14ac:dyDescent="0.25">
      <c r="A252">
        <f>_xlfn.AGGREGATE(3,5,$B$2:B252)</f>
        <v>251</v>
      </c>
      <c r="B252" t="s">
        <v>607</v>
      </c>
      <c r="C252" t="s">
        <v>608</v>
      </c>
      <c r="D252" t="s">
        <v>814</v>
      </c>
      <c r="E252" t="s">
        <v>831</v>
      </c>
      <c r="F252" t="s">
        <v>957</v>
      </c>
      <c r="G252" t="s">
        <v>878</v>
      </c>
      <c r="H252">
        <f t="shared" si="543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457"/>
        <v>4830.0000000000009</v>
      </c>
      <c r="L252">
        <f t="shared" si="458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>IF(J252&gt;0,SUM(J252:N252),0)</f>
        <v>43970</v>
      </c>
      <c r="P252">
        <f>_xlfn.XLOOKUP(B252,'[1]march-2025'!$A:$A,'[1]march-2025'!$H:$H,0,0)</f>
        <v>6000</v>
      </c>
      <c r="Q252">
        <f>_xlfn.XLOOKUP(B252,'[1]march-2025'!$A:$A,'[1]march-2025'!$I:$I,0,0)</f>
        <v>0</v>
      </c>
      <c r="R252">
        <f t="shared" si="541"/>
        <v>200</v>
      </c>
      <c r="S252">
        <f t="shared" si="451"/>
        <v>37770</v>
      </c>
      <c r="T252">
        <f>_xlfn.XLOOKUP(B252,'[2]april-2025'!$A:$A,'[2]april-2025'!$C:$C,0,0)</f>
        <v>34500</v>
      </c>
      <c r="U252">
        <f t="shared" si="459"/>
        <v>6210</v>
      </c>
      <c r="V252">
        <f t="shared" si="460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452"/>
        <v>45350</v>
      </c>
      <c r="Z252">
        <f>_xlfn.XLOOKUP(B252,'[2]april-2025'!$A:$A,'[2]april-2025'!$H:$H,0,0)</f>
        <v>6000</v>
      </c>
      <c r="AA252">
        <f>_xlfn.XLOOKUP(B252,'[2]april-2025'!$A:$A,'[2]april-2025'!$I:$I,0,0)</f>
        <v>0</v>
      </c>
      <c r="AB252">
        <f t="shared" si="461"/>
        <v>200</v>
      </c>
      <c r="AC252">
        <f t="shared" si="462"/>
        <v>39150</v>
      </c>
      <c r="AD252">
        <f>_xlfn.XLOOKUP(B252,'[3]may-2025'!$A:$A,'[3]may-2025'!$C:$C,0,0)</f>
        <v>34500</v>
      </c>
      <c r="AE252">
        <f t="shared" si="463"/>
        <v>6210</v>
      </c>
      <c r="AF252">
        <f t="shared" si="464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453"/>
        <v>45350</v>
      </c>
      <c r="AJ252">
        <f>_xlfn.XLOOKUP(B252,'[3]may-2025'!$A:$A,'[3]may-2025'!$H:$H,0,0)</f>
        <v>6000</v>
      </c>
      <c r="AK252">
        <f>_xlfn.XLOOKUP(B252,'[3]may-2025'!$A:$A,'[3]may-2025'!$I:$I,0,0)</f>
        <v>0</v>
      </c>
      <c r="AL252">
        <f t="shared" si="465"/>
        <v>200</v>
      </c>
      <c r="AM252">
        <f t="shared" si="466"/>
        <v>39150</v>
      </c>
      <c r="AN252">
        <f>_xlfn.XLOOKUP(B252,'[4]june-2025'!$A:$A,'[4]june-2025'!$C:$C,0,0)</f>
        <v>34500</v>
      </c>
      <c r="AO252">
        <f t="shared" si="467"/>
        <v>6210</v>
      </c>
      <c r="AP252">
        <f t="shared" si="468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454"/>
        <v>45350</v>
      </c>
      <c r="AT252">
        <f>_xlfn.XLOOKUP(B252,'[4]june-2025'!$A:$A,'[4]june-2025'!$H:$H,0,0)</f>
        <v>6000</v>
      </c>
      <c r="AU252">
        <f>_xlfn.XLOOKUP(B252,'[4]june-2025'!$A:$A,'[4]june-2025'!$I:$I,0,0)</f>
        <v>0</v>
      </c>
      <c r="AV252">
        <f t="shared" si="469"/>
        <v>200</v>
      </c>
      <c r="AW252">
        <f t="shared" si="470"/>
        <v>39150</v>
      </c>
      <c r="AX252">
        <f>_xlfn.XLOOKUP(B252,'[5]july-2025'!$A:$A,'[5]july-2025'!$C:$C,0,0)</f>
        <v>35500</v>
      </c>
      <c r="AY252">
        <f t="shared" si="471"/>
        <v>6390</v>
      </c>
      <c r="AZ252">
        <v>0</v>
      </c>
      <c r="BA252">
        <f t="shared" si="472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>IF(AX252&gt;0,SUM(AX252:BC252),0)</f>
        <v>46650</v>
      </c>
      <c r="BE252">
        <f>_xlfn.XLOOKUP(B252,'[5]july-2025'!$A:$A,'[5]july-2025'!$H:$H,0,0)</f>
        <v>6000</v>
      </c>
      <c r="BF252">
        <f>_xlfn.XLOOKUP(B252,'[5]july-2025'!$A:$A,'[5]july-2025'!$I:$I,0,0)</f>
        <v>0</v>
      </c>
      <c r="BG252">
        <f t="shared" si="473"/>
        <v>200</v>
      </c>
      <c r="BH252">
        <f t="shared" si="474"/>
        <v>40450</v>
      </c>
      <c r="BI252">
        <f>_xlfn.XLOOKUP(B252,'[6]august-2025'!$A:$A,'[6]august-2025'!$C:$C,0,0)</f>
        <v>35500</v>
      </c>
      <c r="BJ252">
        <f t="shared" si="475"/>
        <v>6390</v>
      </c>
      <c r="BK252">
        <f t="shared" si="476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477"/>
        <v>46650</v>
      </c>
      <c r="BO252">
        <f>_xlfn.XLOOKUP(B252,'[6]august-2025'!$A:$A,'[6]august-2025'!$H:$H,0,0)</f>
        <v>6000</v>
      </c>
      <c r="BP252">
        <f>_xlfn.XLOOKUP(B252,'[6]august-2025'!$A:$A,'[6]august-2025'!$I:$I,0,0)</f>
        <v>0</v>
      </c>
      <c r="BQ252">
        <f>IF($F252="YES",0,IF(BN252&gt;40000,200,IF(BN252&gt;25000,150,IF(BN252&gt;15000,130,IF(BN252&gt;10000,110,0)))))</f>
        <v>200</v>
      </c>
      <c r="BR252">
        <f>BN252-BO252-BP252-BQ252</f>
        <v>40450</v>
      </c>
      <c r="BS252">
        <f>_xlfn.XLOOKUP(B252,'[7]september-2025'!$A:$A,'[7]september-2025'!$C:$C,0,0)</f>
        <v>35500</v>
      </c>
      <c r="BT252">
        <f t="shared" si="478"/>
        <v>6390</v>
      </c>
      <c r="BU252">
        <f t="shared" si="479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>IF(BS252&gt;0,SUM(BS252:BW252),0)</f>
        <v>46650</v>
      </c>
      <c r="BY252">
        <f>_xlfn.XLOOKUP(B252,'[7]september-2025'!$A:$A,'[7]september-2025'!$H:$H,0,0)</f>
        <v>6000</v>
      </c>
      <c r="BZ252">
        <f>_xlfn.XLOOKUP(B252,'[7]september-2025'!$A:$A,'[7]september-2025'!$I:$I,0,0)</f>
        <v>0</v>
      </c>
      <c r="CA252">
        <f t="shared" si="480"/>
        <v>200</v>
      </c>
      <c r="CB252">
        <f t="shared" si="481"/>
        <v>40450</v>
      </c>
      <c r="CC252">
        <f>_xlfn.XLOOKUP(B252,'[8]october-2025'!$A:$A,'[8]october-2025'!$C:$C,0,0)</f>
        <v>35500</v>
      </c>
      <c r="CD252">
        <f t="shared" si="482"/>
        <v>6390</v>
      </c>
      <c r="CE252">
        <f t="shared" si="483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>IF(CC252&gt;0,SUM(CC252:CG252),0)</f>
        <v>46650</v>
      </c>
      <c r="CI252">
        <f>_xlfn.XLOOKUP(B252,'[8]october-2025'!$A:$A,'[8]october-2025'!$H:$H,0,0)</f>
        <v>6000</v>
      </c>
      <c r="CJ252">
        <f>_xlfn.XLOOKUP(B252,'[8]october-2025'!$A:$A,'[8]october-2025'!$I:$I,0,0)</f>
        <v>0</v>
      </c>
      <c r="CK252">
        <f t="shared" si="484"/>
        <v>200</v>
      </c>
      <c r="CL252">
        <f t="shared" si="485"/>
        <v>40450</v>
      </c>
      <c r="CM252">
        <f>_xlfn.XLOOKUP(B252,'[9]november-2025'!$A:$A,'[9]november-2025'!$C:$C,0,0)</f>
        <v>35500</v>
      </c>
      <c r="CN252">
        <f t="shared" si="486"/>
        <v>6390</v>
      </c>
      <c r="CO252">
        <f t="shared" si="487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>IF(CM252&gt;0,SUM(CM252:CQ252),0)</f>
        <v>46650</v>
      </c>
      <c r="CS252">
        <f>_xlfn.XLOOKUP(B252,'[9]november-2025'!$A:$A,'[9]november-2025'!$H:$H,0,0)</f>
        <v>6000</v>
      </c>
      <c r="CT252">
        <f>_xlfn.XLOOKUP(B252,'[9]november-2025'!$A:$A,'[9]november-2025'!$I:$I,0,0)</f>
        <v>0</v>
      </c>
      <c r="CU252">
        <f t="shared" si="488"/>
        <v>200</v>
      </c>
      <c r="CV252">
        <f t="shared" si="489"/>
        <v>40450</v>
      </c>
      <c r="CW252">
        <f>_xlfn.XLOOKUP(B252,'[10]december-2025'!$A:$A,'[10]december-2025'!$C:$C,0,0)</f>
        <v>35500</v>
      </c>
      <c r="CX252">
        <f t="shared" si="490"/>
        <v>6390</v>
      </c>
      <c r="CY252">
        <f t="shared" si="491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>IF(CW252&gt;0,SUM(CW252:DA252),0)</f>
        <v>46650</v>
      </c>
      <c r="DC252">
        <f>_xlfn.XLOOKUP(B252,'[10]december-2025'!$A:$A,'[10]december-2025'!$H:$H,0,0)</f>
        <v>6000</v>
      </c>
      <c r="DD252">
        <f>_xlfn.XLOOKUP(B252,'[10]december-2025'!$A:$A,'[10]december-2025'!$I:$I,0,0)</f>
        <v>0</v>
      </c>
      <c r="DE252">
        <f t="shared" si="492"/>
        <v>200</v>
      </c>
      <c r="DF252">
        <f t="shared" si="493"/>
        <v>40450</v>
      </c>
      <c r="DG252">
        <f>_xlfn.XLOOKUP(B252,'[11]january-2026'!$A:$A,'[11]january-2026'!$C:$C,0,0)</f>
        <v>35500</v>
      </c>
      <c r="DH252">
        <f t="shared" si="494"/>
        <v>6390</v>
      </c>
      <c r="DI252">
        <f t="shared" si="495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>IF(DG252&gt;0,SUM(DG252:DK252),0)</f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496"/>
        <v>200</v>
      </c>
      <c r="DP252">
        <f t="shared" si="497"/>
        <v>40450</v>
      </c>
      <c r="DQ252">
        <f>_xlfn.XLOOKUP(B252,'[12]february-2026'!$A:$A,'[12]february-2026'!$C:$C,0,0)</f>
        <v>35500</v>
      </c>
      <c r="DR252">
        <f t="shared" si="498"/>
        <v>6390</v>
      </c>
      <c r="DS252">
        <f t="shared" si="499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>IF(DQ252&gt;0,SUM(DQ252:DU252),0)</f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00"/>
        <v>200</v>
      </c>
      <c r="DZ252">
        <f t="shared" si="501"/>
        <v>40450</v>
      </c>
      <c r="EA252">
        <f>_xlfn.XLOOKUP(B252,'[1]march-2025'!$A:$A,'[1]march-2025'!$J:$J,0,0)</f>
        <v>0</v>
      </c>
      <c r="EB252">
        <f>_xlfn.XLOOKUP(B252,'[2]april-2025'!$A:$A,'[2]april-2025'!$J:$J,0,0)</f>
        <v>0</v>
      </c>
      <c r="EC252">
        <f>_xlfn.XLOOKUP(B252,'[3]may-2025'!$A:$A,'[3]may-2025'!$J:$J,0,0)</f>
        <v>0</v>
      </c>
      <c r="ED252">
        <f>_xlfn.XLOOKUP(B252,'[4]june-2025'!$A:$A,'[4]june-2025'!$J:$J,0,0)</f>
        <v>0</v>
      </c>
      <c r="EE252">
        <f>_xlfn.XLOOKUP(B252,'[5]july-2025'!$A:$A,'[5]july-2025'!$J:$J,0,0)</f>
        <v>0</v>
      </c>
      <c r="EF252">
        <f>_xlfn.XLOOKUP(B252,'[6]august-2025'!$A:$A,'[6]august-2025'!$J:$J,0,0)</f>
        <v>0</v>
      </c>
      <c r="EG252">
        <f>_xlfn.XLOOKUP(B252,'[7]september-2025'!$A:$A,'[7]september-2025'!$J:$J,0,0)</f>
        <v>0</v>
      </c>
      <c r="EH252">
        <f>_xlfn.XLOOKUP(B252,'[8]october-2025'!$A:$A,'[8]october-2025'!$J:$J,0,0)</f>
        <v>0</v>
      </c>
      <c r="EI252">
        <f>_xlfn.XLOOKUP(C252,'[9]november-2025'!$A:$A,'[9]november-2025'!$J:$J,0,0)</f>
        <v>0</v>
      </c>
      <c r="EJ252">
        <f>_xlfn.XLOOKUP(B252,'[10]december-2025'!$A:$A,'[10]december-2025'!$J:$J,0,0)</f>
        <v>0</v>
      </c>
      <c r="EK252">
        <f>_xlfn.XLOOKUP(B252,'[11]january-2026'!$A:$A,'[11]january-2026'!$J:$J,0,0)</f>
        <v>0</v>
      </c>
      <c r="EL252">
        <f>_xlfn.XLOOKUP(B252,'[12]february-2026'!$A:$A,'[12]february-2026'!$J:$J,0,0)</f>
        <v>0</v>
      </c>
      <c r="EM252">
        <f t="shared" si="455"/>
        <v>0</v>
      </c>
      <c r="EN252">
        <f>DV252+DL252+DB252+CR252+CH252+BX252+BN252+BD252+AS252+AI252+Y252+O252+H252+I252</f>
        <v>560020</v>
      </c>
      <c r="EO252">
        <f>DY252+DO252+DE252+CU252+CK252+CA252+BQ252+BG252+AV252+AL252+AB252+R252</f>
        <v>2400</v>
      </c>
      <c r="EP252">
        <f t="shared" si="502"/>
        <v>50000</v>
      </c>
      <c r="EQ252">
        <v>0</v>
      </c>
      <c r="ER252">
        <f t="shared" si="456"/>
        <v>507620</v>
      </c>
      <c r="ES252">
        <f>DW252+DM252+DC252+CS252+CI252+BY252+BO252+BE252+AT252+AJ252+Z252+P252</f>
        <v>72000</v>
      </c>
      <c r="ET252">
        <f>DX252+DN252+DD252+CT252+CJ252+BZ252+BP252+BF252+AU252+AK252+AA252+Q252</f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503"/>
        <v>72000</v>
      </c>
      <c r="FF252">
        <f t="shared" si="504"/>
        <v>72000</v>
      </c>
      <c r="FG252">
        <f t="shared" si="505"/>
        <v>435620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>SUM(FH252:FN252)+(IF(F252="YES",50000,0))</f>
        <v>0</v>
      </c>
      <c r="FP252">
        <f t="shared" si="506"/>
        <v>435620</v>
      </c>
      <c r="FQ252">
        <f t="shared" si="507"/>
        <v>9281</v>
      </c>
      <c r="FR252">
        <f t="shared" si="508"/>
        <v>0</v>
      </c>
      <c r="FS252">
        <f t="shared" si="509"/>
        <v>9281</v>
      </c>
      <c r="FT252">
        <f t="shared" si="510"/>
        <v>0</v>
      </c>
      <c r="FU252">
        <f t="shared" si="511"/>
        <v>0</v>
      </c>
      <c r="FV252">
        <f t="shared" si="512"/>
        <v>0</v>
      </c>
      <c r="FW252">
        <v>0</v>
      </c>
      <c r="FX252">
        <f t="shared" si="513"/>
        <v>0</v>
      </c>
      <c r="FY252" t="b">
        <f t="shared" si="514"/>
        <v>1</v>
      </c>
      <c r="FZ252">
        <f t="shared" ca="1" si="515"/>
        <v>879</v>
      </c>
      <c r="GA252">
        <f t="shared" ca="1" si="516"/>
        <v>560899</v>
      </c>
      <c r="GB252">
        <f t="shared" si="517"/>
        <v>75000</v>
      </c>
      <c r="GC252">
        <f t="shared" ca="1" si="518"/>
        <v>485899</v>
      </c>
      <c r="GD252">
        <f t="shared" ca="1" si="519"/>
        <v>0</v>
      </c>
      <c r="GE252">
        <f t="shared" ca="1" si="520"/>
        <v>0</v>
      </c>
      <c r="GF252">
        <f t="shared" ca="1" si="521"/>
        <v>0</v>
      </c>
      <c r="GG252">
        <f t="shared" ca="1" si="522"/>
        <v>0</v>
      </c>
      <c r="GH252">
        <f t="shared" ca="1" si="523"/>
        <v>0</v>
      </c>
      <c r="GI252">
        <f t="shared" ca="1" si="524"/>
        <v>0</v>
      </c>
      <c r="GJ252">
        <f ca="1">IF(GC252&gt;1200000,GC252-1200000-IF(F252="YES",50000,0)-GH252,0)</f>
        <v>0</v>
      </c>
      <c r="GK252">
        <f t="shared" ca="1" si="525"/>
        <v>0</v>
      </c>
      <c r="GL252">
        <f t="shared" ca="1" si="526"/>
        <v>0</v>
      </c>
      <c r="GM252">
        <f t="shared" ca="1" si="527"/>
        <v>0</v>
      </c>
      <c r="GN252">
        <f t="shared" ca="1" si="528"/>
        <v>85899</v>
      </c>
      <c r="GO252">
        <f t="shared" ca="1" si="529"/>
        <v>4294.95</v>
      </c>
      <c r="GP252">
        <f t="shared" ca="1" si="530"/>
        <v>4295</v>
      </c>
      <c r="GQ252">
        <f t="shared" ca="1" si="531"/>
        <v>0</v>
      </c>
      <c r="GR252">
        <f t="shared" ca="1" si="532"/>
        <v>0</v>
      </c>
      <c r="GS252">
        <f t="shared" ca="1" si="533"/>
        <v>4295</v>
      </c>
      <c r="GT252">
        <f t="shared" ca="1" si="534"/>
        <v>0</v>
      </c>
      <c r="GU252" t="b">
        <f t="shared" ca="1" si="535"/>
        <v>0</v>
      </c>
      <c r="GV252">
        <f t="shared" ca="1" si="536"/>
        <v>0</v>
      </c>
      <c r="GW252">
        <f t="shared" ca="1" si="537"/>
        <v>4295</v>
      </c>
      <c r="GX252">
        <f t="shared" ca="1" si="538"/>
        <v>0</v>
      </c>
      <c r="GY252">
        <f t="shared" ca="1" si="539"/>
        <v>0</v>
      </c>
      <c r="GZ252">
        <f t="shared" ca="1" si="540"/>
        <v>0</v>
      </c>
    </row>
    <row r="253" spans="1:208" x14ac:dyDescent="0.25">
      <c r="A253">
        <f>_xlfn.AGGREGATE(3,5,$B$2:B253)</f>
        <v>252</v>
      </c>
      <c r="B253" t="s">
        <v>609</v>
      </c>
      <c r="C253" t="s">
        <v>610</v>
      </c>
      <c r="D253" t="s">
        <v>814</v>
      </c>
      <c r="E253" t="s">
        <v>831</v>
      </c>
      <c r="F253" t="s">
        <v>957</v>
      </c>
      <c r="G253" t="s">
        <v>929</v>
      </c>
      <c r="H253">
        <f t="shared" si="543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457"/>
        <v>4830.0000000000009</v>
      </c>
      <c r="L253">
        <f t="shared" si="458"/>
        <v>4140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>IF(J253&gt;0,SUM(J253:N253),0)</f>
        <v>43970</v>
      </c>
      <c r="P253">
        <f>_xlfn.XLOOKUP(B253,'[1]march-2025'!$A:$A,'[1]march-2025'!$H:$H,0,0)</f>
        <v>3000</v>
      </c>
      <c r="Q253">
        <f>_xlfn.XLOOKUP(B253,'[1]march-2025'!$A:$A,'[1]march-2025'!$I:$I,0,0)</f>
        <v>0</v>
      </c>
      <c r="R253">
        <f t="shared" si="541"/>
        <v>200</v>
      </c>
      <c r="S253">
        <f t="shared" si="451"/>
        <v>40770</v>
      </c>
      <c r="T253">
        <f>_xlfn.XLOOKUP(B253,'[2]april-2025'!$A:$A,'[2]april-2025'!$C:$C,0,0)</f>
        <v>34500</v>
      </c>
      <c r="U253">
        <f t="shared" si="459"/>
        <v>6210</v>
      </c>
      <c r="V253">
        <f t="shared" si="460"/>
        <v>4140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452"/>
        <v>45350</v>
      </c>
      <c r="Z253">
        <f>_xlfn.XLOOKUP(B253,'[2]april-2025'!$A:$A,'[2]april-2025'!$H:$H,0,0)</f>
        <v>3000</v>
      </c>
      <c r="AA253">
        <f>_xlfn.XLOOKUP(B253,'[2]april-2025'!$A:$A,'[2]april-2025'!$I:$I,0,0)</f>
        <v>0</v>
      </c>
      <c r="AB253">
        <f t="shared" si="461"/>
        <v>200</v>
      </c>
      <c r="AC253">
        <f t="shared" si="462"/>
        <v>42150</v>
      </c>
      <c r="AD253">
        <f>_xlfn.XLOOKUP(B253,'[3]may-2025'!$A:$A,'[3]may-2025'!$C:$C,0,0)</f>
        <v>34500</v>
      </c>
      <c r="AE253">
        <f t="shared" si="463"/>
        <v>6210</v>
      </c>
      <c r="AF253">
        <f t="shared" si="464"/>
        <v>4140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453"/>
        <v>45350</v>
      </c>
      <c r="AJ253">
        <f>_xlfn.XLOOKUP(B253,'[3]may-2025'!$A:$A,'[3]may-2025'!$H:$H,0,0)</f>
        <v>3000</v>
      </c>
      <c r="AK253">
        <f>_xlfn.XLOOKUP(B253,'[3]may-2025'!$A:$A,'[3]may-2025'!$I:$I,0,0)</f>
        <v>0</v>
      </c>
      <c r="AL253">
        <f t="shared" si="465"/>
        <v>200</v>
      </c>
      <c r="AM253">
        <f t="shared" si="466"/>
        <v>42150</v>
      </c>
      <c r="AN253">
        <f>_xlfn.XLOOKUP(B253,'[4]june-2025'!$A:$A,'[4]june-2025'!$C:$C,0,0)</f>
        <v>34500</v>
      </c>
      <c r="AO253">
        <f t="shared" si="467"/>
        <v>6210</v>
      </c>
      <c r="AP253">
        <f t="shared" si="468"/>
        <v>4140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454"/>
        <v>45350</v>
      </c>
      <c r="AT253">
        <f>_xlfn.XLOOKUP(B253,'[4]june-2025'!$A:$A,'[4]june-2025'!$H:$H,0,0)</f>
        <v>3000</v>
      </c>
      <c r="AU253">
        <f>_xlfn.XLOOKUP(B253,'[4]june-2025'!$A:$A,'[4]june-2025'!$I:$I,0,0)</f>
        <v>0</v>
      </c>
      <c r="AV253">
        <f t="shared" si="469"/>
        <v>200</v>
      </c>
      <c r="AW253">
        <f t="shared" si="470"/>
        <v>42150</v>
      </c>
      <c r="AX253">
        <f>_xlfn.XLOOKUP(B253,'[5]july-2025'!$A:$A,'[5]july-2025'!$C:$C,0,0)</f>
        <v>35500</v>
      </c>
      <c r="AY253">
        <f t="shared" si="471"/>
        <v>6390</v>
      </c>
      <c r="AZ253">
        <v>0</v>
      </c>
      <c r="BA253">
        <f t="shared" si="472"/>
        <v>4260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>IF(AX253&gt;0,SUM(AX253:BC253),0)</f>
        <v>46650</v>
      </c>
      <c r="BE253">
        <f>_xlfn.XLOOKUP(B253,'[5]july-2025'!$A:$A,'[5]july-2025'!$H:$H,0,0)</f>
        <v>3000</v>
      </c>
      <c r="BF253">
        <f>_xlfn.XLOOKUP(B253,'[5]july-2025'!$A:$A,'[5]july-2025'!$I:$I,0,0)</f>
        <v>0</v>
      </c>
      <c r="BG253">
        <f t="shared" si="473"/>
        <v>200</v>
      </c>
      <c r="BH253">
        <f t="shared" si="474"/>
        <v>43450</v>
      </c>
      <c r="BI253">
        <f>_xlfn.XLOOKUP(B253,'[6]august-2025'!$A:$A,'[6]august-2025'!$C:$C,0,0)</f>
        <v>35500</v>
      </c>
      <c r="BJ253">
        <f t="shared" si="475"/>
        <v>6390</v>
      </c>
      <c r="BK253">
        <f t="shared" si="476"/>
        <v>4260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477"/>
        <v>46650</v>
      </c>
      <c r="BO253">
        <f>_xlfn.XLOOKUP(B253,'[6]august-2025'!$A:$A,'[6]august-2025'!$H:$H,0,0)</f>
        <v>3000</v>
      </c>
      <c r="BP253">
        <f>_xlfn.XLOOKUP(B253,'[6]august-2025'!$A:$A,'[6]august-2025'!$I:$I,0,0)</f>
        <v>0</v>
      </c>
      <c r="BQ253">
        <f>IF($F253="YES",0,IF(BN253&gt;40000,200,IF(BN253&gt;25000,150,IF(BN253&gt;15000,130,IF(BN253&gt;10000,110,0)))))</f>
        <v>200</v>
      </c>
      <c r="BR253">
        <f>BN253-BO253-BP253-BQ253</f>
        <v>43450</v>
      </c>
      <c r="BS253">
        <f>_xlfn.XLOOKUP(B253,'[7]september-2025'!$A:$A,'[7]september-2025'!$C:$C,0,0)</f>
        <v>35500</v>
      </c>
      <c r="BT253">
        <f t="shared" si="478"/>
        <v>6390</v>
      </c>
      <c r="BU253">
        <f t="shared" si="479"/>
        <v>4260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>IF(BS253&gt;0,SUM(BS253:BW253),0)</f>
        <v>46650</v>
      </c>
      <c r="BY253">
        <f>_xlfn.XLOOKUP(B253,'[7]september-2025'!$A:$A,'[7]september-2025'!$H:$H,0,0)</f>
        <v>3000</v>
      </c>
      <c r="BZ253">
        <f>_xlfn.XLOOKUP(B253,'[7]september-2025'!$A:$A,'[7]september-2025'!$I:$I,0,0)</f>
        <v>0</v>
      </c>
      <c r="CA253">
        <f t="shared" si="480"/>
        <v>200</v>
      </c>
      <c r="CB253">
        <f t="shared" si="481"/>
        <v>43450</v>
      </c>
      <c r="CC253">
        <f>_xlfn.XLOOKUP(B253,'[8]october-2025'!$A:$A,'[8]october-2025'!$C:$C,0,0)</f>
        <v>35500</v>
      </c>
      <c r="CD253">
        <f t="shared" si="482"/>
        <v>6390</v>
      </c>
      <c r="CE253">
        <f t="shared" si="483"/>
        <v>4260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>IF(CC253&gt;0,SUM(CC253:CG253),0)</f>
        <v>46650</v>
      </c>
      <c r="CI253">
        <f>_xlfn.XLOOKUP(B253,'[8]october-2025'!$A:$A,'[8]october-2025'!$H:$H,0,0)</f>
        <v>3000</v>
      </c>
      <c r="CJ253">
        <f>_xlfn.XLOOKUP(B253,'[8]october-2025'!$A:$A,'[8]october-2025'!$I:$I,0,0)</f>
        <v>0</v>
      </c>
      <c r="CK253">
        <f t="shared" si="484"/>
        <v>200</v>
      </c>
      <c r="CL253">
        <f t="shared" si="485"/>
        <v>43450</v>
      </c>
      <c r="CM253">
        <f>_xlfn.XLOOKUP(B253,'[9]november-2025'!$A:$A,'[9]november-2025'!$C:$C,0,0)</f>
        <v>35500</v>
      </c>
      <c r="CN253">
        <f t="shared" si="486"/>
        <v>6390</v>
      </c>
      <c r="CO253">
        <f t="shared" si="487"/>
        <v>4260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>IF(CM253&gt;0,SUM(CM253:CQ253),0)</f>
        <v>46650</v>
      </c>
      <c r="CS253">
        <f>_xlfn.XLOOKUP(B253,'[9]november-2025'!$A:$A,'[9]november-2025'!$H:$H,0,0)</f>
        <v>3000</v>
      </c>
      <c r="CT253">
        <f>_xlfn.XLOOKUP(B253,'[9]november-2025'!$A:$A,'[9]november-2025'!$I:$I,0,0)</f>
        <v>0</v>
      </c>
      <c r="CU253">
        <f t="shared" si="488"/>
        <v>200</v>
      </c>
      <c r="CV253">
        <f t="shared" si="489"/>
        <v>43450</v>
      </c>
      <c r="CW253">
        <f>_xlfn.XLOOKUP(B253,'[10]december-2025'!$A:$A,'[10]december-2025'!$C:$C,0,0)</f>
        <v>35500</v>
      </c>
      <c r="CX253">
        <f t="shared" si="490"/>
        <v>6390</v>
      </c>
      <c r="CY253">
        <f t="shared" si="491"/>
        <v>4260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>IF(CW253&gt;0,SUM(CW253:DA253),0)</f>
        <v>46650</v>
      </c>
      <c r="DC253">
        <f>_xlfn.XLOOKUP(B253,'[10]december-2025'!$A:$A,'[10]december-2025'!$H:$H,0,0)</f>
        <v>3000</v>
      </c>
      <c r="DD253">
        <f>_xlfn.XLOOKUP(B253,'[10]december-2025'!$A:$A,'[10]december-2025'!$I:$I,0,0)</f>
        <v>0</v>
      </c>
      <c r="DE253">
        <f t="shared" si="492"/>
        <v>200</v>
      </c>
      <c r="DF253">
        <f t="shared" si="493"/>
        <v>43450</v>
      </c>
      <c r="DG253">
        <f>_xlfn.XLOOKUP(B253,'[11]january-2026'!$A:$A,'[11]january-2026'!$C:$C,0,0)</f>
        <v>35500</v>
      </c>
      <c r="DH253">
        <f t="shared" si="494"/>
        <v>6390</v>
      </c>
      <c r="DI253">
        <f t="shared" si="495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>IF(DG253&gt;0,SUM(DG253:DK253),0)</f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496"/>
        <v>200</v>
      </c>
      <c r="DP253">
        <f t="shared" si="497"/>
        <v>43450</v>
      </c>
      <c r="DQ253">
        <f>_xlfn.XLOOKUP(B253,'[12]february-2026'!$A:$A,'[12]february-2026'!$C:$C,0,0)</f>
        <v>35500</v>
      </c>
      <c r="DR253">
        <f t="shared" si="498"/>
        <v>6390</v>
      </c>
      <c r="DS253">
        <f t="shared" si="499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>IF(DQ253&gt;0,SUM(DQ253:DU253),0)</f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00"/>
        <v>200</v>
      </c>
      <c r="DZ253">
        <f t="shared" si="501"/>
        <v>43450</v>
      </c>
      <c r="EA253">
        <f>_xlfn.XLOOKUP(B253,'[1]march-2025'!$A:$A,'[1]march-2025'!$J:$J,0,0)</f>
        <v>0</v>
      </c>
      <c r="EB253">
        <f>_xlfn.XLOOKUP(B253,'[2]april-2025'!$A:$A,'[2]april-2025'!$J:$J,0,0)</f>
        <v>0</v>
      </c>
      <c r="EC253">
        <f>_xlfn.XLOOKUP(B253,'[3]may-2025'!$A:$A,'[3]may-2025'!$J:$J,0,0)</f>
        <v>0</v>
      </c>
      <c r="ED253">
        <f>_xlfn.XLOOKUP(B253,'[4]june-2025'!$A:$A,'[4]june-2025'!$J:$J,0,0)</f>
        <v>0</v>
      </c>
      <c r="EE253">
        <f>_xlfn.XLOOKUP(B253,'[5]july-2025'!$A:$A,'[5]july-2025'!$J:$J,0,0)</f>
        <v>0</v>
      </c>
      <c r="EF253">
        <f>_xlfn.XLOOKUP(B253,'[6]august-2025'!$A:$A,'[6]august-2025'!$J:$J,0,0)</f>
        <v>0</v>
      </c>
      <c r="EG253">
        <f>_xlfn.XLOOKUP(B253,'[7]september-2025'!$A:$A,'[7]september-2025'!$J:$J,0,0)</f>
        <v>0</v>
      </c>
      <c r="EH253">
        <f>_xlfn.XLOOKUP(B253,'[8]october-2025'!$A:$A,'[8]october-2025'!$J:$J,0,0)</f>
        <v>0</v>
      </c>
      <c r="EI253">
        <f>_xlfn.XLOOKUP(C253,'[9]november-2025'!$A:$A,'[9]november-2025'!$J:$J,0,0)</f>
        <v>0</v>
      </c>
      <c r="EJ253">
        <f>_xlfn.XLOOKUP(B253,'[10]december-2025'!$A:$A,'[10]december-2025'!$J:$J,0,0)</f>
        <v>0</v>
      </c>
      <c r="EK253">
        <f>_xlfn.XLOOKUP(B253,'[11]january-2026'!$A:$A,'[11]january-2026'!$J:$J,0,0)</f>
        <v>0</v>
      </c>
      <c r="EL253">
        <f>_xlfn.XLOOKUP(B253,'[12]february-2026'!$A:$A,'[12]february-2026'!$J:$J,0,0)</f>
        <v>0</v>
      </c>
      <c r="EM253">
        <f t="shared" si="455"/>
        <v>0</v>
      </c>
      <c r="EN253">
        <f>DV253+DL253+DB253+CR253+CH253+BX253+BN253+BD253+AS253+AI253+Y253+O253+H253+I253</f>
        <v>560020</v>
      </c>
      <c r="EO253">
        <f>DY253+DO253+DE253+CU253+CK253+CA253+BQ253+BG253+AV253+AL253+AB253+R253</f>
        <v>2400</v>
      </c>
      <c r="EP253">
        <f t="shared" si="502"/>
        <v>50000</v>
      </c>
      <c r="EQ253">
        <v>0</v>
      </c>
      <c r="ER253">
        <f t="shared" si="456"/>
        <v>507620</v>
      </c>
      <c r="ES253">
        <f>DW253+DM253+DC253+CS253+CI253+BY253+BO253+BE253+AT253+AJ253+Z253+P253</f>
        <v>36000</v>
      </c>
      <c r="ET253">
        <f>DX253+DN253+DD253+CT253+CJ253+BZ253+BP253+BF253+AU253+AK253+AA253+Q253</f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503"/>
        <v>36000</v>
      </c>
      <c r="FF253">
        <f t="shared" si="504"/>
        <v>36000</v>
      </c>
      <c r="FG253">
        <f t="shared" si="505"/>
        <v>471620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>SUM(FH253:FN253)+(IF(F253="YES",50000,0))</f>
        <v>0</v>
      </c>
      <c r="FP253">
        <f t="shared" si="506"/>
        <v>471620</v>
      </c>
      <c r="FQ253">
        <f t="shared" si="507"/>
        <v>11081</v>
      </c>
      <c r="FR253">
        <f t="shared" si="508"/>
        <v>0</v>
      </c>
      <c r="FS253">
        <f t="shared" si="509"/>
        <v>11081</v>
      </c>
      <c r="FT253">
        <f t="shared" si="510"/>
        <v>0</v>
      </c>
      <c r="FU253">
        <f t="shared" si="511"/>
        <v>0</v>
      </c>
      <c r="FV253">
        <f t="shared" si="512"/>
        <v>0</v>
      </c>
      <c r="FW253">
        <v>0</v>
      </c>
      <c r="FX253">
        <f t="shared" si="513"/>
        <v>0</v>
      </c>
      <c r="FY253" t="b">
        <f t="shared" si="514"/>
        <v>1</v>
      </c>
      <c r="FZ253">
        <f t="shared" ca="1" si="515"/>
        <v>997</v>
      </c>
      <c r="GA253">
        <f t="shared" ca="1" si="516"/>
        <v>561017</v>
      </c>
      <c r="GB253">
        <f t="shared" si="517"/>
        <v>75000</v>
      </c>
      <c r="GC253">
        <f t="shared" ca="1" si="518"/>
        <v>486017</v>
      </c>
      <c r="GD253">
        <f t="shared" ca="1" si="519"/>
        <v>0</v>
      </c>
      <c r="GE253">
        <f t="shared" ca="1" si="520"/>
        <v>0</v>
      </c>
      <c r="GF253">
        <f t="shared" ca="1" si="521"/>
        <v>0</v>
      </c>
      <c r="GG253">
        <f t="shared" ca="1" si="522"/>
        <v>0</v>
      </c>
      <c r="GH253">
        <f t="shared" ca="1" si="523"/>
        <v>0</v>
      </c>
      <c r="GI253">
        <f t="shared" ca="1" si="524"/>
        <v>0</v>
      </c>
      <c r="GJ253">
        <f ca="1">IF(GC253&gt;1200000,GC253-1200000-IF(F253="YES",50000,0)-GH253,0)</f>
        <v>0</v>
      </c>
      <c r="GK253">
        <f t="shared" ca="1" si="525"/>
        <v>0</v>
      </c>
      <c r="GL253">
        <f t="shared" ca="1" si="526"/>
        <v>0</v>
      </c>
      <c r="GM253">
        <f t="shared" ca="1" si="527"/>
        <v>0</v>
      </c>
      <c r="GN253">
        <f t="shared" ca="1" si="528"/>
        <v>86017</v>
      </c>
      <c r="GO253">
        <f t="shared" ca="1" si="529"/>
        <v>4300.8500000000004</v>
      </c>
      <c r="GP253">
        <f t="shared" ca="1" si="530"/>
        <v>4301</v>
      </c>
      <c r="GQ253">
        <f t="shared" ca="1" si="531"/>
        <v>0</v>
      </c>
      <c r="GR253">
        <f t="shared" ca="1" si="532"/>
        <v>0</v>
      </c>
      <c r="GS253">
        <f t="shared" ca="1" si="533"/>
        <v>4301</v>
      </c>
      <c r="GT253">
        <f t="shared" ca="1" si="534"/>
        <v>0</v>
      </c>
      <c r="GU253" t="b">
        <f t="shared" ca="1" si="535"/>
        <v>0</v>
      </c>
      <c r="GV253">
        <f t="shared" ca="1" si="536"/>
        <v>0</v>
      </c>
      <c r="GW253">
        <f t="shared" ca="1" si="537"/>
        <v>4301</v>
      </c>
      <c r="GX253">
        <f t="shared" ca="1" si="538"/>
        <v>0</v>
      </c>
      <c r="GY253">
        <f t="shared" ca="1" si="539"/>
        <v>0</v>
      </c>
      <c r="GZ253">
        <f t="shared" ca="1" si="540"/>
        <v>0</v>
      </c>
    </row>
    <row r="254" spans="1:208" x14ac:dyDescent="0.25">
      <c r="A254">
        <f>_xlfn.AGGREGATE(3,5,$B$2:B254)</f>
        <v>253</v>
      </c>
      <c r="B254" t="s">
        <v>611</v>
      </c>
      <c r="C254" t="s">
        <v>612</v>
      </c>
      <c r="D254" t="s">
        <v>814</v>
      </c>
      <c r="E254" t="s">
        <v>831</v>
      </c>
      <c r="F254" t="s">
        <v>957</v>
      </c>
      <c r="G254" t="s">
        <v>904</v>
      </c>
      <c r="H254">
        <f t="shared" si="543"/>
        <v>6800</v>
      </c>
      <c r="I254">
        <f>_xlfn.XLOOKUP(B254,'[1]march-2025'!$A:$A,'[1]march-2025'!$J:$J,0,0)</f>
        <v>0</v>
      </c>
      <c r="J254">
        <f>_xlfn.XLOOKUP(B254,'[1]march-2025'!$A:$A,'[1]march-2025'!$C:$C,0,0)</f>
        <v>28900</v>
      </c>
      <c r="K254">
        <f t="shared" si="457"/>
        <v>4046.0000000000005</v>
      </c>
      <c r="L254">
        <f t="shared" si="458"/>
        <v>3468</v>
      </c>
      <c r="M254">
        <f>_xlfn.XLOOKUP(B254,'[1]march-2025'!$A:$A,'[1]march-2025'!$D:$D,0,0)</f>
        <v>0</v>
      </c>
      <c r="N254">
        <f>_xlfn.XLOOKUP(B254,'[1]march-2025'!$A:$A,'[1]march-2025'!$G:$G,0,0)</f>
        <v>500</v>
      </c>
      <c r="O254">
        <f>IF(J254&gt;0,SUM(J254:N254),0)</f>
        <v>36914</v>
      </c>
      <c r="P254">
        <f>_xlfn.XLOOKUP(B254,'[1]march-2025'!$A:$A,'[1]march-2025'!$H:$H,0,0)</f>
        <v>2000</v>
      </c>
      <c r="Q254">
        <f>_xlfn.XLOOKUP(B254,'[1]march-2025'!$A:$A,'[1]march-2025'!$I:$I,0,0)</f>
        <v>0</v>
      </c>
      <c r="R254">
        <f t="shared" si="541"/>
        <v>150</v>
      </c>
      <c r="S254">
        <f t="shared" si="451"/>
        <v>34764</v>
      </c>
      <c r="T254">
        <f>_xlfn.XLOOKUP(B254,'[2]april-2025'!$A:$A,'[2]april-2025'!$C:$C,0,0)</f>
        <v>28900</v>
      </c>
      <c r="U254">
        <f t="shared" si="459"/>
        <v>5202</v>
      </c>
      <c r="V254">
        <f t="shared" si="460"/>
        <v>3468</v>
      </c>
      <c r="W254">
        <f>_xlfn.XLOOKUP(B254,'[2]april-2025'!$A:$A,'[2]april-2025'!$D:$D,0,0)</f>
        <v>0</v>
      </c>
      <c r="X254">
        <f>_xlfn.XLOOKUP(B254,'[2]april-2025'!$A:$A,'[2]april-2025'!$G:$G,0,0)</f>
        <v>500</v>
      </c>
      <c r="Y254">
        <f t="shared" si="452"/>
        <v>38070</v>
      </c>
      <c r="Z254">
        <f>_xlfn.XLOOKUP(B254,'[2]april-2025'!$A:$A,'[2]april-2025'!$H:$H,0,0)</f>
        <v>2000</v>
      </c>
      <c r="AA254">
        <f>_xlfn.XLOOKUP(B254,'[2]april-2025'!$A:$A,'[2]april-2025'!$I:$I,0,0)</f>
        <v>0</v>
      </c>
      <c r="AB254">
        <f t="shared" si="461"/>
        <v>150</v>
      </c>
      <c r="AC254">
        <f t="shared" si="462"/>
        <v>35920</v>
      </c>
      <c r="AD254">
        <f>_xlfn.XLOOKUP(B254,'[3]may-2025'!$A:$A,'[3]may-2025'!$C:$C,0,0)</f>
        <v>28900</v>
      </c>
      <c r="AE254">
        <f t="shared" si="463"/>
        <v>5202</v>
      </c>
      <c r="AF254">
        <f t="shared" si="464"/>
        <v>3468</v>
      </c>
      <c r="AG254">
        <f>_xlfn.XLOOKUP(B254,'[3]may-2025'!$A:$A,'[3]may-2025'!$D:$D,0,0)</f>
        <v>0</v>
      </c>
      <c r="AH254">
        <f>_xlfn.XLOOKUP(B254,'[3]may-2025'!$A:$A,'[3]may-2025'!$G:$G,0,0)</f>
        <v>500</v>
      </c>
      <c r="AI254">
        <f t="shared" si="453"/>
        <v>38070</v>
      </c>
      <c r="AJ254">
        <f>_xlfn.XLOOKUP(B254,'[3]may-2025'!$A:$A,'[3]may-2025'!$H:$H,0,0)</f>
        <v>2000</v>
      </c>
      <c r="AK254">
        <f>_xlfn.XLOOKUP(B254,'[3]may-2025'!$A:$A,'[3]may-2025'!$I:$I,0,0)</f>
        <v>0</v>
      </c>
      <c r="AL254">
        <f t="shared" si="465"/>
        <v>150</v>
      </c>
      <c r="AM254">
        <f t="shared" si="466"/>
        <v>35920</v>
      </c>
      <c r="AN254">
        <f>_xlfn.XLOOKUP(B254,'[4]june-2025'!$A:$A,'[4]june-2025'!$C:$C,0,0)</f>
        <v>28900</v>
      </c>
      <c r="AO254">
        <f t="shared" si="467"/>
        <v>5202</v>
      </c>
      <c r="AP254">
        <f t="shared" si="468"/>
        <v>3468</v>
      </c>
      <c r="AQ254">
        <f>_xlfn.XLOOKUP(B254,'[4]june-2025'!$A:$A,'[4]june-2025'!$D:$D,0,0)</f>
        <v>0</v>
      </c>
      <c r="AR254">
        <f>_xlfn.XLOOKUP(B254,'[4]june-2025'!$A:$A,'[4]june-2025'!$G:$G,0,0)</f>
        <v>500</v>
      </c>
      <c r="AS254">
        <f t="shared" si="454"/>
        <v>38070</v>
      </c>
      <c r="AT254">
        <f>_xlfn.XLOOKUP(B254,'[4]june-2025'!$A:$A,'[4]june-2025'!$H:$H,0,0)</f>
        <v>2000</v>
      </c>
      <c r="AU254">
        <f>_xlfn.XLOOKUP(B254,'[4]june-2025'!$A:$A,'[4]june-2025'!$I:$I,0,0)</f>
        <v>0</v>
      </c>
      <c r="AV254">
        <f t="shared" si="469"/>
        <v>150</v>
      </c>
      <c r="AW254">
        <f t="shared" si="470"/>
        <v>35920</v>
      </c>
      <c r="AX254">
        <f>_xlfn.XLOOKUP(B254,'[5]july-2025'!$A:$A,'[5]july-2025'!$C:$C,0,0)</f>
        <v>29800</v>
      </c>
      <c r="AY254">
        <f t="shared" si="471"/>
        <v>5364</v>
      </c>
      <c r="AZ254">
        <v>0</v>
      </c>
      <c r="BA254">
        <f t="shared" si="472"/>
        <v>3576</v>
      </c>
      <c r="BB254">
        <f>_xlfn.XLOOKUP(B254,'[5]july-2025'!$A:$A,'[5]july-2025'!$D:$D,0,0)</f>
        <v>0</v>
      </c>
      <c r="BC254">
        <f>_xlfn.XLOOKUP(B254,'[5]july-2025'!$A:$A,'[5]july-2025'!$G:$G,0,0)</f>
        <v>500</v>
      </c>
      <c r="BD254">
        <f>IF(AX254&gt;0,SUM(AX254:BC254),0)</f>
        <v>39240</v>
      </c>
      <c r="BE254">
        <f>_xlfn.XLOOKUP(B254,'[5]july-2025'!$A:$A,'[5]july-2025'!$H:$H,0,0)</f>
        <v>2000</v>
      </c>
      <c r="BF254">
        <f>_xlfn.XLOOKUP(B254,'[5]july-2025'!$A:$A,'[5]july-2025'!$I:$I,0,0)</f>
        <v>0</v>
      </c>
      <c r="BG254">
        <f t="shared" si="473"/>
        <v>150</v>
      </c>
      <c r="BH254">
        <f t="shared" si="474"/>
        <v>37090</v>
      </c>
      <c r="BI254">
        <f>_xlfn.XLOOKUP(B254,'[6]august-2025'!$A:$A,'[6]august-2025'!$C:$C,0,0)</f>
        <v>29800</v>
      </c>
      <c r="BJ254">
        <f t="shared" si="475"/>
        <v>5364</v>
      </c>
      <c r="BK254">
        <f t="shared" si="476"/>
        <v>3576</v>
      </c>
      <c r="BL254">
        <f>_xlfn.XLOOKUP(B254,'[6]august-2025'!$A:$A,'[6]august-2025'!$D:$D,0,0)</f>
        <v>0</v>
      </c>
      <c r="BM254">
        <f>_xlfn.XLOOKUP(B254,'[6]august-2025'!$A:$A,'[6]august-2025'!$G:$G,0,0)</f>
        <v>500</v>
      </c>
      <c r="BN254">
        <f t="shared" si="477"/>
        <v>39240</v>
      </c>
      <c r="BO254">
        <f>_xlfn.XLOOKUP(B254,'[6]august-2025'!$A:$A,'[6]august-2025'!$H:$H,0,0)</f>
        <v>2000</v>
      </c>
      <c r="BP254">
        <f>_xlfn.XLOOKUP(B254,'[6]august-2025'!$A:$A,'[6]august-2025'!$I:$I,0,0)</f>
        <v>0</v>
      </c>
      <c r="BQ254">
        <f>IF($F254="YES",0,IF(BN254&gt;40000,200,IF(BN254&gt;25000,150,IF(BN254&gt;15000,130,IF(BN254&gt;10000,110,0)))))</f>
        <v>150</v>
      </c>
      <c r="BR254">
        <f>BN254-BO254-BP254-BQ254</f>
        <v>37090</v>
      </c>
      <c r="BS254">
        <f>_xlfn.XLOOKUP(B254,'[7]september-2025'!$A:$A,'[7]september-2025'!$C:$C,0,0)</f>
        <v>29800</v>
      </c>
      <c r="BT254">
        <f t="shared" si="478"/>
        <v>5364</v>
      </c>
      <c r="BU254">
        <f t="shared" si="479"/>
        <v>3576</v>
      </c>
      <c r="BV254">
        <f>_xlfn.XLOOKUP(B254,'[7]september-2025'!$A:$A,'[7]september-2025'!$D:$D,0,0)</f>
        <v>0</v>
      </c>
      <c r="BW254">
        <f>_xlfn.XLOOKUP(B254,'[7]september-2025'!$A:$A,'[7]september-2025'!$G:$G,0,0)</f>
        <v>500</v>
      </c>
      <c r="BX254">
        <f>IF(BS254&gt;0,SUM(BS254:BW254),0)</f>
        <v>39240</v>
      </c>
      <c r="BY254">
        <f>_xlfn.XLOOKUP(B254,'[7]september-2025'!$A:$A,'[7]september-2025'!$H:$H,0,0)</f>
        <v>2000</v>
      </c>
      <c r="BZ254">
        <f>_xlfn.XLOOKUP(B254,'[7]september-2025'!$A:$A,'[7]september-2025'!$I:$I,0,0)</f>
        <v>0</v>
      </c>
      <c r="CA254">
        <f t="shared" si="480"/>
        <v>150</v>
      </c>
      <c r="CB254">
        <f t="shared" si="481"/>
        <v>37090</v>
      </c>
      <c r="CC254">
        <f>_xlfn.XLOOKUP(B254,'[8]october-2025'!$A:$A,'[8]october-2025'!$C:$C,0,0)</f>
        <v>29800</v>
      </c>
      <c r="CD254">
        <f t="shared" si="482"/>
        <v>5364</v>
      </c>
      <c r="CE254">
        <f t="shared" si="483"/>
        <v>3576</v>
      </c>
      <c r="CF254">
        <f>_xlfn.XLOOKUP(B254,'[8]october-2025'!$A:$A,'[8]october-2025'!$D:$D,0,0)</f>
        <v>0</v>
      </c>
      <c r="CG254">
        <f>_xlfn.XLOOKUP(B254,'[8]october-2025'!$A:$A,'[8]october-2025'!$G:$G,0,0)</f>
        <v>500</v>
      </c>
      <c r="CH254">
        <f>IF(CC254&gt;0,SUM(CC254:CG254),0)</f>
        <v>39240</v>
      </c>
      <c r="CI254">
        <f>_xlfn.XLOOKUP(B254,'[8]october-2025'!$A:$A,'[8]october-2025'!$H:$H,0,0)</f>
        <v>2000</v>
      </c>
      <c r="CJ254">
        <f>_xlfn.XLOOKUP(B254,'[8]october-2025'!$A:$A,'[8]october-2025'!$I:$I,0,0)</f>
        <v>0</v>
      </c>
      <c r="CK254">
        <f t="shared" si="484"/>
        <v>150</v>
      </c>
      <c r="CL254">
        <f t="shared" si="485"/>
        <v>37090</v>
      </c>
      <c r="CM254">
        <f>_xlfn.XLOOKUP(B254,'[9]november-2025'!$A:$A,'[9]november-2025'!$C:$C,0,0)</f>
        <v>29800</v>
      </c>
      <c r="CN254">
        <f t="shared" si="486"/>
        <v>5364</v>
      </c>
      <c r="CO254">
        <f t="shared" si="487"/>
        <v>3576</v>
      </c>
      <c r="CP254">
        <f>_xlfn.XLOOKUP(B254,'[9]november-2025'!$A:$A,'[9]november-2025'!$D:$D,0,0)</f>
        <v>0</v>
      </c>
      <c r="CQ254">
        <f>_xlfn.XLOOKUP(B254,'[9]november-2025'!$A:$A,'[9]november-2025'!$G:$G,0,0)</f>
        <v>500</v>
      </c>
      <c r="CR254">
        <f>IF(CM254&gt;0,SUM(CM254:CQ254),0)</f>
        <v>39240</v>
      </c>
      <c r="CS254">
        <f>_xlfn.XLOOKUP(B254,'[9]november-2025'!$A:$A,'[9]november-2025'!$H:$H,0,0)</f>
        <v>2000</v>
      </c>
      <c r="CT254">
        <f>_xlfn.XLOOKUP(B254,'[9]november-2025'!$A:$A,'[9]november-2025'!$I:$I,0,0)</f>
        <v>0</v>
      </c>
      <c r="CU254">
        <f t="shared" si="488"/>
        <v>150</v>
      </c>
      <c r="CV254">
        <f t="shared" si="489"/>
        <v>37090</v>
      </c>
      <c r="CW254">
        <f>_xlfn.XLOOKUP(B254,'[10]december-2025'!$A:$A,'[10]december-2025'!$C:$C,0,0)</f>
        <v>29800</v>
      </c>
      <c r="CX254">
        <f t="shared" si="490"/>
        <v>5364</v>
      </c>
      <c r="CY254">
        <f t="shared" si="491"/>
        <v>3576</v>
      </c>
      <c r="CZ254">
        <f>_xlfn.XLOOKUP(B254,'[10]december-2025'!$A:$A,'[10]december-2025'!$D:$D,0,0)</f>
        <v>0</v>
      </c>
      <c r="DA254">
        <f>_xlfn.XLOOKUP(B254,'[10]december-2025'!$A:$A,'[10]december-2025'!$G:$G,0,0)</f>
        <v>500</v>
      </c>
      <c r="DB254">
        <f>IF(CW254&gt;0,SUM(CW254:DA254),0)</f>
        <v>39240</v>
      </c>
      <c r="DC254">
        <f>_xlfn.XLOOKUP(B254,'[10]december-2025'!$A:$A,'[10]december-2025'!$H:$H,0,0)</f>
        <v>2000</v>
      </c>
      <c r="DD254">
        <f>_xlfn.XLOOKUP(B254,'[10]december-2025'!$A:$A,'[10]december-2025'!$I:$I,0,0)</f>
        <v>0</v>
      </c>
      <c r="DE254">
        <f t="shared" si="492"/>
        <v>150</v>
      </c>
      <c r="DF254">
        <f t="shared" si="493"/>
        <v>37090</v>
      </c>
      <c r="DG254">
        <f>_xlfn.XLOOKUP(B254,'[11]january-2026'!$A:$A,'[11]january-2026'!$C:$C,0,0)</f>
        <v>29800</v>
      </c>
      <c r="DH254">
        <f t="shared" si="494"/>
        <v>5364</v>
      </c>
      <c r="DI254">
        <f t="shared" si="495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>IF(DG254&gt;0,SUM(DG254:DK254),0)</f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496"/>
        <v>150</v>
      </c>
      <c r="DP254">
        <f t="shared" si="497"/>
        <v>37090</v>
      </c>
      <c r="DQ254">
        <f>_xlfn.XLOOKUP(B254,'[12]february-2026'!$A:$A,'[12]february-2026'!$C:$C,0,0)</f>
        <v>29800</v>
      </c>
      <c r="DR254">
        <f t="shared" si="498"/>
        <v>5364</v>
      </c>
      <c r="DS254">
        <f t="shared" si="499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>IF(DQ254&gt;0,SUM(DQ254:DU254),0)</f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00"/>
        <v>150</v>
      </c>
      <c r="DZ254">
        <f t="shared" si="501"/>
        <v>37090</v>
      </c>
      <c r="EA254">
        <f>_xlfn.XLOOKUP(B254,'[1]march-2025'!$A:$A,'[1]march-2025'!$J:$J,0,0)</f>
        <v>0</v>
      </c>
      <c r="EB254">
        <f>_xlfn.XLOOKUP(B254,'[2]april-2025'!$A:$A,'[2]april-2025'!$J:$J,0,0)</f>
        <v>0</v>
      </c>
      <c r="EC254">
        <f>_xlfn.XLOOKUP(B254,'[3]may-2025'!$A:$A,'[3]may-2025'!$J:$J,0,0)</f>
        <v>34471</v>
      </c>
      <c r="ED254">
        <f>_xlfn.XLOOKUP(B254,'[4]june-2025'!$A:$A,'[4]june-2025'!$J:$J,0,0)</f>
        <v>0</v>
      </c>
      <c r="EE254">
        <f>_xlfn.XLOOKUP(B254,'[5]july-2025'!$A:$A,'[5]july-2025'!$J:$J,0,0)</f>
        <v>0</v>
      </c>
      <c r="EF254">
        <f>_xlfn.XLOOKUP(B254,'[6]august-2025'!$A:$A,'[6]august-2025'!$J:$J,0,0)</f>
        <v>0</v>
      </c>
      <c r="EG254">
        <f>_xlfn.XLOOKUP(B254,'[7]september-2025'!$A:$A,'[7]september-2025'!$J:$J,0,0)</f>
        <v>0</v>
      </c>
      <c r="EH254">
        <f>_xlfn.XLOOKUP(B254,'[8]october-2025'!$A:$A,'[8]october-2025'!$J:$J,0,0)</f>
        <v>0</v>
      </c>
      <c r="EI254">
        <f>_xlfn.XLOOKUP(C254,'[9]november-2025'!$A:$A,'[9]november-2025'!$J:$J,0,0)</f>
        <v>0</v>
      </c>
      <c r="EJ254">
        <f>_xlfn.XLOOKUP(B254,'[10]december-2025'!$A:$A,'[10]december-2025'!$J:$J,0,0)</f>
        <v>0</v>
      </c>
      <c r="EK254">
        <f>_xlfn.XLOOKUP(B254,'[11]january-2026'!$A:$A,'[11]january-2026'!$J:$J,0,0)</f>
        <v>0</v>
      </c>
      <c r="EL254">
        <f>_xlfn.XLOOKUP(B254,'[12]february-2026'!$A:$A,'[12]february-2026'!$J:$J,0,0)</f>
        <v>0</v>
      </c>
      <c r="EM254">
        <f t="shared" si="455"/>
        <v>34471</v>
      </c>
      <c r="EN254">
        <f>DV254+DL254+DB254+CR254+CH254+BX254+BN254+BD254+AS254+AI254+Y254+O254+H254+I254</f>
        <v>471844</v>
      </c>
      <c r="EO254">
        <f>DY254+DO254+DE254+CU254+CK254+CA254+BQ254+BG254+AV254+AL254+AB254+R254</f>
        <v>1800</v>
      </c>
      <c r="EP254">
        <f t="shared" si="502"/>
        <v>50000</v>
      </c>
      <c r="EQ254">
        <v>0</v>
      </c>
      <c r="ER254">
        <f t="shared" si="456"/>
        <v>454515</v>
      </c>
      <c r="ES254">
        <f>DW254+DM254+DC254+CS254+CI254+BY254+BO254+BE254+AT254+AJ254+Z254+P254</f>
        <v>24000</v>
      </c>
      <c r="ET254">
        <f>DX254+DN254+DD254+CT254+CJ254+BZ254+BP254+BF254+AU254+AK254+AA254+Q254</f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503"/>
        <v>24000</v>
      </c>
      <c r="FF254">
        <f t="shared" si="504"/>
        <v>24000</v>
      </c>
      <c r="FG254">
        <f t="shared" si="505"/>
        <v>430515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>SUM(FH254:FN254)+(IF(F254="YES",50000,0))</f>
        <v>0</v>
      </c>
      <c r="FP254">
        <f t="shared" si="506"/>
        <v>430515</v>
      </c>
      <c r="FQ254">
        <f t="shared" si="507"/>
        <v>9026</v>
      </c>
      <c r="FR254">
        <f t="shared" si="508"/>
        <v>0</v>
      </c>
      <c r="FS254">
        <f t="shared" si="509"/>
        <v>9026</v>
      </c>
      <c r="FT254">
        <f t="shared" si="510"/>
        <v>0</v>
      </c>
      <c r="FU254">
        <f t="shared" si="511"/>
        <v>0</v>
      </c>
      <c r="FV254">
        <f t="shared" si="512"/>
        <v>0</v>
      </c>
      <c r="FW254">
        <v>0</v>
      </c>
      <c r="FX254">
        <f t="shared" si="513"/>
        <v>0</v>
      </c>
      <c r="FY254" t="b">
        <f t="shared" si="514"/>
        <v>0</v>
      </c>
      <c r="FZ254">
        <f t="shared" ca="1" si="515"/>
        <v>2569</v>
      </c>
      <c r="GA254">
        <f t="shared" ca="1" si="516"/>
        <v>474413</v>
      </c>
      <c r="GB254">
        <f t="shared" si="517"/>
        <v>75000</v>
      </c>
      <c r="GC254">
        <f t="shared" ca="1" si="518"/>
        <v>399413</v>
      </c>
      <c r="GD254">
        <f t="shared" ca="1" si="519"/>
        <v>0</v>
      </c>
      <c r="GE254">
        <f t="shared" ca="1" si="520"/>
        <v>0</v>
      </c>
      <c r="GF254">
        <f t="shared" ca="1" si="521"/>
        <v>0</v>
      </c>
      <c r="GG254">
        <f t="shared" ca="1" si="522"/>
        <v>0</v>
      </c>
      <c r="GH254">
        <f t="shared" ca="1" si="523"/>
        <v>0</v>
      </c>
      <c r="GI254">
        <f t="shared" ca="1" si="524"/>
        <v>0</v>
      </c>
      <c r="GJ254">
        <f ca="1">IF(GC254&gt;1200000,GC254-1200000-IF(F254="YES",50000,0)-GH254,0)</f>
        <v>0</v>
      </c>
      <c r="GK254">
        <f t="shared" ca="1" si="525"/>
        <v>0</v>
      </c>
      <c r="GL254">
        <f t="shared" ca="1" si="526"/>
        <v>0</v>
      </c>
      <c r="GM254">
        <f t="shared" ca="1" si="527"/>
        <v>0</v>
      </c>
      <c r="GN254">
        <f t="shared" ca="1" si="528"/>
        <v>0</v>
      </c>
      <c r="GO254">
        <f t="shared" ca="1" si="529"/>
        <v>0</v>
      </c>
      <c r="GP254">
        <f t="shared" ca="1" si="530"/>
        <v>0</v>
      </c>
      <c r="GQ254">
        <f t="shared" ca="1" si="531"/>
        <v>0</v>
      </c>
      <c r="GR254">
        <f t="shared" ca="1" si="532"/>
        <v>0</v>
      </c>
      <c r="GS254">
        <f t="shared" ca="1" si="533"/>
        <v>0</v>
      </c>
      <c r="GT254">
        <f t="shared" ca="1" si="534"/>
        <v>0</v>
      </c>
      <c r="GU254" t="b">
        <f t="shared" ca="1" si="535"/>
        <v>0</v>
      </c>
      <c r="GV254">
        <f t="shared" ca="1" si="536"/>
        <v>0</v>
      </c>
      <c r="GW254">
        <f t="shared" ca="1" si="537"/>
        <v>0</v>
      </c>
      <c r="GX254">
        <f t="shared" ca="1" si="538"/>
        <v>0</v>
      </c>
      <c r="GY254">
        <f t="shared" ca="1" si="539"/>
        <v>0</v>
      </c>
      <c r="GZ254">
        <f t="shared" ca="1" si="540"/>
        <v>0</v>
      </c>
    </row>
    <row r="255" spans="1:208" x14ac:dyDescent="0.25">
      <c r="A255">
        <f>_xlfn.AGGREGATE(3,5,$B$2:B255)</f>
        <v>254</v>
      </c>
      <c r="B255" t="s">
        <v>613</v>
      </c>
      <c r="C255" t="s">
        <v>614</v>
      </c>
      <c r="D255" t="s">
        <v>815</v>
      </c>
      <c r="E255" t="s">
        <v>831</v>
      </c>
      <c r="F255" t="s">
        <v>957</v>
      </c>
      <c r="G255" t="s">
        <v>878</v>
      </c>
      <c r="H255">
        <f t="shared" si="543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457"/>
        <v>4830.0000000000009</v>
      </c>
      <c r="L255">
        <f t="shared" si="458"/>
        <v>4140</v>
      </c>
      <c r="M255">
        <f>_xlfn.XLOOKUP(B255,'[1]march-2025'!$A:$A,'[1]march-2025'!$D:$D,0,0)</f>
        <v>400</v>
      </c>
      <c r="N255">
        <f>_xlfn.XLOOKUP(B255,'[1]march-2025'!$A:$A,'[1]march-2025'!$G:$G,0,0)</f>
        <v>0</v>
      </c>
      <c r="O255">
        <f>IF(J255&gt;0,SUM(J255:N255),0)</f>
        <v>43870</v>
      </c>
      <c r="P255">
        <f>_xlfn.XLOOKUP(B255,'[1]march-2025'!$A:$A,'[1]march-2025'!$H:$H,0,0)</f>
        <v>2500</v>
      </c>
      <c r="Q255">
        <f>_xlfn.XLOOKUP(B255,'[1]march-2025'!$A:$A,'[1]march-2025'!$I:$I,0,0)</f>
        <v>0</v>
      </c>
      <c r="R255">
        <f t="shared" si="541"/>
        <v>200</v>
      </c>
      <c r="S255">
        <f t="shared" si="451"/>
        <v>41170</v>
      </c>
      <c r="T255">
        <f>_xlfn.XLOOKUP(B255,'[2]april-2025'!$A:$A,'[2]april-2025'!$C:$C,0,0)</f>
        <v>34500</v>
      </c>
      <c r="U255">
        <f t="shared" si="459"/>
        <v>6210</v>
      </c>
      <c r="V255">
        <f t="shared" si="460"/>
        <v>4140</v>
      </c>
      <c r="W255">
        <f>_xlfn.XLOOKUP(B255,'[2]april-2025'!$A:$A,'[2]april-2025'!$D:$D,0,0)</f>
        <v>400</v>
      </c>
      <c r="X255">
        <f>_xlfn.XLOOKUP(B255,'[2]april-2025'!$A:$A,'[2]april-2025'!$G:$G,0,0)</f>
        <v>0</v>
      </c>
      <c r="Y255">
        <f t="shared" si="452"/>
        <v>45250</v>
      </c>
      <c r="Z255">
        <f>_xlfn.XLOOKUP(B255,'[2]april-2025'!$A:$A,'[2]april-2025'!$H:$H,0,0)</f>
        <v>2500</v>
      </c>
      <c r="AA255">
        <f>_xlfn.XLOOKUP(B255,'[2]april-2025'!$A:$A,'[2]april-2025'!$I:$I,0,0)</f>
        <v>0</v>
      </c>
      <c r="AB255">
        <f t="shared" si="461"/>
        <v>200</v>
      </c>
      <c r="AC255">
        <f t="shared" si="462"/>
        <v>42550</v>
      </c>
      <c r="AD255">
        <f>_xlfn.XLOOKUP(B255,'[3]may-2025'!$A:$A,'[3]may-2025'!$C:$C,0,0)</f>
        <v>34500</v>
      </c>
      <c r="AE255">
        <f t="shared" si="463"/>
        <v>6210</v>
      </c>
      <c r="AF255">
        <f t="shared" si="464"/>
        <v>4140</v>
      </c>
      <c r="AG255">
        <f>_xlfn.XLOOKUP(B255,'[3]may-2025'!$A:$A,'[3]may-2025'!$D:$D,0,0)</f>
        <v>400</v>
      </c>
      <c r="AH255">
        <f>_xlfn.XLOOKUP(B255,'[3]may-2025'!$A:$A,'[3]may-2025'!$G:$G,0,0)</f>
        <v>0</v>
      </c>
      <c r="AI255">
        <f t="shared" si="453"/>
        <v>45250</v>
      </c>
      <c r="AJ255">
        <f>_xlfn.XLOOKUP(B255,'[3]may-2025'!$A:$A,'[3]may-2025'!$H:$H,0,0)</f>
        <v>2500</v>
      </c>
      <c r="AK255">
        <f>_xlfn.XLOOKUP(B255,'[3]may-2025'!$A:$A,'[3]may-2025'!$I:$I,0,0)</f>
        <v>0</v>
      </c>
      <c r="AL255">
        <f t="shared" si="465"/>
        <v>200</v>
      </c>
      <c r="AM255">
        <f t="shared" si="466"/>
        <v>42550</v>
      </c>
      <c r="AN255">
        <f>_xlfn.XLOOKUP(B255,'[4]june-2025'!$A:$A,'[4]june-2025'!$C:$C,0,0)</f>
        <v>34500</v>
      </c>
      <c r="AO255">
        <f t="shared" si="467"/>
        <v>6210</v>
      </c>
      <c r="AP255">
        <f t="shared" si="468"/>
        <v>4140</v>
      </c>
      <c r="AQ255">
        <f>_xlfn.XLOOKUP(B255,'[4]june-2025'!$A:$A,'[4]june-2025'!$D:$D,0,0)</f>
        <v>400</v>
      </c>
      <c r="AR255">
        <f>_xlfn.XLOOKUP(B255,'[4]june-2025'!$A:$A,'[4]june-2025'!$G:$G,0,0)</f>
        <v>0</v>
      </c>
      <c r="AS255">
        <f t="shared" si="454"/>
        <v>45250</v>
      </c>
      <c r="AT255">
        <f>_xlfn.XLOOKUP(B255,'[4]june-2025'!$A:$A,'[4]june-2025'!$H:$H,0,0)</f>
        <v>2500</v>
      </c>
      <c r="AU255">
        <f>_xlfn.XLOOKUP(B255,'[4]june-2025'!$A:$A,'[4]june-2025'!$I:$I,0,0)</f>
        <v>0</v>
      </c>
      <c r="AV255">
        <f t="shared" si="469"/>
        <v>200</v>
      </c>
      <c r="AW255">
        <f t="shared" si="470"/>
        <v>42550</v>
      </c>
      <c r="AX255">
        <f>_xlfn.XLOOKUP(B255,'[5]july-2025'!$A:$A,'[5]july-2025'!$C:$C,0,0)</f>
        <v>35500</v>
      </c>
      <c r="AY255">
        <f t="shared" si="471"/>
        <v>6390</v>
      </c>
      <c r="AZ255">
        <v>0</v>
      </c>
      <c r="BA255">
        <f t="shared" si="472"/>
        <v>4260</v>
      </c>
      <c r="BB255">
        <f>_xlfn.XLOOKUP(B255,'[5]july-2025'!$A:$A,'[5]july-2025'!$D:$D,0,0)</f>
        <v>400</v>
      </c>
      <c r="BC255">
        <f>_xlfn.XLOOKUP(B255,'[5]july-2025'!$A:$A,'[5]july-2025'!$G:$G,0,0)</f>
        <v>0</v>
      </c>
      <c r="BD255">
        <f>IF(AX255&gt;0,SUM(AX255:BC255),0)</f>
        <v>46550</v>
      </c>
      <c r="BE255">
        <f>_xlfn.XLOOKUP(B255,'[5]july-2025'!$A:$A,'[5]july-2025'!$H:$H,0,0)</f>
        <v>2500</v>
      </c>
      <c r="BF255">
        <f>_xlfn.XLOOKUP(B255,'[5]july-2025'!$A:$A,'[5]july-2025'!$I:$I,0,0)</f>
        <v>0</v>
      </c>
      <c r="BG255">
        <f t="shared" si="473"/>
        <v>200</v>
      </c>
      <c r="BH255">
        <f t="shared" si="474"/>
        <v>43850</v>
      </c>
      <c r="BI255">
        <f>_xlfn.XLOOKUP(B255,'[6]august-2025'!$A:$A,'[6]august-2025'!$C:$C,0,0)</f>
        <v>35500</v>
      </c>
      <c r="BJ255">
        <f t="shared" si="475"/>
        <v>6390</v>
      </c>
      <c r="BK255">
        <f t="shared" si="476"/>
        <v>4260</v>
      </c>
      <c r="BL255">
        <f>_xlfn.XLOOKUP(B255,'[6]august-2025'!$A:$A,'[6]august-2025'!$D:$D,0,0)</f>
        <v>400</v>
      </c>
      <c r="BM255">
        <f>_xlfn.XLOOKUP(B255,'[6]august-2025'!$A:$A,'[6]august-2025'!$G:$G,0,0)</f>
        <v>0</v>
      </c>
      <c r="BN255">
        <f t="shared" si="477"/>
        <v>46550</v>
      </c>
      <c r="BO255">
        <f>_xlfn.XLOOKUP(B255,'[6]august-2025'!$A:$A,'[6]august-2025'!$H:$H,0,0)</f>
        <v>2500</v>
      </c>
      <c r="BP255">
        <f>_xlfn.XLOOKUP(B255,'[6]august-2025'!$A:$A,'[6]august-2025'!$I:$I,0,0)</f>
        <v>0</v>
      </c>
      <c r="BQ255">
        <f>IF($F255="YES",0,IF(BN255&gt;40000,200,IF(BN255&gt;25000,150,IF(BN255&gt;15000,130,IF(BN255&gt;10000,110,0)))))</f>
        <v>200</v>
      </c>
      <c r="BR255">
        <f>BN255-BO255-BP255-BQ255</f>
        <v>43850</v>
      </c>
      <c r="BS255">
        <f>_xlfn.XLOOKUP(B255,'[7]september-2025'!$A:$A,'[7]september-2025'!$C:$C,0,0)</f>
        <v>35500</v>
      </c>
      <c r="BT255">
        <f t="shared" si="478"/>
        <v>6390</v>
      </c>
      <c r="BU255">
        <f t="shared" si="479"/>
        <v>4260</v>
      </c>
      <c r="BV255">
        <f>_xlfn.XLOOKUP(B255,'[7]september-2025'!$A:$A,'[7]september-2025'!$D:$D,0,0)</f>
        <v>400</v>
      </c>
      <c r="BW255">
        <f>_xlfn.XLOOKUP(B255,'[7]september-2025'!$A:$A,'[7]september-2025'!$G:$G,0,0)</f>
        <v>0</v>
      </c>
      <c r="BX255">
        <f>IF(BS255&gt;0,SUM(BS255:BW255),0)</f>
        <v>46550</v>
      </c>
      <c r="BY255">
        <f>_xlfn.XLOOKUP(B255,'[7]september-2025'!$A:$A,'[7]september-2025'!$H:$H,0,0)</f>
        <v>2500</v>
      </c>
      <c r="BZ255">
        <f>_xlfn.XLOOKUP(B255,'[7]september-2025'!$A:$A,'[7]september-2025'!$I:$I,0,0)</f>
        <v>0</v>
      </c>
      <c r="CA255">
        <f t="shared" si="480"/>
        <v>200</v>
      </c>
      <c r="CB255">
        <f t="shared" si="481"/>
        <v>43850</v>
      </c>
      <c r="CC255">
        <f>_xlfn.XLOOKUP(B255,'[8]october-2025'!$A:$A,'[8]october-2025'!$C:$C,0,0)</f>
        <v>35500</v>
      </c>
      <c r="CD255">
        <f t="shared" si="482"/>
        <v>6390</v>
      </c>
      <c r="CE255">
        <f t="shared" si="483"/>
        <v>4260</v>
      </c>
      <c r="CF255">
        <f>_xlfn.XLOOKUP(B255,'[8]october-2025'!$A:$A,'[8]october-2025'!$D:$D,0,0)</f>
        <v>400</v>
      </c>
      <c r="CG255">
        <f>_xlfn.XLOOKUP(B255,'[8]october-2025'!$A:$A,'[8]october-2025'!$G:$G,0,0)</f>
        <v>0</v>
      </c>
      <c r="CH255">
        <f>IF(CC255&gt;0,SUM(CC255:CG255),0)</f>
        <v>46550</v>
      </c>
      <c r="CI255">
        <f>_xlfn.XLOOKUP(B255,'[8]october-2025'!$A:$A,'[8]october-2025'!$H:$H,0,0)</f>
        <v>2500</v>
      </c>
      <c r="CJ255">
        <f>_xlfn.XLOOKUP(B255,'[8]october-2025'!$A:$A,'[8]october-2025'!$I:$I,0,0)</f>
        <v>0</v>
      </c>
      <c r="CK255">
        <f t="shared" si="484"/>
        <v>200</v>
      </c>
      <c r="CL255">
        <f t="shared" si="485"/>
        <v>43850</v>
      </c>
      <c r="CM255">
        <f>_xlfn.XLOOKUP(B255,'[9]november-2025'!$A:$A,'[9]november-2025'!$C:$C,0,0)</f>
        <v>35500</v>
      </c>
      <c r="CN255">
        <f t="shared" si="486"/>
        <v>6390</v>
      </c>
      <c r="CO255">
        <f t="shared" si="487"/>
        <v>4260</v>
      </c>
      <c r="CP255">
        <f>_xlfn.XLOOKUP(B255,'[9]november-2025'!$A:$A,'[9]november-2025'!$D:$D,0,0)</f>
        <v>400</v>
      </c>
      <c r="CQ255">
        <f>_xlfn.XLOOKUP(B255,'[9]november-2025'!$A:$A,'[9]november-2025'!$G:$G,0,0)</f>
        <v>0</v>
      </c>
      <c r="CR255">
        <f>IF(CM255&gt;0,SUM(CM255:CQ255),0)</f>
        <v>46550</v>
      </c>
      <c r="CS255">
        <f>_xlfn.XLOOKUP(B255,'[9]november-2025'!$A:$A,'[9]november-2025'!$H:$H,0,0)</f>
        <v>2500</v>
      </c>
      <c r="CT255">
        <f>_xlfn.XLOOKUP(B255,'[9]november-2025'!$A:$A,'[9]november-2025'!$I:$I,0,0)</f>
        <v>0</v>
      </c>
      <c r="CU255">
        <f t="shared" si="488"/>
        <v>200</v>
      </c>
      <c r="CV255">
        <f t="shared" si="489"/>
        <v>43850</v>
      </c>
      <c r="CW255">
        <f>_xlfn.XLOOKUP(B255,'[10]december-2025'!$A:$A,'[10]december-2025'!$C:$C,0,0)</f>
        <v>35500</v>
      </c>
      <c r="CX255">
        <f t="shared" si="490"/>
        <v>6390</v>
      </c>
      <c r="CY255">
        <f t="shared" si="491"/>
        <v>4260</v>
      </c>
      <c r="CZ255">
        <f>_xlfn.XLOOKUP(B255,'[10]december-2025'!$A:$A,'[10]december-2025'!$D:$D,0,0)</f>
        <v>400</v>
      </c>
      <c r="DA255">
        <f>_xlfn.XLOOKUP(B255,'[10]december-2025'!$A:$A,'[10]december-2025'!$G:$G,0,0)</f>
        <v>0</v>
      </c>
      <c r="DB255">
        <f>IF(CW255&gt;0,SUM(CW255:DA255),0)</f>
        <v>46550</v>
      </c>
      <c r="DC255">
        <f>_xlfn.XLOOKUP(B255,'[10]december-2025'!$A:$A,'[10]december-2025'!$H:$H,0,0)</f>
        <v>2500</v>
      </c>
      <c r="DD255">
        <f>_xlfn.XLOOKUP(B255,'[10]december-2025'!$A:$A,'[10]december-2025'!$I:$I,0,0)</f>
        <v>0</v>
      </c>
      <c r="DE255">
        <f t="shared" si="492"/>
        <v>200</v>
      </c>
      <c r="DF255">
        <f t="shared" si="493"/>
        <v>43850</v>
      </c>
      <c r="DG255">
        <f>_xlfn.XLOOKUP(B255,'[11]january-2026'!$A:$A,'[11]january-2026'!$C:$C,0,0)</f>
        <v>35500</v>
      </c>
      <c r="DH255">
        <f t="shared" si="494"/>
        <v>6390</v>
      </c>
      <c r="DI255">
        <f t="shared" si="495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>IF(DG255&gt;0,SUM(DG255:DK255),0)</f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496"/>
        <v>200</v>
      </c>
      <c r="DP255">
        <f t="shared" si="497"/>
        <v>43850</v>
      </c>
      <c r="DQ255">
        <f>_xlfn.XLOOKUP(B255,'[12]february-2026'!$A:$A,'[12]february-2026'!$C:$C,0,0)</f>
        <v>35500</v>
      </c>
      <c r="DR255">
        <f t="shared" si="498"/>
        <v>6390</v>
      </c>
      <c r="DS255">
        <f t="shared" si="499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>IF(DQ255&gt;0,SUM(DQ255:DU255),0)</f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00"/>
        <v>200</v>
      </c>
      <c r="DZ255">
        <f t="shared" si="501"/>
        <v>43850</v>
      </c>
      <c r="EA255">
        <f>_xlfn.XLOOKUP(B255,'[1]march-2025'!$A:$A,'[1]march-2025'!$J:$J,0,0)</f>
        <v>0</v>
      </c>
      <c r="EB255">
        <f>_xlfn.XLOOKUP(B255,'[2]april-2025'!$A:$A,'[2]april-2025'!$J:$J,0,0)</f>
        <v>0</v>
      </c>
      <c r="EC255">
        <f>_xlfn.XLOOKUP(B255,'[3]may-2025'!$A:$A,'[3]may-2025'!$J:$J,0,0)</f>
        <v>0</v>
      </c>
      <c r="ED255">
        <f>_xlfn.XLOOKUP(B255,'[4]june-2025'!$A:$A,'[4]june-2025'!$J:$J,0,0)</f>
        <v>0</v>
      </c>
      <c r="EE255">
        <f>_xlfn.XLOOKUP(B255,'[5]july-2025'!$A:$A,'[5]july-2025'!$J:$J,0,0)</f>
        <v>0</v>
      </c>
      <c r="EF255">
        <f>_xlfn.XLOOKUP(B255,'[6]august-2025'!$A:$A,'[6]august-2025'!$J:$J,0,0)</f>
        <v>0</v>
      </c>
      <c r="EG255">
        <f>_xlfn.XLOOKUP(B255,'[7]september-2025'!$A:$A,'[7]september-2025'!$J:$J,0,0)</f>
        <v>0</v>
      </c>
      <c r="EH255">
        <f>_xlfn.XLOOKUP(B255,'[8]october-2025'!$A:$A,'[8]october-2025'!$J:$J,0,0)</f>
        <v>0</v>
      </c>
      <c r="EI255">
        <f>_xlfn.XLOOKUP(C255,'[9]november-2025'!$A:$A,'[9]november-2025'!$J:$J,0,0)</f>
        <v>0</v>
      </c>
      <c r="EJ255">
        <f>_xlfn.XLOOKUP(B255,'[10]december-2025'!$A:$A,'[10]december-2025'!$J:$J,0,0)</f>
        <v>0</v>
      </c>
      <c r="EK255">
        <f>_xlfn.XLOOKUP(B255,'[11]january-2026'!$A:$A,'[11]january-2026'!$J:$J,0,0)</f>
        <v>0</v>
      </c>
      <c r="EL255">
        <f>_xlfn.XLOOKUP(B255,'[12]february-2026'!$A:$A,'[12]february-2026'!$J:$J,0,0)</f>
        <v>0</v>
      </c>
      <c r="EM255">
        <f t="shared" si="455"/>
        <v>0</v>
      </c>
      <c r="EN255">
        <f>DV255+DL255+DB255+CR255+CH255+BX255+BN255+BD255+AS255+AI255+Y255+O255+H255+I255</f>
        <v>558820</v>
      </c>
      <c r="EO255">
        <f>DY255+DO255+DE255+CU255+CK255+CA255+BQ255+BG255+AV255+AL255+AB255+R255</f>
        <v>2400</v>
      </c>
      <c r="EP255">
        <f t="shared" si="502"/>
        <v>50000</v>
      </c>
      <c r="EQ255">
        <v>0</v>
      </c>
      <c r="ER255">
        <f t="shared" si="456"/>
        <v>506420</v>
      </c>
      <c r="ES255">
        <f>DW255+DM255+DC255+CS255+CI255+BY255+BO255+BE255+AT255+AJ255+Z255+P255</f>
        <v>30000</v>
      </c>
      <c r="ET255">
        <f>DX255+DN255+DD255+CT255+CJ255+BZ255+BP255+BF255+AU255+AK255+AA255+Q255</f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503"/>
        <v>30000</v>
      </c>
      <c r="FF255">
        <f t="shared" si="504"/>
        <v>30000</v>
      </c>
      <c r="FG255">
        <f t="shared" si="505"/>
        <v>476420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>SUM(FH255:FN255)+(IF(F255="YES",50000,0))</f>
        <v>0</v>
      </c>
      <c r="FP255">
        <f t="shared" si="506"/>
        <v>476420</v>
      </c>
      <c r="FQ255">
        <f t="shared" si="507"/>
        <v>11321</v>
      </c>
      <c r="FR255">
        <f t="shared" si="508"/>
        <v>0</v>
      </c>
      <c r="FS255">
        <f t="shared" si="509"/>
        <v>11321</v>
      </c>
      <c r="FT255">
        <f t="shared" si="510"/>
        <v>0</v>
      </c>
      <c r="FU255">
        <f t="shared" si="511"/>
        <v>0</v>
      </c>
      <c r="FV255">
        <f t="shared" si="512"/>
        <v>0</v>
      </c>
      <c r="FW255">
        <v>0</v>
      </c>
      <c r="FX255">
        <f t="shared" si="513"/>
        <v>0</v>
      </c>
      <c r="FY255" t="b">
        <f t="shared" si="514"/>
        <v>1</v>
      </c>
      <c r="FZ255">
        <f t="shared" ca="1" si="515"/>
        <v>533</v>
      </c>
      <c r="GA255">
        <f t="shared" ca="1" si="516"/>
        <v>559353</v>
      </c>
      <c r="GB255">
        <f t="shared" si="517"/>
        <v>75000</v>
      </c>
      <c r="GC255">
        <f t="shared" ca="1" si="518"/>
        <v>484353</v>
      </c>
      <c r="GD255">
        <f t="shared" ca="1" si="519"/>
        <v>0</v>
      </c>
      <c r="GE255">
        <f t="shared" ca="1" si="520"/>
        <v>0</v>
      </c>
      <c r="GF255">
        <f t="shared" ca="1" si="521"/>
        <v>0</v>
      </c>
      <c r="GG255">
        <f t="shared" ca="1" si="522"/>
        <v>0</v>
      </c>
      <c r="GH255">
        <f t="shared" ca="1" si="523"/>
        <v>0</v>
      </c>
      <c r="GI255">
        <f t="shared" ca="1" si="524"/>
        <v>0</v>
      </c>
      <c r="GJ255">
        <f ca="1">IF(GC255&gt;1200000,GC255-1200000-IF(F255="YES",50000,0)-GH255,0)</f>
        <v>0</v>
      </c>
      <c r="GK255">
        <f t="shared" ca="1" si="525"/>
        <v>0</v>
      </c>
      <c r="GL255">
        <f t="shared" ca="1" si="526"/>
        <v>0</v>
      </c>
      <c r="GM255">
        <f t="shared" ca="1" si="527"/>
        <v>0</v>
      </c>
      <c r="GN255">
        <f t="shared" ca="1" si="528"/>
        <v>84353</v>
      </c>
      <c r="GO255">
        <f t="shared" ca="1" si="529"/>
        <v>4217.6500000000005</v>
      </c>
      <c r="GP255">
        <f t="shared" ca="1" si="530"/>
        <v>4218</v>
      </c>
      <c r="GQ255">
        <f t="shared" ca="1" si="531"/>
        <v>0</v>
      </c>
      <c r="GR255">
        <f t="shared" ca="1" si="532"/>
        <v>0</v>
      </c>
      <c r="GS255">
        <f t="shared" ca="1" si="533"/>
        <v>4218</v>
      </c>
      <c r="GT255">
        <f t="shared" ca="1" si="534"/>
        <v>0</v>
      </c>
      <c r="GU255" t="b">
        <f t="shared" ca="1" si="535"/>
        <v>0</v>
      </c>
      <c r="GV255">
        <f t="shared" ca="1" si="536"/>
        <v>0</v>
      </c>
      <c r="GW255">
        <f t="shared" ca="1" si="537"/>
        <v>4218</v>
      </c>
      <c r="GX255">
        <f t="shared" ca="1" si="538"/>
        <v>0</v>
      </c>
      <c r="GY255">
        <f t="shared" ca="1" si="539"/>
        <v>0</v>
      </c>
      <c r="GZ255">
        <f t="shared" ca="1" si="540"/>
        <v>0</v>
      </c>
    </row>
    <row r="256" spans="1:208" x14ac:dyDescent="0.25">
      <c r="A256">
        <f>_xlfn.AGGREGATE(3,5,$B$2:B256)</f>
        <v>255</v>
      </c>
      <c r="B256" t="s">
        <v>615</v>
      </c>
      <c r="C256" t="s">
        <v>616</v>
      </c>
      <c r="D256" t="s">
        <v>815</v>
      </c>
      <c r="E256" t="s">
        <v>831</v>
      </c>
      <c r="F256" t="s">
        <v>957</v>
      </c>
      <c r="G256" t="s">
        <v>878</v>
      </c>
      <c r="H256">
        <f t="shared" si="543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457"/>
        <v>4830.0000000000009</v>
      </c>
      <c r="L256">
        <f t="shared" si="458"/>
        <v>4140</v>
      </c>
      <c r="M256">
        <f>_xlfn.XLOOKUP(B256,'[1]march-2025'!$A:$A,'[1]march-2025'!$D:$D,0,0)</f>
        <v>0</v>
      </c>
      <c r="N256">
        <f>_xlfn.XLOOKUP(B256,'[1]march-2025'!$A:$A,'[1]march-2025'!$G:$G,0,0)</f>
        <v>0</v>
      </c>
      <c r="O256">
        <f>IF(J256&gt;0,SUM(J256:N256),0)</f>
        <v>43470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541"/>
        <v>200</v>
      </c>
      <c r="S256">
        <f t="shared" si="451"/>
        <v>38270</v>
      </c>
      <c r="T256">
        <f>_xlfn.XLOOKUP(B256,'[2]april-2025'!$A:$A,'[2]april-2025'!$C:$C,0,0)</f>
        <v>34500</v>
      </c>
      <c r="U256">
        <f t="shared" si="459"/>
        <v>6210</v>
      </c>
      <c r="V256">
        <f t="shared" si="460"/>
        <v>4140</v>
      </c>
      <c r="W256">
        <f>_xlfn.XLOOKUP(B256,'[2]april-2025'!$A:$A,'[2]april-2025'!$D:$D,0,0)</f>
        <v>0</v>
      </c>
      <c r="X256">
        <f>_xlfn.XLOOKUP(B256,'[2]april-2025'!$A:$A,'[2]april-2025'!$G:$G,0,0)</f>
        <v>0</v>
      </c>
      <c r="Y256">
        <f t="shared" si="452"/>
        <v>44850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461"/>
        <v>200</v>
      </c>
      <c r="AC256">
        <f t="shared" si="462"/>
        <v>39650</v>
      </c>
      <c r="AD256">
        <f>_xlfn.XLOOKUP(B256,'[3]may-2025'!$A:$A,'[3]may-2025'!$C:$C,0,0)</f>
        <v>34500</v>
      </c>
      <c r="AE256">
        <f t="shared" si="463"/>
        <v>6210</v>
      </c>
      <c r="AF256">
        <f t="shared" si="464"/>
        <v>4140</v>
      </c>
      <c r="AG256">
        <f>_xlfn.XLOOKUP(B256,'[3]may-2025'!$A:$A,'[3]may-2025'!$D:$D,0,0)</f>
        <v>0</v>
      </c>
      <c r="AH256">
        <f>_xlfn.XLOOKUP(B256,'[3]may-2025'!$A:$A,'[3]may-2025'!$G:$G,0,0)</f>
        <v>0</v>
      </c>
      <c r="AI256">
        <f t="shared" si="453"/>
        <v>44850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465"/>
        <v>200</v>
      </c>
      <c r="AM256">
        <f t="shared" si="466"/>
        <v>39650</v>
      </c>
      <c r="AN256">
        <f>_xlfn.XLOOKUP(B256,'[4]june-2025'!$A:$A,'[4]june-2025'!$C:$C,0,0)</f>
        <v>34500</v>
      </c>
      <c r="AO256">
        <f t="shared" si="467"/>
        <v>6210</v>
      </c>
      <c r="AP256">
        <f t="shared" si="468"/>
        <v>4140</v>
      </c>
      <c r="AQ256">
        <f>_xlfn.XLOOKUP(B256,'[4]june-2025'!$A:$A,'[4]june-2025'!$D:$D,0,0)</f>
        <v>0</v>
      </c>
      <c r="AR256">
        <f>_xlfn.XLOOKUP(B256,'[4]june-2025'!$A:$A,'[4]june-2025'!$G:$G,0,0)</f>
        <v>0</v>
      </c>
      <c r="AS256">
        <f t="shared" si="454"/>
        <v>44850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469"/>
        <v>200</v>
      </c>
      <c r="AW256">
        <f t="shared" si="470"/>
        <v>39650</v>
      </c>
      <c r="AX256">
        <f>_xlfn.XLOOKUP(B256,'[5]july-2025'!$A:$A,'[5]july-2025'!$C:$C,0,0)</f>
        <v>35500</v>
      </c>
      <c r="AY256">
        <f t="shared" si="471"/>
        <v>6390</v>
      </c>
      <c r="AZ256">
        <v>0</v>
      </c>
      <c r="BA256">
        <f t="shared" si="472"/>
        <v>4260</v>
      </c>
      <c r="BB256">
        <f>_xlfn.XLOOKUP(B256,'[5]july-2025'!$A:$A,'[5]july-2025'!$D:$D,0,0)</f>
        <v>0</v>
      </c>
      <c r="BC256">
        <f>_xlfn.XLOOKUP(B256,'[5]july-2025'!$A:$A,'[5]july-2025'!$G:$G,0,0)</f>
        <v>0</v>
      </c>
      <c r="BD256">
        <f>IF(AX256&gt;0,SUM(AX256:BC256),0)</f>
        <v>46150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473"/>
        <v>200</v>
      </c>
      <c r="BH256">
        <f t="shared" si="474"/>
        <v>40950</v>
      </c>
      <c r="BI256">
        <f>_xlfn.XLOOKUP(B256,'[6]august-2025'!$A:$A,'[6]august-2025'!$C:$C,0,0)</f>
        <v>35500</v>
      </c>
      <c r="BJ256">
        <f t="shared" si="475"/>
        <v>6390</v>
      </c>
      <c r="BK256">
        <f t="shared" si="476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0</v>
      </c>
      <c r="BN256">
        <f t="shared" si="477"/>
        <v>46150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>IF($F256="YES",0,IF(BN256&gt;40000,200,IF(BN256&gt;25000,150,IF(BN256&gt;15000,130,IF(BN256&gt;10000,110,0)))))</f>
        <v>200</v>
      </c>
      <c r="BR256">
        <f>BN256-BO256-BP256-BQ256</f>
        <v>40950</v>
      </c>
      <c r="BS256">
        <f>_xlfn.XLOOKUP(B256,'[7]september-2025'!$A:$A,'[7]september-2025'!$C:$C,0,0)</f>
        <v>35500</v>
      </c>
      <c r="BT256">
        <f t="shared" si="478"/>
        <v>6390</v>
      </c>
      <c r="BU256">
        <f t="shared" si="479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0</v>
      </c>
      <c r="BX256">
        <f>IF(BS256&gt;0,SUM(BS256:BW256),0)</f>
        <v>46150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480"/>
        <v>200</v>
      </c>
      <c r="CB256">
        <f t="shared" si="481"/>
        <v>40950</v>
      </c>
      <c r="CC256">
        <f>_xlfn.XLOOKUP(B256,'[8]october-2025'!$A:$A,'[8]october-2025'!$C:$C,0,0)</f>
        <v>35500</v>
      </c>
      <c r="CD256">
        <f t="shared" si="482"/>
        <v>6390</v>
      </c>
      <c r="CE256">
        <f t="shared" si="483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0</v>
      </c>
      <c r="CH256">
        <f>IF(CC256&gt;0,SUM(CC256:CG256),0)</f>
        <v>46150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484"/>
        <v>200</v>
      </c>
      <c r="CL256">
        <f t="shared" si="485"/>
        <v>40950</v>
      </c>
      <c r="CM256">
        <f>_xlfn.XLOOKUP(B256,'[9]november-2025'!$A:$A,'[9]november-2025'!$C:$C,0,0)</f>
        <v>35500</v>
      </c>
      <c r="CN256">
        <f t="shared" si="486"/>
        <v>6390</v>
      </c>
      <c r="CO256">
        <f t="shared" si="487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0</v>
      </c>
      <c r="CR256">
        <f>IF(CM256&gt;0,SUM(CM256:CQ256),0)</f>
        <v>46150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488"/>
        <v>200</v>
      </c>
      <c r="CV256">
        <f t="shared" si="489"/>
        <v>40950</v>
      </c>
      <c r="CW256">
        <f>_xlfn.XLOOKUP(B256,'[10]december-2025'!$A:$A,'[10]december-2025'!$C:$C,0,0)</f>
        <v>35500</v>
      </c>
      <c r="CX256">
        <f t="shared" si="490"/>
        <v>6390</v>
      </c>
      <c r="CY256">
        <f t="shared" si="491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0</v>
      </c>
      <c r="DB256">
        <f>IF(CW256&gt;0,SUM(CW256:DA256),0)</f>
        <v>46150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492"/>
        <v>200</v>
      </c>
      <c r="DF256">
        <f t="shared" si="493"/>
        <v>40950</v>
      </c>
      <c r="DG256">
        <f>_xlfn.XLOOKUP(B256,'[11]january-2026'!$A:$A,'[11]january-2026'!$C:$C,0,0)</f>
        <v>35500</v>
      </c>
      <c r="DH256">
        <f t="shared" si="494"/>
        <v>6390</v>
      </c>
      <c r="DI256">
        <f t="shared" si="495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>IF(DG256&gt;0,SUM(DG256:DK256),0)</f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496"/>
        <v>200</v>
      </c>
      <c r="DP256">
        <f t="shared" si="497"/>
        <v>40950</v>
      </c>
      <c r="DQ256">
        <f>_xlfn.XLOOKUP(B256,'[12]february-2026'!$A:$A,'[12]february-2026'!$C:$C,0,0)</f>
        <v>35500</v>
      </c>
      <c r="DR256">
        <f t="shared" si="498"/>
        <v>6390</v>
      </c>
      <c r="DS256">
        <f t="shared" si="499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>IF(DQ256&gt;0,SUM(DQ256:DU256),0)</f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00"/>
        <v>200</v>
      </c>
      <c r="DZ256">
        <f t="shared" si="501"/>
        <v>40950</v>
      </c>
      <c r="EA256">
        <f>_xlfn.XLOOKUP(B256,'[1]march-2025'!$A:$A,'[1]march-2025'!$J:$J,0,0)</f>
        <v>0</v>
      </c>
      <c r="EB256">
        <f>_xlfn.XLOOKUP(B256,'[2]april-2025'!$A:$A,'[2]april-2025'!$J:$J,0,0)</f>
        <v>0</v>
      </c>
      <c r="EC256">
        <f>_xlfn.XLOOKUP(B256,'[3]may-2025'!$A:$A,'[3]may-2025'!$J:$J,0,0)</f>
        <v>0</v>
      </c>
      <c r="ED256">
        <f>_xlfn.XLOOKUP(B256,'[4]june-2025'!$A:$A,'[4]june-2025'!$J:$J,0,0)</f>
        <v>0</v>
      </c>
      <c r="EE256">
        <f>_xlfn.XLOOKUP(B256,'[5]july-2025'!$A:$A,'[5]july-2025'!$J:$J,0,0)</f>
        <v>0</v>
      </c>
      <c r="EF256">
        <f>_xlfn.XLOOKUP(B256,'[6]august-2025'!$A:$A,'[6]august-2025'!$J:$J,0,0)</f>
        <v>0</v>
      </c>
      <c r="EG256">
        <f>_xlfn.XLOOKUP(B256,'[7]september-2025'!$A:$A,'[7]september-2025'!$J:$J,0,0)</f>
        <v>0</v>
      </c>
      <c r="EH256">
        <f>_xlfn.XLOOKUP(B256,'[8]october-2025'!$A:$A,'[8]october-2025'!$J:$J,0,0)</f>
        <v>0</v>
      </c>
      <c r="EI256">
        <f>_xlfn.XLOOKUP(C256,'[9]november-2025'!$A:$A,'[9]november-2025'!$J:$J,0,0)</f>
        <v>0</v>
      </c>
      <c r="EJ256">
        <f>_xlfn.XLOOKUP(B256,'[10]december-2025'!$A:$A,'[10]december-2025'!$J:$J,0,0)</f>
        <v>0</v>
      </c>
      <c r="EK256">
        <f>_xlfn.XLOOKUP(B256,'[11]january-2026'!$A:$A,'[11]january-2026'!$J:$J,0,0)</f>
        <v>0</v>
      </c>
      <c r="EL256">
        <f>_xlfn.XLOOKUP(B256,'[12]february-2026'!$A:$A,'[12]february-2026'!$J:$J,0,0)</f>
        <v>0</v>
      </c>
      <c r="EM256">
        <f t="shared" si="455"/>
        <v>0</v>
      </c>
      <c r="EN256">
        <f>DV256+DL256+DB256+CR256+CH256+BX256+BN256+BD256+AS256+AI256+Y256+O256+H256+I256</f>
        <v>554020</v>
      </c>
      <c r="EO256">
        <f>DY256+DO256+DE256+CU256+CK256+CA256+BQ256+BG256+AV256+AL256+AB256+R256</f>
        <v>2400</v>
      </c>
      <c r="EP256">
        <f t="shared" si="502"/>
        <v>50000</v>
      </c>
      <c r="EQ256">
        <v>0</v>
      </c>
      <c r="ER256">
        <f t="shared" si="456"/>
        <v>501620</v>
      </c>
      <c r="ES256">
        <f>DW256+DM256+DC256+CS256+CI256+BY256+BO256+BE256+AT256+AJ256+Z256+P256</f>
        <v>60000</v>
      </c>
      <c r="ET256">
        <f>DX256+DN256+DD256+CT256+CJ256+BZ256+BP256+BF256+AU256+AK256+AA256+Q256</f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503"/>
        <v>60000</v>
      </c>
      <c r="FF256">
        <f t="shared" si="504"/>
        <v>60000</v>
      </c>
      <c r="FG256">
        <f t="shared" si="505"/>
        <v>441620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>SUM(FH256:FN256)+(IF(F256="YES",50000,0))</f>
        <v>0</v>
      </c>
      <c r="FP256">
        <f t="shared" si="506"/>
        <v>441620</v>
      </c>
      <c r="FQ256">
        <f t="shared" si="507"/>
        <v>9581</v>
      </c>
      <c r="FR256">
        <f t="shared" si="508"/>
        <v>0</v>
      </c>
      <c r="FS256">
        <f t="shared" si="509"/>
        <v>9581</v>
      </c>
      <c r="FT256">
        <f t="shared" si="510"/>
        <v>0</v>
      </c>
      <c r="FU256">
        <f t="shared" si="511"/>
        <v>0</v>
      </c>
      <c r="FV256">
        <f t="shared" si="512"/>
        <v>0</v>
      </c>
      <c r="FW256">
        <v>0</v>
      </c>
      <c r="FX256">
        <f t="shared" si="513"/>
        <v>0</v>
      </c>
      <c r="FY256" t="b">
        <f t="shared" si="514"/>
        <v>1</v>
      </c>
      <c r="FZ256">
        <f t="shared" ca="1" si="515"/>
        <v>650</v>
      </c>
      <c r="GA256">
        <f t="shared" ca="1" si="516"/>
        <v>554670</v>
      </c>
      <c r="GB256">
        <f t="shared" si="517"/>
        <v>75000</v>
      </c>
      <c r="GC256">
        <f t="shared" ca="1" si="518"/>
        <v>479670</v>
      </c>
      <c r="GD256">
        <f t="shared" ca="1" si="519"/>
        <v>0</v>
      </c>
      <c r="GE256">
        <f t="shared" ca="1" si="520"/>
        <v>0</v>
      </c>
      <c r="GF256">
        <f t="shared" ca="1" si="521"/>
        <v>0</v>
      </c>
      <c r="GG256">
        <f t="shared" ca="1" si="522"/>
        <v>0</v>
      </c>
      <c r="GH256">
        <f t="shared" ca="1" si="523"/>
        <v>0</v>
      </c>
      <c r="GI256">
        <f t="shared" ca="1" si="524"/>
        <v>0</v>
      </c>
      <c r="GJ256">
        <f ca="1">IF(GC256&gt;1200000,GC256-1200000-IF(F256="YES",50000,0)-GH256,0)</f>
        <v>0</v>
      </c>
      <c r="GK256">
        <f t="shared" ca="1" si="525"/>
        <v>0</v>
      </c>
      <c r="GL256">
        <f t="shared" ca="1" si="526"/>
        <v>0</v>
      </c>
      <c r="GM256">
        <f t="shared" ca="1" si="527"/>
        <v>0</v>
      </c>
      <c r="GN256">
        <f t="shared" ca="1" si="528"/>
        <v>79670</v>
      </c>
      <c r="GO256">
        <f t="shared" ca="1" si="529"/>
        <v>3983.5</v>
      </c>
      <c r="GP256">
        <f t="shared" ca="1" si="530"/>
        <v>3984</v>
      </c>
      <c r="GQ256">
        <f t="shared" ca="1" si="531"/>
        <v>0</v>
      </c>
      <c r="GR256">
        <f t="shared" ca="1" si="532"/>
        <v>0</v>
      </c>
      <c r="GS256">
        <f t="shared" ca="1" si="533"/>
        <v>3984</v>
      </c>
      <c r="GT256">
        <f t="shared" ca="1" si="534"/>
        <v>0</v>
      </c>
      <c r="GU256" t="b">
        <f t="shared" ca="1" si="535"/>
        <v>0</v>
      </c>
      <c r="GV256">
        <f t="shared" ca="1" si="536"/>
        <v>0</v>
      </c>
      <c r="GW256">
        <f t="shared" ca="1" si="537"/>
        <v>3984</v>
      </c>
      <c r="GX256">
        <f t="shared" ca="1" si="538"/>
        <v>0</v>
      </c>
      <c r="GY256">
        <f t="shared" ca="1" si="539"/>
        <v>0</v>
      </c>
      <c r="GZ256">
        <f t="shared" ca="1" si="540"/>
        <v>0</v>
      </c>
    </row>
    <row r="257" spans="1:208" x14ac:dyDescent="0.25">
      <c r="A257">
        <f>_xlfn.AGGREGATE(3,5,$B$2:B257)</f>
        <v>256</v>
      </c>
      <c r="B257" t="s">
        <v>617</v>
      </c>
      <c r="C257" t="s">
        <v>618</v>
      </c>
      <c r="D257" t="s">
        <v>816</v>
      </c>
      <c r="E257" t="s">
        <v>831</v>
      </c>
      <c r="F257" t="s">
        <v>957</v>
      </c>
      <c r="G257" t="s">
        <v>880</v>
      </c>
      <c r="H257">
        <f t="shared" si="543"/>
        <v>6800</v>
      </c>
      <c r="I257">
        <f>_xlfn.XLOOKUP(B257,'[1]march-2025'!$A:$A,'[1]march-2025'!$J:$J,0,0)</f>
        <v>0</v>
      </c>
      <c r="J257">
        <f>_xlfn.XLOOKUP(B257,'[1]march-2025'!$A:$A,'[1]march-2025'!$C:$C,0,0)</f>
        <v>51700</v>
      </c>
      <c r="K257">
        <f t="shared" si="457"/>
        <v>7238.0000000000009</v>
      </c>
      <c r="L257">
        <f t="shared" si="458"/>
        <v>6204</v>
      </c>
      <c r="M257">
        <f>_xlfn.XLOOKUP(B257,'[1]march-2025'!$A:$A,'[1]march-2025'!$D:$D,0,0)</f>
        <v>400</v>
      </c>
      <c r="N257">
        <f>_xlfn.XLOOKUP(B257,'[1]march-2025'!$A:$A,'[1]march-2025'!$G:$G,0,0)</f>
        <v>500</v>
      </c>
      <c r="O257">
        <f>IF(J257&gt;0,SUM(J257:N257),0)</f>
        <v>66042</v>
      </c>
      <c r="P257">
        <f>_xlfn.XLOOKUP(B257,'[1]march-2025'!$A:$A,'[1]march-2025'!$H:$H,0,0)</f>
        <v>5000</v>
      </c>
      <c r="Q257">
        <f>_xlfn.XLOOKUP(B257,'[1]march-2025'!$A:$A,'[1]march-2025'!$I:$I,0,0)</f>
        <v>0</v>
      </c>
      <c r="R257">
        <f t="shared" si="541"/>
        <v>200</v>
      </c>
      <c r="S257">
        <f t="shared" si="451"/>
        <v>60842</v>
      </c>
      <c r="T257">
        <f>_xlfn.XLOOKUP(B257,'[2]april-2025'!$A:$A,'[2]april-2025'!$C:$C,0,0)</f>
        <v>51700</v>
      </c>
      <c r="U257">
        <f t="shared" si="459"/>
        <v>9306</v>
      </c>
      <c r="V257">
        <f t="shared" si="460"/>
        <v>6204</v>
      </c>
      <c r="W257">
        <f>_xlfn.XLOOKUP(B257,'[2]april-2025'!$A:$A,'[2]april-2025'!$D:$D,0,0)</f>
        <v>400</v>
      </c>
      <c r="X257">
        <f>_xlfn.XLOOKUP(B257,'[2]april-2025'!$A:$A,'[2]april-2025'!$G:$G,0,0)</f>
        <v>500</v>
      </c>
      <c r="Y257">
        <f t="shared" si="452"/>
        <v>68110</v>
      </c>
      <c r="Z257">
        <f>_xlfn.XLOOKUP(B257,'[2]april-2025'!$A:$A,'[2]april-2025'!$H:$H,0,0)</f>
        <v>5000</v>
      </c>
      <c r="AA257">
        <f>_xlfn.XLOOKUP(B257,'[2]april-2025'!$A:$A,'[2]april-2025'!$I:$I,0,0)</f>
        <v>0</v>
      </c>
      <c r="AB257">
        <f t="shared" si="461"/>
        <v>200</v>
      </c>
      <c r="AC257">
        <f t="shared" si="462"/>
        <v>62910</v>
      </c>
      <c r="AD257">
        <f>_xlfn.XLOOKUP(B257,'[3]may-2025'!$A:$A,'[3]may-2025'!$C:$C,0,0)</f>
        <v>51700</v>
      </c>
      <c r="AE257">
        <f t="shared" si="463"/>
        <v>9306</v>
      </c>
      <c r="AF257">
        <f t="shared" si="464"/>
        <v>6204</v>
      </c>
      <c r="AG257">
        <f>_xlfn.XLOOKUP(B257,'[3]may-2025'!$A:$A,'[3]may-2025'!$D:$D,0,0)</f>
        <v>400</v>
      </c>
      <c r="AH257">
        <f>_xlfn.XLOOKUP(B257,'[3]may-2025'!$A:$A,'[3]may-2025'!$G:$G,0,0)</f>
        <v>500</v>
      </c>
      <c r="AI257">
        <f t="shared" si="453"/>
        <v>68110</v>
      </c>
      <c r="AJ257">
        <f>_xlfn.XLOOKUP(B257,'[3]may-2025'!$A:$A,'[3]may-2025'!$H:$H,0,0)</f>
        <v>5000</v>
      </c>
      <c r="AK257">
        <f>_xlfn.XLOOKUP(B257,'[3]may-2025'!$A:$A,'[3]may-2025'!$I:$I,0,0)</f>
        <v>0</v>
      </c>
      <c r="AL257">
        <f t="shared" si="465"/>
        <v>200</v>
      </c>
      <c r="AM257">
        <f t="shared" si="466"/>
        <v>62910</v>
      </c>
      <c r="AN257">
        <f>_xlfn.XLOOKUP(B257,'[4]june-2025'!$A:$A,'[4]june-2025'!$C:$C,0,0)</f>
        <v>51700</v>
      </c>
      <c r="AO257">
        <f t="shared" si="467"/>
        <v>9306</v>
      </c>
      <c r="AP257">
        <f t="shared" si="468"/>
        <v>6204</v>
      </c>
      <c r="AQ257">
        <f>_xlfn.XLOOKUP(B257,'[4]june-2025'!$A:$A,'[4]june-2025'!$D:$D,0,0)</f>
        <v>400</v>
      </c>
      <c r="AR257">
        <f>_xlfn.XLOOKUP(B257,'[4]june-2025'!$A:$A,'[4]june-2025'!$G:$G,0,0)</f>
        <v>500</v>
      </c>
      <c r="AS257">
        <f t="shared" si="454"/>
        <v>68110</v>
      </c>
      <c r="AT257">
        <f>_xlfn.XLOOKUP(B257,'[4]june-2025'!$A:$A,'[4]june-2025'!$H:$H,0,0)</f>
        <v>5000</v>
      </c>
      <c r="AU257">
        <f>_xlfn.XLOOKUP(B257,'[4]june-2025'!$A:$A,'[4]june-2025'!$I:$I,0,0)</f>
        <v>0</v>
      </c>
      <c r="AV257">
        <f t="shared" si="469"/>
        <v>200</v>
      </c>
      <c r="AW257">
        <f t="shared" si="470"/>
        <v>62910</v>
      </c>
      <c r="AX257">
        <f>_xlfn.XLOOKUP(B257,'[5]july-2025'!$A:$A,'[5]july-2025'!$C:$C,0,0)</f>
        <v>53300</v>
      </c>
      <c r="AY257">
        <f t="shared" si="471"/>
        <v>9594</v>
      </c>
      <c r="AZ257">
        <v>0</v>
      </c>
      <c r="BA257">
        <f t="shared" si="472"/>
        <v>6396</v>
      </c>
      <c r="BB257">
        <f>_xlfn.XLOOKUP(B257,'[5]july-2025'!$A:$A,'[5]july-2025'!$D:$D,0,0)</f>
        <v>400</v>
      </c>
      <c r="BC257">
        <f>_xlfn.XLOOKUP(B257,'[5]july-2025'!$A:$A,'[5]july-2025'!$G:$G,0,0)</f>
        <v>500</v>
      </c>
      <c r="BD257">
        <f>IF(AX257&gt;0,SUM(AX257:BC257),0)</f>
        <v>70190</v>
      </c>
      <c r="BE257">
        <f>_xlfn.XLOOKUP(B257,'[5]july-2025'!$A:$A,'[5]july-2025'!$H:$H,0,0)</f>
        <v>5000</v>
      </c>
      <c r="BF257">
        <f>_xlfn.XLOOKUP(B257,'[5]july-2025'!$A:$A,'[5]july-2025'!$I:$I,0,0)</f>
        <v>0</v>
      </c>
      <c r="BG257">
        <f t="shared" si="473"/>
        <v>200</v>
      </c>
      <c r="BH257">
        <f t="shared" si="474"/>
        <v>64990</v>
      </c>
      <c r="BI257">
        <f>_xlfn.XLOOKUP(B257,'[6]august-2025'!$A:$A,'[6]august-2025'!$C:$C,0,0)</f>
        <v>53300</v>
      </c>
      <c r="BJ257">
        <f t="shared" si="475"/>
        <v>9594</v>
      </c>
      <c r="BK257">
        <f t="shared" si="476"/>
        <v>6396</v>
      </c>
      <c r="BL257">
        <f>_xlfn.XLOOKUP(B257,'[6]august-2025'!$A:$A,'[6]august-2025'!$D:$D,0,0)</f>
        <v>400</v>
      </c>
      <c r="BM257">
        <f>_xlfn.XLOOKUP(B257,'[6]august-2025'!$A:$A,'[6]august-2025'!$G:$G,0,0)</f>
        <v>500</v>
      </c>
      <c r="BN257">
        <f t="shared" si="477"/>
        <v>70190</v>
      </c>
      <c r="BO257">
        <f>_xlfn.XLOOKUP(B257,'[6]august-2025'!$A:$A,'[6]august-2025'!$H:$H,0,0)</f>
        <v>5000</v>
      </c>
      <c r="BP257">
        <f>_xlfn.XLOOKUP(B257,'[6]august-2025'!$A:$A,'[6]august-2025'!$I:$I,0,0)</f>
        <v>0</v>
      </c>
      <c r="BQ257">
        <f>IF($F257="YES",0,IF(BN257&gt;40000,200,IF(BN257&gt;25000,150,IF(BN257&gt;15000,130,IF(BN257&gt;10000,110,0)))))</f>
        <v>200</v>
      </c>
      <c r="BR257">
        <f>BN257-BO257-BP257-BQ257</f>
        <v>64990</v>
      </c>
      <c r="BS257">
        <f>_xlfn.XLOOKUP(B257,'[7]september-2025'!$A:$A,'[7]september-2025'!$C:$C,0,0)</f>
        <v>53300</v>
      </c>
      <c r="BT257">
        <f t="shared" si="478"/>
        <v>9594</v>
      </c>
      <c r="BU257">
        <f t="shared" si="479"/>
        <v>6396</v>
      </c>
      <c r="BV257">
        <f>_xlfn.XLOOKUP(B257,'[7]september-2025'!$A:$A,'[7]september-2025'!$D:$D,0,0)</f>
        <v>400</v>
      </c>
      <c r="BW257">
        <f>_xlfn.XLOOKUP(B257,'[7]september-2025'!$A:$A,'[7]september-2025'!$G:$G,0,0)</f>
        <v>500</v>
      </c>
      <c r="BX257">
        <f>IF(BS257&gt;0,SUM(BS257:BW257),0)</f>
        <v>70190</v>
      </c>
      <c r="BY257">
        <f>_xlfn.XLOOKUP(B257,'[7]september-2025'!$A:$A,'[7]september-2025'!$H:$H,0,0)</f>
        <v>5000</v>
      </c>
      <c r="BZ257">
        <f>_xlfn.XLOOKUP(B257,'[7]september-2025'!$A:$A,'[7]september-2025'!$I:$I,0,0)</f>
        <v>0</v>
      </c>
      <c r="CA257">
        <f t="shared" si="480"/>
        <v>200</v>
      </c>
      <c r="CB257">
        <f t="shared" si="481"/>
        <v>64990</v>
      </c>
      <c r="CC257">
        <f>_xlfn.XLOOKUP(B257,'[8]october-2025'!$A:$A,'[8]october-2025'!$C:$C,0,0)</f>
        <v>53300</v>
      </c>
      <c r="CD257">
        <f t="shared" si="482"/>
        <v>9594</v>
      </c>
      <c r="CE257">
        <f t="shared" si="483"/>
        <v>6396</v>
      </c>
      <c r="CF257">
        <f>_xlfn.XLOOKUP(B257,'[8]october-2025'!$A:$A,'[8]october-2025'!$D:$D,0,0)</f>
        <v>400</v>
      </c>
      <c r="CG257">
        <f>_xlfn.XLOOKUP(B257,'[8]october-2025'!$A:$A,'[8]october-2025'!$G:$G,0,0)</f>
        <v>500</v>
      </c>
      <c r="CH257">
        <f>IF(CC257&gt;0,SUM(CC257:CG257),0)</f>
        <v>70190</v>
      </c>
      <c r="CI257">
        <f>_xlfn.XLOOKUP(B257,'[8]october-2025'!$A:$A,'[8]october-2025'!$H:$H,0,0)</f>
        <v>5000</v>
      </c>
      <c r="CJ257">
        <f>_xlfn.XLOOKUP(B257,'[8]october-2025'!$A:$A,'[8]october-2025'!$I:$I,0,0)</f>
        <v>0</v>
      </c>
      <c r="CK257">
        <f t="shared" si="484"/>
        <v>200</v>
      </c>
      <c r="CL257">
        <f t="shared" si="485"/>
        <v>64990</v>
      </c>
      <c r="CM257">
        <f>_xlfn.XLOOKUP(B257,'[9]november-2025'!$A:$A,'[9]november-2025'!$C:$C,0,0)</f>
        <v>53300</v>
      </c>
      <c r="CN257">
        <f t="shared" si="486"/>
        <v>9594</v>
      </c>
      <c r="CO257">
        <f t="shared" si="487"/>
        <v>6396</v>
      </c>
      <c r="CP257">
        <f>_xlfn.XLOOKUP(B257,'[9]november-2025'!$A:$A,'[9]november-2025'!$D:$D,0,0)</f>
        <v>400</v>
      </c>
      <c r="CQ257">
        <f>_xlfn.XLOOKUP(B257,'[9]november-2025'!$A:$A,'[9]november-2025'!$G:$G,0,0)</f>
        <v>500</v>
      </c>
      <c r="CR257">
        <f>IF(CM257&gt;0,SUM(CM257:CQ257),0)</f>
        <v>70190</v>
      </c>
      <c r="CS257">
        <f>_xlfn.XLOOKUP(B257,'[9]november-2025'!$A:$A,'[9]november-2025'!$H:$H,0,0)</f>
        <v>5000</v>
      </c>
      <c r="CT257">
        <f>_xlfn.XLOOKUP(B257,'[9]november-2025'!$A:$A,'[9]november-2025'!$I:$I,0,0)</f>
        <v>0</v>
      </c>
      <c r="CU257">
        <f t="shared" si="488"/>
        <v>200</v>
      </c>
      <c r="CV257">
        <f t="shared" si="489"/>
        <v>64990</v>
      </c>
      <c r="CW257">
        <f>_xlfn.XLOOKUP(B257,'[10]december-2025'!$A:$A,'[10]december-2025'!$C:$C,0,0)</f>
        <v>53300</v>
      </c>
      <c r="CX257">
        <f t="shared" si="490"/>
        <v>9594</v>
      </c>
      <c r="CY257">
        <f t="shared" si="491"/>
        <v>6396</v>
      </c>
      <c r="CZ257">
        <f>_xlfn.XLOOKUP(B257,'[10]december-2025'!$A:$A,'[10]december-2025'!$D:$D,0,0)</f>
        <v>400</v>
      </c>
      <c r="DA257">
        <f>_xlfn.XLOOKUP(B257,'[10]december-2025'!$A:$A,'[10]december-2025'!$G:$G,0,0)</f>
        <v>500</v>
      </c>
      <c r="DB257">
        <f>IF(CW257&gt;0,SUM(CW257:DA257),0)</f>
        <v>70190</v>
      </c>
      <c r="DC257">
        <f>_xlfn.XLOOKUP(B257,'[10]december-2025'!$A:$A,'[10]december-2025'!$H:$H,0,0)</f>
        <v>5000</v>
      </c>
      <c r="DD257">
        <f>_xlfn.XLOOKUP(B257,'[10]december-2025'!$A:$A,'[10]december-2025'!$I:$I,0,0)</f>
        <v>0</v>
      </c>
      <c r="DE257">
        <f t="shared" si="492"/>
        <v>200</v>
      </c>
      <c r="DF257">
        <f t="shared" si="493"/>
        <v>64990</v>
      </c>
      <c r="DG257">
        <f>_xlfn.XLOOKUP(B257,'[11]january-2026'!$A:$A,'[11]january-2026'!$C:$C,0,0)</f>
        <v>53300</v>
      </c>
      <c r="DH257">
        <f t="shared" si="494"/>
        <v>9594</v>
      </c>
      <c r="DI257">
        <f t="shared" si="495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>IF(DG257&gt;0,SUM(DG257:DK257),0)</f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496"/>
        <v>200</v>
      </c>
      <c r="DP257">
        <f t="shared" si="497"/>
        <v>64990</v>
      </c>
      <c r="DQ257">
        <f>_xlfn.XLOOKUP(B257,'[12]february-2026'!$A:$A,'[12]february-2026'!$C:$C,0,0)</f>
        <v>53300</v>
      </c>
      <c r="DR257">
        <f t="shared" si="498"/>
        <v>9594</v>
      </c>
      <c r="DS257">
        <f t="shared" si="499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>IF(DQ257&gt;0,SUM(DQ257:DU257),0)</f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00"/>
        <v>200</v>
      </c>
      <c r="DZ257">
        <f t="shared" si="501"/>
        <v>64990</v>
      </c>
      <c r="EA257">
        <f>_xlfn.XLOOKUP(B257,'[1]march-2025'!$A:$A,'[1]march-2025'!$J:$J,0,0)</f>
        <v>0</v>
      </c>
      <c r="EB257">
        <f>_xlfn.XLOOKUP(B257,'[2]april-2025'!$A:$A,'[2]april-2025'!$J:$J,0,0)</f>
        <v>0</v>
      </c>
      <c r="EC257">
        <f>_xlfn.XLOOKUP(B257,'[3]may-2025'!$A:$A,'[3]may-2025'!$J:$J,0,0)</f>
        <v>0</v>
      </c>
      <c r="ED257">
        <f>_xlfn.XLOOKUP(B257,'[4]june-2025'!$A:$A,'[4]june-2025'!$J:$J,0,0)</f>
        <v>0</v>
      </c>
      <c r="EE257">
        <f>_xlfn.XLOOKUP(B257,'[5]july-2025'!$A:$A,'[5]july-2025'!$J:$J,0,0)</f>
        <v>0</v>
      </c>
      <c r="EF257">
        <f>_xlfn.XLOOKUP(B257,'[6]august-2025'!$A:$A,'[6]august-2025'!$J:$J,0,0)</f>
        <v>0</v>
      </c>
      <c r="EG257">
        <f>_xlfn.XLOOKUP(B257,'[7]september-2025'!$A:$A,'[7]september-2025'!$J:$J,0,0)</f>
        <v>0</v>
      </c>
      <c r="EH257">
        <f>_xlfn.XLOOKUP(B257,'[8]october-2025'!$A:$A,'[8]october-2025'!$J:$J,0,0)</f>
        <v>0</v>
      </c>
      <c r="EI257">
        <f>_xlfn.XLOOKUP(C257,'[9]november-2025'!$A:$A,'[9]november-2025'!$J:$J,0,0)</f>
        <v>0</v>
      </c>
      <c r="EJ257">
        <f>_xlfn.XLOOKUP(B257,'[10]december-2025'!$A:$A,'[10]december-2025'!$J:$J,0,0)</f>
        <v>0</v>
      </c>
      <c r="EK257">
        <f>_xlfn.XLOOKUP(B257,'[11]january-2026'!$A:$A,'[11]january-2026'!$J:$J,0,0)</f>
        <v>0</v>
      </c>
      <c r="EL257">
        <f>_xlfn.XLOOKUP(B257,'[12]february-2026'!$A:$A,'[12]february-2026'!$J:$J,0,0)</f>
        <v>0</v>
      </c>
      <c r="EM257">
        <f t="shared" si="455"/>
        <v>0</v>
      </c>
      <c r="EN257">
        <f>DV257+DL257+DB257+CR257+CH257+BX257+BN257+BD257+AS257+AI257+Y257+O257+H257+I257</f>
        <v>838692</v>
      </c>
      <c r="EO257">
        <f>DY257+DO257+DE257+CU257+CK257+CA257+BQ257+BG257+AV257+AL257+AB257+R257</f>
        <v>2400</v>
      </c>
      <c r="EP257">
        <f t="shared" si="502"/>
        <v>50000</v>
      </c>
      <c r="EQ257">
        <v>0</v>
      </c>
      <c r="ER257">
        <f t="shared" si="456"/>
        <v>786292</v>
      </c>
      <c r="ES257">
        <f>DW257+DM257+DC257+CS257+CI257+BY257+BO257+BE257+AT257+AJ257+Z257+P257</f>
        <v>60000</v>
      </c>
      <c r="ET257">
        <f>DX257+DN257+DD257+CT257+CJ257+BZ257+BP257+BF257+AU257+AK257+AA257+Q257</f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503"/>
        <v>60000</v>
      </c>
      <c r="FF257">
        <f t="shared" si="504"/>
        <v>60000</v>
      </c>
      <c r="FG257">
        <f t="shared" si="505"/>
        <v>726292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>SUM(FH257:FN257)+(IF(F257="YES",50000,0))</f>
        <v>0</v>
      </c>
      <c r="FP257">
        <f t="shared" si="506"/>
        <v>726292</v>
      </c>
      <c r="FQ257">
        <f t="shared" si="507"/>
        <v>12500</v>
      </c>
      <c r="FR257">
        <f t="shared" si="508"/>
        <v>45258</v>
      </c>
      <c r="FS257">
        <f t="shared" si="509"/>
        <v>57758</v>
      </c>
      <c r="FT257">
        <f t="shared" si="510"/>
        <v>57758</v>
      </c>
      <c r="FU257">
        <f t="shared" si="511"/>
        <v>2310.3200000000002</v>
      </c>
      <c r="FV257">
        <f t="shared" si="512"/>
        <v>60068</v>
      </c>
      <c r="FW257">
        <v>0</v>
      </c>
      <c r="FX257">
        <f t="shared" si="513"/>
        <v>60068</v>
      </c>
      <c r="FY257" t="b">
        <f t="shared" si="514"/>
        <v>1</v>
      </c>
      <c r="FZ257">
        <f t="shared" ca="1" si="515"/>
        <v>535</v>
      </c>
      <c r="GA257">
        <f t="shared" ca="1" si="516"/>
        <v>839227</v>
      </c>
      <c r="GB257">
        <f t="shared" si="517"/>
        <v>75000</v>
      </c>
      <c r="GC257">
        <f t="shared" ca="1" si="518"/>
        <v>764227</v>
      </c>
      <c r="GD257">
        <f t="shared" ca="1" si="519"/>
        <v>0</v>
      </c>
      <c r="GE257">
        <f t="shared" ca="1" si="520"/>
        <v>0</v>
      </c>
      <c r="GF257">
        <f t="shared" ca="1" si="521"/>
        <v>0</v>
      </c>
      <c r="GG257">
        <f t="shared" ca="1" si="522"/>
        <v>0</v>
      </c>
      <c r="GH257">
        <f t="shared" ca="1" si="523"/>
        <v>0</v>
      </c>
      <c r="GI257">
        <f t="shared" ca="1" si="524"/>
        <v>0</v>
      </c>
      <c r="GJ257">
        <f ca="1">IF(GC257&gt;1200000,GC257-1200000-IF(F257="YES",50000,0)-GH257,0)</f>
        <v>0</v>
      </c>
      <c r="GK257">
        <f t="shared" ca="1" si="525"/>
        <v>0</v>
      </c>
      <c r="GL257">
        <f t="shared" ca="1" si="526"/>
        <v>0</v>
      </c>
      <c r="GM257">
        <f t="shared" ca="1" si="527"/>
        <v>0</v>
      </c>
      <c r="GN257">
        <f t="shared" ca="1" si="528"/>
        <v>364227</v>
      </c>
      <c r="GO257">
        <f t="shared" ca="1" si="529"/>
        <v>18211.350000000002</v>
      </c>
      <c r="GP257">
        <f t="shared" ca="1" si="530"/>
        <v>18211</v>
      </c>
      <c r="GQ257">
        <f t="shared" ca="1" si="531"/>
        <v>0</v>
      </c>
      <c r="GR257">
        <f t="shared" ca="1" si="532"/>
        <v>0</v>
      </c>
      <c r="GS257">
        <f t="shared" ca="1" si="533"/>
        <v>18211</v>
      </c>
      <c r="GT257">
        <f t="shared" ca="1" si="534"/>
        <v>0</v>
      </c>
      <c r="GU257" t="b">
        <f t="shared" ca="1" si="535"/>
        <v>0</v>
      </c>
      <c r="GV257">
        <f t="shared" ca="1" si="536"/>
        <v>0</v>
      </c>
      <c r="GW257">
        <f t="shared" ca="1" si="537"/>
        <v>18211</v>
      </c>
      <c r="GX257">
        <f t="shared" ca="1" si="538"/>
        <v>0</v>
      </c>
      <c r="GY257">
        <f t="shared" ca="1" si="539"/>
        <v>0</v>
      </c>
      <c r="GZ257">
        <f t="shared" ca="1" si="540"/>
        <v>0</v>
      </c>
    </row>
    <row r="258" spans="1:208" x14ac:dyDescent="0.25">
      <c r="A258">
        <f>_xlfn.AGGREGATE(3,5,$B$2:B258)</f>
        <v>257</v>
      </c>
      <c r="B258" t="s">
        <v>619</v>
      </c>
      <c r="C258" t="s">
        <v>620</v>
      </c>
      <c r="D258" t="s">
        <v>816</v>
      </c>
      <c r="E258" t="s">
        <v>831</v>
      </c>
      <c r="F258" t="s">
        <v>957</v>
      </c>
      <c r="G258" t="s">
        <v>878</v>
      </c>
      <c r="H258">
        <f t="shared" si="543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457"/>
        <v>4830.0000000000009</v>
      </c>
      <c r="L258">
        <f t="shared" si="458"/>
        <v>4140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>IF(J258&gt;0,SUM(J258:N258),0)</f>
        <v>43970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541"/>
        <v>200</v>
      </c>
      <c r="S258">
        <f t="shared" si="451"/>
        <v>40770</v>
      </c>
      <c r="T258">
        <f>_xlfn.XLOOKUP(B258,'[2]april-2025'!$A:$A,'[2]april-2025'!$C:$C,0,0)</f>
        <v>34500</v>
      </c>
      <c r="U258">
        <f t="shared" si="459"/>
        <v>6210</v>
      </c>
      <c r="V258">
        <f t="shared" si="460"/>
        <v>4140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452"/>
        <v>45350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461"/>
        <v>200</v>
      </c>
      <c r="AC258">
        <f t="shared" si="462"/>
        <v>42150</v>
      </c>
      <c r="AD258">
        <f>_xlfn.XLOOKUP(B258,'[3]may-2025'!$A:$A,'[3]may-2025'!$C:$C,0,0)</f>
        <v>34500</v>
      </c>
      <c r="AE258">
        <f t="shared" si="463"/>
        <v>6210</v>
      </c>
      <c r="AF258">
        <f t="shared" si="464"/>
        <v>4140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453"/>
        <v>45350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465"/>
        <v>200</v>
      </c>
      <c r="AM258">
        <f t="shared" si="466"/>
        <v>42150</v>
      </c>
      <c r="AN258">
        <f>_xlfn.XLOOKUP(B258,'[4]june-2025'!$A:$A,'[4]june-2025'!$C:$C,0,0)</f>
        <v>34500</v>
      </c>
      <c r="AO258">
        <f t="shared" si="467"/>
        <v>6210</v>
      </c>
      <c r="AP258">
        <f t="shared" si="468"/>
        <v>4140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454"/>
        <v>45350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469"/>
        <v>200</v>
      </c>
      <c r="AW258">
        <f t="shared" si="470"/>
        <v>42150</v>
      </c>
      <c r="AX258">
        <f>_xlfn.XLOOKUP(B258,'[5]july-2025'!$A:$A,'[5]july-2025'!$C:$C,0,0)</f>
        <v>35500</v>
      </c>
      <c r="AY258">
        <f t="shared" si="471"/>
        <v>6390</v>
      </c>
      <c r="AZ258">
        <v>0</v>
      </c>
      <c r="BA258">
        <f t="shared" si="472"/>
        <v>4260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>IF(AX258&gt;0,SUM(AX258:BC258),0)</f>
        <v>46650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473"/>
        <v>200</v>
      </c>
      <c r="BH258">
        <f t="shared" si="474"/>
        <v>43450</v>
      </c>
      <c r="BI258">
        <f>_xlfn.XLOOKUP(B258,'[6]august-2025'!$A:$A,'[6]august-2025'!$C:$C,0,0)</f>
        <v>35500</v>
      </c>
      <c r="BJ258">
        <f t="shared" si="475"/>
        <v>6390</v>
      </c>
      <c r="BK258">
        <f t="shared" si="476"/>
        <v>4260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477"/>
        <v>46650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>IF($F258="YES",0,IF(BN258&gt;40000,200,IF(BN258&gt;25000,150,IF(BN258&gt;15000,130,IF(BN258&gt;10000,110,0)))))</f>
        <v>200</v>
      </c>
      <c r="BR258">
        <f>BN258-BO258-BP258-BQ258</f>
        <v>43450</v>
      </c>
      <c r="BS258">
        <f>_xlfn.XLOOKUP(B258,'[7]september-2025'!$A:$A,'[7]september-2025'!$C:$C,0,0)</f>
        <v>35500</v>
      </c>
      <c r="BT258">
        <f t="shared" si="478"/>
        <v>6390</v>
      </c>
      <c r="BU258">
        <f t="shared" si="479"/>
        <v>4260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>IF(BS258&gt;0,SUM(BS258:BW258),0)</f>
        <v>46650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480"/>
        <v>200</v>
      </c>
      <c r="CB258">
        <f t="shared" si="481"/>
        <v>43450</v>
      </c>
      <c r="CC258">
        <f>_xlfn.XLOOKUP(B258,'[8]october-2025'!$A:$A,'[8]october-2025'!$C:$C,0,0)</f>
        <v>35500</v>
      </c>
      <c r="CD258">
        <f t="shared" si="482"/>
        <v>6390</v>
      </c>
      <c r="CE258">
        <f t="shared" si="483"/>
        <v>4260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>IF(CC258&gt;0,SUM(CC258:CG258),0)</f>
        <v>46650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484"/>
        <v>200</v>
      </c>
      <c r="CL258">
        <f t="shared" si="485"/>
        <v>43450</v>
      </c>
      <c r="CM258">
        <f>_xlfn.XLOOKUP(B258,'[9]november-2025'!$A:$A,'[9]november-2025'!$C:$C,0,0)</f>
        <v>35500</v>
      </c>
      <c r="CN258">
        <f t="shared" si="486"/>
        <v>6390</v>
      </c>
      <c r="CO258">
        <f t="shared" si="487"/>
        <v>4260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>IF(CM258&gt;0,SUM(CM258:CQ258),0)</f>
        <v>46650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488"/>
        <v>200</v>
      </c>
      <c r="CV258">
        <f t="shared" si="489"/>
        <v>43450</v>
      </c>
      <c r="CW258">
        <f>_xlfn.XLOOKUP(B258,'[10]december-2025'!$A:$A,'[10]december-2025'!$C:$C,0,0)</f>
        <v>35500</v>
      </c>
      <c r="CX258">
        <f t="shared" si="490"/>
        <v>6390</v>
      </c>
      <c r="CY258">
        <f t="shared" si="491"/>
        <v>4260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>IF(CW258&gt;0,SUM(CW258:DA258),0)</f>
        <v>46650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492"/>
        <v>200</v>
      </c>
      <c r="DF258">
        <f t="shared" si="493"/>
        <v>43450</v>
      </c>
      <c r="DG258">
        <f>_xlfn.XLOOKUP(B258,'[11]january-2026'!$A:$A,'[11]january-2026'!$C:$C,0,0)</f>
        <v>35500</v>
      </c>
      <c r="DH258">
        <f t="shared" si="494"/>
        <v>6390</v>
      </c>
      <c r="DI258">
        <f t="shared" si="495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>IF(DG258&gt;0,SUM(DG258:DK258),0)</f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496"/>
        <v>200</v>
      </c>
      <c r="DP258">
        <f t="shared" si="497"/>
        <v>43450</v>
      </c>
      <c r="DQ258">
        <f>_xlfn.XLOOKUP(B258,'[12]february-2026'!$A:$A,'[12]february-2026'!$C:$C,0,0)</f>
        <v>35500</v>
      </c>
      <c r="DR258">
        <f t="shared" si="498"/>
        <v>6390</v>
      </c>
      <c r="DS258">
        <f t="shared" si="499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>IF(DQ258&gt;0,SUM(DQ258:DU258),0)</f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00"/>
        <v>200</v>
      </c>
      <c r="DZ258">
        <f t="shared" si="501"/>
        <v>43450</v>
      </c>
      <c r="EA258">
        <f>_xlfn.XLOOKUP(B258,'[1]march-2025'!$A:$A,'[1]march-2025'!$J:$J,0,0)</f>
        <v>0</v>
      </c>
      <c r="EB258">
        <f>_xlfn.XLOOKUP(B258,'[2]april-2025'!$A:$A,'[2]april-2025'!$J:$J,0,0)</f>
        <v>0</v>
      </c>
      <c r="EC258">
        <f>_xlfn.XLOOKUP(B258,'[3]may-2025'!$A:$A,'[3]may-2025'!$J:$J,0,0)</f>
        <v>0</v>
      </c>
      <c r="ED258">
        <f>_xlfn.XLOOKUP(B258,'[4]june-2025'!$A:$A,'[4]june-2025'!$J:$J,0,0)</f>
        <v>0</v>
      </c>
      <c r="EE258">
        <f>_xlfn.XLOOKUP(B258,'[5]july-2025'!$A:$A,'[5]july-2025'!$J:$J,0,0)</f>
        <v>0</v>
      </c>
      <c r="EF258">
        <f>_xlfn.XLOOKUP(B258,'[6]august-2025'!$A:$A,'[6]august-2025'!$J:$J,0,0)</f>
        <v>0</v>
      </c>
      <c r="EG258">
        <f>_xlfn.XLOOKUP(B258,'[7]september-2025'!$A:$A,'[7]september-2025'!$J:$J,0,0)</f>
        <v>0</v>
      </c>
      <c r="EH258">
        <f>_xlfn.XLOOKUP(B258,'[8]october-2025'!$A:$A,'[8]october-2025'!$J:$J,0,0)</f>
        <v>0</v>
      </c>
      <c r="EI258">
        <f>_xlfn.XLOOKUP(C258,'[9]november-2025'!$A:$A,'[9]november-2025'!$J:$J,0,0)</f>
        <v>0</v>
      </c>
      <c r="EJ258">
        <f>_xlfn.XLOOKUP(B258,'[10]december-2025'!$A:$A,'[10]december-2025'!$J:$J,0,0)</f>
        <v>0</v>
      </c>
      <c r="EK258">
        <f>_xlfn.XLOOKUP(B258,'[11]january-2026'!$A:$A,'[11]january-2026'!$J:$J,0,0)</f>
        <v>0</v>
      </c>
      <c r="EL258">
        <f>_xlfn.XLOOKUP(B258,'[12]february-2026'!$A:$A,'[12]february-2026'!$J:$J,0,0)</f>
        <v>0</v>
      </c>
      <c r="EM258">
        <f t="shared" si="455"/>
        <v>0</v>
      </c>
      <c r="EN258">
        <f>DV258+DL258+DB258+CR258+CH258+BX258+BN258+BD258+AS258+AI258+Y258+O258+H258+I258</f>
        <v>560020</v>
      </c>
      <c r="EO258">
        <f>DY258+DO258+DE258+CU258+CK258+CA258+BQ258+BG258+AV258+AL258+AB258+R258</f>
        <v>2400</v>
      </c>
      <c r="EP258">
        <f t="shared" si="502"/>
        <v>50000</v>
      </c>
      <c r="EQ258">
        <v>0</v>
      </c>
      <c r="ER258">
        <f t="shared" si="456"/>
        <v>507620</v>
      </c>
      <c r="ES258">
        <f>DW258+DM258+DC258+CS258+CI258+BY258+BO258+BE258+AT258+AJ258+Z258+P258</f>
        <v>36000</v>
      </c>
      <c r="ET258">
        <f>DX258+DN258+DD258+CT258+CJ258+BZ258+BP258+BF258+AU258+AK258+AA258+Q258</f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503"/>
        <v>36000</v>
      </c>
      <c r="FF258">
        <f t="shared" si="504"/>
        <v>36000</v>
      </c>
      <c r="FG258">
        <f t="shared" si="505"/>
        <v>471620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>SUM(FH258:FN258)+(IF(F258="YES",50000,0))</f>
        <v>0</v>
      </c>
      <c r="FP258">
        <f t="shared" si="506"/>
        <v>471620</v>
      </c>
      <c r="FQ258">
        <f t="shared" si="507"/>
        <v>11081</v>
      </c>
      <c r="FR258">
        <f t="shared" si="508"/>
        <v>0</v>
      </c>
      <c r="FS258">
        <f t="shared" si="509"/>
        <v>11081</v>
      </c>
      <c r="FT258">
        <f t="shared" si="510"/>
        <v>0</v>
      </c>
      <c r="FU258">
        <f t="shared" si="511"/>
        <v>0</v>
      </c>
      <c r="FV258">
        <f t="shared" si="512"/>
        <v>0</v>
      </c>
      <c r="FW258">
        <v>0</v>
      </c>
      <c r="FX258">
        <f t="shared" si="513"/>
        <v>0</v>
      </c>
      <c r="FY258" t="b">
        <f t="shared" si="514"/>
        <v>1</v>
      </c>
      <c r="FZ258">
        <f t="shared" ca="1" si="515"/>
        <v>684</v>
      </c>
      <c r="GA258">
        <f t="shared" ca="1" si="516"/>
        <v>560704</v>
      </c>
      <c r="GB258">
        <f t="shared" si="517"/>
        <v>75000</v>
      </c>
      <c r="GC258">
        <f t="shared" ca="1" si="518"/>
        <v>485704</v>
      </c>
      <c r="GD258">
        <f t="shared" ca="1" si="519"/>
        <v>0</v>
      </c>
      <c r="GE258">
        <f t="shared" ca="1" si="520"/>
        <v>0</v>
      </c>
      <c r="GF258">
        <f t="shared" ca="1" si="521"/>
        <v>0</v>
      </c>
      <c r="GG258">
        <f t="shared" ca="1" si="522"/>
        <v>0</v>
      </c>
      <c r="GH258">
        <f t="shared" ca="1" si="523"/>
        <v>0</v>
      </c>
      <c r="GI258">
        <f t="shared" ca="1" si="524"/>
        <v>0</v>
      </c>
      <c r="GJ258">
        <f ca="1">IF(GC258&gt;1200000,GC258-1200000-IF(F258="YES",50000,0)-GH258,0)</f>
        <v>0</v>
      </c>
      <c r="GK258">
        <f t="shared" ca="1" si="525"/>
        <v>0</v>
      </c>
      <c r="GL258">
        <f t="shared" ca="1" si="526"/>
        <v>0</v>
      </c>
      <c r="GM258">
        <f t="shared" ca="1" si="527"/>
        <v>0</v>
      </c>
      <c r="GN258">
        <f t="shared" ca="1" si="528"/>
        <v>85704</v>
      </c>
      <c r="GO258">
        <f t="shared" ca="1" si="529"/>
        <v>4285.2</v>
      </c>
      <c r="GP258">
        <f t="shared" ca="1" si="530"/>
        <v>4285</v>
      </c>
      <c r="GQ258">
        <f t="shared" ca="1" si="531"/>
        <v>0</v>
      </c>
      <c r="GR258">
        <f t="shared" ca="1" si="532"/>
        <v>0</v>
      </c>
      <c r="GS258">
        <f t="shared" ca="1" si="533"/>
        <v>4285</v>
      </c>
      <c r="GT258">
        <f t="shared" ca="1" si="534"/>
        <v>0</v>
      </c>
      <c r="GU258" t="b">
        <f t="shared" ca="1" si="535"/>
        <v>0</v>
      </c>
      <c r="GV258">
        <f t="shared" ca="1" si="536"/>
        <v>0</v>
      </c>
      <c r="GW258">
        <f t="shared" ca="1" si="537"/>
        <v>4285</v>
      </c>
      <c r="GX258">
        <f t="shared" ca="1" si="538"/>
        <v>0</v>
      </c>
      <c r="GY258">
        <f t="shared" ca="1" si="539"/>
        <v>0</v>
      </c>
      <c r="GZ258">
        <f t="shared" ca="1" si="540"/>
        <v>0</v>
      </c>
    </row>
    <row r="259" spans="1:208" x14ac:dyDescent="0.25">
      <c r="A259">
        <f>_xlfn.AGGREGATE(3,5,$B$2:B259)</f>
        <v>258</v>
      </c>
      <c r="B259" t="s">
        <v>621</v>
      </c>
      <c r="C259" t="s">
        <v>622</v>
      </c>
      <c r="D259" t="s">
        <v>816</v>
      </c>
      <c r="E259" t="s">
        <v>831</v>
      </c>
      <c r="F259" t="s">
        <v>957</v>
      </c>
      <c r="G259" t="s">
        <v>881</v>
      </c>
      <c r="H259">
        <f t="shared" si="543"/>
        <v>6800</v>
      </c>
      <c r="I259">
        <f>_xlfn.XLOOKUP(B259,'[1]march-2025'!$A:$A,'[1]march-2025'!$J:$J,0,0)</f>
        <v>0</v>
      </c>
      <c r="J259">
        <f>_xlfn.XLOOKUP(B259,'[1]march-2025'!$A:$A,'[1]march-2025'!$C:$C,0,0)</f>
        <v>28900</v>
      </c>
      <c r="K259">
        <f t="shared" si="457"/>
        <v>4046.0000000000005</v>
      </c>
      <c r="L259">
        <f t="shared" si="458"/>
        <v>3468</v>
      </c>
      <c r="M259">
        <f>_xlfn.XLOOKUP(B259,'[1]march-2025'!$A:$A,'[1]march-2025'!$D:$D,0,0)</f>
        <v>0</v>
      </c>
      <c r="N259">
        <f>_xlfn.XLOOKUP(B259,'[1]march-2025'!$A:$A,'[1]march-2025'!$G:$G,0,0)</f>
        <v>500</v>
      </c>
      <c r="O259">
        <f>IF(J259&gt;0,SUM(J259:N259),0)</f>
        <v>36914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541"/>
        <v>150</v>
      </c>
      <c r="S259">
        <f t="shared" ref="S259:S305" si="544">O259-P259-Q259-R259</f>
        <v>34764</v>
      </c>
      <c r="T259">
        <f>_xlfn.XLOOKUP(B259,'[2]april-2025'!$A:$A,'[2]april-2025'!$C:$C,0,0)</f>
        <v>28900</v>
      </c>
      <c r="U259">
        <f t="shared" si="459"/>
        <v>5202</v>
      </c>
      <c r="V259">
        <f t="shared" si="460"/>
        <v>3468</v>
      </c>
      <c r="W259">
        <f>_xlfn.XLOOKUP(B259,'[2]april-2025'!$A:$A,'[2]april-2025'!$D:$D,0,0)</f>
        <v>0</v>
      </c>
      <c r="X259">
        <f>_xlfn.XLOOKUP(B259,'[2]april-2025'!$A:$A,'[2]april-2025'!$G:$G,0,0)</f>
        <v>500</v>
      </c>
      <c r="Y259">
        <f t="shared" ref="Y259:Y305" si="545">IF(T259&gt;0,SUM(T259:X259),0)</f>
        <v>38070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461"/>
        <v>150</v>
      </c>
      <c r="AC259">
        <f t="shared" si="462"/>
        <v>35920</v>
      </c>
      <c r="AD259">
        <f>_xlfn.XLOOKUP(B259,'[3]may-2025'!$A:$A,'[3]may-2025'!$C:$C,0,0)</f>
        <v>28900</v>
      </c>
      <c r="AE259">
        <f t="shared" si="463"/>
        <v>5202</v>
      </c>
      <c r="AF259">
        <f t="shared" si="464"/>
        <v>3468</v>
      </c>
      <c r="AG259">
        <f>_xlfn.XLOOKUP(B259,'[3]may-2025'!$A:$A,'[3]may-2025'!$D:$D,0,0)</f>
        <v>0</v>
      </c>
      <c r="AH259">
        <f>_xlfn.XLOOKUP(B259,'[3]may-2025'!$A:$A,'[3]may-2025'!$G:$G,0,0)</f>
        <v>500</v>
      </c>
      <c r="AI259">
        <f t="shared" ref="AI259:AI305" si="546">IF(AD259&gt;0,SUM(AD259:AH259),0)</f>
        <v>38070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465"/>
        <v>150</v>
      </c>
      <c r="AM259">
        <f t="shared" si="466"/>
        <v>35920</v>
      </c>
      <c r="AN259">
        <f>_xlfn.XLOOKUP(B259,'[4]june-2025'!$A:$A,'[4]june-2025'!$C:$C,0,0)</f>
        <v>28900</v>
      </c>
      <c r="AO259">
        <f t="shared" si="467"/>
        <v>5202</v>
      </c>
      <c r="AP259">
        <f t="shared" si="468"/>
        <v>3468</v>
      </c>
      <c r="AQ259">
        <f>_xlfn.XLOOKUP(B259,'[4]june-2025'!$A:$A,'[4]june-2025'!$D:$D,0,0)</f>
        <v>0</v>
      </c>
      <c r="AR259">
        <f>_xlfn.XLOOKUP(B259,'[4]june-2025'!$A:$A,'[4]june-2025'!$G:$G,0,0)</f>
        <v>500</v>
      </c>
      <c r="AS259">
        <f t="shared" ref="AS259:AS305" si="547">IF(AN259&gt;0,SUM(AN259:AR259),0)</f>
        <v>38070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469"/>
        <v>150</v>
      </c>
      <c r="AW259">
        <f t="shared" si="470"/>
        <v>35920</v>
      </c>
      <c r="AX259">
        <f>_xlfn.XLOOKUP(B259,'[5]july-2025'!$A:$A,'[5]july-2025'!$C:$C,0,0)</f>
        <v>29800</v>
      </c>
      <c r="AY259">
        <f t="shared" si="471"/>
        <v>5364</v>
      </c>
      <c r="AZ259">
        <v>0</v>
      </c>
      <c r="BA259">
        <f t="shared" si="472"/>
        <v>3576</v>
      </c>
      <c r="BB259">
        <f>_xlfn.XLOOKUP(B259,'[5]july-2025'!$A:$A,'[5]july-2025'!$D:$D,0,0)</f>
        <v>0</v>
      </c>
      <c r="BC259">
        <f>_xlfn.XLOOKUP(B259,'[5]july-2025'!$A:$A,'[5]july-2025'!$G:$G,0,0)</f>
        <v>500</v>
      </c>
      <c r="BD259">
        <f>IF(AX259&gt;0,SUM(AX259:BC259),0)</f>
        <v>39240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473"/>
        <v>150</v>
      </c>
      <c r="BH259">
        <f t="shared" si="474"/>
        <v>37090</v>
      </c>
      <c r="BI259">
        <f>_xlfn.XLOOKUP(B259,'[6]august-2025'!$A:$A,'[6]august-2025'!$C:$C,0,0)</f>
        <v>29800</v>
      </c>
      <c r="BJ259">
        <f t="shared" si="475"/>
        <v>5364</v>
      </c>
      <c r="BK259">
        <f t="shared" si="476"/>
        <v>3576</v>
      </c>
      <c r="BL259">
        <f>_xlfn.XLOOKUP(B259,'[6]august-2025'!$A:$A,'[6]august-2025'!$D:$D,0,0)</f>
        <v>0</v>
      </c>
      <c r="BM259">
        <f>_xlfn.XLOOKUP(B259,'[6]august-2025'!$A:$A,'[6]august-2025'!$G:$G,0,0)</f>
        <v>500</v>
      </c>
      <c r="BN259">
        <f t="shared" si="477"/>
        <v>39240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>IF($F259="YES",0,IF(BN259&gt;40000,200,IF(BN259&gt;25000,150,IF(BN259&gt;15000,130,IF(BN259&gt;10000,110,0)))))</f>
        <v>150</v>
      </c>
      <c r="BR259">
        <f>BN259-BO259-BP259-BQ259</f>
        <v>37090</v>
      </c>
      <c r="BS259">
        <f>_xlfn.XLOOKUP(B259,'[7]september-2025'!$A:$A,'[7]september-2025'!$C:$C,0,0)</f>
        <v>29800</v>
      </c>
      <c r="BT259">
        <f t="shared" si="478"/>
        <v>5364</v>
      </c>
      <c r="BU259">
        <f t="shared" si="479"/>
        <v>3576</v>
      </c>
      <c r="BV259">
        <f>_xlfn.XLOOKUP(B259,'[7]september-2025'!$A:$A,'[7]september-2025'!$D:$D,0,0)</f>
        <v>0</v>
      </c>
      <c r="BW259">
        <f>_xlfn.XLOOKUP(B259,'[7]september-2025'!$A:$A,'[7]september-2025'!$G:$G,0,0)</f>
        <v>500</v>
      </c>
      <c r="BX259">
        <f>IF(BS259&gt;0,SUM(BS259:BW259),0)</f>
        <v>39240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480"/>
        <v>150</v>
      </c>
      <c r="CB259">
        <f t="shared" si="481"/>
        <v>37090</v>
      </c>
      <c r="CC259">
        <f>_xlfn.XLOOKUP(B259,'[8]october-2025'!$A:$A,'[8]october-2025'!$C:$C,0,0)</f>
        <v>29800</v>
      </c>
      <c r="CD259">
        <f t="shared" si="482"/>
        <v>5364</v>
      </c>
      <c r="CE259">
        <f t="shared" si="483"/>
        <v>3576</v>
      </c>
      <c r="CF259">
        <f>_xlfn.XLOOKUP(B259,'[8]october-2025'!$A:$A,'[8]october-2025'!$D:$D,0,0)</f>
        <v>0</v>
      </c>
      <c r="CG259">
        <f>_xlfn.XLOOKUP(B259,'[8]october-2025'!$A:$A,'[8]october-2025'!$G:$G,0,0)</f>
        <v>500</v>
      </c>
      <c r="CH259">
        <f>IF(CC259&gt;0,SUM(CC259:CG259),0)</f>
        <v>39240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484"/>
        <v>150</v>
      </c>
      <c r="CL259">
        <f t="shared" si="485"/>
        <v>37090</v>
      </c>
      <c r="CM259">
        <f>_xlfn.XLOOKUP(B259,'[9]november-2025'!$A:$A,'[9]november-2025'!$C:$C,0,0)</f>
        <v>29800</v>
      </c>
      <c r="CN259">
        <f t="shared" si="486"/>
        <v>5364</v>
      </c>
      <c r="CO259">
        <f t="shared" si="487"/>
        <v>3576</v>
      </c>
      <c r="CP259">
        <f>_xlfn.XLOOKUP(B259,'[9]november-2025'!$A:$A,'[9]november-2025'!$D:$D,0,0)</f>
        <v>0</v>
      </c>
      <c r="CQ259">
        <f>_xlfn.XLOOKUP(B259,'[9]november-2025'!$A:$A,'[9]november-2025'!$G:$G,0,0)</f>
        <v>500</v>
      </c>
      <c r="CR259">
        <f>IF(CM259&gt;0,SUM(CM259:CQ259),0)</f>
        <v>39240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488"/>
        <v>150</v>
      </c>
      <c r="CV259">
        <f t="shared" si="489"/>
        <v>37090</v>
      </c>
      <c r="CW259">
        <f>_xlfn.XLOOKUP(B259,'[10]december-2025'!$A:$A,'[10]december-2025'!$C:$C,0,0)</f>
        <v>29800</v>
      </c>
      <c r="CX259">
        <f t="shared" si="490"/>
        <v>5364</v>
      </c>
      <c r="CY259">
        <f t="shared" si="491"/>
        <v>3576</v>
      </c>
      <c r="CZ259">
        <f>_xlfn.XLOOKUP(B259,'[10]december-2025'!$A:$A,'[10]december-2025'!$D:$D,0,0)</f>
        <v>0</v>
      </c>
      <c r="DA259">
        <f>_xlfn.XLOOKUP(B259,'[10]december-2025'!$A:$A,'[10]december-2025'!$G:$G,0,0)</f>
        <v>500</v>
      </c>
      <c r="DB259">
        <f>IF(CW259&gt;0,SUM(CW259:DA259),0)</f>
        <v>39240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492"/>
        <v>150</v>
      </c>
      <c r="DF259">
        <f t="shared" si="493"/>
        <v>37090</v>
      </c>
      <c r="DG259">
        <f>_xlfn.XLOOKUP(B259,'[11]january-2026'!$A:$A,'[11]january-2026'!$C:$C,0,0)</f>
        <v>29800</v>
      </c>
      <c r="DH259">
        <f t="shared" si="494"/>
        <v>5364</v>
      </c>
      <c r="DI259">
        <f t="shared" si="495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>IF(DG259&gt;0,SUM(DG259:DK259),0)</f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496"/>
        <v>150</v>
      </c>
      <c r="DP259">
        <f t="shared" si="497"/>
        <v>37090</v>
      </c>
      <c r="DQ259">
        <f>_xlfn.XLOOKUP(B259,'[12]february-2026'!$A:$A,'[12]february-2026'!$C:$C,0,0)</f>
        <v>29800</v>
      </c>
      <c r="DR259">
        <f t="shared" si="498"/>
        <v>5364</v>
      </c>
      <c r="DS259">
        <f t="shared" si="499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>IF(DQ259&gt;0,SUM(DQ259:DU259),0)</f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00"/>
        <v>150</v>
      </c>
      <c r="DZ259">
        <f t="shared" si="501"/>
        <v>37090</v>
      </c>
      <c r="EA259">
        <f>_xlfn.XLOOKUP(B259,'[1]march-2025'!$A:$A,'[1]march-2025'!$J:$J,0,0)</f>
        <v>0</v>
      </c>
      <c r="EB259">
        <f>_xlfn.XLOOKUP(B259,'[2]april-2025'!$A:$A,'[2]april-2025'!$J:$J,0,0)</f>
        <v>0</v>
      </c>
      <c r="EC259">
        <f>_xlfn.XLOOKUP(B259,'[3]may-2025'!$A:$A,'[3]may-2025'!$J:$J,0,0)</f>
        <v>60294</v>
      </c>
      <c r="ED259">
        <f>_xlfn.XLOOKUP(B259,'[4]june-2025'!$A:$A,'[4]june-2025'!$J:$J,0,0)</f>
        <v>0</v>
      </c>
      <c r="EE259">
        <f>_xlfn.XLOOKUP(B259,'[5]july-2025'!$A:$A,'[5]july-2025'!$J:$J,0,0)</f>
        <v>0</v>
      </c>
      <c r="EF259">
        <f>_xlfn.XLOOKUP(B259,'[6]august-2025'!$A:$A,'[6]august-2025'!$J:$J,0,0)</f>
        <v>0</v>
      </c>
      <c r="EG259">
        <f>_xlfn.XLOOKUP(B259,'[7]september-2025'!$A:$A,'[7]september-2025'!$J:$J,0,0)</f>
        <v>0</v>
      </c>
      <c r="EH259">
        <f>_xlfn.XLOOKUP(B259,'[8]october-2025'!$A:$A,'[8]october-2025'!$J:$J,0,0)</f>
        <v>0</v>
      </c>
      <c r="EI259">
        <f>_xlfn.XLOOKUP(C259,'[9]november-2025'!$A:$A,'[9]november-2025'!$J:$J,0,0)</f>
        <v>0</v>
      </c>
      <c r="EJ259">
        <f>_xlfn.XLOOKUP(B259,'[10]december-2025'!$A:$A,'[10]december-2025'!$J:$J,0,0)</f>
        <v>0</v>
      </c>
      <c r="EK259">
        <f>_xlfn.XLOOKUP(B259,'[11]january-2026'!$A:$A,'[11]january-2026'!$J:$J,0,0)</f>
        <v>0</v>
      </c>
      <c r="EL259">
        <f>_xlfn.XLOOKUP(B259,'[12]february-2026'!$A:$A,'[12]february-2026'!$J:$J,0,0)</f>
        <v>0</v>
      </c>
      <c r="EM259">
        <f t="shared" ref="EM259:EM305" si="548">SUM(EA259:EL259)</f>
        <v>60294</v>
      </c>
      <c r="EN259">
        <f>DV259+DL259+DB259+CR259+CH259+BX259+BN259+BD259+AS259+AI259+Y259+O259+H259+I259</f>
        <v>471844</v>
      </c>
      <c r="EO259">
        <f>DY259+DO259+DE259+CU259+CK259+CA259+BQ259+BG259+AV259+AL259+AB259+R259</f>
        <v>1800</v>
      </c>
      <c r="EP259">
        <f t="shared" si="502"/>
        <v>50000</v>
      </c>
      <c r="EQ259">
        <v>0</v>
      </c>
      <c r="ER259">
        <f t="shared" ref="ER259:ER305" si="549">EN259-EO259-EP259+EM259</f>
        <v>480338</v>
      </c>
      <c r="ES259">
        <f>DW259+DM259+DC259+CS259+CI259+BY259+BO259+BE259+AT259+AJ259+Z259+P259</f>
        <v>24000</v>
      </c>
      <c r="ET259">
        <f>DX259+DN259+DD259+CT259+CJ259+BZ259+BP259+BF259+AU259+AK259+AA259+Q259</f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503"/>
        <v>24000</v>
      </c>
      <c r="FF259">
        <f t="shared" si="504"/>
        <v>24000</v>
      </c>
      <c r="FG259">
        <f t="shared" si="505"/>
        <v>456338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>SUM(FH259:FN259)+(IF(F259="YES",50000,0))</f>
        <v>0</v>
      </c>
      <c r="FP259">
        <f t="shared" si="506"/>
        <v>456338</v>
      </c>
      <c r="FQ259">
        <f t="shared" si="507"/>
        <v>10317</v>
      </c>
      <c r="FR259">
        <f t="shared" si="508"/>
        <v>0</v>
      </c>
      <c r="FS259">
        <f t="shared" si="509"/>
        <v>10317</v>
      </c>
      <c r="FT259">
        <f t="shared" si="510"/>
        <v>0</v>
      </c>
      <c r="FU259">
        <f t="shared" si="511"/>
        <v>0</v>
      </c>
      <c r="FV259">
        <f t="shared" si="512"/>
        <v>0</v>
      </c>
      <c r="FW259">
        <v>0</v>
      </c>
      <c r="FX259">
        <f t="shared" si="513"/>
        <v>0</v>
      </c>
      <c r="FY259" t="b">
        <f t="shared" si="514"/>
        <v>0</v>
      </c>
      <c r="FZ259">
        <f t="shared" ca="1" si="515"/>
        <v>2790</v>
      </c>
      <c r="GA259">
        <f t="shared" ca="1" si="516"/>
        <v>474634</v>
      </c>
      <c r="GB259">
        <f t="shared" si="517"/>
        <v>75000</v>
      </c>
      <c r="GC259">
        <f t="shared" ca="1" si="518"/>
        <v>399634</v>
      </c>
      <c r="GD259">
        <f t="shared" ca="1" si="519"/>
        <v>0</v>
      </c>
      <c r="GE259">
        <f t="shared" ca="1" si="520"/>
        <v>0</v>
      </c>
      <c r="GF259">
        <f t="shared" ca="1" si="521"/>
        <v>0</v>
      </c>
      <c r="GG259">
        <f t="shared" ca="1" si="522"/>
        <v>0</v>
      </c>
      <c r="GH259">
        <f t="shared" ca="1" si="523"/>
        <v>0</v>
      </c>
      <c r="GI259">
        <f t="shared" ca="1" si="524"/>
        <v>0</v>
      </c>
      <c r="GJ259">
        <f ca="1">IF(GC259&gt;1200000,GC259-1200000-IF(F259="YES",50000,0)-GH259,0)</f>
        <v>0</v>
      </c>
      <c r="GK259">
        <f t="shared" ca="1" si="525"/>
        <v>0</v>
      </c>
      <c r="GL259">
        <f t="shared" ca="1" si="526"/>
        <v>0</v>
      </c>
      <c r="GM259">
        <f t="shared" ca="1" si="527"/>
        <v>0</v>
      </c>
      <c r="GN259">
        <f t="shared" ca="1" si="528"/>
        <v>0</v>
      </c>
      <c r="GO259">
        <f t="shared" ca="1" si="529"/>
        <v>0</v>
      </c>
      <c r="GP259">
        <f t="shared" ca="1" si="530"/>
        <v>0</v>
      </c>
      <c r="GQ259">
        <f t="shared" ca="1" si="531"/>
        <v>0</v>
      </c>
      <c r="GR259">
        <f t="shared" ca="1" si="532"/>
        <v>0</v>
      </c>
      <c r="GS259">
        <f t="shared" ca="1" si="533"/>
        <v>0</v>
      </c>
      <c r="GT259">
        <f t="shared" ca="1" si="534"/>
        <v>0</v>
      </c>
      <c r="GU259" t="b">
        <f t="shared" ca="1" si="535"/>
        <v>0</v>
      </c>
      <c r="GV259">
        <f t="shared" ca="1" si="536"/>
        <v>0</v>
      </c>
      <c r="GW259">
        <f t="shared" ca="1" si="537"/>
        <v>0</v>
      </c>
      <c r="GX259">
        <f t="shared" ca="1" si="538"/>
        <v>0</v>
      </c>
      <c r="GY259">
        <f t="shared" ca="1" si="539"/>
        <v>0</v>
      </c>
      <c r="GZ259">
        <f t="shared" ca="1" si="540"/>
        <v>0</v>
      </c>
    </row>
    <row r="260" spans="1:208" x14ac:dyDescent="0.25">
      <c r="A260">
        <f>_xlfn.AGGREGATE(3,5,$B$2:B260)</f>
        <v>259</v>
      </c>
      <c r="B260" t="s">
        <v>623</v>
      </c>
      <c r="C260" t="s">
        <v>624</v>
      </c>
      <c r="D260" t="s">
        <v>817</v>
      </c>
      <c r="E260" t="s">
        <v>831</v>
      </c>
      <c r="F260" t="s">
        <v>957</v>
      </c>
      <c r="G260" t="s">
        <v>953</v>
      </c>
      <c r="H260">
        <f t="shared" si="543"/>
        <v>6800</v>
      </c>
      <c r="I260">
        <f>_xlfn.XLOOKUP(B260,'[1]march-2025'!$A:$A,'[1]march-2025'!$J:$J,0,0)</f>
        <v>0</v>
      </c>
      <c r="J260">
        <f>_xlfn.XLOOKUP(B260,'[1]march-2025'!$A:$A,'[1]march-2025'!$C:$C,0,0)</f>
        <v>34500</v>
      </c>
      <c r="K260">
        <f t="shared" ref="K260:K305" si="550">J260*0.14</f>
        <v>4830.0000000000009</v>
      </c>
      <c r="L260">
        <f t="shared" ref="L260:L305" si="551">J260*0.12</f>
        <v>4140</v>
      </c>
      <c r="M260">
        <f>_xlfn.XLOOKUP(B260,'[1]march-2025'!$A:$A,'[1]march-2025'!$D:$D,0,0)</f>
        <v>400</v>
      </c>
      <c r="N260">
        <f>_xlfn.XLOOKUP(B260,'[1]march-2025'!$A:$A,'[1]march-2025'!$G:$G,0,0)</f>
        <v>500</v>
      </c>
      <c r="O260">
        <f>IF(J260&gt;0,SUM(J260:N260),0)</f>
        <v>44370</v>
      </c>
      <c r="P260">
        <f>_xlfn.XLOOKUP(B260,'[1]march-2025'!$A:$A,'[1]march-2025'!$H:$H,0,0)</f>
        <v>3000</v>
      </c>
      <c r="Q260">
        <f>_xlfn.XLOOKUP(B260,'[1]march-2025'!$A:$A,'[1]march-2025'!$I:$I,0,0)</f>
        <v>0</v>
      </c>
      <c r="R260">
        <f t="shared" si="541"/>
        <v>200</v>
      </c>
      <c r="S260">
        <f t="shared" si="544"/>
        <v>41170</v>
      </c>
      <c r="T260">
        <f>_xlfn.XLOOKUP(B260,'[2]april-2025'!$A:$A,'[2]april-2025'!$C:$C,0,0)</f>
        <v>34500</v>
      </c>
      <c r="U260">
        <f t="shared" ref="U260:U305" si="552">T260*0.18</f>
        <v>6210</v>
      </c>
      <c r="V260">
        <f t="shared" ref="V260:V305" si="553">T260*0.12</f>
        <v>4140</v>
      </c>
      <c r="W260">
        <f>_xlfn.XLOOKUP(B260,'[2]april-2025'!$A:$A,'[2]april-2025'!$D:$D,0,0)</f>
        <v>400</v>
      </c>
      <c r="X260">
        <f>_xlfn.XLOOKUP(B260,'[2]april-2025'!$A:$A,'[2]april-2025'!$G:$G,0,0)</f>
        <v>500</v>
      </c>
      <c r="Y260">
        <f t="shared" si="545"/>
        <v>45750</v>
      </c>
      <c r="Z260">
        <f>_xlfn.XLOOKUP(B260,'[2]april-2025'!$A:$A,'[2]april-2025'!$H:$H,0,0)</f>
        <v>3000</v>
      </c>
      <c r="AA260">
        <f>_xlfn.XLOOKUP(B260,'[2]april-2025'!$A:$A,'[2]april-2025'!$I:$I,0,0)</f>
        <v>0</v>
      </c>
      <c r="AB260">
        <f t="shared" ref="AB260:AB305" si="554">IF($F260="YES",0,IF(Y260&gt;40000,200,IF(Y260&gt;25000,150,IF(Y260&gt;15000,130,IF(Y260&gt;10000,110,0)))))</f>
        <v>200</v>
      </c>
      <c r="AC260">
        <f t="shared" ref="AC260:AC305" si="555">Y260-Z260-AA260-AB260</f>
        <v>42550</v>
      </c>
      <c r="AD260">
        <f>_xlfn.XLOOKUP(B260,'[3]may-2025'!$A:$A,'[3]may-2025'!$C:$C,0,0)</f>
        <v>34500</v>
      </c>
      <c r="AE260">
        <f t="shared" ref="AE260:AE305" si="556">AD260*0.18</f>
        <v>6210</v>
      </c>
      <c r="AF260">
        <f t="shared" ref="AF260:AF305" si="557">AD260*0.12</f>
        <v>4140</v>
      </c>
      <c r="AG260">
        <f>_xlfn.XLOOKUP(B260,'[3]may-2025'!$A:$A,'[3]may-2025'!$D:$D,0,0)</f>
        <v>400</v>
      </c>
      <c r="AH260">
        <f>_xlfn.XLOOKUP(B260,'[3]may-2025'!$A:$A,'[3]may-2025'!$G:$G,0,0)</f>
        <v>500</v>
      </c>
      <c r="AI260">
        <f t="shared" si="546"/>
        <v>45750</v>
      </c>
      <c r="AJ260">
        <f>_xlfn.XLOOKUP(B260,'[3]may-2025'!$A:$A,'[3]may-2025'!$H:$H,0,0)</f>
        <v>3000</v>
      </c>
      <c r="AK260">
        <f>_xlfn.XLOOKUP(B260,'[3]may-2025'!$A:$A,'[3]may-2025'!$I:$I,0,0)</f>
        <v>0</v>
      </c>
      <c r="AL260">
        <f t="shared" ref="AL260:AL305" si="558">IF($F260="YES",0,IF(AI260&gt;40000,200,IF(AI260&gt;25000,150,IF(AI260&gt;15000,130,IF(AI260&gt;10000,110,0)))))</f>
        <v>200</v>
      </c>
      <c r="AM260">
        <f t="shared" ref="AM260:AM305" si="559">AI260-AJ260-AK260-AL260</f>
        <v>42550</v>
      </c>
      <c r="AN260">
        <f>_xlfn.XLOOKUP(B260,'[4]june-2025'!$A:$A,'[4]june-2025'!$C:$C,0,0)</f>
        <v>34500</v>
      </c>
      <c r="AO260">
        <f t="shared" ref="AO260:AO305" si="560">AN260*0.18</f>
        <v>6210</v>
      </c>
      <c r="AP260">
        <f t="shared" ref="AP260:AP305" si="561">AN260*0.12</f>
        <v>4140</v>
      </c>
      <c r="AQ260">
        <f>_xlfn.XLOOKUP(B260,'[4]june-2025'!$A:$A,'[4]june-2025'!$D:$D,0,0)</f>
        <v>400</v>
      </c>
      <c r="AR260">
        <f>_xlfn.XLOOKUP(B260,'[4]june-2025'!$A:$A,'[4]june-2025'!$G:$G,0,0)</f>
        <v>500</v>
      </c>
      <c r="AS260">
        <f t="shared" si="547"/>
        <v>45750</v>
      </c>
      <c r="AT260">
        <f>_xlfn.XLOOKUP(B260,'[4]june-2025'!$A:$A,'[4]june-2025'!$H:$H,0,0)</f>
        <v>3000</v>
      </c>
      <c r="AU260">
        <f>_xlfn.XLOOKUP(B260,'[4]june-2025'!$A:$A,'[4]june-2025'!$I:$I,0,0)</f>
        <v>0</v>
      </c>
      <c r="AV260">
        <f t="shared" ref="AV260:AV305" si="562">IF($F260="YES",0,IF(AS260&gt;40000,200,IF(AS260&gt;25000,150,IF(AS260&gt;15000,130,IF(AS260&gt;10000,110,0)))))</f>
        <v>200</v>
      </c>
      <c r="AW260">
        <f t="shared" ref="AW260:AW305" si="563">AS260-AT260-AU260-AV260</f>
        <v>42550</v>
      </c>
      <c r="AX260">
        <f>_xlfn.XLOOKUP(B260,'[5]july-2025'!$A:$A,'[5]july-2025'!$C:$C,0,0)</f>
        <v>35500</v>
      </c>
      <c r="AY260">
        <f t="shared" ref="AY260:AY305" si="564">AX260*0.18</f>
        <v>6390</v>
      </c>
      <c r="AZ260">
        <v>0</v>
      </c>
      <c r="BA260">
        <f t="shared" ref="BA260:BA305" si="565">AX260*0.12</f>
        <v>4260</v>
      </c>
      <c r="BB260">
        <f>_xlfn.XLOOKUP(B260,'[5]july-2025'!$A:$A,'[5]july-2025'!$D:$D,0,0)</f>
        <v>400</v>
      </c>
      <c r="BC260">
        <f>_xlfn.XLOOKUP(B260,'[5]july-2025'!$A:$A,'[5]july-2025'!$G:$G,0,0)</f>
        <v>500</v>
      </c>
      <c r="BD260">
        <f>IF(AX260&gt;0,SUM(AX260:BC260),0)</f>
        <v>47050</v>
      </c>
      <c r="BE260">
        <f>_xlfn.XLOOKUP(B260,'[5]july-2025'!$A:$A,'[5]july-2025'!$H:$H,0,0)</f>
        <v>3000</v>
      </c>
      <c r="BF260">
        <f>_xlfn.XLOOKUP(B260,'[5]july-2025'!$A:$A,'[5]july-2025'!$I:$I,0,0)</f>
        <v>0</v>
      </c>
      <c r="BG260">
        <f t="shared" ref="BG260:BG305" si="566">IF($F260="YES",0,IF(BD260&gt;40000,200,IF(BD260&gt;25000,150,IF(BD260&gt;15000,130,IF(BD260&gt;10000,110,0)))))</f>
        <v>200</v>
      </c>
      <c r="BH260">
        <f t="shared" ref="BH260:BH305" si="567">BD260-BE260-BF260-BG260</f>
        <v>43850</v>
      </c>
      <c r="BI260">
        <f>_xlfn.XLOOKUP(B260,'[6]august-2025'!$A:$A,'[6]august-2025'!$C:$C,0,0)</f>
        <v>35500</v>
      </c>
      <c r="BJ260">
        <f t="shared" ref="BJ260:BJ305" si="568">BI260*0.18</f>
        <v>6390</v>
      </c>
      <c r="BK260">
        <f t="shared" ref="BK260:BK305" si="569">BI260*0.12</f>
        <v>4260</v>
      </c>
      <c r="BL260">
        <f>_xlfn.XLOOKUP(B260,'[6]august-2025'!$A:$A,'[6]august-2025'!$D:$D,0,0)</f>
        <v>400</v>
      </c>
      <c r="BM260">
        <f>_xlfn.XLOOKUP(B260,'[6]august-2025'!$A:$A,'[6]august-2025'!$G:$G,0,0)</f>
        <v>500</v>
      </c>
      <c r="BN260">
        <f t="shared" ref="BN260:BN305" si="570">IF(BI260&gt;0,SUM(BI260:BM260),0)</f>
        <v>47050</v>
      </c>
      <c r="BO260">
        <f>_xlfn.XLOOKUP(B260,'[6]august-2025'!$A:$A,'[6]august-2025'!$H:$H,0,0)</f>
        <v>3000</v>
      </c>
      <c r="BP260">
        <f>_xlfn.XLOOKUP(B260,'[6]august-2025'!$A:$A,'[6]august-2025'!$I:$I,0,0)</f>
        <v>0</v>
      </c>
      <c r="BQ260">
        <f>IF($F260="YES",0,IF(BN260&gt;40000,200,IF(BN260&gt;25000,150,IF(BN260&gt;15000,130,IF(BN260&gt;10000,110,0)))))</f>
        <v>200</v>
      </c>
      <c r="BR260">
        <f>BN260-BO260-BP260-BQ260</f>
        <v>43850</v>
      </c>
      <c r="BS260">
        <f>_xlfn.XLOOKUP(B260,'[7]september-2025'!$A:$A,'[7]september-2025'!$C:$C,0,0)</f>
        <v>35500</v>
      </c>
      <c r="BT260">
        <f t="shared" ref="BT260:BT305" si="571">BS260*0.18</f>
        <v>6390</v>
      </c>
      <c r="BU260">
        <f t="shared" ref="BU260:BU305" si="572">BS260*0.12</f>
        <v>4260</v>
      </c>
      <c r="BV260">
        <f>_xlfn.XLOOKUP(B260,'[7]september-2025'!$A:$A,'[7]september-2025'!$D:$D,0,0)</f>
        <v>400</v>
      </c>
      <c r="BW260">
        <f>_xlfn.XLOOKUP(B260,'[7]september-2025'!$A:$A,'[7]september-2025'!$G:$G,0,0)</f>
        <v>500</v>
      </c>
      <c r="BX260">
        <f>IF(BS260&gt;0,SUM(BS260:BW260),0)</f>
        <v>47050</v>
      </c>
      <c r="BY260">
        <f>_xlfn.XLOOKUP(B260,'[7]september-2025'!$A:$A,'[7]september-2025'!$H:$H,0,0)</f>
        <v>3000</v>
      </c>
      <c r="BZ260">
        <f>_xlfn.XLOOKUP(B260,'[7]september-2025'!$A:$A,'[7]september-2025'!$I:$I,0,0)</f>
        <v>0</v>
      </c>
      <c r="CA260">
        <f t="shared" ref="CA260:CA305" si="573">IF($F260="YES",0,IF(BX260&gt;40000,200,IF(BX260&gt;25000,150,IF(BX260&gt;15000,130,IF(BX260&gt;10000,110,0)))))</f>
        <v>200</v>
      </c>
      <c r="CB260">
        <f t="shared" ref="CB260:CB305" si="574">BX260-BY260-BZ260-CA260</f>
        <v>43850</v>
      </c>
      <c r="CC260">
        <f>_xlfn.XLOOKUP(B260,'[8]october-2025'!$A:$A,'[8]october-2025'!$C:$C,0,0)</f>
        <v>35500</v>
      </c>
      <c r="CD260">
        <f t="shared" ref="CD260:CD305" si="575">CC260*0.18</f>
        <v>6390</v>
      </c>
      <c r="CE260">
        <f t="shared" ref="CE260:CE305" si="576">CC260*0.12</f>
        <v>4260</v>
      </c>
      <c r="CF260">
        <f>_xlfn.XLOOKUP(B260,'[8]october-2025'!$A:$A,'[8]october-2025'!$D:$D,0,0)</f>
        <v>400</v>
      </c>
      <c r="CG260">
        <f>_xlfn.XLOOKUP(B260,'[8]october-2025'!$A:$A,'[8]october-2025'!$G:$G,0,0)</f>
        <v>500</v>
      </c>
      <c r="CH260">
        <f>IF(CC260&gt;0,SUM(CC260:CG260),0)</f>
        <v>47050</v>
      </c>
      <c r="CI260">
        <f>_xlfn.XLOOKUP(B260,'[8]october-2025'!$A:$A,'[8]october-2025'!$H:$H,0,0)</f>
        <v>3000</v>
      </c>
      <c r="CJ260">
        <f>_xlfn.XLOOKUP(B260,'[8]october-2025'!$A:$A,'[8]october-2025'!$I:$I,0,0)</f>
        <v>0</v>
      </c>
      <c r="CK260">
        <f t="shared" ref="CK260:CK305" si="577">IF($F260="YES",0,IF(CH260&gt;40000,200,IF(CH260&gt;25000,150,IF(CH260&gt;15000,130,IF(CH260&gt;10000,110,0)))))</f>
        <v>200</v>
      </c>
      <c r="CL260">
        <f t="shared" ref="CL260:CL305" si="578">CH260-CI260-CJ260-CK260</f>
        <v>43850</v>
      </c>
      <c r="CM260">
        <f>_xlfn.XLOOKUP(B260,'[9]november-2025'!$A:$A,'[9]november-2025'!$C:$C,0,0)</f>
        <v>35500</v>
      </c>
      <c r="CN260">
        <f t="shared" ref="CN260:CN305" si="579">CM260*0.18</f>
        <v>6390</v>
      </c>
      <c r="CO260">
        <f t="shared" ref="CO260:CO305" si="580">CM260*0.12</f>
        <v>4260</v>
      </c>
      <c r="CP260">
        <f>_xlfn.XLOOKUP(B260,'[9]november-2025'!$A:$A,'[9]november-2025'!$D:$D,0,0)</f>
        <v>400</v>
      </c>
      <c r="CQ260">
        <f>_xlfn.XLOOKUP(B260,'[9]november-2025'!$A:$A,'[9]november-2025'!$G:$G,0,0)</f>
        <v>500</v>
      </c>
      <c r="CR260">
        <f>IF(CM260&gt;0,SUM(CM260:CQ260),0)</f>
        <v>47050</v>
      </c>
      <c r="CS260">
        <f>_xlfn.XLOOKUP(B260,'[9]november-2025'!$A:$A,'[9]november-2025'!$H:$H,0,0)</f>
        <v>3000</v>
      </c>
      <c r="CT260">
        <f>_xlfn.XLOOKUP(B260,'[9]november-2025'!$A:$A,'[9]november-2025'!$I:$I,0,0)</f>
        <v>0</v>
      </c>
      <c r="CU260">
        <f t="shared" ref="CU260:CU305" si="581">IF($F260="YES",0,IF(CR260&gt;40000,200,IF(CR260&gt;25000,150,IF(CR260&gt;15000,130,IF(CR260&gt;10000,110,0)))))</f>
        <v>200</v>
      </c>
      <c r="CV260">
        <f t="shared" ref="CV260:CV305" si="582">CR260-CS260-CT260-CU260</f>
        <v>43850</v>
      </c>
      <c r="CW260">
        <f>_xlfn.XLOOKUP(B260,'[10]december-2025'!$A:$A,'[10]december-2025'!$C:$C,0,0)</f>
        <v>35500</v>
      </c>
      <c r="CX260">
        <f t="shared" ref="CX260:CX305" si="583">ROUND(CW260*0.18,0)</f>
        <v>6390</v>
      </c>
      <c r="CY260">
        <f t="shared" ref="CY260:CY305" si="584">ROUND(CW260*0.12,0)</f>
        <v>4260</v>
      </c>
      <c r="CZ260">
        <f>_xlfn.XLOOKUP(B260,'[10]december-2025'!$A:$A,'[10]december-2025'!$D:$D,0,0)</f>
        <v>400</v>
      </c>
      <c r="DA260">
        <f>_xlfn.XLOOKUP(B260,'[10]december-2025'!$A:$A,'[10]december-2025'!$G:$G,0,0)</f>
        <v>500</v>
      </c>
      <c r="DB260">
        <f>IF(CW260&gt;0,SUM(CW260:DA260),0)</f>
        <v>47050</v>
      </c>
      <c r="DC260">
        <f>_xlfn.XLOOKUP(B260,'[10]december-2025'!$A:$A,'[10]december-2025'!$H:$H,0,0)</f>
        <v>3000</v>
      </c>
      <c r="DD260">
        <f>_xlfn.XLOOKUP(B260,'[10]december-2025'!$A:$A,'[10]december-2025'!$I:$I,0,0)</f>
        <v>0</v>
      </c>
      <c r="DE260">
        <f t="shared" ref="DE260:DE305" si="585">IF($F260="YES",0,IF(DB260&gt;40000,200,IF(DB260&gt;25000,150,IF(DB260&gt;15000,130,IF(DB260&gt;10000,110,0)))))</f>
        <v>200</v>
      </c>
      <c r="DF260">
        <f t="shared" ref="DF260:DF305" si="586">DB260-DC260-DD260-DE260</f>
        <v>43850</v>
      </c>
      <c r="DG260">
        <f>_xlfn.XLOOKUP(B260,'[11]january-2026'!$A:$A,'[11]january-2026'!$C:$C,0,0)</f>
        <v>35500</v>
      </c>
      <c r="DH260">
        <f t="shared" ref="DH260:DH305" si="587">DG260*0.18</f>
        <v>6390</v>
      </c>
      <c r="DI260">
        <f t="shared" ref="DI260:DI305" si="588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>IF(DG260&gt;0,SUM(DG260:DK260),0)</f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589">IF($F260="YES",0,IF(DL260&gt;40000,200,IF(DL260&gt;25000,150,IF(DL260&gt;15000,130,IF(DL260&gt;10000,110,0)))))</f>
        <v>200</v>
      </c>
      <c r="DP260">
        <f t="shared" ref="DP260:DP305" si="590">DL260-DM260-DN260-DO260</f>
        <v>43850</v>
      </c>
      <c r="DQ260">
        <f>_xlfn.XLOOKUP(B260,'[12]february-2026'!$A:$A,'[12]february-2026'!$C:$C,0,0)</f>
        <v>35500</v>
      </c>
      <c r="DR260">
        <f t="shared" ref="DR260:DR305" si="591">DQ260*0.18</f>
        <v>6390</v>
      </c>
      <c r="DS260">
        <f t="shared" ref="DS260:DS305" si="592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>IF(DQ260&gt;0,SUM(DQ260:DU260),0)</f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593">IF($F260="YES",0,IF(DV260&gt;40000,200,IF(DV260&gt;25000,150,IF(DV260&gt;15000,130,IF(DV260&gt;10000,110,0)))))</f>
        <v>200</v>
      </c>
      <c r="DZ260">
        <f t="shared" ref="DZ260:DZ305" si="594">DV260-DW260-DX260-DY260</f>
        <v>43850</v>
      </c>
      <c r="EA260">
        <f>_xlfn.XLOOKUP(B260,'[1]march-2025'!$A:$A,'[1]march-2025'!$J:$J,0,0)</f>
        <v>0</v>
      </c>
      <c r="EB260">
        <f>_xlfn.XLOOKUP(B260,'[2]april-2025'!$A:$A,'[2]april-2025'!$J:$J,0,0)</f>
        <v>0</v>
      </c>
      <c r="EC260">
        <f>_xlfn.XLOOKUP(B260,'[3]may-2025'!$A:$A,'[3]may-2025'!$J:$J,0,0)</f>
        <v>0</v>
      </c>
      <c r="ED260">
        <f>_xlfn.XLOOKUP(B260,'[4]june-2025'!$A:$A,'[4]june-2025'!$J:$J,0,0)</f>
        <v>0</v>
      </c>
      <c r="EE260">
        <f>_xlfn.XLOOKUP(B260,'[5]july-2025'!$A:$A,'[5]july-2025'!$J:$J,0,0)</f>
        <v>0</v>
      </c>
      <c r="EF260">
        <f>_xlfn.XLOOKUP(B260,'[6]august-2025'!$A:$A,'[6]august-2025'!$J:$J,0,0)</f>
        <v>0</v>
      </c>
      <c r="EG260">
        <f>_xlfn.XLOOKUP(B260,'[7]september-2025'!$A:$A,'[7]september-2025'!$J:$J,0,0)</f>
        <v>0</v>
      </c>
      <c r="EH260">
        <f>_xlfn.XLOOKUP(B260,'[8]october-2025'!$A:$A,'[8]october-2025'!$J:$J,0,0)</f>
        <v>0</v>
      </c>
      <c r="EI260">
        <f>_xlfn.XLOOKUP(C260,'[9]november-2025'!$A:$A,'[9]november-2025'!$J:$J,0,0)</f>
        <v>0</v>
      </c>
      <c r="EJ260">
        <f>_xlfn.XLOOKUP(B260,'[10]december-2025'!$A:$A,'[10]december-2025'!$J:$J,0,0)</f>
        <v>0</v>
      </c>
      <c r="EK260">
        <f>_xlfn.XLOOKUP(B260,'[11]january-2026'!$A:$A,'[11]january-2026'!$J:$J,0,0)</f>
        <v>0</v>
      </c>
      <c r="EL260">
        <f>_xlfn.XLOOKUP(B260,'[12]february-2026'!$A:$A,'[12]february-2026'!$J:$J,0,0)</f>
        <v>0</v>
      </c>
      <c r="EM260">
        <f t="shared" si="548"/>
        <v>0</v>
      </c>
      <c r="EN260">
        <f>DV260+DL260+DB260+CR260+CH260+BX260+BN260+BD260+AS260+AI260+Y260+O260+H260+I260</f>
        <v>564820</v>
      </c>
      <c r="EO260">
        <f>DY260+DO260+DE260+CU260+CK260+CA260+BQ260+BG260+AV260+AL260+AB260+R260</f>
        <v>2400</v>
      </c>
      <c r="EP260">
        <f t="shared" ref="EP260:EP305" si="595">IF(EN260&gt;0,50000,0)</f>
        <v>50000</v>
      </c>
      <c r="EQ260">
        <v>0</v>
      </c>
      <c r="ER260">
        <f t="shared" si="549"/>
        <v>512420</v>
      </c>
      <c r="ES260">
        <f>DW260+DM260+DC260+CS260+CI260+BY260+BO260+BE260+AT260+AJ260+Z260+P260</f>
        <v>36000</v>
      </c>
      <c r="ET260">
        <f>DX260+DN260+DD260+CT260+CJ260+BZ260+BP260+BF260+AU260+AK260+AA260+Q260</f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ref="FE260:FE305" si="596">SUM(ES260:FD260)</f>
        <v>36000</v>
      </c>
      <c r="FF260">
        <f t="shared" ref="FF260:FF305" si="597">IF(FE260&gt;=150000,150000,FE260)</f>
        <v>36000</v>
      </c>
      <c r="FG260">
        <f t="shared" ref="FG260:FG305" si="598">ER260-FF260</f>
        <v>476420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>SUM(FH260:FN260)+(IF(F260="YES",50000,0))</f>
        <v>0</v>
      </c>
      <c r="FP260">
        <f t="shared" ref="FP260:FP305" si="599">FG260-FO260</f>
        <v>476420</v>
      </c>
      <c r="FQ260">
        <f t="shared" ref="FQ260:FQ305" si="600">ROUND(IF(FP260&gt;0,IF(FP260&gt;500000,12500,(FP260-250000)*0.05),0),0)</f>
        <v>11321</v>
      </c>
      <c r="FR260">
        <f t="shared" ref="FR260:FR305" si="601">IF(ROUND(IF(FP260&gt;0,IF(FP260&gt;1000000,25000,(FP260-500000)*0.2),0),0)&lt;0,0,ROUND(IF(FP260&gt;0,IF(FP260&gt;1000000,25000,(FP260-500000)*0.2),0),0))</f>
        <v>0</v>
      </c>
      <c r="FS260">
        <f t="shared" ref="FS260:FS305" si="602">FQ260+FR260</f>
        <v>11321</v>
      </c>
      <c r="FT260">
        <f t="shared" ref="FT260:FT305" si="603">IF(FS260&lt;12500,0,FS260)</f>
        <v>0</v>
      </c>
      <c r="FU260">
        <f t="shared" ref="FU260:FU305" si="604">FT260*0.04</f>
        <v>0</v>
      </c>
      <c r="FV260">
        <f t="shared" ref="FV260:FV305" si="605">ROUND(FU260+FT260,0)</f>
        <v>0</v>
      </c>
      <c r="FW260">
        <v>0</v>
      </c>
      <c r="FX260">
        <f t="shared" ref="FX260:FX305" si="606">FV260-FW260</f>
        <v>0</v>
      </c>
      <c r="FY260" t="b">
        <f t="shared" ref="FY260:FY305" si="607">IF(EN260&gt;500000,TRUE,FALSE)</f>
        <v>1</v>
      </c>
      <c r="FZ260">
        <f t="shared" ref="FZ260:FZ305" ca="1" si="608">IF(FY260,RANDBETWEEN(500,1000),RANDBETWEEN(1000,3000))</f>
        <v>859</v>
      </c>
      <c r="GA260">
        <f t="shared" ref="GA260:GA305" ca="1" si="609">EN260+FZ260</f>
        <v>565679</v>
      </c>
      <c r="GB260">
        <f t="shared" ref="GB260:GB305" si="610">IF(EN260&gt;0,75000,0)</f>
        <v>75000</v>
      </c>
      <c r="GC260">
        <f t="shared" ref="GC260:GC305" ca="1" si="611">GA260-GB260</f>
        <v>490679</v>
      </c>
      <c r="GD260">
        <f t="shared" ref="GD260:GD305" ca="1" si="612">IF(GC260&gt;2400000,GC260-2400000,0)</f>
        <v>0</v>
      </c>
      <c r="GE260">
        <f t="shared" ref="GE260:GE305" ca="1" si="613">GD260*0.3</f>
        <v>0</v>
      </c>
      <c r="GF260">
        <f t="shared" ref="GF260:GF305" ca="1" si="614">IF(GC260&gt;2000000,GC260-2000000,0)</f>
        <v>0</v>
      </c>
      <c r="GG260">
        <f t="shared" ref="GG260:GG305" ca="1" si="615">GF260*0.25</f>
        <v>0</v>
      </c>
      <c r="GH260">
        <f t="shared" ref="GH260:GH305" ca="1" si="616">IF(GC260&gt;1600000,GC260-1600000-GD260,0)</f>
        <v>0</v>
      </c>
      <c r="GI260">
        <f t="shared" ref="GI260:GI305" ca="1" si="617">GH260*0.2</f>
        <v>0</v>
      </c>
      <c r="GJ260">
        <f ca="1">IF(GC260&gt;1200000,GC260-1200000-IF(F260="YES",50000,0)-GH260,0)</f>
        <v>0</v>
      </c>
      <c r="GK260">
        <f t="shared" ref="GK260:GK305" ca="1" si="618">GJ260*0.15</f>
        <v>0</v>
      </c>
      <c r="GL260">
        <f t="shared" ref="GL260:GL305" ca="1" si="619">IF(GC260&gt;800000,GC260-800000-GD260-GH260-GJ260,0)</f>
        <v>0</v>
      </c>
      <c r="GM260">
        <f t="shared" ref="GM260:GM305" ca="1" si="620">GL260*0.1</f>
        <v>0</v>
      </c>
      <c r="GN260">
        <f t="shared" ref="GN260:GN305" ca="1" si="621">IF(GC260&gt;400000,GC260-400000-GD260-GH260-GJ260-GL260,0)</f>
        <v>90679</v>
      </c>
      <c r="GO260">
        <f t="shared" ref="GO260:GO305" ca="1" si="622">GN260*0.05</f>
        <v>4533.95</v>
      </c>
      <c r="GP260">
        <f t="shared" ref="GP260:GP305" ca="1" si="623">ROUND(GE260+GG260+GI260+GK260+GM260+GO260,0)</f>
        <v>4534</v>
      </c>
      <c r="GQ260">
        <f t="shared" ref="GQ260:GQ305" ca="1" si="624">IF(GC260&gt;1200000,GC260,0)</f>
        <v>0</v>
      </c>
      <c r="GR260">
        <f t="shared" ref="GR260:GR305" ca="1" si="625">IF(GC260&gt;1200000,GQ260-1200000,0)</f>
        <v>0</v>
      </c>
      <c r="GS260">
        <f t="shared" ref="GS260:GS305" ca="1" si="626">IF(GC260&lt;1200001,MIN(GP260,60000),0)</f>
        <v>4534</v>
      </c>
      <c r="GT260">
        <f t="shared" ref="GT260:GT305" ca="1" si="627">IF(GC260&gt;1200000,GP260-GR260,0)</f>
        <v>0</v>
      </c>
      <c r="GU260" t="b">
        <f t="shared" ref="GU260:GU305" ca="1" si="628">IF(GT260&gt;0,TRUE,FALSE)</f>
        <v>0</v>
      </c>
      <c r="GV260">
        <f t="shared" ref="GV260:GV305" ca="1" si="629">IF(GU260,GT260,0)</f>
        <v>0</v>
      </c>
      <c r="GW260">
        <f t="shared" ref="GW260:GW305" ca="1" si="630">GS260+GV260</f>
        <v>4534</v>
      </c>
      <c r="GX260">
        <f t="shared" ref="GX260:GX305" ca="1" si="631">ROUND(GP260-GW260,0)</f>
        <v>0</v>
      </c>
      <c r="GY260">
        <f t="shared" ref="GY260:GY305" ca="1" si="632">GX260*0.04</f>
        <v>0</v>
      </c>
      <c r="GZ260">
        <f t="shared" ref="GZ260:GZ305" ca="1" si="633">ROUNDUP(GX260+GY260,0)</f>
        <v>0</v>
      </c>
    </row>
    <row r="261" spans="1:208" x14ac:dyDescent="0.25">
      <c r="A261">
        <f>_xlfn.AGGREGATE(3,5,$B$2:B261)</f>
        <v>260</v>
      </c>
      <c r="B261" t="s">
        <v>625</v>
      </c>
      <c r="C261" t="s">
        <v>626</v>
      </c>
      <c r="D261" t="s">
        <v>817</v>
      </c>
      <c r="E261" t="s">
        <v>831</v>
      </c>
      <c r="F261" t="s">
        <v>957</v>
      </c>
      <c r="G261" t="s">
        <v>882</v>
      </c>
      <c r="H261">
        <f t="shared" si="543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550"/>
        <v>4424</v>
      </c>
      <c r="L261">
        <f t="shared" si="551"/>
        <v>3792</v>
      </c>
      <c r="M261">
        <f>_xlfn.XLOOKUP(B261,'[1]march-2025'!$A:$A,'[1]march-2025'!$D:$D,0,0)</f>
        <v>0</v>
      </c>
      <c r="N261">
        <f>_xlfn.XLOOKUP(B261,'[1]march-2025'!$A:$A,'[1]march-2025'!$G:$G,0,0)</f>
        <v>0</v>
      </c>
      <c r="O261">
        <f>IF(J261&gt;0,SUM(J261:N261),0)</f>
        <v>39816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ref="R261:R305" si="634">IF($F261="YES",0,IF(O261&gt;40000,200,IF(O261&gt;25000,150,IF(O261&gt;15000,130,IF(O261&gt;10000,110,0)))))</f>
        <v>150</v>
      </c>
      <c r="S261">
        <f t="shared" si="544"/>
        <v>37666</v>
      </c>
      <c r="T261">
        <f>_xlfn.XLOOKUP(B261,'[2]april-2025'!$A:$A,'[2]april-2025'!$C:$C,0,0)</f>
        <v>31600</v>
      </c>
      <c r="U261">
        <f t="shared" si="552"/>
        <v>5688</v>
      </c>
      <c r="V261">
        <f t="shared" si="553"/>
        <v>3792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545"/>
        <v>41080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554"/>
        <v>200</v>
      </c>
      <c r="AC261">
        <f t="shared" si="555"/>
        <v>38880</v>
      </c>
      <c r="AD261">
        <f>_xlfn.XLOOKUP(B261,'[3]may-2025'!$A:$A,'[3]may-2025'!$C:$C,0,0)</f>
        <v>31600</v>
      </c>
      <c r="AE261">
        <f t="shared" si="556"/>
        <v>5688</v>
      </c>
      <c r="AF261">
        <f t="shared" si="557"/>
        <v>3792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546"/>
        <v>41080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558"/>
        <v>200</v>
      </c>
      <c r="AM261">
        <f t="shared" si="559"/>
        <v>38880</v>
      </c>
      <c r="AN261">
        <f>_xlfn.XLOOKUP(B261,'[4]june-2025'!$A:$A,'[4]june-2025'!$C:$C,0,0)</f>
        <v>31600</v>
      </c>
      <c r="AO261">
        <f t="shared" si="560"/>
        <v>5688</v>
      </c>
      <c r="AP261">
        <f t="shared" si="561"/>
        <v>3792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547"/>
        <v>41080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562"/>
        <v>200</v>
      </c>
      <c r="AW261">
        <f t="shared" si="563"/>
        <v>38880</v>
      </c>
      <c r="AX261">
        <f>_xlfn.XLOOKUP(B261,'[5]july-2025'!$A:$A,'[5]july-2025'!$C:$C,0,0)</f>
        <v>32500</v>
      </c>
      <c r="AY261">
        <f t="shared" si="564"/>
        <v>5850</v>
      </c>
      <c r="AZ261">
        <v>0</v>
      </c>
      <c r="BA261">
        <f t="shared" si="565"/>
        <v>3900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>IF(AX261&gt;0,SUM(AX261:BC261),0)</f>
        <v>42250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566"/>
        <v>200</v>
      </c>
      <c r="BH261">
        <f t="shared" si="567"/>
        <v>40050</v>
      </c>
      <c r="BI261">
        <f>_xlfn.XLOOKUP(B261,'[6]august-2025'!$A:$A,'[6]august-2025'!$C:$C,0,0)</f>
        <v>32500</v>
      </c>
      <c r="BJ261">
        <f t="shared" si="568"/>
        <v>5850</v>
      </c>
      <c r="BK261">
        <f t="shared" si="569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570"/>
        <v>42250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>IF($F261="YES",0,IF(BN261&gt;40000,200,IF(BN261&gt;25000,150,IF(BN261&gt;15000,130,IF(BN261&gt;10000,110,0)))))</f>
        <v>200</v>
      </c>
      <c r="BR261">
        <f>BN261-BO261-BP261-BQ261</f>
        <v>40050</v>
      </c>
      <c r="BS261">
        <f>_xlfn.XLOOKUP(B261,'[7]september-2025'!$A:$A,'[7]september-2025'!$C:$C,0,0)</f>
        <v>32500</v>
      </c>
      <c r="BT261">
        <f t="shared" si="571"/>
        <v>5850</v>
      </c>
      <c r="BU261">
        <f t="shared" si="572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>IF(BS261&gt;0,SUM(BS261:BW261),0)</f>
        <v>42250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573"/>
        <v>200</v>
      </c>
      <c r="CB261">
        <f t="shared" si="574"/>
        <v>40050</v>
      </c>
      <c r="CC261">
        <f>_xlfn.XLOOKUP(B261,'[8]october-2025'!$A:$A,'[8]october-2025'!$C:$C,0,0)</f>
        <v>32500</v>
      </c>
      <c r="CD261">
        <f t="shared" si="575"/>
        <v>5850</v>
      </c>
      <c r="CE261">
        <f t="shared" si="576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>IF(CC261&gt;0,SUM(CC261:CG261),0)</f>
        <v>42250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577"/>
        <v>200</v>
      </c>
      <c r="CL261">
        <f t="shared" si="578"/>
        <v>40050</v>
      </c>
      <c r="CM261">
        <f>_xlfn.XLOOKUP(B261,'[9]november-2025'!$A:$A,'[9]november-2025'!$C:$C,0,0)</f>
        <v>32500</v>
      </c>
      <c r="CN261">
        <f t="shared" si="579"/>
        <v>5850</v>
      </c>
      <c r="CO261">
        <f t="shared" si="580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>IF(CM261&gt;0,SUM(CM261:CQ261),0)</f>
        <v>42250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581"/>
        <v>200</v>
      </c>
      <c r="CV261">
        <f t="shared" si="582"/>
        <v>40050</v>
      </c>
      <c r="CW261">
        <f>_xlfn.XLOOKUP(B261,'[10]december-2025'!$A:$A,'[10]december-2025'!$C:$C,0,0)</f>
        <v>32500</v>
      </c>
      <c r="CX261">
        <f t="shared" si="583"/>
        <v>5850</v>
      </c>
      <c r="CY261">
        <f t="shared" si="584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>IF(CW261&gt;0,SUM(CW261:DA261),0)</f>
        <v>42250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585"/>
        <v>200</v>
      </c>
      <c r="DF261">
        <f t="shared" si="586"/>
        <v>40050</v>
      </c>
      <c r="DG261">
        <f>_xlfn.XLOOKUP(B261,'[11]january-2026'!$A:$A,'[11]january-2026'!$C:$C,0,0)</f>
        <v>32500</v>
      </c>
      <c r="DH261">
        <f t="shared" si="587"/>
        <v>5850</v>
      </c>
      <c r="DI261">
        <f t="shared" si="588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>IF(DG261&gt;0,SUM(DG261:DK261),0)</f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589"/>
        <v>200</v>
      </c>
      <c r="DP261">
        <f t="shared" si="590"/>
        <v>40050</v>
      </c>
      <c r="DQ261">
        <f>_xlfn.XLOOKUP(B261,'[12]february-2026'!$A:$A,'[12]february-2026'!$C:$C,0,0)</f>
        <v>32500</v>
      </c>
      <c r="DR261">
        <f t="shared" si="591"/>
        <v>5850</v>
      </c>
      <c r="DS261">
        <f t="shared" si="592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>IF(DQ261&gt;0,SUM(DQ261:DU261),0)</f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593"/>
        <v>200</v>
      </c>
      <c r="DZ261">
        <f t="shared" si="594"/>
        <v>40050</v>
      </c>
      <c r="EA261">
        <f>_xlfn.XLOOKUP(B261,'[1]march-2025'!$A:$A,'[1]march-2025'!$J:$J,0,0)</f>
        <v>0</v>
      </c>
      <c r="EB261">
        <f>_xlfn.XLOOKUP(B261,'[2]april-2025'!$A:$A,'[2]april-2025'!$J:$J,0,0)</f>
        <v>0</v>
      </c>
      <c r="EC261">
        <f>_xlfn.XLOOKUP(B261,'[3]may-2025'!$A:$A,'[3]may-2025'!$J:$J,0,0)</f>
        <v>0</v>
      </c>
      <c r="ED261">
        <f>_xlfn.XLOOKUP(B261,'[4]june-2025'!$A:$A,'[4]june-2025'!$J:$J,0,0)</f>
        <v>0</v>
      </c>
      <c r="EE261">
        <f>_xlfn.XLOOKUP(B261,'[5]july-2025'!$A:$A,'[5]july-2025'!$J:$J,0,0)</f>
        <v>0</v>
      </c>
      <c r="EF261">
        <f>_xlfn.XLOOKUP(B261,'[6]august-2025'!$A:$A,'[6]august-2025'!$J:$J,0,0)</f>
        <v>0</v>
      </c>
      <c r="EG261">
        <f>_xlfn.XLOOKUP(B261,'[7]september-2025'!$A:$A,'[7]september-2025'!$J:$J,0,0)</f>
        <v>0</v>
      </c>
      <c r="EH261">
        <f>_xlfn.XLOOKUP(B261,'[8]october-2025'!$A:$A,'[8]october-2025'!$J:$J,0,0)</f>
        <v>0</v>
      </c>
      <c r="EI261">
        <f>_xlfn.XLOOKUP(C261,'[9]november-2025'!$A:$A,'[9]november-2025'!$J:$J,0,0)</f>
        <v>0</v>
      </c>
      <c r="EJ261">
        <f>_xlfn.XLOOKUP(B261,'[10]december-2025'!$A:$A,'[10]december-2025'!$J:$J,0,0)</f>
        <v>0</v>
      </c>
      <c r="EK261">
        <f>_xlfn.XLOOKUP(B261,'[11]january-2026'!$A:$A,'[11]january-2026'!$J:$J,0,0)</f>
        <v>0</v>
      </c>
      <c r="EL261">
        <f>_xlfn.XLOOKUP(B261,'[12]february-2026'!$A:$A,'[12]february-2026'!$J:$J,0,0)</f>
        <v>0</v>
      </c>
      <c r="EM261">
        <f t="shared" si="548"/>
        <v>0</v>
      </c>
      <c r="EN261">
        <f>DV261+DL261+DB261+CR261+CH261+BX261+BN261+BD261+AS261+AI261+Y261+O261+H261+I261</f>
        <v>507856</v>
      </c>
      <c r="EO261">
        <f>DY261+DO261+DE261+CU261+CK261+CA261+BQ261+BG261+AV261+AL261+AB261+R261</f>
        <v>2350</v>
      </c>
      <c r="EP261">
        <f t="shared" si="595"/>
        <v>50000</v>
      </c>
      <c r="EQ261">
        <v>0</v>
      </c>
      <c r="ER261">
        <f t="shared" si="549"/>
        <v>455506</v>
      </c>
      <c r="ES261">
        <f>DW261+DM261+DC261+CS261+CI261+BY261+BO261+BE261+AT261+AJ261+Z261+P261</f>
        <v>24000</v>
      </c>
      <c r="ET261">
        <f>DX261+DN261+DD261+CT261+CJ261+BZ261+BP261+BF261+AU261+AK261+AA261+Q261</f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596"/>
        <v>24000</v>
      </c>
      <c r="FF261">
        <f t="shared" si="597"/>
        <v>24000</v>
      </c>
      <c r="FG261">
        <f t="shared" si="598"/>
        <v>431506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>SUM(FH261:FN261)+(IF(F261="YES",50000,0))</f>
        <v>0</v>
      </c>
      <c r="FP261">
        <f t="shared" si="599"/>
        <v>431506</v>
      </c>
      <c r="FQ261">
        <f t="shared" si="600"/>
        <v>9075</v>
      </c>
      <c r="FR261">
        <f t="shared" si="601"/>
        <v>0</v>
      </c>
      <c r="FS261">
        <f t="shared" si="602"/>
        <v>9075</v>
      </c>
      <c r="FT261">
        <f t="shared" si="603"/>
        <v>0</v>
      </c>
      <c r="FU261">
        <f t="shared" si="604"/>
        <v>0</v>
      </c>
      <c r="FV261">
        <f t="shared" si="605"/>
        <v>0</v>
      </c>
      <c r="FW261">
        <v>0</v>
      </c>
      <c r="FX261">
        <f t="shared" si="606"/>
        <v>0</v>
      </c>
      <c r="FY261" t="b">
        <f t="shared" si="607"/>
        <v>1</v>
      </c>
      <c r="FZ261">
        <f t="shared" ca="1" si="608"/>
        <v>931</v>
      </c>
      <c r="GA261">
        <f t="shared" ca="1" si="609"/>
        <v>508787</v>
      </c>
      <c r="GB261">
        <f t="shared" si="610"/>
        <v>75000</v>
      </c>
      <c r="GC261">
        <f t="shared" ca="1" si="611"/>
        <v>433787</v>
      </c>
      <c r="GD261">
        <f t="shared" ca="1" si="612"/>
        <v>0</v>
      </c>
      <c r="GE261">
        <f t="shared" ca="1" si="613"/>
        <v>0</v>
      </c>
      <c r="GF261">
        <f t="shared" ca="1" si="614"/>
        <v>0</v>
      </c>
      <c r="GG261">
        <f t="shared" ca="1" si="615"/>
        <v>0</v>
      </c>
      <c r="GH261">
        <f t="shared" ca="1" si="616"/>
        <v>0</v>
      </c>
      <c r="GI261">
        <f t="shared" ca="1" si="617"/>
        <v>0</v>
      </c>
      <c r="GJ261">
        <f ca="1">IF(GC261&gt;1200000,GC261-1200000-IF(F261="YES",50000,0)-GH261,0)</f>
        <v>0</v>
      </c>
      <c r="GK261">
        <f t="shared" ca="1" si="618"/>
        <v>0</v>
      </c>
      <c r="GL261">
        <f t="shared" ca="1" si="619"/>
        <v>0</v>
      </c>
      <c r="GM261">
        <f t="shared" ca="1" si="620"/>
        <v>0</v>
      </c>
      <c r="GN261">
        <f t="shared" ca="1" si="621"/>
        <v>33787</v>
      </c>
      <c r="GO261">
        <f t="shared" ca="1" si="622"/>
        <v>1689.3500000000001</v>
      </c>
      <c r="GP261">
        <f t="shared" ca="1" si="623"/>
        <v>1689</v>
      </c>
      <c r="GQ261">
        <f t="shared" ca="1" si="624"/>
        <v>0</v>
      </c>
      <c r="GR261">
        <f t="shared" ca="1" si="625"/>
        <v>0</v>
      </c>
      <c r="GS261">
        <f t="shared" ca="1" si="626"/>
        <v>1689</v>
      </c>
      <c r="GT261">
        <f t="shared" ca="1" si="627"/>
        <v>0</v>
      </c>
      <c r="GU261" t="b">
        <f t="shared" ca="1" si="628"/>
        <v>0</v>
      </c>
      <c r="GV261">
        <f t="shared" ca="1" si="629"/>
        <v>0</v>
      </c>
      <c r="GW261">
        <f t="shared" ca="1" si="630"/>
        <v>1689</v>
      </c>
      <c r="GX261">
        <f t="shared" ca="1" si="631"/>
        <v>0</v>
      </c>
      <c r="GY261">
        <f t="shared" ca="1" si="632"/>
        <v>0</v>
      </c>
      <c r="GZ261">
        <f t="shared" ca="1" si="633"/>
        <v>0</v>
      </c>
    </row>
    <row r="262" spans="1:208" x14ac:dyDescent="0.25">
      <c r="A262">
        <f>_xlfn.AGGREGATE(3,5,$B$2:B262)</f>
        <v>261</v>
      </c>
      <c r="B262" t="s">
        <v>627</v>
      </c>
      <c r="C262" t="s">
        <v>628</v>
      </c>
      <c r="D262" t="s">
        <v>817</v>
      </c>
      <c r="E262" t="s">
        <v>831</v>
      </c>
      <c r="F262" t="s">
        <v>957</v>
      </c>
      <c r="G262" t="s">
        <v>879</v>
      </c>
      <c r="H262">
        <f t="shared" si="543"/>
        <v>6800</v>
      </c>
      <c r="I262">
        <f>_xlfn.XLOOKUP(B262,'[1]march-2025'!$A:$A,'[1]march-2025'!$J:$J,0,0)</f>
        <v>0</v>
      </c>
      <c r="J262">
        <f>_xlfn.XLOOKUP(B262,'[1]march-2025'!$A:$A,'[1]march-2025'!$C:$C,0,0)</f>
        <v>31600</v>
      </c>
      <c r="K262">
        <f t="shared" si="550"/>
        <v>4424</v>
      </c>
      <c r="L262">
        <f t="shared" si="551"/>
        <v>3792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>IF(J262&gt;0,SUM(J262:N262),0)</f>
        <v>40316</v>
      </c>
      <c r="P262">
        <f>_xlfn.XLOOKUP(B262,'[1]march-2025'!$A:$A,'[1]march-2025'!$H:$H,0,0)</f>
        <v>2000</v>
      </c>
      <c r="Q262">
        <f>_xlfn.XLOOKUP(B262,'[1]march-2025'!$A:$A,'[1]march-2025'!$I:$I,0,0)</f>
        <v>0</v>
      </c>
      <c r="R262">
        <f t="shared" si="634"/>
        <v>200</v>
      </c>
      <c r="S262">
        <f t="shared" si="544"/>
        <v>38116</v>
      </c>
      <c r="T262">
        <f>_xlfn.XLOOKUP(B262,'[2]april-2025'!$A:$A,'[2]april-2025'!$C:$C,0,0)</f>
        <v>31600</v>
      </c>
      <c r="U262">
        <f t="shared" si="552"/>
        <v>5688</v>
      </c>
      <c r="V262">
        <f t="shared" si="553"/>
        <v>3792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545"/>
        <v>41580</v>
      </c>
      <c r="Z262">
        <f>_xlfn.XLOOKUP(B262,'[2]april-2025'!$A:$A,'[2]april-2025'!$H:$H,0,0)</f>
        <v>2000</v>
      </c>
      <c r="AA262">
        <f>_xlfn.XLOOKUP(B262,'[2]april-2025'!$A:$A,'[2]april-2025'!$I:$I,0,0)</f>
        <v>0</v>
      </c>
      <c r="AB262">
        <f t="shared" si="554"/>
        <v>200</v>
      </c>
      <c r="AC262">
        <f t="shared" si="555"/>
        <v>39380</v>
      </c>
      <c r="AD262">
        <f>_xlfn.XLOOKUP(B262,'[3]may-2025'!$A:$A,'[3]may-2025'!$C:$C,0,0)</f>
        <v>31600</v>
      </c>
      <c r="AE262">
        <f t="shared" si="556"/>
        <v>5688</v>
      </c>
      <c r="AF262">
        <f t="shared" si="557"/>
        <v>3792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546"/>
        <v>41580</v>
      </c>
      <c r="AJ262">
        <f>_xlfn.XLOOKUP(B262,'[3]may-2025'!$A:$A,'[3]may-2025'!$H:$H,0,0)</f>
        <v>2000</v>
      </c>
      <c r="AK262">
        <f>_xlfn.XLOOKUP(B262,'[3]may-2025'!$A:$A,'[3]may-2025'!$I:$I,0,0)</f>
        <v>0</v>
      </c>
      <c r="AL262">
        <f t="shared" si="558"/>
        <v>200</v>
      </c>
      <c r="AM262">
        <f t="shared" si="559"/>
        <v>39380</v>
      </c>
      <c r="AN262">
        <f>_xlfn.XLOOKUP(B262,'[4]june-2025'!$A:$A,'[4]june-2025'!$C:$C,0,0)</f>
        <v>31600</v>
      </c>
      <c r="AO262">
        <f t="shared" si="560"/>
        <v>5688</v>
      </c>
      <c r="AP262">
        <f t="shared" si="561"/>
        <v>3792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547"/>
        <v>41580</v>
      </c>
      <c r="AT262">
        <f>_xlfn.XLOOKUP(B262,'[4]june-2025'!$A:$A,'[4]june-2025'!$H:$H,0,0)</f>
        <v>2000</v>
      </c>
      <c r="AU262">
        <f>_xlfn.XLOOKUP(B262,'[4]june-2025'!$A:$A,'[4]june-2025'!$I:$I,0,0)</f>
        <v>0</v>
      </c>
      <c r="AV262">
        <f t="shared" si="562"/>
        <v>200</v>
      </c>
      <c r="AW262">
        <f t="shared" si="563"/>
        <v>39380</v>
      </c>
      <c r="AX262">
        <f>_xlfn.XLOOKUP(B262,'[5]july-2025'!$A:$A,'[5]july-2025'!$C:$C,0,0)</f>
        <v>32500</v>
      </c>
      <c r="AY262">
        <f t="shared" si="564"/>
        <v>5850</v>
      </c>
      <c r="AZ262">
        <v>0</v>
      </c>
      <c r="BA262">
        <f t="shared" si="565"/>
        <v>3900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>IF(AX262&gt;0,SUM(AX262:BC262),0)</f>
        <v>42750</v>
      </c>
      <c r="BE262">
        <f>_xlfn.XLOOKUP(B262,'[5]july-2025'!$A:$A,'[5]july-2025'!$H:$H,0,0)</f>
        <v>2000</v>
      </c>
      <c r="BF262">
        <f>_xlfn.XLOOKUP(B262,'[5]july-2025'!$A:$A,'[5]july-2025'!$I:$I,0,0)</f>
        <v>0</v>
      </c>
      <c r="BG262">
        <f t="shared" si="566"/>
        <v>200</v>
      </c>
      <c r="BH262">
        <f t="shared" si="567"/>
        <v>40550</v>
      </c>
      <c r="BI262">
        <f>_xlfn.XLOOKUP(B262,'[6]august-2025'!$A:$A,'[6]august-2025'!$C:$C,0,0)</f>
        <v>32500</v>
      </c>
      <c r="BJ262">
        <f t="shared" si="568"/>
        <v>5850</v>
      </c>
      <c r="BK262">
        <f t="shared" si="569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570"/>
        <v>42750</v>
      </c>
      <c r="BO262">
        <f>_xlfn.XLOOKUP(B262,'[6]august-2025'!$A:$A,'[6]august-2025'!$H:$H,0,0)</f>
        <v>2000</v>
      </c>
      <c r="BP262">
        <f>_xlfn.XLOOKUP(B262,'[6]august-2025'!$A:$A,'[6]august-2025'!$I:$I,0,0)</f>
        <v>0</v>
      </c>
      <c r="BQ262">
        <f>IF($F262="YES",0,IF(BN262&gt;40000,200,IF(BN262&gt;25000,150,IF(BN262&gt;15000,130,IF(BN262&gt;10000,110,0)))))</f>
        <v>200</v>
      </c>
      <c r="BR262">
        <f>BN262-BO262-BP262-BQ262</f>
        <v>40550</v>
      </c>
      <c r="BS262">
        <f>_xlfn.XLOOKUP(B262,'[7]september-2025'!$A:$A,'[7]september-2025'!$C:$C,0,0)</f>
        <v>32500</v>
      </c>
      <c r="BT262">
        <f t="shared" si="571"/>
        <v>5850</v>
      </c>
      <c r="BU262">
        <f t="shared" si="572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>IF(BS262&gt;0,SUM(BS262:BW262),0)</f>
        <v>42750</v>
      </c>
      <c r="BY262">
        <f>_xlfn.XLOOKUP(B262,'[7]september-2025'!$A:$A,'[7]september-2025'!$H:$H,0,0)</f>
        <v>2000</v>
      </c>
      <c r="BZ262">
        <f>_xlfn.XLOOKUP(B262,'[7]september-2025'!$A:$A,'[7]september-2025'!$I:$I,0,0)</f>
        <v>0</v>
      </c>
      <c r="CA262">
        <f t="shared" si="573"/>
        <v>200</v>
      </c>
      <c r="CB262">
        <f t="shared" si="574"/>
        <v>40550</v>
      </c>
      <c r="CC262">
        <f>_xlfn.XLOOKUP(B262,'[8]october-2025'!$A:$A,'[8]october-2025'!$C:$C,0,0)</f>
        <v>32500</v>
      </c>
      <c r="CD262">
        <f t="shared" si="575"/>
        <v>5850</v>
      </c>
      <c r="CE262">
        <f t="shared" si="576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>IF(CC262&gt;0,SUM(CC262:CG262),0)</f>
        <v>42750</v>
      </c>
      <c r="CI262">
        <f>_xlfn.XLOOKUP(B262,'[8]october-2025'!$A:$A,'[8]october-2025'!$H:$H,0,0)</f>
        <v>2000</v>
      </c>
      <c r="CJ262">
        <f>_xlfn.XLOOKUP(B262,'[8]october-2025'!$A:$A,'[8]october-2025'!$I:$I,0,0)</f>
        <v>0</v>
      </c>
      <c r="CK262">
        <f t="shared" si="577"/>
        <v>200</v>
      </c>
      <c r="CL262">
        <f t="shared" si="578"/>
        <v>40550</v>
      </c>
      <c r="CM262">
        <f>_xlfn.XLOOKUP(B262,'[9]november-2025'!$A:$A,'[9]november-2025'!$C:$C,0,0)</f>
        <v>32500</v>
      </c>
      <c r="CN262">
        <f t="shared" si="579"/>
        <v>5850</v>
      </c>
      <c r="CO262">
        <f t="shared" si="580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>IF(CM262&gt;0,SUM(CM262:CQ262),0)</f>
        <v>42750</v>
      </c>
      <c r="CS262">
        <f>_xlfn.XLOOKUP(B262,'[9]november-2025'!$A:$A,'[9]november-2025'!$H:$H,0,0)</f>
        <v>2000</v>
      </c>
      <c r="CT262">
        <f>_xlfn.XLOOKUP(B262,'[9]november-2025'!$A:$A,'[9]november-2025'!$I:$I,0,0)</f>
        <v>0</v>
      </c>
      <c r="CU262">
        <f t="shared" si="581"/>
        <v>200</v>
      </c>
      <c r="CV262">
        <f t="shared" si="582"/>
        <v>40550</v>
      </c>
      <c r="CW262">
        <f>_xlfn.XLOOKUP(B262,'[10]december-2025'!$A:$A,'[10]december-2025'!$C:$C,0,0)</f>
        <v>32500</v>
      </c>
      <c r="CX262">
        <f t="shared" si="583"/>
        <v>5850</v>
      </c>
      <c r="CY262">
        <f t="shared" si="584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>IF(CW262&gt;0,SUM(CW262:DA262),0)</f>
        <v>42750</v>
      </c>
      <c r="DC262">
        <f>_xlfn.XLOOKUP(B262,'[10]december-2025'!$A:$A,'[10]december-2025'!$H:$H,0,0)</f>
        <v>2000</v>
      </c>
      <c r="DD262">
        <f>_xlfn.XLOOKUP(B262,'[10]december-2025'!$A:$A,'[10]december-2025'!$I:$I,0,0)</f>
        <v>0</v>
      </c>
      <c r="DE262">
        <f t="shared" si="585"/>
        <v>200</v>
      </c>
      <c r="DF262">
        <f t="shared" si="586"/>
        <v>40550</v>
      </c>
      <c r="DG262">
        <f>_xlfn.XLOOKUP(B262,'[11]january-2026'!$A:$A,'[11]january-2026'!$C:$C,0,0)</f>
        <v>32500</v>
      </c>
      <c r="DH262">
        <f t="shared" si="587"/>
        <v>5850</v>
      </c>
      <c r="DI262">
        <f t="shared" si="588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>IF(DG262&gt;0,SUM(DG262:DK262),0)</f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589"/>
        <v>200</v>
      </c>
      <c r="DP262">
        <f t="shared" si="590"/>
        <v>40550</v>
      </c>
      <c r="DQ262">
        <f>_xlfn.XLOOKUP(B262,'[12]february-2026'!$A:$A,'[12]february-2026'!$C:$C,0,0)</f>
        <v>32500</v>
      </c>
      <c r="DR262">
        <f t="shared" si="591"/>
        <v>5850</v>
      </c>
      <c r="DS262">
        <f t="shared" si="592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>IF(DQ262&gt;0,SUM(DQ262:DU262),0)</f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593"/>
        <v>200</v>
      </c>
      <c r="DZ262">
        <f t="shared" si="594"/>
        <v>40550</v>
      </c>
      <c r="EA262">
        <f>_xlfn.XLOOKUP(B262,'[1]march-2025'!$A:$A,'[1]march-2025'!$J:$J,0,0)</f>
        <v>0</v>
      </c>
      <c r="EB262">
        <f>_xlfn.XLOOKUP(B262,'[2]april-2025'!$A:$A,'[2]april-2025'!$J:$J,0,0)</f>
        <v>0</v>
      </c>
      <c r="EC262">
        <f>_xlfn.XLOOKUP(B262,'[3]may-2025'!$A:$A,'[3]may-2025'!$J:$J,0,0)</f>
        <v>0</v>
      </c>
      <c r="ED262">
        <f>_xlfn.XLOOKUP(B262,'[4]june-2025'!$A:$A,'[4]june-2025'!$J:$J,0,0)</f>
        <v>0</v>
      </c>
      <c r="EE262">
        <f>_xlfn.XLOOKUP(B262,'[5]july-2025'!$A:$A,'[5]july-2025'!$J:$J,0,0)</f>
        <v>0</v>
      </c>
      <c r="EF262">
        <f>_xlfn.XLOOKUP(B262,'[6]august-2025'!$A:$A,'[6]august-2025'!$J:$J,0,0)</f>
        <v>0</v>
      </c>
      <c r="EG262">
        <f>_xlfn.XLOOKUP(B262,'[7]september-2025'!$A:$A,'[7]september-2025'!$J:$J,0,0)</f>
        <v>0</v>
      </c>
      <c r="EH262">
        <f>_xlfn.XLOOKUP(B262,'[8]october-2025'!$A:$A,'[8]october-2025'!$J:$J,0,0)</f>
        <v>0</v>
      </c>
      <c r="EI262">
        <f>_xlfn.XLOOKUP(C262,'[9]november-2025'!$A:$A,'[9]november-2025'!$J:$J,0,0)</f>
        <v>0</v>
      </c>
      <c r="EJ262">
        <f>_xlfn.XLOOKUP(B262,'[10]december-2025'!$A:$A,'[10]december-2025'!$J:$J,0,0)</f>
        <v>0</v>
      </c>
      <c r="EK262">
        <f>_xlfn.XLOOKUP(B262,'[11]january-2026'!$A:$A,'[11]january-2026'!$J:$J,0,0)</f>
        <v>0</v>
      </c>
      <c r="EL262">
        <f>_xlfn.XLOOKUP(B262,'[12]february-2026'!$A:$A,'[12]february-2026'!$J:$J,0,0)</f>
        <v>0</v>
      </c>
      <c r="EM262">
        <f t="shared" si="548"/>
        <v>0</v>
      </c>
      <c r="EN262">
        <f>DV262+DL262+DB262+CR262+CH262+BX262+BN262+BD262+AS262+AI262+Y262+O262+H262+I262</f>
        <v>513856</v>
      </c>
      <c r="EO262">
        <f>DY262+DO262+DE262+CU262+CK262+CA262+BQ262+BG262+AV262+AL262+AB262+R262</f>
        <v>2400</v>
      </c>
      <c r="EP262">
        <f t="shared" si="595"/>
        <v>50000</v>
      </c>
      <c r="EQ262">
        <v>0</v>
      </c>
      <c r="ER262">
        <f t="shared" si="549"/>
        <v>461456</v>
      </c>
      <c r="ES262">
        <f>DW262+DM262+DC262+CS262+CI262+BY262+BO262+BE262+AT262+AJ262+Z262+P262</f>
        <v>24000</v>
      </c>
      <c r="ET262">
        <f>DX262+DN262+DD262+CT262+CJ262+BZ262+BP262+BF262+AU262+AK262+AA262+Q262</f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596"/>
        <v>24000</v>
      </c>
      <c r="FF262">
        <f t="shared" si="597"/>
        <v>24000</v>
      </c>
      <c r="FG262">
        <f t="shared" si="598"/>
        <v>437456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>SUM(FH262:FN262)+(IF(F262="YES",50000,0))</f>
        <v>0</v>
      </c>
      <c r="FP262">
        <f t="shared" si="599"/>
        <v>437456</v>
      </c>
      <c r="FQ262">
        <f t="shared" si="600"/>
        <v>9373</v>
      </c>
      <c r="FR262">
        <f t="shared" si="601"/>
        <v>0</v>
      </c>
      <c r="FS262">
        <f t="shared" si="602"/>
        <v>9373</v>
      </c>
      <c r="FT262">
        <f t="shared" si="603"/>
        <v>0</v>
      </c>
      <c r="FU262">
        <f t="shared" si="604"/>
        <v>0</v>
      </c>
      <c r="FV262">
        <f t="shared" si="605"/>
        <v>0</v>
      </c>
      <c r="FW262">
        <v>0</v>
      </c>
      <c r="FX262">
        <f t="shared" si="606"/>
        <v>0</v>
      </c>
      <c r="FY262" t="b">
        <f t="shared" si="607"/>
        <v>1</v>
      </c>
      <c r="FZ262">
        <f t="shared" ca="1" si="608"/>
        <v>764</v>
      </c>
      <c r="GA262">
        <f t="shared" ca="1" si="609"/>
        <v>514620</v>
      </c>
      <c r="GB262">
        <f t="shared" si="610"/>
        <v>75000</v>
      </c>
      <c r="GC262">
        <f t="shared" ca="1" si="611"/>
        <v>439620</v>
      </c>
      <c r="GD262">
        <f t="shared" ca="1" si="612"/>
        <v>0</v>
      </c>
      <c r="GE262">
        <f t="shared" ca="1" si="613"/>
        <v>0</v>
      </c>
      <c r="GF262">
        <f t="shared" ca="1" si="614"/>
        <v>0</v>
      </c>
      <c r="GG262">
        <f t="shared" ca="1" si="615"/>
        <v>0</v>
      </c>
      <c r="GH262">
        <f t="shared" ca="1" si="616"/>
        <v>0</v>
      </c>
      <c r="GI262">
        <f t="shared" ca="1" si="617"/>
        <v>0</v>
      </c>
      <c r="GJ262">
        <f ca="1">IF(GC262&gt;1200000,GC262-1200000-IF(F262="YES",50000,0)-GH262,0)</f>
        <v>0</v>
      </c>
      <c r="GK262">
        <f t="shared" ca="1" si="618"/>
        <v>0</v>
      </c>
      <c r="GL262">
        <f t="shared" ca="1" si="619"/>
        <v>0</v>
      </c>
      <c r="GM262">
        <f t="shared" ca="1" si="620"/>
        <v>0</v>
      </c>
      <c r="GN262">
        <f t="shared" ca="1" si="621"/>
        <v>39620</v>
      </c>
      <c r="GO262">
        <f t="shared" ca="1" si="622"/>
        <v>1981</v>
      </c>
      <c r="GP262">
        <f t="shared" ca="1" si="623"/>
        <v>1981</v>
      </c>
      <c r="GQ262">
        <f t="shared" ca="1" si="624"/>
        <v>0</v>
      </c>
      <c r="GR262">
        <f t="shared" ca="1" si="625"/>
        <v>0</v>
      </c>
      <c r="GS262">
        <f t="shared" ca="1" si="626"/>
        <v>1981</v>
      </c>
      <c r="GT262">
        <f t="shared" ca="1" si="627"/>
        <v>0</v>
      </c>
      <c r="GU262" t="b">
        <f t="shared" ca="1" si="628"/>
        <v>0</v>
      </c>
      <c r="GV262">
        <f t="shared" ca="1" si="629"/>
        <v>0</v>
      </c>
      <c r="GW262">
        <f t="shared" ca="1" si="630"/>
        <v>1981</v>
      </c>
      <c r="GX262">
        <f t="shared" ca="1" si="631"/>
        <v>0</v>
      </c>
      <c r="GY262">
        <f t="shared" ca="1" si="632"/>
        <v>0</v>
      </c>
      <c r="GZ262">
        <f t="shared" ca="1" si="633"/>
        <v>0</v>
      </c>
    </row>
    <row r="263" spans="1:208" x14ac:dyDescent="0.25">
      <c r="A263">
        <f>_xlfn.AGGREGATE(3,5,$B$2:B263)</f>
        <v>262</v>
      </c>
      <c r="B263" t="s">
        <v>966</v>
      </c>
      <c r="C263" t="s">
        <v>969</v>
      </c>
      <c r="D263" t="s">
        <v>817</v>
      </c>
      <c r="E263" t="s">
        <v>831</v>
      </c>
      <c r="F263" t="s">
        <v>957</v>
      </c>
      <c r="G263" s="1">
        <v>42781</v>
      </c>
      <c r="H263">
        <f t="shared" ref="H263:H294" si="635"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33500</v>
      </c>
      <c r="K263">
        <f t="shared" si="550"/>
        <v>4690</v>
      </c>
      <c r="L263">
        <f t="shared" si="551"/>
        <v>4020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>IF(J263&gt;0,SUM(J263:N263),0)</f>
        <v>42710</v>
      </c>
      <c r="P263">
        <f>_xlfn.XLOOKUP(B263,'[1]march-2025'!$A:$A,'[1]march-2025'!$H:$H,0,0)</f>
        <v>3000</v>
      </c>
      <c r="Q263">
        <f>_xlfn.XLOOKUP(B263,'[1]march-2025'!$A:$A,'[1]march-2025'!$I:$I,0,0)</f>
        <v>0</v>
      </c>
      <c r="R263">
        <f t="shared" si="634"/>
        <v>200</v>
      </c>
      <c r="S263">
        <f t="shared" si="544"/>
        <v>39510</v>
      </c>
      <c r="T263">
        <f>_xlfn.XLOOKUP(B263,'[2]april-2025'!$A:$A,'[2]april-2025'!$C:$C,0,0)</f>
        <v>33500</v>
      </c>
      <c r="U263">
        <f t="shared" si="552"/>
        <v>6030</v>
      </c>
      <c r="V263">
        <f t="shared" si="553"/>
        <v>4020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545"/>
        <v>44050</v>
      </c>
      <c r="Z263">
        <f>_xlfn.XLOOKUP(B263,'[2]april-2025'!$A:$A,'[2]april-2025'!$H:$H,0,0)</f>
        <v>3000</v>
      </c>
      <c r="AA263">
        <f>_xlfn.XLOOKUP(B263,'[2]april-2025'!$A:$A,'[2]april-2025'!$I:$I,0,0)</f>
        <v>0</v>
      </c>
      <c r="AB263">
        <f t="shared" si="554"/>
        <v>200</v>
      </c>
      <c r="AC263">
        <f t="shared" si="555"/>
        <v>40850</v>
      </c>
      <c r="AD263">
        <f>_xlfn.XLOOKUP(B263,'[3]may-2025'!$A:$A,'[3]may-2025'!$C:$C,0,0)</f>
        <v>33500</v>
      </c>
      <c r="AE263">
        <f t="shared" si="556"/>
        <v>6030</v>
      </c>
      <c r="AF263">
        <f t="shared" si="557"/>
        <v>4020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546"/>
        <v>44050</v>
      </c>
      <c r="AJ263">
        <f>_xlfn.XLOOKUP(B263,'[3]may-2025'!$A:$A,'[3]may-2025'!$H:$H,0,0)</f>
        <v>3000</v>
      </c>
      <c r="AK263">
        <f>_xlfn.XLOOKUP(B263,'[3]may-2025'!$A:$A,'[3]may-2025'!$I:$I,0,0)</f>
        <v>0</v>
      </c>
      <c r="AL263">
        <f t="shared" si="558"/>
        <v>200</v>
      </c>
      <c r="AM263">
        <f t="shared" si="559"/>
        <v>40850</v>
      </c>
      <c r="AN263">
        <f>_xlfn.XLOOKUP(B263,'[4]june-2025'!$A:$A,'[4]june-2025'!$C:$C,0,0)</f>
        <v>33500</v>
      </c>
      <c r="AO263">
        <f t="shared" si="560"/>
        <v>6030</v>
      </c>
      <c r="AP263">
        <f t="shared" si="561"/>
        <v>4020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547"/>
        <v>44050</v>
      </c>
      <c r="AT263">
        <f>_xlfn.XLOOKUP(B263,'[4]june-2025'!$A:$A,'[4]june-2025'!$H:$H,0,0)</f>
        <v>3000</v>
      </c>
      <c r="AU263">
        <f>_xlfn.XLOOKUP(B263,'[4]june-2025'!$A:$A,'[4]june-2025'!$I:$I,0,0)</f>
        <v>0</v>
      </c>
      <c r="AV263">
        <f t="shared" si="562"/>
        <v>200</v>
      </c>
      <c r="AW263">
        <f t="shared" si="563"/>
        <v>40850</v>
      </c>
      <c r="AX263">
        <f>_xlfn.XLOOKUP(B263,'[5]july-2025'!$A:$A,'[5]july-2025'!$C:$C,0,0)</f>
        <v>34500</v>
      </c>
      <c r="AY263">
        <f t="shared" si="564"/>
        <v>6210</v>
      </c>
      <c r="AZ263">
        <v>0</v>
      </c>
      <c r="BA263">
        <f t="shared" si="565"/>
        <v>4140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>IF(AX263&gt;0,SUM(AX263:BC263),0)</f>
        <v>45350</v>
      </c>
      <c r="BE263">
        <f>_xlfn.XLOOKUP(B263,'[5]july-2025'!$A:$A,'[5]july-2025'!$H:$H,0,0)</f>
        <v>3000</v>
      </c>
      <c r="BF263">
        <f>_xlfn.XLOOKUP(B263,'[5]july-2025'!$A:$A,'[5]july-2025'!$I:$I,0,0)</f>
        <v>0</v>
      </c>
      <c r="BG263">
        <f t="shared" si="566"/>
        <v>200</v>
      </c>
      <c r="BH263">
        <f t="shared" si="567"/>
        <v>42150</v>
      </c>
      <c r="BI263">
        <f>_xlfn.XLOOKUP(B263,'[6]august-2025'!$A:$A,'[6]august-2025'!$C:$C,0,0)</f>
        <v>34500</v>
      </c>
      <c r="BJ263">
        <f t="shared" si="568"/>
        <v>6210</v>
      </c>
      <c r="BK263">
        <f t="shared" si="569"/>
        <v>4140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570"/>
        <v>45350</v>
      </c>
      <c r="BO263">
        <f>_xlfn.XLOOKUP(B263,'[6]august-2025'!$A:$A,'[6]august-2025'!$H:$H,0,0)</f>
        <v>3000</v>
      </c>
      <c r="BP263">
        <f>_xlfn.XLOOKUP(B263,'[6]august-2025'!$A:$A,'[6]august-2025'!$I:$I,0,0)</f>
        <v>0</v>
      </c>
      <c r="BQ263">
        <f>IF($F263="YES",0,IF(BN263&gt;40000,200,IF(BN263&gt;25000,150,IF(BN263&gt;15000,130,IF(BN263&gt;10000,110,0)))))</f>
        <v>200</v>
      </c>
      <c r="BR263">
        <f>BN263-BO263-BP263-BQ263</f>
        <v>42150</v>
      </c>
      <c r="BS263">
        <f>_xlfn.XLOOKUP(B263,'[7]september-2025'!$A:$A,'[7]september-2025'!$C:$C,0,0)</f>
        <v>34500</v>
      </c>
      <c r="BT263">
        <f t="shared" si="571"/>
        <v>6210</v>
      </c>
      <c r="BU263">
        <f t="shared" si="572"/>
        <v>4140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>IF(BS263&gt;0,SUM(BS263:BW263),0)</f>
        <v>45350</v>
      </c>
      <c r="BY263">
        <f>_xlfn.XLOOKUP(B263,'[7]september-2025'!$A:$A,'[7]september-2025'!$H:$H,0,0)</f>
        <v>3000</v>
      </c>
      <c r="BZ263">
        <f>_xlfn.XLOOKUP(B263,'[7]september-2025'!$A:$A,'[7]september-2025'!$I:$I,0,0)</f>
        <v>0</v>
      </c>
      <c r="CA263">
        <f t="shared" si="573"/>
        <v>200</v>
      </c>
      <c r="CB263">
        <f t="shared" si="574"/>
        <v>42150</v>
      </c>
      <c r="CC263">
        <f>_xlfn.XLOOKUP(B263,'[8]october-2025'!$A:$A,'[8]october-2025'!$C:$C,0,0)</f>
        <v>34500</v>
      </c>
      <c r="CD263">
        <f t="shared" si="575"/>
        <v>6210</v>
      </c>
      <c r="CE263">
        <f t="shared" si="576"/>
        <v>4140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>IF(CC263&gt;0,SUM(CC263:CG263),0)</f>
        <v>45350</v>
      </c>
      <c r="CI263">
        <f>_xlfn.XLOOKUP(B263,'[8]october-2025'!$A:$A,'[8]october-2025'!$H:$H,0,0)</f>
        <v>3000</v>
      </c>
      <c r="CJ263">
        <f>_xlfn.XLOOKUP(B263,'[8]october-2025'!$A:$A,'[8]october-2025'!$I:$I,0,0)</f>
        <v>0</v>
      </c>
      <c r="CK263">
        <f t="shared" si="577"/>
        <v>200</v>
      </c>
      <c r="CL263">
        <f t="shared" si="578"/>
        <v>42150</v>
      </c>
      <c r="CM263">
        <f>_xlfn.XLOOKUP(B263,'[9]november-2025'!$A:$A,'[9]november-2025'!$C:$C,0,0)</f>
        <v>34500</v>
      </c>
      <c r="CN263">
        <f t="shared" si="579"/>
        <v>6210</v>
      </c>
      <c r="CO263">
        <f t="shared" si="580"/>
        <v>4140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>IF(CM263&gt;0,SUM(CM263:CQ263),0)</f>
        <v>45350</v>
      </c>
      <c r="CS263">
        <f>_xlfn.XLOOKUP(B263,'[9]november-2025'!$A:$A,'[9]november-2025'!$H:$H,0,0)</f>
        <v>3000</v>
      </c>
      <c r="CT263">
        <f>_xlfn.XLOOKUP(B263,'[9]november-2025'!$A:$A,'[9]november-2025'!$I:$I,0,0)</f>
        <v>0</v>
      </c>
      <c r="CU263">
        <f t="shared" si="581"/>
        <v>200</v>
      </c>
      <c r="CV263">
        <f t="shared" si="582"/>
        <v>42150</v>
      </c>
      <c r="CW263">
        <f>_xlfn.XLOOKUP(B263,'[10]december-2025'!$A:$A,'[10]december-2025'!$C:$C,0,0)</f>
        <v>34500</v>
      </c>
      <c r="CX263">
        <f t="shared" si="583"/>
        <v>6210</v>
      </c>
      <c r="CY263">
        <f t="shared" si="584"/>
        <v>4140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>IF(CW263&gt;0,SUM(CW263:DA263),0)</f>
        <v>45350</v>
      </c>
      <c r="DC263">
        <f>_xlfn.XLOOKUP(B263,'[10]december-2025'!$A:$A,'[10]december-2025'!$H:$H,0,0)</f>
        <v>3000</v>
      </c>
      <c r="DD263">
        <f>_xlfn.XLOOKUP(B263,'[10]december-2025'!$A:$A,'[10]december-2025'!$I:$I,0,0)</f>
        <v>0</v>
      </c>
      <c r="DE263">
        <f t="shared" si="585"/>
        <v>200</v>
      </c>
      <c r="DF263">
        <f t="shared" si="586"/>
        <v>42150</v>
      </c>
      <c r="DG263">
        <f>_xlfn.XLOOKUP(B263,'[11]january-2026'!$A:$A,'[11]january-2026'!$C:$C,0,0)</f>
        <v>34500</v>
      </c>
      <c r="DH263">
        <f t="shared" si="587"/>
        <v>6210</v>
      </c>
      <c r="DI263">
        <f t="shared" si="588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>IF(DG263&gt;0,SUM(DG263:DK263),0)</f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589"/>
        <v>200</v>
      </c>
      <c r="DP263">
        <f t="shared" si="590"/>
        <v>42150</v>
      </c>
      <c r="DQ263">
        <f>_xlfn.XLOOKUP(B263,'[12]february-2026'!$A:$A,'[12]february-2026'!$C:$C,0,0)</f>
        <v>34500</v>
      </c>
      <c r="DR263">
        <f t="shared" si="591"/>
        <v>6210</v>
      </c>
      <c r="DS263">
        <f t="shared" si="592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>IF(DQ263&gt;0,SUM(DQ263:DU263),0)</f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593"/>
        <v>200</v>
      </c>
      <c r="DZ263">
        <f t="shared" si="594"/>
        <v>42150</v>
      </c>
      <c r="EA263">
        <f>_xlfn.XLOOKUP(B263,'[1]march-2025'!$A:$A,'[1]march-2025'!$J:$J,0,0)</f>
        <v>0</v>
      </c>
      <c r="EB263">
        <f>_xlfn.XLOOKUP(B263,'[2]april-2025'!$A:$A,'[2]april-2025'!$J:$J,0,0)</f>
        <v>0</v>
      </c>
      <c r="EC263">
        <f>_xlfn.XLOOKUP(B263,'[3]may-2025'!$A:$A,'[3]may-2025'!$J:$J,0,0)</f>
        <v>0</v>
      </c>
      <c r="ED263">
        <f>_xlfn.XLOOKUP(B263,'[4]june-2025'!$A:$A,'[4]june-2025'!$J:$J,0,0)</f>
        <v>0</v>
      </c>
      <c r="EE263">
        <f>_xlfn.XLOOKUP(B263,'[5]july-2025'!$A:$A,'[5]july-2025'!$J:$J,0,0)</f>
        <v>0</v>
      </c>
      <c r="EF263">
        <f>_xlfn.XLOOKUP(B263,'[6]august-2025'!$A:$A,'[6]august-2025'!$J:$J,0,0)</f>
        <v>0</v>
      </c>
      <c r="EG263">
        <f>_xlfn.XLOOKUP(B263,'[7]september-2025'!$A:$A,'[7]september-2025'!$J:$J,0,0)</f>
        <v>0</v>
      </c>
      <c r="EH263">
        <f>_xlfn.XLOOKUP(B263,'[8]october-2025'!$A:$A,'[8]october-2025'!$J:$J,0,0)</f>
        <v>0</v>
      </c>
      <c r="EI263">
        <f>_xlfn.XLOOKUP(C263,'[9]november-2025'!$A:$A,'[9]november-2025'!$J:$J,0,0)</f>
        <v>0</v>
      </c>
      <c r="EJ263">
        <f>_xlfn.XLOOKUP(B263,'[10]december-2025'!$A:$A,'[10]december-2025'!$J:$J,0,0)</f>
        <v>0</v>
      </c>
      <c r="EK263">
        <f>_xlfn.XLOOKUP(B263,'[11]january-2026'!$A:$A,'[11]january-2026'!$J:$J,0,0)</f>
        <v>0</v>
      </c>
      <c r="EL263">
        <f>_xlfn.XLOOKUP(B263,'[12]february-2026'!$A:$A,'[12]february-2026'!$J:$J,0,0)</f>
        <v>0</v>
      </c>
      <c r="EM263">
        <f t="shared" si="548"/>
        <v>0</v>
      </c>
      <c r="EN263">
        <f>DV263+DL263+DB263+CR263+CH263+BX263+BN263+BD263+AS263+AI263+Y263+O263+H263+I263</f>
        <v>544460</v>
      </c>
      <c r="EO263">
        <f>DY263+DO263+DE263+CU263+CK263+CA263+BQ263+BG263+AV263+AL263+AB263+R263</f>
        <v>2400</v>
      </c>
      <c r="EP263">
        <f t="shared" si="595"/>
        <v>50000</v>
      </c>
      <c r="EQ263">
        <v>0</v>
      </c>
      <c r="ER263">
        <f t="shared" si="549"/>
        <v>492060</v>
      </c>
      <c r="ES263">
        <f>DW263+DM263+DC263+CS263+CI263+BY263+BO263+BE263+AT263+AJ263+Z263+P263</f>
        <v>36000</v>
      </c>
      <c r="ET263">
        <f>DX263+DN263+DD263+CT263+CJ263+BZ263+BP263+BF263+AU263+AK263+AA263+Q263</f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596"/>
        <v>36000</v>
      </c>
      <c r="FF263">
        <f t="shared" si="597"/>
        <v>36000</v>
      </c>
      <c r="FG263">
        <f t="shared" si="598"/>
        <v>456060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>SUM(FH263:FN263)+(IF(F263="YES",50000,0))</f>
        <v>0</v>
      </c>
      <c r="FP263">
        <f t="shared" si="599"/>
        <v>456060</v>
      </c>
      <c r="FQ263">
        <f t="shared" si="600"/>
        <v>10303</v>
      </c>
      <c r="FR263">
        <f t="shared" si="601"/>
        <v>0</v>
      </c>
      <c r="FS263">
        <f t="shared" si="602"/>
        <v>10303</v>
      </c>
      <c r="FT263">
        <f t="shared" si="603"/>
        <v>0</v>
      </c>
      <c r="FU263">
        <f t="shared" si="604"/>
        <v>0</v>
      </c>
      <c r="FV263">
        <f t="shared" si="605"/>
        <v>0</v>
      </c>
      <c r="FW263">
        <v>0</v>
      </c>
      <c r="FX263">
        <f t="shared" si="606"/>
        <v>0</v>
      </c>
      <c r="FY263" t="b">
        <f t="shared" si="607"/>
        <v>1</v>
      </c>
      <c r="FZ263">
        <f t="shared" ca="1" si="608"/>
        <v>511</v>
      </c>
      <c r="GA263">
        <f t="shared" ca="1" si="609"/>
        <v>544971</v>
      </c>
      <c r="GB263">
        <f t="shared" si="610"/>
        <v>75000</v>
      </c>
      <c r="GC263">
        <f t="shared" ca="1" si="611"/>
        <v>469971</v>
      </c>
      <c r="GD263">
        <f t="shared" ca="1" si="612"/>
        <v>0</v>
      </c>
      <c r="GE263">
        <f t="shared" ca="1" si="613"/>
        <v>0</v>
      </c>
      <c r="GF263">
        <f t="shared" ca="1" si="614"/>
        <v>0</v>
      </c>
      <c r="GG263">
        <f t="shared" ca="1" si="615"/>
        <v>0</v>
      </c>
      <c r="GH263">
        <f t="shared" ca="1" si="616"/>
        <v>0</v>
      </c>
      <c r="GI263">
        <f t="shared" ca="1" si="617"/>
        <v>0</v>
      </c>
      <c r="GJ263">
        <f ca="1">IF(GC263&gt;1200000,GC263-1200000-IF(F263="YES",50000,0)-GH263,0)</f>
        <v>0</v>
      </c>
      <c r="GK263">
        <f t="shared" ca="1" si="618"/>
        <v>0</v>
      </c>
      <c r="GL263">
        <f t="shared" ca="1" si="619"/>
        <v>0</v>
      </c>
      <c r="GM263">
        <f t="shared" ca="1" si="620"/>
        <v>0</v>
      </c>
      <c r="GN263">
        <f t="shared" ca="1" si="621"/>
        <v>69971</v>
      </c>
      <c r="GO263">
        <f t="shared" ca="1" si="622"/>
        <v>3498.55</v>
      </c>
      <c r="GP263">
        <f t="shared" ca="1" si="623"/>
        <v>3499</v>
      </c>
      <c r="GQ263">
        <f t="shared" ca="1" si="624"/>
        <v>0</v>
      </c>
      <c r="GR263">
        <f t="shared" ca="1" si="625"/>
        <v>0</v>
      </c>
      <c r="GS263">
        <f t="shared" ca="1" si="626"/>
        <v>3499</v>
      </c>
      <c r="GT263">
        <f t="shared" ca="1" si="627"/>
        <v>0</v>
      </c>
      <c r="GU263" t="b">
        <f t="shared" ca="1" si="628"/>
        <v>0</v>
      </c>
      <c r="GV263">
        <f t="shared" ca="1" si="629"/>
        <v>0</v>
      </c>
      <c r="GW263">
        <f t="shared" ca="1" si="630"/>
        <v>3499</v>
      </c>
      <c r="GX263">
        <f t="shared" ca="1" si="631"/>
        <v>0</v>
      </c>
      <c r="GY263">
        <f t="shared" ca="1" si="632"/>
        <v>0</v>
      </c>
      <c r="GZ263">
        <f t="shared" ca="1" si="633"/>
        <v>0</v>
      </c>
    </row>
    <row r="264" spans="1:208" x14ac:dyDescent="0.25">
      <c r="A264">
        <f>_xlfn.AGGREGATE(3,5,$B$2:B264)</f>
        <v>263</v>
      </c>
      <c r="B264" t="s">
        <v>629</v>
      </c>
      <c r="C264" t="s">
        <v>630</v>
      </c>
      <c r="D264" t="s">
        <v>818</v>
      </c>
      <c r="E264" t="s">
        <v>832</v>
      </c>
      <c r="F264" t="s">
        <v>957</v>
      </c>
      <c r="G264" t="s">
        <v>954</v>
      </c>
      <c r="H264">
        <f t="shared" si="635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550"/>
        <v>6622.0000000000009</v>
      </c>
      <c r="L264">
        <f t="shared" si="551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0</v>
      </c>
      <c r="O264">
        <f>IF(J264&gt;0,SUM(J264:N264),0)</f>
        <v>59998</v>
      </c>
      <c r="P264">
        <f>_xlfn.XLOOKUP(B264,'[1]march-2025'!$A:$A,'[1]march-2025'!$H:$H,0,0)</f>
        <v>0</v>
      </c>
      <c r="Q264">
        <f>_xlfn.XLOOKUP(B264,'[1]march-2025'!$A:$A,'[1]march-2025'!$I:$I,0,0)</f>
        <v>0</v>
      </c>
      <c r="R264">
        <f t="shared" si="634"/>
        <v>200</v>
      </c>
      <c r="S264">
        <f t="shared" si="544"/>
        <v>59798</v>
      </c>
      <c r="T264">
        <f>_xlfn.XLOOKUP(B264,'[2]april-2025'!$A:$A,'[2]april-2025'!$C:$C,0,0)</f>
        <v>34500</v>
      </c>
      <c r="U264">
        <f t="shared" si="552"/>
        <v>6210</v>
      </c>
      <c r="V264">
        <f t="shared" si="553"/>
        <v>4140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545"/>
        <v>44850</v>
      </c>
      <c r="Z264">
        <f>_xlfn.XLOOKUP(B264,'[2]april-2025'!$A:$A,'[2]april-2025'!$H:$H,0,0)</f>
        <v>0</v>
      </c>
      <c r="AA264">
        <f>_xlfn.XLOOKUP(B264,'[2]april-2025'!$A:$A,'[2]april-2025'!$I:$I,0,0)</f>
        <v>0</v>
      </c>
      <c r="AB264">
        <f t="shared" si="554"/>
        <v>200</v>
      </c>
      <c r="AC264">
        <f t="shared" si="555"/>
        <v>44650</v>
      </c>
      <c r="AD264">
        <f>_xlfn.XLOOKUP(B264,'[3]may-2025'!$A:$A,'[3]may-2025'!$C:$C,0,0)</f>
        <v>34500</v>
      </c>
      <c r="AE264">
        <f t="shared" si="556"/>
        <v>6210</v>
      </c>
      <c r="AF264">
        <f t="shared" si="557"/>
        <v>4140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546"/>
        <v>44850</v>
      </c>
      <c r="AJ264">
        <f>_xlfn.XLOOKUP(B264,'[3]may-2025'!$A:$A,'[3]may-2025'!$H:$H,0,0)</f>
        <v>0</v>
      </c>
      <c r="AK264">
        <f>_xlfn.XLOOKUP(B264,'[3]may-2025'!$A:$A,'[3]may-2025'!$I:$I,0,0)</f>
        <v>0</v>
      </c>
      <c r="AL264">
        <f t="shared" si="558"/>
        <v>200</v>
      </c>
      <c r="AM264">
        <f t="shared" si="559"/>
        <v>44650</v>
      </c>
      <c r="AN264">
        <f>_xlfn.XLOOKUP(B264,'[4]june-2025'!$A:$A,'[4]june-2025'!$C:$C,0,0)</f>
        <v>34500</v>
      </c>
      <c r="AO264">
        <f t="shared" si="560"/>
        <v>6210</v>
      </c>
      <c r="AP264">
        <f t="shared" si="561"/>
        <v>4140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547"/>
        <v>44850</v>
      </c>
      <c r="AT264">
        <f>_xlfn.XLOOKUP(B264,'[4]june-2025'!$A:$A,'[4]june-2025'!$H:$H,0,0)</f>
        <v>0</v>
      </c>
      <c r="AU264">
        <f>_xlfn.XLOOKUP(B264,'[4]june-2025'!$A:$A,'[4]june-2025'!$I:$I,0,0)</f>
        <v>0</v>
      </c>
      <c r="AV264">
        <f t="shared" si="562"/>
        <v>200</v>
      </c>
      <c r="AW264">
        <f t="shared" si="563"/>
        <v>44650</v>
      </c>
      <c r="AX264">
        <f>_xlfn.XLOOKUP(B264,'[5]july-2025'!$A:$A,'[5]july-2025'!$C:$C,0,0)</f>
        <v>35500</v>
      </c>
      <c r="AY264">
        <f t="shared" si="564"/>
        <v>6390</v>
      </c>
      <c r="AZ264">
        <v>0</v>
      </c>
      <c r="BA264">
        <f t="shared" si="565"/>
        <v>4260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>IF(AX264&gt;0,SUM(AX264:BC264),0)</f>
        <v>46150</v>
      </c>
      <c r="BE264">
        <f>_xlfn.XLOOKUP(B264,'[5]july-2025'!$A:$A,'[5]july-2025'!$H:$H,0,0)</f>
        <v>0</v>
      </c>
      <c r="BF264">
        <f>_xlfn.XLOOKUP(B264,'[5]july-2025'!$A:$A,'[5]july-2025'!$I:$I,0,0)</f>
        <v>0</v>
      </c>
      <c r="BG264">
        <f t="shared" si="566"/>
        <v>200</v>
      </c>
      <c r="BH264">
        <f t="shared" si="567"/>
        <v>45950</v>
      </c>
      <c r="BI264">
        <f>_xlfn.XLOOKUP(B264,'[6]august-2025'!$A:$A,'[6]august-2025'!$C:$C,0,0)</f>
        <v>35500</v>
      </c>
      <c r="BJ264">
        <f t="shared" si="568"/>
        <v>6390</v>
      </c>
      <c r="BK264">
        <f t="shared" si="569"/>
        <v>4260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570"/>
        <v>46150</v>
      </c>
      <c r="BO264">
        <f>_xlfn.XLOOKUP(B264,'[6]august-2025'!$A:$A,'[6]august-2025'!$H:$H,0,0)</f>
        <v>0</v>
      </c>
      <c r="BP264">
        <f>_xlfn.XLOOKUP(B264,'[6]august-2025'!$A:$A,'[6]august-2025'!$I:$I,0,0)</f>
        <v>0</v>
      </c>
      <c r="BQ264">
        <f>IF($F264="YES",0,IF(BN264&gt;40000,200,IF(BN264&gt;25000,150,IF(BN264&gt;15000,130,IF(BN264&gt;10000,110,0)))))</f>
        <v>200</v>
      </c>
      <c r="BR264">
        <f>BN264-BO264-BP264-BQ264</f>
        <v>45950</v>
      </c>
      <c r="BS264">
        <f>_xlfn.XLOOKUP(B264,'[7]september-2025'!$A:$A,'[7]september-2025'!$C:$C,0,0)</f>
        <v>35500</v>
      </c>
      <c r="BT264">
        <f t="shared" si="571"/>
        <v>6390</v>
      </c>
      <c r="BU264">
        <f t="shared" si="572"/>
        <v>4260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>IF(BS264&gt;0,SUM(BS264:BW264),0)</f>
        <v>46150</v>
      </c>
      <c r="BY264">
        <f>_xlfn.XLOOKUP(B264,'[7]september-2025'!$A:$A,'[7]september-2025'!$H:$H,0,0)</f>
        <v>0</v>
      </c>
      <c r="BZ264">
        <f>_xlfn.XLOOKUP(B264,'[7]september-2025'!$A:$A,'[7]september-2025'!$I:$I,0,0)</f>
        <v>0</v>
      </c>
      <c r="CA264">
        <f t="shared" si="573"/>
        <v>200</v>
      </c>
      <c r="CB264">
        <f t="shared" si="574"/>
        <v>45950</v>
      </c>
      <c r="CC264">
        <f>_xlfn.XLOOKUP(B264,'[8]october-2025'!$A:$A,'[8]october-2025'!$C:$C,0,0)</f>
        <v>35500</v>
      </c>
      <c r="CD264">
        <f t="shared" si="575"/>
        <v>6390</v>
      </c>
      <c r="CE264">
        <f t="shared" si="576"/>
        <v>4260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>IF(CC264&gt;0,SUM(CC264:CG264),0)</f>
        <v>46150</v>
      </c>
      <c r="CI264">
        <f>_xlfn.XLOOKUP(B264,'[8]october-2025'!$A:$A,'[8]october-2025'!$H:$H,0,0)</f>
        <v>0</v>
      </c>
      <c r="CJ264">
        <f>_xlfn.XLOOKUP(B264,'[8]october-2025'!$A:$A,'[8]october-2025'!$I:$I,0,0)</f>
        <v>0</v>
      </c>
      <c r="CK264">
        <f t="shared" si="577"/>
        <v>200</v>
      </c>
      <c r="CL264">
        <f t="shared" si="578"/>
        <v>45950</v>
      </c>
      <c r="CM264">
        <f>_xlfn.XLOOKUP(B264,'[9]november-2025'!$A:$A,'[9]november-2025'!$C:$C,0,0)</f>
        <v>35500</v>
      </c>
      <c r="CN264">
        <f t="shared" si="579"/>
        <v>6390</v>
      </c>
      <c r="CO264">
        <f t="shared" si="580"/>
        <v>4260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>IF(CM264&gt;0,SUM(CM264:CQ264),0)</f>
        <v>46150</v>
      </c>
      <c r="CS264">
        <f>_xlfn.XLOOKUP(B264,'[9]november-2025'!$A:$A,'[9]november-2025'!$H:$H,0,0)</f>
        <v>0</v>
      </c>
      <c r="CT264">
        <f>_xlfn.XLOOKUP(B264,'[9]november-2025'!$A:$A,'[9]november-2025'!$I:$I,0,0)</f>
        <v>0</v>
      </c>
      <c r="CU264">
        <f t="shared" si="581"/>
        <v>200</v>
      </c>
      <c r="CV264">
        <f t="shared" si="582"/>
        <v>45950</v>
      </c>
      <c r="CW264">
        <f>_xlfn.XLOOKUP(B264,'[10]december-2025'!$A:$A,'[10]december-2025'!$C:$C,0,0)</f>
        <v>35500</v>
      </c>
      <c r="CX264">
        <f t="shared" si="583"/>
        <v>6390</v>
      </c>
      <c r="CY264">
        <f t="shared" si="584"/>
        <v>4260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>IF(CW264&gt;0,SUM(CW264:DA264),0)</f>
        <v>46150</v>
      </c>
      <c r="DC264">
        <f>_xlfn.XLOOKUP(B264,'[10]december-2025'!$A:$A,'[10]december-2025'!$H:$H,0,0)</f>
        <v>0</v>
      </c>
      <c r="DD264">
        <f>_xlfn.XLOOKUP(B264,'[10]december-2025'!$A:$A,'[10]december-2025'!$I:$I,0,0)</f>
        <v>0</v>
      </c>
      <c r="DE264">
        <f t="shared" si="585"/>
        <v>200</v>
      </c>
      <c r="DF264">
        <f t="shared" si="586"/>
        <v>45950</v>
      </c>
      <c r="DG264">
        <f>_xlfn.XLOOKUP(B264,'[11]january-2026'!$A:$A,'[11]january-2026'!$C:$C,0,0)</f>
        <v>35500</v>
      </c>
      <c r="DH264">
        <f t="shared" si="587"/>
        <v>6390</v>
      </c>
      <c r="DI264">
        <f t="shared" si="588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>IF(DG264&gt;0,SUM(DG264:DK264),0)</f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589"/>
        <v>200</v>
      </c>
      <c r="DP264">
        <f t="shared" si="590"/>
        <v>45950</v>
      </c>
      <c r="DQ264">
        <f>_xlfn.XLOOKUP(B264,'[12]february-2026'!$A:$A,'[12]february-2026'!$C:$C,0,0)</f>
        <v>35500</v>
      </c>
      <c r="DR264">
        <f t="shared" si="591"/>
        <v>6390</v>
      </c>
      <c r="DS264">
        <f t="shared" si="592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>IF(DQ264&gt;0,SUM(DQ264:DU264),0)</f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593"/>
        <v>200</v>
      </c>
      <c r="DZ264">
        <f t="shared" si="594"/>
        <v>45950</v>
      </c>
      <c r="EA264">
        <f>_xlfn.XLOOKUP(B264,'[1]march-2025'!$A:$A,'[1]march-2025'!$J:$J,0,0)</f>
        <v>0</v>
      </c>
      <c r="EB264">
        <f>_xlfn.XLOOKUP(B264,'[2]april-2025'!$A:$A,'[2]april-2025'!$J:$J,0,0)</f>
        <v>0</v>
      </c>
      <c r="EC264">
        <f>_xlfn.XLOOKUP(B264,'[3]may-2025'!$A:$A,'[3]may-2025'!$J:$J,0,0)</f>
        <v>0</v>
      </c>
      <c r="ED264">
        <f>_xlfn.XLOOKUP(B264,'[4]june-2025'!$A:$A,'[4]june-2025'!$J:$J,0,0)</f>
        <v>0</v>
      </c>
      <c r="EE264">
        <f>_xlfn.XLOOKUP(B264,'[5]july-2025'!$A:$A,'[5]july-2025'!$J:$J,0,0)</f>
        <v>0</v>
      </c>
      <c r="EF264">
        <f>_xlfn.XLOOKUP(B264,'[6]august-2025'!$A:$A,'[6]august-2025'!$J:$J,0,0)</f>
        <v>0</v>
      </c>
      <c r="EG264">
        <f>_xlfn.XLOOKUP(B264,'[7]september-2025'!$A:$A,'[7]september-2025'!$J:$J,0,0)</f>
        <v>0</v>
      </c>
      <c r="EH264">
        <f>_xlfn.XLOOKUP(B264,'[8]october-2025'!$A:$A,'[8]october-2025'!$J:$J,0,0)</f>
        <v>0</v>
      </c>
      <c r="EI264">
        <f>_xlfn.XLOOKUP(C264,'[9]november-2025'!$A:$A,'[9]november-2025'!$J:$J,0,0)</f>
        <v>0</v>
      </c>
      <c r="EJ264">
        <f>_xlfn.XLOOKUP(B264,'[10]december-2025'!$A:$A,'[10]december-2025'!$J:$J,0,0)</f>
        <v>0</v>
      </c>
      <c r="EK264">
        <f>_xlfn.XLOOKUP(B264,'[11]january-2026'!$A:$A,'[11]january-2026'!$J:$J,0,0)</f>
        <v>0</v>
      </c>
      <c r="EL264">
        <f>_xlfn.XLOOKUP(B264,'[12]february-2026'!$A:$A,'[12]february-2026'!$J:$J,0,0)</f>
        <v>0</v>
      </c>
      <c r="EM264">
        <f t="shared" si="548"/>
        <v>0</v>
      </c>
      <c r="EN264">
        <f>DV264+DL264+DB264+CR264+CH264+BX264+BN264+BD264+AS264+AI264+Y264+O264+H264+I264</f>
        <v>570548</v>
      </c>
      <c r="EO264">
        <f>DY264+DO264+DE264+CU264+CK264+CA264+BQ264+BG264+AV264+AL264+AB264+R264</f>
        <v>2400</v>
      </c>
      <c r="EP264">
        <f t="shared" si="595"/>
        <v>50000</v>
      </c>
      <c r="EQ264">
        <v>0</v>
      </c>
      <c r="ER264">
        <f t="shared" si="549"/>
        <v>518148</v>
      </c>
      <c r="ES264">
        <f>DW264+DM264+DC264+CS264+CI264+BY264+BO264+BE264+AT264+AJ264+Z264+P264</f>
        <v>0</v>
      </c>
      <c r="ET264">
        <f>DX264+DN264+DD264+CT264+CJ264+BZ264+BP264+BF264+AU264+AK264+AA264+Q264</f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596"/>
        <v>0</v>
      </c>
      <c r="FF264">
        <f t="shared" si="597"/>
        <v>0</v>
      </c>
      <c r="FG264">
        <f t="shared" si="598"/>
        <v>518148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>SUM(FH264:FN264)+(IF(F264="YES",50000,0))</f>
        <v>0</v>
      </c>
      <c r="FP264">
        <f t="shared" si="599"/>
        <v>518148</v>
      </c>
      <c r="FQ264">
        <f t="shared" si="600"/>
        <v>12500</v>
      </c>
      <c r="FR264">
        <f t="shared" si="601"/>
        <v>3630</v>
      </c>
      <c r="FS264">
        <f t="shared" si="602"/>
        <v>16130</v>
      </c>
      <c r="FT264">
        <f t="shared" si="603"/>
        <v>16130</v>
      </c>
      <c r="FU264">
        <f t="shared" si="604"/>
        <v>645.20000000000005</v>
      </c>
      <c r="FV264">
        <f t="shared" si="605"/>
        <v>16775</v>
      </c>
      <c r="FW264">
        <v>0</v>
      </c>
      <c r="FX264">
        <f t="shared" si="606"/>
        <v>16775</v>
      </c>
      <c r="FY264" t="b">
        <f t="shared" si="607"/>
        <v>1</v>
      </c>
      <c r="FZ264">
        <f t="shared" ca="1" si="608"/>
        <v>549</v>
      </c>
      <c r="GA264">
        <f t="shared" ca="1" si="609"/>
        <v>571097</v>
      </c>
      <c r="GB264">
        <f t="shared" si="610"/>
        <v>75000</v>
      </c>
      <c r="GC264">
        <f t="shared" ca="1" si="611"/>
        <v>496097</v>
      </c>
      <c r="GD264">
        <f t="shared" ca="1" si="612"/>
        <v>0</v>
      </c>
      <c r="GE264">
        <f t="shared" ca="1" si="613"/>
        <v>0</v>
      </c>
      <c r="GF264">
        <f t="shared" ca="1" si="614"/>
        <v>0</v>
      </c>
      <c r="GG264">
        <f t="shared" ca="1" si="615"/>
        <v>0</v>
      </c>
      <c r="GH264">
        <f t="shared" ca="1" si="616"/>
        <v>0</v>
      </c>
      <c r="GI264">
        <f t="shared" ca="1" si="617"/>
        <v>0</v>
      </c>
      <c r="GJ264">
        <f ca="1">IF(GC264&gt;1200000,GC264-1200000-IF(F264="YES",50000,0)-GH264,0)</f>
        <v>0</v>
      </c>
      <c r="GK264">
        <f t="shared" ca="1" si="618"/>
        <v>0</v>
      </c>
      <c r="GL264">
        <f t="shared" ca="1" si="619"/>
        <v>0</v>
      </c>
      <c r="GM264">
        <f t="shared" ca="1" si="620"/>
        <v>0</v>
      </c>
      <c r="GN264">
        <f t="shared" ca="1" si="621"/>
        <v>96097</v>
      </c>
      <c r="GO264">
        <f t="shared" ca="1" si="622"/>
        <v>4804.8500000000004</v>
      </c>
      <c r="GP264">
        <f t="shared" ca="1" si="623"/>
        <v>4805</v>
      </c>
      <c r="GQ264">
        <f t="shared" ca="1" si="624"/>
        <v>0</v>
      </c>
      <c r="GR264">
        <f t="shared" ca="1" si="625"/>
        <v>0</v>
      </c>
      <c r="GS264">
        <f t="shared" ca="1" si="626"/>
        <v>4805</v>
      </c>
      <c r="GT264">
        <f t="shared" ca="1" si="627"/>
        <v>0</v>
      </c>
      <c r="GU264" t="b">
        <f t="shared" ca="1" si="628"/>
        <v>0</v>
      </c>
      <c r="GV264">
        <f t="shared" ca="1" si="629"/>
        <v>0</v>
      </c>
      <c r="GW264">
        <f t="shared" ca="1" si="630"/>
        <v>4805</v>
      </c>
      <c r="GX264">
        <f t="shared" ca="1" si="631"/>
        <v>0</v>
      </c>
      <c r="GY264">
        <f t="shared" ca="1" si="632"/>
        <v>0</v>
      </c>
      <c r="GZ264">
        <f t="shared" ca="1" si="633"/>
        <v>0</v>
      </c>
    </row>
    <row r="265" spans="1:208" x14ac:dyDescent="0.25">
      <c r="A265">
        <f>_xlfn.AGGREGATE(3,5,$B$2:B265)</f>
        <v>264</v>
      </c>
      <c r="B265" t="s">
        <v>631</v>
      </c>
      <c r="C265" t="s">
        <v>632</v>
      </c>
      <c r="D265" t="s">
        <v>818</v>
      </c>
      <c r="E265" t="s">
        <v>831</v>
      </c>
      <c r="F265" t="s">
        <v>957</v>
      </c>
      <c r="G265" t="s">
        <v>879</v>
      </c>
      <c r="H265">
        <f t="shared" si="635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550"/>
        <v>3780.0000000000005</v>
      </c>
      <c r="L265">
        <f t="shared" si="551"/>
        <v>3240</v>
      </c>
      <c r="M265">
        <f>_xlfn.XLOOKUP(B265,'[1]march-2025'!$A:$A,'[1]march-2025'!$D:$D,0,0)</f>
        <v>0</v>
      </c>
      <c r="N265">
        <f>_xlfn.XLOOKUP(B265,'[1]march-2025'!$A:$A,'[1]march-2025'!$G:$G,0,0)</f>
        <v>0</v>
      </c>
      <c r="O265">
        <f>IF(J265&gt;0,SUM(J265:N265),0)</f>
        <v>34020</v>
      </c>
      <c r="P265">
        <f>_xlfn.XLOOKUP(B265,'[1]march-2025'!$A:$A,'[1]march-2025'!$H:$H,0,0)</f>
        <v>5000</v>
      </c>
      <c r="Q265">
        <f>_xlfn.XLOOKUP(B265,'[1]march-2025'!$A:$A,'[1]march-2025'!$I:$I,0,0)</f>
        <v>0</v>
      </c>
      <c r="R265">
        <f t="shared" si="634"/>
        <v>150</v>
      </c>
      <c r="S265">
        <f t="shared" si="544"/>
        <v>28870</v>
      </c>
      <c r="T265">
        <f>_xlfn.XLOOKUP(B265,'[2]april-2025'!$A:$A,'[2]april-2025'!$C:$C,0,0)</f>
        <v>27000</v>
      </c>
      <c r="U265">
        <f t="shared" si="552"/>
        <v>4860</v>
      </c>
      <c r="V265">
        <f t="shared" si="553"/>
        <v>3240</v>
      </c>
      <c r="W265">
        <f>_xlfn.XLOOKUP(B265,'[2]april-2025'!$A:$A,'[2]april-2025'!$D:$D,0,0)</f>
        <v>0</v>
      </c>
      <c r="X265">
        <f>_xlfn.XLOOKUP(B265,'[2]april-2025'!$A:$A,'[2]april-2025'!$G:$G,0,0)</f>
        <v>0</v>
      </c>
      <c r="Y265">
        <f t="shared" si="545"/>
        <v>35100</v>
      </c>
      <c r="Z265">
        <f>_xlfn.XLOOKUP(B265,'[2]april-2025'!$A:$A,'[2]april-2025'!$H:$H,0,0)</f>
        <v>5000</v>
      </c>
      <c r="AA265">
        <f>_xlfn.XLOOKUP(B265,'[2]april-2025'!$A:$A,'[2]april-2025'!$I:$I,0,0)</f>
        <v>0</v>
      </c>
      <c r="AB265">
        <f t="shared" si="554"/>
        <v>150</v>
      </c>
      <c r="AC265">
        <f t="shared" si="555"/>
        <v>29950</v>
      </c>
      <c r="AD265">
        <f>_xlfn.XLOOKUP(B265,'[3]may-2025'!$A:$A,'[3]may-2025'!$C:$C,0,0)</f>
        <v>31600</v>
      </c>
      <c r="AE265">
        <f t="shared" si="556"/>
        <v>5688</v>
      </c>
      <c r="AF265">
        <f t="shared" si="557"/>
        <v>3792</v>
      </c>
      <c r="AG265">
        <f>_xlfn.XLOOKUP(B265,'[3]may-2025'!$A:$A,'[3]may-2025'!$D:$D,0,0)</f>
        <v>0</v>
      </c>
      <c r="AH265">
        <f>_xlfn.XLOOKUP(B265,'[3]may-2025'!$A:$A,'[3]may-2025'!$G:$G,0,0)</f>
        <v>0</v>
      </c>
      <c r="AI265">
        <f t="shared" si="546"/>
        <v>41080</v>
      </c>
      <c r="AJ265">
        <f>_xlfn.XLOOKUP(B265,'[3]may-2025'!$A:$A,'[3]may-2025'!$H:$H,0,0)</f>
        <v>5000</v>
      </c>
      <c r="AK265">
        <f>_xlfn.XLOOKUP(B265,'[3]may-2025'!$A:$A,'[3]may-2025'!$I:$I,0,0)</f>
        <v>0</v>
      </c>
      <c r="AL265">
        <f t="shared" si="558"/>
        <v>200</v>
      </c>
      <c r="AM265">
        <f t="shared" si="559"/>
        <v>35880</v>
      </c>
      <c r="AN265">
        <f>_xlfn.XLOOKUP(B265,'[4]june-2025'!$A:$A,'[4]june-2025'!$C:$C,0,0)</f>
        <v>31600</v>
      </c>
      <c r="AO265">
        <f t="shared" si="560"/>
        <v>5688</v>
      </c>
      <c r="AP265">
        <f t="shared" si="561"/>
        <v>3792</v>
      </c>
      <c r="AQ265">
        <f>_xlfn.XLOOKUP(B265,'[4]june-2025'!$A:$A,'[4]june-2025'!$D:$D,0,0)</f>
        <v>0</v>
      </c>
      <c r="AR265">
        <f>_xlfn.XLOOKUP(B265,'[4]june-2025'!$A:$A,'[4]june-2025'!$G:$G,0,0)</f>
        <v>0</v>
      </c>
      <c r="AS265">
        <f t="shared" si="547"/>
        <v>41080</v>
      </c>
      <c r="AT265">
        <f>_xlfn.XLOOKUP(B265,'[4]june-2025'!$A:$A,'[4]june-2025'!$H:$H,0,0)</f>
        <v>5000</v>
      </c>
      <c r="AU265">
        <f>_xlfn.XLOOKUP(B265,'[4]june-2025'!$A:$A,'[4]june-2025'!$I:$I,0,0)</f>
        <v>0</v>
      </c>
      <c r="AV265">
        <f t="shared" si="562"/>
        <v>200</v>
      </c>
      <c r="AW265">
        <f t="shared" si="563"/>
        <v>35880</v>
      </c>
      <c r="AX265">
        <f>_xlfn.XLOOKUP(B265,'[5]july-2025'!$A:$A,'[5]july-2025'!$C:$C,0,0)</f>
        <v>32500</v>
      </c>
      <c r="AY265">
        <f t="shared" si="564"/>
        <v>5850</v>
      </c>
      <c r="AZ265">
        <v>0</v>
      </c>
      <c r="BA265">
        <f t="shared" si="565"/>
        <v>3900</v>
      </c>
      <c r="BB265">
        <f>_xlfn.XLOOKUP(B265,'[5]july-2025'!$A:$A,'[5]july-2025'!$D:$D,0,0)</f>
        <v>0</v>
      </c>
      <c r="BC265">
        <f>_xlfn.XLOOKUP(B265,'[5]july-2025'!$A:$A,'[5]july-2025'!$G:$G,0,0)</f>
        <v>0</v>
      </c>
      <c r="BD265">
        <f>IF(AX265&gt;0,SUM(AX265:BC265),0)</f>
        <v>42250</v>
      </c>
      <c r="BE265">
        <f>_xlfn.XLOOKUP(B265,'[5]july-2025'!$A:$A,'[5]july-2025'!$H:$H,0,0)</f>
        <v>5000</v>
      </c>
      <c r="BF265">
        <f>_xlfn.XLOOKUP(B265,'[5]july-2025'!$A:$A,'[5]july-2025'!$I:$I,0,0)</f>
        <v>0</v>
      </c>
      <c r="BG265">
        <f t="shared" si="566"/>
        <v>200</v>
      </c>
      <c r="BH265">
        <f t="shared" si="567"/>
        <v>37050</v>
      </c>
      <c r="BI265">
        <f>_xlfn.XLOOKUP(B265,'[6]august-2025'!$A:$A,'[6]august-2025'!$C:$C,0,0)</f>
        <v>32500</v>
      </c>
      <c r="BJ265">
        <f t="shared" si="568"/>
        <v>5850</v>
      </c>
      <c r="BK265">
        <f t="shared" si="569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0</v>
      </c>
      <c r="BN265">
        <f t="shared" si="570"/>
        <v>42250</v>
      </c>
      <c r="BO265">
        <f>_xlfn.XLOOKUP(B265,'[6]august-2025'!$A:$A,'[6]august-2025'!$H:$H,0,0)</f>
        <v>5000</v>
      </c>
      <c r="BP265">
        <f>_xlfn.XLOOKUP(B265,'[6]august-2025'!$A:$A,'[6]august-2025'!$I:$I,0,0)</f>
        <v>0</v>
      </c>
      <c r="BQ265">
        <f>IF($F265="YES",0,IF(BN265&gt;40000,200,IF(BN265&gt;25000,150,IF(BN265&gt;15000,130,IF(BN265&gt;10000,110,0)))))</f>
        <v>200</v>
      </c>
      <c r="BR265">
        <f>BN265-BO265-BP265-BQ265</f>
        <v>37050</v>
      </c>
      <c r="BS265">
        <f>_xlfn.XLOOKUP(B265,'[7]september-2025'!$A:$A,'[7]september-2025'!$C:$C,0,0)</f>
        <v>32500</v>
      </c>
      <c r="BT265">
        <f t="shared" si="571"/>
        <v>5850</v>
      </c>
      <c r="BU265">
        <f t="shared" si="572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0</v>
      </c>
      <c r="BX265">
        <f>IF(BS265&gt;0,SUM(BS265:BW265),0)</f>
        <v>42250</v>
      </c>
      <c r="BY265">
        <f>_xlfn.XLOOKUP(B265,'[7]september-2025'!$A:$A,'[7]september-2025'!$H:$H,0,0)</f>
        <v>5000</v>
      </c>
      <c r="BZ265">
        <f>_xlfn.XLOOKUP(B265,'[7]september-2025'!$A:$A,'[7]september-2025'!$I:$I,0,0)</f>
        <v>0</v>
      </c>
      <c r="CA265">
        <f t="shared" si="573"/>
        <v>200</v>
      </c>
      <c r="CB265">
        <f t="shared" si="574"/>
        <v>37050</v>
      </c>
      <c r="CC265">
        <f>_xlfn.XLOOKUP(B265,'[8]october-2025'!$A:$A,'[8]october-2025'!$C:$C,0,0)</f>
        <v>32500</v>
      </c>
      <c r="CD265">
        <f t="shared" si="575"/>
        <v>5850</v>
      </c>
      <c r="CE265">
        <f t="shared" si="576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0</v>
      </c>
      <c r="CH265">
        <f>IF(CC265&gt;0,SUM(CC265:CG265),0)</f>
        <v>42250</v>
      </c>
      <c r="CI265">
        <f>_xlfn.XLOOKUP(B265,'[8]october-2025'!$A:$A,'[8]october-2025'!$H:$H,0,0)</f>
        <v>5000</v>
      </c>
      <c r="CJ265">
        <f>_xlfn.XLOOKUP(B265,'[8]october-2025'!$A:$A,'[8]october-2025'!$I:$I,0,0)</f>
        <v>0</v>
      </c>
      <c r="CK265">
        <f t="shared" si="577"/>
        <v>200</v>
      </c>
      <c r="CL265">
        <f t="shared" si="578"/>
        <v>37050</v>
      </c>
      <c r="CM265">
        <f>_xlfn.XLOOKUP(B265,'[9]november-2025'!$A:$A,'[9]november-2025'!$C:$C,0,0)</f>
        <v>32500</v>
      </c>
      <c r="CN265">
        <f t="shared" si="579"/>
        <v>5850</v>
      </c>
      <c r="CO265">
        <f t="shared" si="580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0</v>
      </c>
      <c r="CR265">
        <f>IF(CM265&gt;0,SUM(CM265:CQ265),0)</f>
        <v>42250</v>
      </c>
      <c r="CS265">
        <f>_xlfn.XLOOKUP(B265,'[9]november-2025'!$A:$A,'[9]november-2025'!$H:$H,0,0)</f>
        <v>5000</v>
      </c>
      <c r="CT265">
        <f>_xlfn.XLOOKUP(B265,'[9]november-2025'!$A:$A,'[9]november-2025'!$I:$I,0,0)</f>
        <v>0</v>
      </c>
      <c r="CU265">
        <f t="shared" si="581"/>
        <v>200</v>
      </c>
      <c r="CV265">
        <f t="shared" si="582"/>
        <v>37050</v>
      </c>
      <c r="CW265">
        <f>_xlfn.XLOOKUP(B265,'[10]december-2025'!$A:$A,'[10]december-2025'!$C:$C,0,0)</f>
        <v>32500</v>
      </c>
      <c r="CX265">
        <f t="shared" si="583"/>
        <v>5850</v>
      </c>
      <c r="CY265">
        <f t="shared" si="584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0</v>
      </c>
      <c r="DB265">
        <f>IF(CW265&gt;0,SUM(CW265:DA265),0)</f>
        <v>42250</v>
      </c>
      <c r="DC265">
        <f>_xlfn.XLOOKUP(B265,'[10]december-2025'!$A:$A,'[10]december-2025'!$H:$H,0,0)</f>
        <v>5000</v>
      </c>
      <c r="DD265">
        <f>_xlfn.XLOOKUP(B265,'[10]december-2025'!$A:$A,'[10]december-2025'!$I:$I,0,0)</f>
        <v>0</v>
      </c>
      <c r="DE265">
        <f t="shared" si="585"/>
        <v>200</v>
      </c>
      <c r="DF265">
        <f t="shared" si="586"/>
        <v>37050</v>
      </c>
      <c r="DG265">
        <f>_xlfn.XLOOKUP(B265,'[11]january-2026'!$A:$A,'[11]january-2026'!$C:$C,0,0)</f>
        <v>32500</v>
      </c>
      <c r="DH265">
        <f t="shared" si="587"/>
        <v>5850</v>
      </c>
      <c r="DI265">
        <f t="shared" si="588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>IF(DG265&gt;0,SUM(DG265:DK265),0)</f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589"/>
        <v>200</v>
      </c>
      <c r="DP265">
        <f t="shared" si="590"/>
        <v>37050</v>
      </c>
      <c r="DQ265">
        <f>_xlfn.XLOOKUP(B265,'[12]february-2026'!$A:$A,'[12]february-2026'!$C:$C,0,0)</f>
        <v>32500</v>
      </c>
      <c r="DR265">
        <f t="shared" si="591"/>
        <v>5850</v>
      </c>
      <c r="DS265">
        <f t="shared" si="592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>IF(DQ265&gt;0,SUM(DQ265:DU265),0)</f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593"/>
        <v>200</v>
      </c>
      <c r="DZ265">
        <f t="shared" si="594"/>
        <v>37050</v>
      </c>
      <c r="EA265">
        <f>_xlfn.XLOOKUP(B265,'[1]march-2025'!$A:$A,'[1]march-2025'!$J:$J,0,0)</f>
        <v>0</v>
      </c>
      <c r="EB265">
        <f>_xlfn.XLOOKUP(B265,'[2]april-2025'!$A:$A,'[2]april-2025'!$J:$J,0,0)</f>
        <v>0</v>
      </c>
      <c r="EC265">
        <f>_xlfn.XLOOKUP(B265,'[3]may-2025'!$A:$A,'[3]may-2025'!$J:$J,0,0)</f>
        <v>0</v>
      </c>
      <c r="ED265">
        <f>_xlfn.XLOOKUP(B265,'[4]june-2025'!$A:$A,'[4]june-2025'!$J:$J,0,0)</f>
        <v>0</v>
      </c>
      <c r="EE265">
        <f>_xlfn.XLOOKUP(B265,'[5]july-2025'!$A:$A,'[5]july-2025'!$J:$J,0,0)</f>
        <v>0</v>
      </c>
      <c r="EF265">
        <f>_xlfn.XLOOKUP(B265,'[6]august-2025'!$A:$A,'[6]august-2025'!$J:$J,0,0)</f>
        <v>0</v>
      </c>
      <c r="EG265">
        <f>_xlfn.XLOOKUP(B265,'[7]september-2025'!$A:$A,'[7]september-2025'!$J:$J,0,0)</f>
        <v>0</v>
      </c>
      <c r="EH265">
        <f>_xlfn.XLOOKUP(B265,'[8]october-2025'!$A:$A,'[8]october-2025'!$J:$J,0,0)</f>
        <v>0</v>
      </c>
      <c r="EI265">
        <f>_xlfn.XLOOKUP(C265,'[9]november-2025'!$A:$A,'[9]november-2025'!$J:$J,0,0)</f>
        <v>0</v>
      </c>
      <c r="EJ265">
        <f>_xlfn.XLOOKUP(B265,'[10]december-2025'!$A:$A,'[10]december-2025'!$J:$J,0,0)</f>
        <v>0</v>
      </c>
      <c r="EK265">
        <f>_xlfn.XLOOKUP(B265,'[11]january-2026'!$A:$A,'[11]january-2026'!$J:$J,0,0)</f>
        <v>0</v>
      </c>
      <c r="EL265">
        <f>_xlfn.XLOOKUP(B265,'[12]february-2026'!$A:$A,'[12]february-2026'!$J:$J,0,0)</f>
        <v>0</v>
      </c>
      <c r="EM265">
        <f t="shared" si="548"/>
        <v>0</v>
      </c>
      <c r="EN265">
        <f>DV265+DL265+DB265+CR265+CH265+BX265+BN265+BD265+AS265+AI265+Y265+O265+H265+I265</f>
        <v>496080</v>
      </c>
      <c r="EO265">
        <f>DY265+DO265+DE265+CU265+CK265+CA265+BQ265+BG265+AV265+AL265+AB265+R265</f>
        <v>2300</v>
      </c>
      <c r="EP265">
        <f t="shared" si="595"/>
        <v>50000</v>
      </c>
      <c r="EQ265">
        <v>0</v>
      </c>
      <c r="ER265">
        <f t="shared" si="549"/>
        <v>443780</v>
      </c>
      <c r="ES265">
        <f>DW265+DM265+DC265+CS265+CI265+BY265+BO265+BE265+AT265+AJ265+Z265+P265</f>
        <v>60000</v>
      </c>
      <c r="ET265">
        <f>DX265+DN265+DD265+CT265+CJ265+BZ265+BP265+BF265+AU265+AK265+AA265+Q265</f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596"/>
        <v>60000</v>
      </c>
      <c r="FF265">
        <f t="shared" si="597"/>
        <v>60000</v>
      </c>
      <c r="FG265">
        <f t="shared" si="598"/>
        <v>383780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>SUM(FH265:FN265)+(IF(F265="YES",50000,0))</f>
        <v>0</v>
      </c>
      <c r="FP265">
        <f t="shared" si="599"/>
        <v>383780</v>
      </c>
      <c r="FQ265">
        <f t="shared" si="600"/>
        <v>6689</v>
      </c>
      <c r="FR265">
        <f t="shared" si="601"/>
        <v>0</v>
      </c>
      <c r="FS265">
        <f t="shared" si="602"/>
        <v>6689</v>
      </c>
      <c r="FT265">
        <f t="shared" si="603"/>
        <v>0</v>
      </c>
      <c r="FU265">
        <f t="shared" si="604"/>
        <v>0</v>
      </c>
      <c r="FV265">
        <f t="shared" si="605"/>
        <v>0</v>
      </c>
      <c r="FW265">
        <v>0</v>
      </c>
      <c r="FX265">
        <f t="shared" si="606"/>
        <v>0</v>
      </c>
      <c r="FY265" t="b">
        <f t="shared" si="607"/>
        <v>0</v>
      </c>
      <c r="FZ265">
        <f t="shared" ca="1" si="608"/>
        <v>1035</v>
      </c>
      <c r="GA265">
        <f t="shared" ca="1" si="609"/>
        <v>497115</v>
      </c>
      <c r="GB265">
        <f t="shared" si="610"/>
        <v>75000</v>
      </c>
      <c r="GC265">
        <f t="shared" ca="1" si="611"/>
        <v>422115</v>
      </c>
      <c r="GD265">
        <f t="shared" ca="1" si="612"/>
        <v>0</v>
      </c>
      <c r="GE265">
        <f t="shared" ca="1" si="613"/>
        <v>0</v>
      </c>
      <c r="GF265">
        <f t="shared" ca="1" si="614"/>
        <v>0</v>
      </c>
      <c r="GG265">
        <f t="shared" ca="1" si="615"/>
        <v>0</v>
      </c>
      <c r="GH265">
        <f t="shared" ca="1" si="616"/>
        <v>0</v>
      </c>
      <c r="GI265">
        <f t="shared" ca="1" si="617"/>
        <v>0</v>
      </c>
      <c r="GJ265">
        <f ca="1">IF(GC265&gt;1200000,GC265-1200000-IF(F265="YES",50000,0)-GH265,0)</f>
        <v>0</v>
      </c>
      <c r="GK265">
        <f t="shared" ca="1" si="618"/>
        <v>0</v>
      </c>
      <c r="GL265">
        <f t="shared" ca="1" si="619"/>
        <v>0</v>
      </c>
      <c r="GM265">
        <f t="shared" ca="1" si="620"/>
        <v>0</v>
      </c>
      <c r="GN265">
        <f t="shared" ca="1" si="621"/>
        <v>22115</v>
      </c>
      <c r="GO265">
        <f t="shared" ca="1" si="622"/>
        <v>1105.75</v>
      </c>
      <c r="GP265">
        <f t="shared" ca="1" si="623"/>
        <v>1106</v>
      </c>
      <c r="GQ265">
        <f t="shared" ca="1" si="624"/>
        <v>0</v>
      </c>
      <c r="GR265">
        <f t="shared" ca="1" si="625"/>
        <v>0</v>
      </c>
      <c r="GS265">
        <f t="shared" ca="1" si="626"/>
        <v>1106</v>
      </c>
      <c r="GT265">
        <f t="shared" ca="1" si="627"/>
        <v>0</v>
      </c>
      <c r="GU265" t="b">
        <f t="shared" ca="1" si="628"/>
        <v>0</v>
      </c>
      <c r="GV265">
        <f t="shared" ca="1" si="629"/>
        <v>0</v>
      </c>
      <c r="GW265">
        <f t="shared" ca="1" si="630"/>
        <v>1106</v>
      </c>
      <c r="GX265">
        <f t="shared" ca="1" si="631"/>
        <v>0</v>
      </c>
      <c r="GY265">
        <f t="shared" ca="1" si="632"/>
        <v>0</v>
      </c>
      <c r="GZ265">
        <f t="shared" ca="1" si="633"/>
        <v>0</v>
      </c>
    </row>
    <row r="266" spans="1:208" x14ac:dyDescent="0.25">
      <c r="A266">
        <f>_xlfn.AGGREGATE(3,5,$B$2:B266)</f>
        <v>265</v>
      </c>
      <c r="B266" t="s">
        <v>633</v>
      </c>
      <c r="C266" t="s">
        <v>634</v>
      </c>
      <c r="D266" t="s">
        <v>818</v>
      </c>
      <c r="E266" t="s">
        <v>831</v>
      </c>
      <c r="F266" t="s">
        <v>957</v>
      </c>
      <c r="G266" t="s">
        <v>955</v>
      </c>
      <c r="H266">
        <f t="shared" si="635"/>
        <v>6800</v>
      </c>
      <c r="I266">
        <f>_xlfn.XLOOKUP(B266,'[1]march-2025'!$A:$A,'[1]march-2025'!$J:$J,0,0)</f>
        <v>0</v>
      </c>
      <c r="J266">
        <f>_xlfn.XLOOKUP(B266,'[1]march-2025'!$A:$A,'[1]march-2025'!$C:$C,0,0)</f>
        <v>28900</v>
      </c>
      <c r="K266">
        <f t="shared" si="550"/>
        <v>4046.0000000000005</v>
      </c>
      <c r="L266">
        <f t="shared" si="551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>IF(J266&gt;0,SUM(J266:N266),0)</f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634"/>
        <v>150</v>
      </c>
      <c r="S266">
        <f t="shared" si="544"/>
        <v>34764</v>
      </c>
      <c r="T266">
        <f>_xlfn.XLOOKUP(B266,'[2]april-2025'!$A:$A,'[2]april-2025'!$C:$C,0,0)</f>
        <v>28900</v>
      </c>
      <c r="U266">
        <f t="shared" si="552"/>
        <v>5202</v>
      </c>
      <c r="V266">
        <f t="shared" si="553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545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554"/>
        <v>150</v>
      </c>
      <c r="AC266">
        <f t="shared" si="555"/>
        <v>35920</v>
      </c>
      <c r="AD266">
        <f>_xlfn.XLOOKUP(B266,'[3]may-2025'!$A:$A,'[3]may-2025'!$C:$C,0,0)</f>
        <v>28900</v>
      </c>
      <c r="AE266">
        <f t="shared" si="556"/>
        <v>5202</v>
      </c>
      <c r="AF266">
        <f t="shared" si="557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546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558"/>
        <v>150</v>
      </c>
      <c r="AM266">
        <f t="shared" si="559"/>
        <v>35920</v>
      </c>
      <c r="AN266">
        <f>_xlfn.XLOOKUP(B266,'[4]june-2025'!$A:$A,'[4]june-2025'!$C:$C,0,0)</f>
        <v>28900</v>
      </c>
      <c r="AO266">
        <f t="shared" si="560"/>
        <v>5202</v>
      </c>
      <c r="AP266">
        <f t="shared" si="561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547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562"/>
        <v>150</v>
      </c>
      <c r="AW266">
        <f t="shared" si="563"/>
        <v>35920</v>
      </c>
      <c r="AX266">
        <f>_xlfn.XLOOKUP(B266,'[5]july-2025'!$A:$A,'[5]july-2025'!$C:$C,0,0)</f>
        <v>29800</v>
      </c>
      <c r="AY266">
        <f t="shared" si="564"/>
        <v>5364</v>
      </c>
      <c r="AZ266">
        <v>0</v>
      </c>
      <c r="BA266">
        <f t="shared" si="565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>IF(AX266&gt;0,SUM(AX266:BC266),0)</f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566"/>
        <v>150</v>
      </c>
      <c r="BH266">
        <f t="shared" si="567"/>
        <v>37090</v>
      </c>
      <c r="BI266">
        <f>_xlfn.XLOOKUP(B266,'[6]august-2025'!$A:$A,'[6]august-2025'!$C:$C,0,0)</f>
        <v>29800</v>
      </c>
      <c r="BJ266">
        <f t="shared" si="568"/>
        <v>5364</v>
      </c>
      <c r="BK266">
        <f t="shared" si="569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570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>IF($F266="YES",0,IF(BN266&gt;40000,200,IF(BN266&gt;25000,150,IF(BN266&gt;15000,130,IF(BN266&gt;10000,110,0)))))</f>
        <v>150</v>
      </c>
      <c r="BR266">
        <f>BN266-BO266-BP266-BQ266</f>
        <v>37090</v>
      </c>
      <c r="BS266">
        <f>_xlfn.XLOOKUP(B266,'[7]september-2025'!$A:$A,'[7]september-2025'!$C:$C,0,0)</f>
        <v>29800</v>
      </c>
      <c r="BT266">
        <f t="shared" si="571"/>
        <v>5364</v>
      </c>
      <c r="BU266">
        <f t="shared" si="572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>IF(BS266&gt;0,SUM(BS266:BW266),0)</f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573"/>
        <v>150</v>
      </c>
      <c r="CB266">
        <f t="shared" si="574"/>
        <v>37090</v>
      </c>
      <c r="CC266">
        <f>_xlfn.XLOOKUP(B266,'[8]october-2025'!$A:$A,'[8]october-2025'!$C:$C,0,0)</f>
        <v>29800</v>
      </c>
      <c r="CD266">
        <f t="shared" si="575"/>
        <v>5364</v>
      </c>
      <c r="CE266">
        <f t="shared" si="576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>IF(CC266&gt;0,SUM(CC266:CG266),0)</f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577"/>
        <v>150</v>
      </c>
      <c r="CL266">
        <f t="shared" si="578"/>
        <v>37090</v>
      </c>
      <c r="CM266">
        <f>_xlfn.XLOOKUP(B266,'[9]november-2025'!$A:$A,'[9]november-2025'!$C:$C,0,0)</f>
        <v>29800</v>
      </c>
      <c r="CN266">
        <f t="shared" si="579"/>
        <v>5364</v>
      </c>
      <c r="CO266">
        <f t="shared" si="580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>IF(CM266&gt;0,SUM(CM266:CQ266),0)</f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581"/>
        <v>150</v>
      </c>
      <c r="CV266">
        <f t="shared" si="582"/>
        <v>37090</v>
      </c>
      <c r="CW266">
        <f>_xlfn.XLOOKUP(B266,'[10]december-2025'!$A:$A,'[10]december-2025'!$C:$C,0,0)</f>
        <v>29800</v>
      </c>
      <c r="CX266">
        <f t="shared" si="583"/>
        <v>5364</v>
      </c>
      <c r="CY266">
        <f t="shared" si="584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>IF(CW266&gt;0,SUM(CW266:DA266),0)</f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585"/>
        <v>150</v>
      </c>
      <c r="DF266">
        <f t="shared" si="586"/>
        <v>37090</v>
      </c>
      <c r="DG266">
        <f>_xlfn.XLOOKUP(B266,'[11]january-2026'!$A:$A,'[11]january-2026'!$C:$C,0,0)</f>
        <v>29800</v>
      </c>
      <c r="DH266">
        <f t="shared" si="587"/>
        <v>5364</v>
      </c>
      <c r="DI266">
        <f t="shared" si="588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>IF(DG266&gt;0,SUM(DG266:DK266),0)</f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589"/>
        <v>150</v>
      </c>
      <c r="DP266">
        <f t="shared" si="590"/>
        <v>37090</v>
      </c>
      <c r="DQ266">
        <f>_xlfn.XLOOKUP(B266,'[12]february-2026'!$A:$A,'[12]february-2026'!$C:$C,0,0)</f>
        <v>29800</v>
      </c>
      <c r="DR266">
        <f t="shared" si="591"/>
        <v>5364</v>
      </c>
      <c r="DS266">
        <f t="shared" si="592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>IF(DQ266&gt;0,SUM(DQ266:DU266),0)</f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593"/>
        <v>150</v>
      </c>
      <c r="DZ266">
        <f t="shared" si="594"/>
        <v>37090</v>
      </c>
      <c r="EA266">
        <f>_xlfn.XLOOKUP(B266,'[1]march-2025'!$A:$A,'[1]march-2025'!$J:$J,0,0)</f>
        <v>0</v>
      </c>
      <c r="EB266">
        <f>_xlfn.XLOOKUP(B266,'[2]april-2025'!$A:$A,'[2]april-2025'!$J:$J,0,0)</f>
        <v>0</v>
      </c>
      <c r="EC266">
        <f>_xlfn.XLOOKUP(B266,'[3]may-2025'!$A:$A,'[3]may-2025'!$J:$J,0,0)</f>
        <v>57863</v>
      </c>
      <c r="ED266">
        <f>_xlfn.XLOOKUP(B266,'[4]june-2025'!$A:$A,'[4]june-2025'!$J:$J,0,0)</f>
        <v>0</v>
      </c>
      <c r="EE266">
        <f>_xlfn.XLOOKUP(B266,'[5]july-2025'!$A:$A,'[5]july-2025'!$J:$J,0,0)</f>
        <v>0</v>
      </c>
      <c r="EF266">
        <f>_xlfn.XLOOKUP(B266,'[6]august-2025'!$A:$A,'[6]august-2025'!$J:$J,0,0)</f>
        <v>0</v>
      </c>
      <c r="EG266">
        <f>_xlfn.XLOOKUP(B266,'[7]september-2025'!$A:$A,'[7]september-2025'!$J:$J,0,0)</f>
        <v>0</v>
      </c>
      <c r="EH266">
        <f>_xlfn.XLOOKUP(B266,'[8]october-2025'!$A:$A,'[8]october-2025'!$J:$J,0,0)</f>
        <v>0</v>
      </c>
      <c r="EI266">
        <f>_xlfn.XLOOKUP(C266,'[9]november-2025'!$A:$A,'[9]november-2025'!$J:$J,0,0)</f>
        <v>0</v>
      </c>
      <c r="EJ266">
        <f>_xlfn.XLOOKUP(B266,'[10]december-2025'!$A:$A,'[10]december-2025'!$J:$J,0,0)</f>
        <v>0</v>
      </c>
      <c r="EK266">
        <f>_xlfn.XLOOKUP(B266,'[11]january-2026'!$A:$A,'[11]january-2026'!$J:$J,0,0)</f>
        <v>0</v>
      </c>
      <c r="EL266">
        <f>_xlfn.XLOOKUP(B266,'[12]february-2026'!$A:$A,'[12]february-2026'!$J:$J,0,0)</f>
        <v>0</v>
      </c>
      <c r="EM266">
        <f t="shared" si="548"/>
        <v>57863</v>
      </c>
      <c r="EN266">
        <f>DV266+DL266+DB266+CR266+CH266+BX266+BN266+BD266+AS266+AI266+Y266+O266+H266+I266</f>
        <v>471844</v>
      </c>
      <c r="EO266">
        <f>DY266+DO266+DE266+CU266+CK266+CA266+BQ266+BG266+AV266+AL266+AB266+R266</f>
        <v>1800</v>
      </c>
      <c r="EP266">
        <f t="shared" si="595"/>
        <v>50000</v>
      </c>
      <c r="EQ266">
        <v>0</v>
      </c>
      <c r="ER266">
        <f t="shared" si="549"/>
        <v>477907</v>
      </c>
      <c r="ES266">
        <f>DW266+DM266+DC266+CS266+CI266+BY266+BO266+BE266+AT266+AJ266+Z266+P266</f>
        <v>24000</v>
      </c>
      <c r="ET266">
        <f>DX266+DN266+DD266+CT266+CJ266+BZ266+BP266+BF266+AU266+AK266+AA266+Q266</f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si="596"/>
        <v>24000</v>
      </c>
      <c r="FF266">
        <f t="shared" si="597"/>
        <v>24000</v>
      </c>
      <c r="FG266">
        <f t="shared" si="598"/>
        <v>453907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>SUM(FH266:FN266)+(IF(F266="YES",50000,0))</f>
        <v>0</v>
      </c>
      <c r="FP266">
        <f t="shared" si="599"/>
        <v>453907</v>
      </c>
      <c r="FQ266">
        <f t="shared" si="600"/>
        <v>10195</v>
      </c>
      <c r="FR266">
        <f t="shared" si="601"/>
        <v>0</v>
      </c>
      <c r="FS266">
        <f t="shared" si="602"/>
        <v>10195</v>
      </c>
      <c r="FT266">
        <f t="shared" si="603"/>
        <v>0</v>
      </c>
      <c r="FU266">
        <f t="shared" si="604"/>
        <v>0</v>
      </c>
      <c r="FV266">
        <f t="shared" si="605"/>
        <v>0</v>
      </c>
      <c r="FW266">
        <v>0</v>
      </c>
      <c r="FX266">
        <f t="shared" si="606"/>
        <v>0</v>
      </c>
      <c r="FY266" t="b">
        <f t="shared" si="607"/>
        <v>0</v>
      </c>
      <c r="FZ266">
        <f t="shared" ca="1" si="608"/>
        <v>1803</v>
      </c>
      <c r="GA266">
        <f t="shared" ca="1" si="609"/>
        <v>473647</v>
      </c>
      <c r="GB266">
        <f t="shared" si="610"/>
        <v>75000</v>
      </c>
      <c r="GC266">
        <f t="shared" ca="1" si="611"/>
        <v>398647</v>
      </c>
      <c r="GD266">
        <f t="shared" ca="1" si="612"/>
        <v>0</v>
      </c>
      <c r="GE266">
        <f t="shared" ca="1" si="613"/>
        <v>0</v>
      </c>
      <c r="GF266">
        <f t="shared" ca="1" si="614"/>
        <v>0</v>
      </c>
      <c r="GG266">
        <f t="shared" ca="1" si="615"/>
        <v>0</v>
      </c>
      <c r="GH266">
        <f t="shared" ca="1" si="616"/>
        <v>0</v>
      </c>
      <c r="GI266">
        <f t="shared" ca="1" si="617"/>
        <v>0</v>
      </c>
      <c r="GJ266">
        <f ca="1">IF(GC266&gt;1200000,GC266-1200000-IF(F266="YES",50000,0)-GH266,0)</f>
        <v>0</v>
      </c>
      <c r="GK266">
        <f t="shared" ca="1" si="618"/>
        <v>0</v>
      </c>
      <c r="GL266">
        <f t="shared" ca="1" si="619"/>
        <v>0</v>
      </c>
      <c r="GM266">
        <f t="shared" ca="1" si="620"/>
        <v>0</v>
      </c>
      <c r="GN266">
        <f t="shared" ca="1" si="621"/>
        <v>0</v>
      </c>
      <c r="GO266">
        <f t="shared" ca="1" si="622"/>
        <v>0</v>
      </c>
      <c r="GP266">
        <f t="shared" ca="1" si="623"/>
        <v>0</v>
      </c>
      <c r="GQ266">
        <f t="shared" ca="1" si="624"/>
        <v>0</v>
      </c>
      <c r="GR266">
        <f t="shared" ca="1" si="625"/>
        <v>0</v>
      </c>
      <c r="GS266">
        <f t="shared" ca="1" si="626"/>
        <v>0</v>
      </c>
      <c r="GT266">
        <f t="shared" ca="1" si="627"/>
        <v>0</v>
      </c>
      <c r="GU266" t="b">
        <f t="shared" ca="1" si="628"/>
        <v>0</v>
      </c>
      <c r="GV266">
        <f t="shared" ca="1" si="629"/>
        <v>0</v>
      </c>
      <c r="GW266">
        <f t="shared" ca="1" si="630"/>
        <v>0</v>
      </c>
      <c r="GX266">
        <f t="shared" ca="1" si="631"/>
        <v>0</v>
      </c>
      <c r="GY266">
        <f t="shared" ca="1" si="632"/>
        <v>0</v>
      </c>
      <c r="GZ266">
        <f t="shared" ca="1" si="633"/>
        <v>0</v>
      </c>
    </row>
    <row r="267" spans="1:208" x14ac:dyDescent="0.25">
      <c r="A267">
        <f>_xlfn.AGGREGATE(3,5,$B$2:B267)</f>
        <v>266</v>
      </c>
      <c r="B267" t="s">
        <v>635</v>
      </c>
      <c r="C267" t="s">
        <v>636</v>
      </c>
      <c r="D267" t="s">
        <v>819</v>
      </c>
      <c r="E267" t="s">
        <v>831</v>
      </c>
      <c r="F267" t="s">
        <v>957</v>
      </c>
      <c r="G267" t="s">
        <v>876</v>
      </c>
      <c r="H267">
        <f t="shared" si="635"/>
        <v>6800</v>
      </c>
      <c r="I267">
        <f>_xlfn.XLOOKUP(B267,'[1]march-2025'!$A:$A,'[1]march-2025'!$J:$J,0,0)</f>
        <v>0</v>
      </c>
      <c r="J267">
        <f>_xlfn.XLOOKUP(B267,'[1]march-2025'!$A:$A,'[1]march-2025'!$C:$C,0,0)</f>
        <v>47300</v>
      </c>
      <c r="K267">
        <f t="shared" si="550"/>
        <v>6622.0000000000009</v>
      </c>
      <c r="L267">
        <f t="shared" si="551"/>
        <v>5676</v>
      </c>
      <c r="M267">
        <f>_xlfn.XLOOKUP(B267,'[1]march-2025'!$A:$A,'[1]march-2025'!$D:$D,0,0)</f>
        <v>400</v>
      </c>
      <c r="N267">
        <f>_xlfn.XLOOKUP(B267,'[1]march-2025'!$A:$A,'[1]march-2025'!$G:$G,0,0)</f>
        <v>500</v>
      </c>
      <c r="O267">
        <f>IF(J267&gt;0,SUM(J267:N267),0)</f>
        <v>60498</v>
      </c>
      <c r="P267">
        <f>_xlfn.XLOOKUP(B267,'[1]march-2025'!$A:$A,'[1]march-2025'!$H:$H,0,0)</f>
        <v>4000</v>
      </c>
      <c r="Q267">
        <f>_xlfn.XLOOKUP(B267,'[1]march-2025'!$A:$A,'[1]march-2025'!$I:$I,0,0)</f>
        <v>60</v>
      </c>
      <c r="R267">
        <f t="shared" si="634"/>
        <v>200</v>
      </c>
      <c r="S267">
        <f t="shared" si="544"/>
        <v>56238</v>
      </c>
      <c r="T267">
        <f>_xlfn.XLOOKUP(B267,'[2]april-2025'!$A:$A,'[2]april-2025'!$C:$C,0,0)</f>
        <v>47300</v>
      </c>
      <c r="U267">
        <f t="shared" si="552"/>
        <v>8514</v>
      </c>
      <c r="V267">
        <f t="shared" si="553"/>
        <v>5676</v>
      </c>
      <c r="W267">
        <f>_xlfn.XLOOKUP(B267,'[2]april-2025'!$A:$A,'[2]april-2025'!$D:$D,0,0)</f>
        <v>400</v>
      </c>
      <c r="X267">
        <f>_xlfn.XLOOKUP(B267,'[2]april-2025'!$A:$A,'[2]april-2025'!$G:$G,0,0)</f>
        <v>500</v>
      </c>
      <c r="Y267">
        <f t="shared" si="545"/>
        <v>62390</v>
      </c>
      <c r="Z267">
        <f>_xlfn.XLOOKUP(B267,'[2]april-2025'!$A:$A,'[2]april-2025'!$H:$H,0,0)</f>
        <v>4000</v>
      </c>
      <c r="AA267">
        <f>_xlfn.XLOOKUP(B267,'[2]april-2025'!$A:$A,'[2]april-2025'!$I:$I,0,0)</f>
        <v>60</v>
      </c>
      <c r="AB267">
        <f t="shared" si="554"/>
        <v>200</v>
      </c>
      <c r="AC267">
        <f t="shared" si="555"/>
        <v>58130</v>
      </c>
      <c r="AD267">
        <f>_xlfn.XLOOKUP(B267,'[3]may-2025'!$A:$A,'[3]may-2025'!$C:$C,0,0)</f>
        <v>47300</v>
      </c>
      <c r="AE267">
        <f t="shared" si="556"/>
        <v>8514</v>
      </c>
      <c r="AF267">
        <f t="shared" si="557"/>
        <v>5676</v>
      </c>
      <c r="AG267">
        <f>_xlfn.XLOOKUP(B267,'[3]may-2025'!$A:$A,'[3]may-2025'!$D:$D,0,0)</f>
        <v>400</v>
      </c>
      <c r="AH267">
        <f>_xlfn.XLOOKUP(B267,'[3]may-2025'!$A:$A,'[3]may-2025'!$G:$G,0,0)</f>
        <v>500</v>
      </c>
      <c r="AI267">
        <f t="shared" si="546"/>
        <v>62390</v>
      </c>
      <c r="AJ267">
        <f>_xlfn.XLOOKUP(B267,'[3]may-2025'!$A:$A,'[3]may-2025'!$H:$H,0,0)</f>
        <v>4000</v>
      </c>
      <c r="AK267">
        <f>_xlfn.XLOOKUP(B267,'[3]may-2025'!$A:$A,'[3]may-2025'!$I:$I,0,0)</f>
        <v>60</v>
      </c>
      <c r="AL267">
        <f t="shared" si="558"/>
        <v>200</v>
      </c>
      <c r="AM267">
        <f t="shared" si="559"/>
        <v>58130</v>
      </c>
      <c r="AN267">
        <f>_xlfn.XLOOKUP(B267,'[4]june-2025'!$A:$A,'[4]june-2025'!$C:$C,0,0)</f>
        <v>47300</v>
      </c>
      <c r="AO267">
        <f t="shared" si="560"/>
        <v>8514</v>
      </c>
      <c r="AP267">
        <f t="shared" si="561"/>
        <v>5676</v>
      </c>
      <c r="AQ267">
        <f>_xlfn.XLOOKUP(B267,'[4]june-2025'!$A:$A,'[4]june-2025'!$D:$D,0,0)</f>
        <v>400</v>
      </c>
      <c r="AR267">
        <f>_xlfn.XLOOKUP(B267,'[4]june-2025'!$A:$A,'[4]june-2025'!$G:$G,0,0)</f>
        <v>500</v>
      </c>
      <c r="AS267">
        <f t="shared" si="547"/>
        <v>62390</v>
      </c>
      <c r="AT267">
        <f>_xlfn.XLOOKUP(B267,'[4]june-2025'!$A:$A,'[4]june-2025'!$H:$H,0,0)</f>
        <v>4000</v>
      </c>
      <c r="AU267">
        <f>_xlfn.XLOOKUP(B267,'[4]june-2025'!$A:$A,'[4]june-2025'!$I:$I,0,0)</f>
        <v>60</v>
      </c>
      <c r="AV267">
        <f t="shared" si="562"/>
        <v>200</v>
      </c>
      <c r="AW267">
        <f t="shared" si="563"/>
        <v>58130</v>
      </c>
      <c r="AX267">
        <f>_xlfn.XLOOKUP(B267,'[5]july-2025'!$A:$A,'[5]july-2025'!$C:$C,0,0)</f>
        <v>48700</v>
      </c>
      <c r="AY267">
        <f t="shared" si="564"/>
        <v>8766</v>
      </c>
      <c r="AZ267">
        <v>0</v>
      </c>
      <c r="BA267">
        <f t="shared" si="565"/>
        <v>5844</v>
      </c>
      <c r="BB267">
        <f>_xlfn.XLOOKUP(B267,'[5]july-2025'!$A:$A,'[5]july-2025'!$D:$D,0,0)</f>
        <v>400</v>
      </c>
      <c r="BC267">
        <f>_xlfn.XLOOKUP(B267,'[5]july-2025'!$A:$A,'[5]july-2025'!$G:$G,0,0)</f>
        <v>500</v>
      </c>
      <c r="BD267">
        <f>IF(AX267&gt;0,SUM(AX267:BC267),0)</f>
        <v>64210</v>
      </c>
      <c r="BE267">
        <f>_xlfn.XLOOKUP(B267,'[5]july-2025'!$A:$A,'[5]july-2025'!$H:$H,0,0)</f>
        <v>4000</v>
      </c>
      <c r="BF267">
        <f>_xlfn.XLOOKUP(B267,'[5]july-2025'!$A:$A,'[5]july-2025'!$I:$I,0,0)</f>
        <v>60</v>
      </c>
      <c r="BG267">
        <f t="shared" si="566"/>
        <v>200</v>
      </c>
      <c r="BH267">
        <f t="shared" si="567"/>
        <v>59950</v>
      </c>
      <c r="BI267">
        <f>_xlfn.XLOOKUP(B267,'[6]august-2025'!$A:$A,'[6]august-2025'!$C:$C,0,0)</f>
        <v>48700</v>
      </c>
      <c r="BJ267">
        <f t="shared" si="568"/>
        <v>8766</v>
      </c>
      <c r="BK267">
        <f t="shared" si="569"/>
        <v>5844</v>
      </c>
      <c r="BL267">
        <f>_xlfn.XLOOKUP(B267,'[6]august-2025'!$A:$A,'[6]august-2025'!$D:$D,0,0)</f>
        <v>400</v>
      </c>
      <c r="BM267">
        <f>_xlfn.XLOOKUP(B267,'[6]august-2025'!$A:$A,'[6]august-2025'!$G:$G,0,0)</f>
        <v>500</v>
      </c>
      <c r="BN267">
        <f t="shared" si="570"/>
        <v>64210</v>
      </c>
      <c r="BO267">
        <f>_xlfn.XLOOKUP(B267,'[6]august-2025'!$A:$A,'[6]august-2025'!$H:$H,0,0)</f>
        <v>4000</v>
      </c>
      <c r="BP267">
        <f>_xlfn.XLOOKUP(B267,'[6]august-2025'!$A:$A,'[6]august-2025'!$I:$I,0,0)</f>
        <v>60</v>
      </c>
      <c r="BQ267">
        <f>IF($F267="YES",0,IF(BN267&gt;40000,200,IF(BN267&gt;25000,150,IF(BN267&gt;15000,130,IF(BN267&gt;10000,110,0)))))</f>
        <v>200</v>
      </c>
      <c r="BR267">
        <f>BN267-BO267-BP267-BQ267</f>
        <v>59950</v>
      </c>
      <c r="BS267">
        <f>_xlfn.XLOOKUP(B267,'[7]september-2025'!$A:$A,'[7]september-2025'!$C:$C,0,0)</f>
        <v>48700</v>
      </c>
      <c r="BT267">
        <f t="shared" si="571"/>
        <v>8766</v>
      </c>
      <c r="BU267">
        <f t="shared" si="572"/>
        <v>5844</v>
      </c>
      <c r="BV267">
        <f>_xlfn.XLOOKUP(B267,'[7]september-2025'!$A:$A,'[7]september-2025'!$D:$D,0,0)</f>
        <v>400</v>
      </c>
      <c r="BW267">
        <f>_xlfn.XLOOKUP(B267,'[7]september-2025'!$A:$A,'[7]september-2025'!$G:$G,0,0)</f>
        <v>500</v>
      </c>
      <c r="BX267">
        <f>IF(BS267&gt;0,SUM(BS267:BW267),0)</f>
        <v>64210</v>
      </c>
      <c r="BY267">
        <f>_xlfn.XLOOKUP(B267,'[7]september-2025'!$A:$A,'[7]september-2025'!$H:$H,0,0)</f>
        <v>4000</v>
      </c>
      <c r="BZ267">
        <f>_xlfn.XLOOKUP(B267,'[7]september-2025'!$A:$A,'[7]september-2025'!$I:$I,0,0)</f>
        <v>60</v>
      </c>
      <c r="CA267">
        <f t="shared" si="573"/>
        <v>200</v>
      </c>
      <c r="CB267">
        <f t="shared" si="574"/>
        <v>59950</v>
      </c>
      <c r="CC267">
        <f>_xlfn.XLOOKUP(B267,'[8]october-2025'!$A:$A,'[8]october-2025'!$C:$C,0,0)</f>
        <v>48700</v>
      </c>
      <c r="CD267">
        <f t="shared" si="575"/>
        <v>8766</v>
      </c>
      <c r="CE267">
        <f t="shared" si="576"/>
        <v>5844</v>
      </c>
      <c r="CF267">
        <f>_xlfn.XLOOKUP(B267,'[8]october-2025'!$A:$A,'[8]october-2025'!$D:$D,0,0)</f>
        <v>400</v>
      </c>
      <c r="CG267">
        <f>_xlfn.XLOOKUP(B267,'[8]october-2025'!$A:$A,'[8]october-2025'!$G:$G,0,0)</f>
        <v>500</v>
      </c>
      <c r="CH267">
        <f>IF(CC267&gt;0,SUM(CC267:CG267),0)</f>
        <v>64210</v>
      </c>
      <c r="CI267">
        <f>_xlfn.XLOOKUP(B267,'[8]october-2025'!$A:$A,'[8]october-2025'!$H:$H,0,0)</f>
        <v>4000</v>
      </c>
      <c r="CJ267">
        <f>_xlfn.XLOOKUP(B267,'[8]october-2025'!$A:$A,'[8]october-2025'!$I:$I,0,0)</f>
        <v>60</v>
      </c>
      <c r="CK267">
        <f t="shared" si="577"/>
        <v>200</v>
      </c>
      <c r="CL267">
        <f t="shared" si="578"/>
        <v>59950</v>
      </c>
      <c r="CM267">
        <f>_xlfn.XLOOKUP(B267,'[9]november-2025'!$A:$A,'[9]november-2025'!$C:$C,0,0)</f>
        <v>48700</v>
      </c>
      <c r="CN267">
        <f t="shared" si="579"/>
        <v>8766</v>
      </c>
      <c r="CO267">
        <f t="shared" si="580"/>
        <v>5844</v>
      </c>
      <c r="CP267">
        <f>_xlfn.XLOOKUP(B267,'[9]november-2025'!$A:$A,'[9]november-2025'!$D:$D,0,0)</f>
        <v>400</v>
      </c>
      <c r="CQ267">
        <f>_xlfn.XLOOKUP(B267,'[9]november-2025'!$A:$A,'[9]november-2025'!$G:$G,0,0)</f>
        <v>500</v>
      </c>
      <c r="CR267">
        <f>IF(CM267&gt;0,SUM(CM267:CQ267),0)</f>
        <v>64210</v>
      </c>
      <c r="CS267">
        <f>_xlfn.XLOOKUP(B267,'[9]november-2025'!$A:$A,'[9]november-2025'!$H:$H,0,0)</f>
        <v>4000</v>
      </c>
      <c r="CT267">
        <f>_xlfn.XLOOKUP(B267,'[9]november-2025'!$A:$A,'[9]november-2025'!$I:$I,0,0)</f>
        <v>60</v>
      </c>
      <c r="CU267">
        <f t="shared" si="581"/>
        <v>200</v>
      </c>
      <c r="CV267">
        <f t="shared" si="582"/>
        <v>59950</v>
      </c>
      <c r="CW267">
        <f>_xlfn.XLOOKUP(B267,'[10]december-2025'!$A:$A,'[10]december-2025'!$C:$C,0,0)</f>
        <v>48700</v>
      </c>
      <c r="CX267">
        <f t="shared" si="583"/>
        <v>8766</v>
      </c>
      <c r="CY267">
        <f t="shared" si="584"/>
        <v>5844</v>
      </c>
      <c r="CZ267">
        <f>_xlfn.XLOOKUP(B267,'[10]december-2025'!$A:$A,'[10]december-2025'!$D:$D,0,0)</f>
        <v>400</v>
      </c>
      <c r="DA267">
        <f>_xlfn.XLOOKUP(B267,'[10]december-2025'!$A:$A,'[10]december-2025'!$G:$G,0,0)</f>
        <v>500</v>
      </c>
      <c r="DB267">
        <f>IF(CW267&gt;0,SUM(CW267:DA267),0)</f>
        <v>64210</v>
      </c>
      <c r="DC267">
        <f>_xlfn.XLOOKUP(B267,'[10]december-2025'!$A:$A,'[10]december-2025'!$H:$H,0,0)</f>
        <v>4000</v>
      </c>
      <c r="DD267">
        <f>_xlfn.XLOOKUP(B267,'[10]december-2025'!$A:$A,'[10]december-2025'!$I:$I,0,0)</f>
        <v>60</v>
      </c>
      <c r="DE267">
        <f t="shared" si="585"/>
        <v>200</v>
      </c>
      <c r="DF267">
        <f t="shared" si="586"/>
        <v>59950</v>
      </c>
      <c r="DG267">
        <f>_xlfn.XLOOKUP(B267,'[11]january-2026'!$A:$A,'[11]january-2026'!$C:$C,0,0)</f>
        <v>48700</v>
      </c>
      <c r="DH267">
        <f t="shared" si="587"/>
        <v>8766</v>
      </c>
      <c r="DI267">
        <f t="shared" si="588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>IF(DG267&gt;0,SUM(DG267:DK267),0)</f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589"/>
        <v>200</v>
      </c>
      <c r="DP267">
        <f t="shared" si="590"/>
        <v>59950</v>
      </c>
      <c r="DQ267">
        <f>_xlfn.XLOOKUP(B267,'[12]february-2026'!$A:$A,'[12]february-2026'!$C:$C,0,0)</f>
        <v>48700</v>
      </c>
      <c r="DR267">
        <f t="shared" si="591"/>
        <v>8766</v>
      </c>
      <c r="DS267">
        <f t="shared" si="592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>IF(DQ267&gt;0,SUM(DQ267:DU267),0)</f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593"/>
        <v>200</v>
      </c>
      <c r="DZ267">
        <f t="shared" si="594"/>
        <v>59950</v>
      </c>
      <c r="EA267">
        <f>_xlfn.XLOOKUP(B267,'[1]march-2025'!$A:$A,'[1]march-2025'!$J:$J,0,0)</f>
        <v>0</v>
      </c>
      <c r="EB267">
        <f>_xlfn.XLOOKUP(B267,'[2]april-2025'!$A:$A,'[2]april-2025'!$J:$J,0,0)</f>
        <v>0</v>
      </c>
      <c r="EC267">
        <f>_xlfn.XLOOKUP(B267,'[3]may-2025'!$A:$A,'[3]may-2025'!$J:$J,0,0)</f>
        <v>0</v>
      </c>
      <c r="ED267">
        <f>_xlfn.XLOOKUP(B267,'[4]june-2025'!$A:$A,'[4]june-2025'!$J:$J,0,0)</f>
        <v>0</v>
      </c>
      <c r="EE267">
        <f>_xlfn.XLOOKUP(B267,'[5]july-2025'!$A:$A,'[5]july-2025'!$J:$J,0,0)</f>
        <v>0</v>
      </c>
      <c r="EF267">
        <f>_xlfn.XLOOKUP(B267,'[6]august-2025'!$A:$A,'[6]august-2025'!$J:$J,0,0)</f>
        <v>0</v>
      </c>
      <c r="EG267">
        <f>_xlfn.XLOOKUP(B267,'[7]september-2025'!$A:$A,'[7]september-2025'!$J:$J,0,0)</f>
        <v>0</v>
      </c>
      <c r="EH267">
        <f>_xlfn.XLOOKUP(B267,'[8]october-2025'!$A:$A,'[8]october-2025'!$J:$J,0,0)</f>
        <v>0</v>
      </c>
      <c r="EI267">
        <f>_xlfn.XLOOKUP(C267,'[9]november-2025'!$A:$A,'[9]november-2025'!$J:$J,0,0)</f>
        <v>0</v>
      </c>
      <c r="EJ267">
        <f>_xlfn.XLOOKUP(B267,'[10]december-2025'!$A:$A,'[10]december-2025'!$J:$J,0,0)</f>
        <v>0</v>
      </c>
      <c r="EK267">
        <f>_xlfn.XLOOKUP(B267,'[11]january-2026'!$A:$A,'[11]january-2026'!$J:$J,0,0)</f>
        <v>0</v>
      </c>
      <c r="EL267">
        <f>_xlfn.XLOOKUP(B267,'[12]february-2026'!$A:$A,'[12]february-2026'!$J:$J,0,0)</f>
        <v>0</v>
      </c>
      <c r="EM267">
        <f t="shared" si="548"/>
        <v>0</v>
      </c>
      <c r="EN267">
        <f>DV267+DL267+DB267+CR267+CH267+BX267+BN267+BD267+AS267+AI267+Y267+O267+H267+I267</f>
        <v>768148</v>
      </c>
      <c r="EO267">
        <f>DY267+DO267+DE267+CU267+CK267+CA267+BQ267+BG267+AV267+AL267+AB267+R267</f>
        <v>2400</v>
      </c>
      <c r="EP267">
        <f t="shared" si="595"/>
        <v>50000</v>
      </c>
      <c r="EQ267">
        <v>0</v>
      </c>
      <c r="ER267">
        <f t="shared" si="549"/>
        <v>715748</v>
      </c>
      <c r="ES267">
        <f>DW267+DM267+DC267+CS267+CI267+BY267+BO267+BE267+AT267+AJ267+Z267+P267</f>
        <v>48000</v>
      </c>
      <c r="ET267">
        <f>DX267+DN267+DD267+CT267+CJ267+BZ267+BP267+BF267+AU267+AK267+AA267+Q267</f>
        <v>720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596"/>
        <v>48720</v>
      </c>
      <c r="FF267">
        <f t="shared" si="597"/>
        <v>48720</v>
      </c>
      <c r="FG267">
        <f t="shared" si="598"/>
        <v>667028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>SUM(FH267:FN267)+(IF(F267="YES",50000,0))</f>
        <v>0</v>
      </c>
      <c r="FP267">
        <f t="shared" si="599"/>
        <v>667028</v>
      </c>
      <c r="FQ267">
        <f t="shared" si="600"/>
        <v>12500</v>
      </c>
      <c r="FR267">
        <f t="shared" si="601"/>
        <v>33406</v>
      </c>
      <c r="FS267">
        <f t="shared" si="602"/>
        <v>45906</v>
      </c>
      <c r="FT267">
        <f t="shared" si="603"/>
        <v>45906</v>
      </c>
      <c r="FU267">
        <f t="shared" si="604"/>
        <v>1836.24</v>
      </c>
      <c r="FV267">
        <f t="shared" si="605"/>
        <v>47742</v>
      </c>
      <c r="FW267">
        <v>0</v>
      </c>
      <c r="FX267">
        <f t="shared" si="606"/>
        <v>47742</v>
      </c>
      <c r="FY267" t="b">
        <f t="shared" si="607"/>
        <v>1</v>
      </c>
      <c r="FZ267">
        <f t="shared" ca="1" si="608"/>
        <v>603</v>
      </c>
      <c r="GA267">
        <f t="shared" ca="1" si="609"/>
        <v>768751</v>
      </c>
      <c r="GB267">
        <f t="shared" si="610"/>
        <v>75000</v>
      </c>
      <c r="GC267">
        <f t="shared" ca="1" si="611"/>
        <v>693751</v>
      </c>
      <c r="GD267">
        <f t="shared" ca="1" si="612"/>
        <v>0</v>
      </c>
      <c r="GE267">
        <f t="shared" ca="1" si="613"/>
        <v>0</v>
      </c>
      <c r="GF267">
        <f t="shared" ca="1" si="614"/>
        <v>0</v>
      </c>
      <c r="GG267">
        <f t="shared" ca="1" si="615"/>
        <v>0</v>
      </c>
      <c r="GH267">
        <f t="shared" ca="1" si="616"/>
        <v>0</v>
      </c>
      <c r="GI267">
        <f t="shared" ca="1" si="617"/>
        <v>0</v>
      </c>
      <c r="GJ267">
        <f ca="1">IF(GC267&gt;1200000,GC267-1200000-IF(F267="YES",50000,0)-GH267,0)</f>
        <v>0</v>
      </c>
      <c r="GK267">
        <f t="shared" ca="1" si="618"/>
        <v>0</v>
      </c>
      <c r="GL267">
        <f t="shared" ca="1" si="619"/>
        <v>0</v>
      </c>
      <c r="GM267">
        <f t="shared" ca="1" si="620"/>
        <v>0</v>
      </c>
      <c r="GN267">
        <f t="shared" ca="1" si="621"/>
        <v>293751</v>
      </c>
      <c r="GO267">
        <f t="shared" ca="1" si="622"/>
        <v>14687.550000000001</v>
      </c>
      <c r="GP267">
        <f t="shared" ca="1" si="623"/>
        <v>14688</v>
      </c>
      <c r="GQ267">
        <f t="shared" ca="1" si="624"/>
        <v>0</v>
      </c>
      <c r="GR267">
        <f t="shared" ca="1" si="625"/>
        <v>0</v>
      </c>
      <c r="GS267">
        <f t="shared" ca="1" si="626"/>
        <v>14688</v>
      </c>
      <c r="GT267">
        <f t="shared" ca="1" si="627"/>
        <v>0</v>
      </c>
      <c r="GU267" t="b">
        <f t="shared" ca="1" si="628"/>
        <v>0</v>
      </c>
      <c r="GV267">
        <f t="shared" ca="1" si="629"/>
        <v>0</v>
      </c>
      <c r="GW267">
        <f t="shared" ca="1" si="630"/>
        <v>14688</v>
      </c>
      <c r="GX267">
        <f t="shared" ca="1" si="631"/>
        <v>0</v>
      </c>
      <c r="GY267">
        <f t="shared" ca="1" si="632"/>
        <v>0</v>
      </c>
      <c r="GZ267">
        <f t="shared" ca="1" si="633"/>
        <v>0</v>
      </c>
    </row>
    <row r="268" spans="1:208" x14ac:dyDescent="0.25">
      <c r="A268">
        <f>_xlfn.AGGREGATE(3,5,$B$2:B268)</f>
        <v>267</v>
      </c>
      <c r="B268" t="s">
        <v>637</v>
      </c>
      <c r="C268" t="s">
        <v>638</v>
      </c>
      <c r="D268" t="s">
        <v>819</v>
      </c>
      <c r="E268" t="s">
        <v>831</v>
      </c>
      <c r="F268" t="s">
        <v>957</v>
      </c>
      <c r="G268" t="s">
        <v>882</v>
      </c>
      <c r="H268">
        <f t="shared" si="635"/>
        <v>6800</v>
      </c>
      <c r="I268">
        <f>_xlfn.XLOOKUP(B268,'[1]march-2025'!$A:$A,'[1]march-2025'!$J:$J,0,0)</f>
        <v>0</v>
      </c>
      <c r="J268">
        <f>_xlfn.XLOOKUP(B268,'[1]march-2025'!$A:$A,'[1]march-2025'!$C:$C,0,0)</f>
        <v>27000</v>
      </c>
      <c r="K268">
        <f t="shared" si="550"/>
        <v>3780.0000000000005</v>
      </c>
      <c r="L268">
        <f t="shared" si="551"/>
        <v>3240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>IF(J268&gt;0,SUM(J268:N268),0)</f>
        <v>34520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634"/>
        <v>150</v>
      </c>
      <c r="S268">
        <f t="shared" si="544"/>
        <v>32370</v>
      </c>
      <c r="T268">
        <f>_xlfn.XLOOKUP(B268,'[2]april-2025'!$A:$A,'[2]april-2025'!$C:$C,0,0)</f>
        <v>27000</v>
      </c>
      <c r="U268">
        <f t="shared" si="552"/>
        <v>4860</v>
      </c>
      <c r="V268">
        <f t="shared" si="553"/>
        <v>3240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545"/>
        <v>35600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554"/>
        <v>150</v>
      </c>
      <c r="AC268">
        <f t="shared" si="555"/>
        <v>33450</v>
      </c>
      <c r="AD268">
        <f>_xlfn.XLOOKUP(B268,'[3]may-2025'!$A:$A,'[3]may-2025'!$C:$C,0,0)</f>
        <v>31600</v>
      </c>
      <c r="AE268">
        <f t="shared" si="556"/>
        <v>5688</v>
      </c>
      <c r="AF268">
        <f t="shared" si="557"/>
        <v>3792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546"/>
        <v>41580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558"/>
        <v>200</v>
      </c>
      <c r="AM268">
        <f t="shared" si="559"/>
        <v>39380</v>
      </c>
      <c r="AN268">
        <f>_xlfn.XLOOKUP(B268,'[4]june-2025'!$A:$A,'[4]june-2025'!$C:$C,0,0)</f>
        <v>31600</v>
      </c>
      <c r="AO268">
        <f t="shared" si="560"/>
        <v>5688</v>
      </c>
      <c r="AP268">
        <f t="shared" si="561"/>
        <v>3792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547"/>
        <v>41580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562"/>
        <v>200</v>
      </c>
      <c r="AW268">
        <f t="shared" si="563"/>
        <v>39380</v>
      </c>
      <c r="AX268">
        <f>_xlfn.XLOOKUP(B268,'[5]july-2025'!$A:$A,'[5]july-2025'!$C:$C,0,0)</f>
        <v>32500</v>
      </c>
      <c r="AY268">
        <f t="shared" si="564"/>
        <v>5850</v>
      </c>
      <c r="AZ268">
        <v>0</v>
      </c>
      <c r="BA268">
        <f t="shared" si="565"/>
        <v>3900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>IF(AX268&gt;0,SUM(AX268:BC268),0)</f>
        <v>42750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566"/>
        <v>200</v>
      </c>
      <c r="BH268">
        <f t="shared" si="567"/>
        <v>40550</v>
      </c>
      <c r="BI268">
        <f>_xlfn.XLOOKUP(B268,'[6]august-2025'!$A:$A,'[6]august-2025'!$C:$C,0,0)</f>
        <v>32500</v>
      </c>
      <c r="BJ268">
        <f t="shared" si="568"/>
        <v>5850</v>
      </c>
      <c r="BK268">
        <f t="shared" si="569"/>
        <v>3900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570"/>
        <v>42750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>IF($F268="YES",0,IF(BN268&gt;40000,200,IF(BN268&gt;25000,150,IF(BN268&gt;15000,130,IF(BN268&gt;10000,110,0)))))</f>
        <v>200</v>
      </c>
      <c r="BR268">
        <f>BN268-BO268-BP268-BQ268</f>
        <v>40550</v>
      </c>
      <c r="BS268">
        <f>_xlfn.XLOOKUP(B268,'[7]september-2025'!$A:$A,'[7]september-2025'!$C:$C,0,0)</f>
        <v>32500</v>
      </c>
      <c r="BT268">
        <f t="shared" si="571"/>
        <v>5850</v>
      </c>
      <c r="BU268">
        <f t="shared" si="572"/>
        <v>3900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>IF(BS268&gt;0,SUM(BS268:BW268),0)</f>
        <v>42750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573"/>
        <v>200</v>
      </c>
      <c r="CB268">
        <f t="shared" si="574"/>
        <v>40550</v>
      </c>
      <c r="CC268">
        <f>_xlfn.XLOOKUP(B268,'[8]october-2025'!$A:$A,'[8]october-2025'!$C:$C,0,0)</f>
        <v>32500</v>
      </c>
      <c r="CD268">
        <f t="shared" si="575"/>
        <v>5850</v>
      </c>
      <c r="CE268">
        <f t="shared" si="576"/>
        <v>3900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>IF(CC268&gt;0,SUM(CC268:CG268),0)</f>
        <v>42750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577"/>
        <v>200</v>
      </c>
      <c r="CL268">
        <f t="shared" si="578"/>
        <v>40550</v>
      </c>
      <c r="CM268">
        <f>_xlfn.XLOOKUP(B268,'[9]november-2025'!$A:$A,'[9]november-2025'!$C:$C,0,0)</f>
        <v>32500</v>
      </c>
      <c r="CN268">
        <f t="shared" si="579"/>
        <v>5850</v>
      </c>
      <c r="CO268">
        <f t="shared" si="580"/>
        <v>3900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>IF(CM268&gt;0,SUM(CM268:CQ268),0)</f>
        <v>42750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581"/>
        <v>200</v>
      </c>
      <c r="CV268">
        <f t="shared" si="582"/>
        <v>40550</v>
      </c>
      <c r="CW268">
        <f>_xlfn.XLOOKUP(B268,'[10]december-2025'!$A:$A,'[10]december-2025'!$C:$C,0,0)</f>
        <v>32500</v>
      </c>
      <c r="CX268">
        <f t="shared" si="583"/>
        <v>5850</v>
      </c>
      <c r="CY268">
        <f t="shared" si="584"/>
        <v>3900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>IF(CW268&gt;0,SUM(CW268:DA268),0)</f>
        <v>42750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585"/>
        <v>200</v>
      </c>
      <c r="DF268">
        <f t="shared" si="586"/>
        <v>40550</v>
      </c>
      <c r="DG268">
        <f>_xlfn.XLOOKUP(B268,'[11]january-2026'!$A:$A,'[11]january-2026'!$C:$C,0,0)</f>
        <v>32500</v>
      </c>
      <c r="DH268">
        <f t="shared" si="587"/>
        <v>5850</v>
      </c>
      <c r="DI268">
        <f t="shared" si="588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>IF(DG268&gt;0,SUM(DG268:DK268),0)</f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589"/>
        <v>200</v>
      </c>
      <c r="DP268">
        <f t="shared" si="590"/>
        <v>40550</v>
      </c>
      <c r="DQ268">
        <f>_xlfn.XLOOKUP(B268,'[12]february-2026'!$A:$A,'[12]february-2026'!$C:$C,0,0)</f>
        <v>32500</v>
      </c>
      <c r="DR268">
        <f t="shared" si="591"/>
        <v>5850</v>
      </c>
      <c r="DS268">
        <f t="shared" si="592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>IF(DQ268&gt;0,SUM(DQ268:DU268),0)</f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593"/>
        <v>200</v>
      </c>
      <c r="DZ268">
        <f t="shared" si="594"/>
        <v>40550</v>
      </c>
      <c r="EA268">
        <f>_xlfn.XLOOKUP(B268,'[1]march-2025'!$A:$A,'[1]march-2025'!$J:$J,0,0)</f>
        <v>0</v>
      </c>
      <c r="EB268">
        <f>_xlfn.XLOOKUP(B268,'[2]april-2025'!$A:$A,'[2]april-2025'!$J:$J,0,0)</f>
        <v>0</v>
      </c>
      <c r="EC268">
        <f>_xlfn.XLOOKUP(B268,'[3]may-2025'!$A:$A,'[3]may-2025'!$J:$J,0,0)</f>
        <v>0</v>
      </c>
      <c r="ED268">
        <f>_xlfn.XLOOKUP(B268,'[4]june-2025'!$A:$A,'[4]june-2025'!$J:$J,0,0)</f>
        <v>0</v>
      </c>
      <c r="EE268">
        <f>_xlfn.XLOOKUP(B268,'[5]july-2025'!$A:$A,'[5]july-2025'!$J:$J,0,0)</f>
        <v>0</v>
      </c>
      <c r="EF268">
        <f>_xlfn.XLOOKUP(B268,'[6]august-2025'!$A:$A,'[6]august-2025'!$J:$J,0,0)</f>
        <v>0</v>
      </c>
      <c r="EG268">
        <f>_xlfn.XLOOKUP(B268,'[7]september-2025'!$A:$A,'[7]september-2025'!$J:$J,0,0)</f>
        <v>0</v>
      </c>
      <c r="EH268">
        <f>_xlfn.XLOOKUP(B268,'[8]october-2025'!$A:$A,'[8]october-2025'!$J:$J,0,0)</f>
        <v>0</v>
      </c>
      <c r="EI268">
        <f>_xlfn.XLOOKUP(C268,'[9]november-2025'!$A:$A,'[9]november-2025'!$J:$J,0,0)</f>
        <v>0</v>
      </c>
      <c r="EJ268">
        <f>_xlfn.XLOOKUP(B268,'[10]december-2025'!$A:$A,'[10]december-2025'!$J:$J,0,0)</f>
        <v>0</v>
      </c>
      <c r="EK268">
        <f>_xlfn.XLOOKUP(B268,'[11]january-2026'!$A:$A,'[11]january-2026'!$J:$J,0,0)</f>
        <v>0</v>
      </c>
      <c r="EL268">
        <f>_xlfn.XLOOKUP(B268,'[12]february-2026'!$A:$A,'[12]february-2026'!$J:$J,0,0)</f>
        <v>0</v>
      </c>
      <c r="EM268">
        <f t="shared" si="548"/>
        <v>0</v>
      </c>
      <c r="EN268">
        <f>DV268+DL268+DB268+CR268+CH268+BX268+BN268+BD268+AS268+AI268+Y268+O268+H268+I268</f>
        <v>502080</v>
      </c>
      <c r="EO268">
        <f>DY268+DO268+DE268+CU268+CK268+CA268+BQ268+BG268+AV268+AL268+AB268+R268</f>
        <v>2300</v>
      </c>
      <c r="EP268">
        <f t="shared" si="595"/>
        <v>50000</v>
      </c>
      <c r="EQ268">
        <v>0</v>
      </c>
      <c r="ER268">
        <f t="shared" si="549"/>
        <v>449780</v>
      </c>
      <c r="ES268">
        <f>DW268+DM268+DC268+CS268+CI268+BY268+BO268+BE268+AT268+AJ268+Z268+P268</f>
        <v>24000</v>
      </c>
      <c r="ET268">
        <f>DX268+DN268+DD268+CT268+CJ268+BZ268+BP268+BF268+AU268+AK268+AA268+Q268</f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596"/>
        <v>24000</v>
      </c>
      <c r="FF268">
        <f t="shared" si="597"/>
        <v>24000</v>
      </c>
      <c r="FG268">
        <f t="shared" si="598"/>
        <v>425780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>SUM(FH268:FN268)+(IF(F268="YES",50000,0))</f>
        <v>0</v>
      </c>
      <c r="FP268">
        <f t="shared" si="599"/>
        <v>425780</v>
      </c>
      <c r="FQ268">
        <f t="shared" si="600"/>
        <v>8789</v>
      </c>
      <c r="FR268">
        <f t="shared" si="601"/>
        <v>0</v>
      </c>
      <c r="FS268">
        <f t="shared" si="602"/>
        <v>8789</v>
      </c>
      <c r="FT268">
        <f t="shared" si="603"/>
        <v>0</v>
      </c>
      <c r="FU268">
        <f t="shared" si="604"/>
        <v>0</v>
      </c>
      <c r="FV268">
        <f t="shared" si="605"/>
        <v>0</v>
      </c>
      <c r="FW268">
        <v>0</v>
      </c>
      <c r="FX268">
        <f t="shared" si="606"/>
        <v>0</v>
      </c>
      <c r="FY268" t="b">
        <f t="shared" si="607"/>
        <v>1</v>
      </c>
      <c r="FZ268">
        <f t="shared" ca="1" si="608"/>
        <v>764</v>
      </c>
      <c r="GA268">
        <f t="shared" ca="1" si="609"/>
        <v>502844</v>
      </c>
      <c r="GB268">
        <f t="shared" si="610"/>
        <v>75000</v>
      </c>
      <c r="GC268">
        <f t="shared" ca="1" si="611"/>
        <v>427844</v>
      </c>
      <c r="GD268">
        <f t="shared" ca="1" si="612"/>
        <v>0</v>
      </c>
      <c r="GE268">
        <f t="shared" ca="1" si="613"/>
        <v>0</v>
      </c>
      <c r="GF268">
        <f t="shared" ca="1" si="614"/>
        <v>0</v>
      </c>
      <c r="GG268">
        <f t="shared" ca="1" si="615"/>
        <v>0</v>
      </c>
      <c r="GH268">
        <f t="shared" ca="1" si="616"/>
        <v>0</v>
      </c>
      <c r="GI268">
        <f t="shared" ca="1" si="617"/>
        <v>0</v>
      </c>
      <c r="GJ268">
        <f ca="1">IF(GC268&gt;1200000,GC268-1200000-IF(F268="YES",50000,0)-GH268,0)</f>
        <v>0</v>
      </c>
      <c r="GK268">
        <f t="shared" ca="1" si="618"/>
        <v>0</v>
      </c>
      <c r="GL268">
        <f t="shared" ca="1" si="619"/>
        <v>0</v>
      </c>
      <c r="GM268">
        <f t="shared" ca="1" si="620"/>
        <v>0</v>
      </c>
      <c r="GN268">
        <f t="shared" ca="1" si="621"/>
        <v>27844</v>
      </c>
      <c r="GO268">
        <f t="shared" ca="1" si="622"/>
        <v>1392.2</v>
      </c>
      <c r="GP268">
        <f t="shared" ca="1" si="623"/>
        <v>1392</v>
      </c>
      <c r="GQ268">
        <f t="shared" ca="1" si="624"/>
        <v>0</v>
      </c>
      <c r="GR268">
        <f t="shared" ca="1" si="625"/>
        <v>0</v>
      </c>
      <c r="GS268">
        <f t="shared" ca="1" si="626"/>
        <v>1392</v>
      </c>
      <c r="GT268">
        <f t="shared" ca="1" si="627"/>
        <v>0</v>
      </c>
      <c r="GU268" t="b">
        <f t="shared" ca="1" si="628"/>
        <v>0</v>
      </c>
      <c r="GV268">
        <f t="shared" ca="1" si="629"/>
        <v>0</v>
      </c>
      <c r="GW268">
        <f t="shared" ca="1" si="630"/>
        <v>1392</v>
      </c>
      <c r="GX268">
        <f t="shared" ca="1" si="631"/>
        <v>0</v>
      </c>
      <c r="GY268">
        <f t="shared" ca="1" si="632"/>
        <v>0</v>
      </c>
      <c r="GZ268">
        <f t="shared" ca="1" si="633"/>
        <v>0</v>
      </c>
    </row>
    <row r="269" spans="1:208" x14ac:dyDescent="0.25">
      <c r="A269">
        <f>_xlfn.AGGREGATE(3,5,$B$2:B269)</f>
        <v>268</v>
      </c>
      <c r="B269" t="s">
        <v>639</v>
      </c>
      <c r="C269" t="s">
        <v>640</v>
      </c>
      <c r="D269" t="s">
        <v>819</v>
      </c>
      <c r="E269" t="s">
        <v>831</v>
      </c>
      <c r="F269" t="s">
        <v>957</v>
      </c>
      <c r="G269" t="s">
        <v>889</v>
      </c>
      <c r="H269">
        <f t="shared" si="635"/>
        <v>6800</v>
      </c>
      <c r="I269">
        <f>_xlfn.XLOOKUP(B269,'[1]march-2025'!$A:$A,'[1]march-2025'!$J:$J,0,0)</f>
        <v>0</v>
      </c>
      <c r="J269">
        <f>_xlfn.XLOOKUP(B269,'[1]march-2025'!$A:$A,'[1]march-2025'!$C:$C,0,0)</f>
        <v>28900</v>
      </c>
      <c r="K269">
        <f t="shared" si="550"/>
        <v>4046.0000000000005</v>
      </c>
      <c r="L269">
        <f t="shared" si="551"/>
        <v>3468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>IF(J269&gt;0,SUM(J269:N269),0)</f>
        <v>36914</v>
      </c>
      <c r="P269">
        <f>_xlfn.XLOOKUP(B269,'[1]march-2025'!$A:$A,'[1]march-2025'!$H:$H,0,0)</f>
        <v>2000</v>
      </c>
      <c r="Q269">
        <f>_xlfn.XLOOKUP(B269,'[1]march-2025'!$A:$A,'[1]march-2025'!$I:$I,0,0)</f>
        <v>0</v>
      </c>
      <c r="R269">
        <f t="shared" si="634"/>
        <v>150</v>
      </c>
      <c r="S269">
        <f t="shared" si="544"/>
        <v>34764</v>
      </c>
      <c r="T269">
        <f>_xlfn.XLOOKUP(B269,'[2]april-2025'!$A:$A,'[2]april-2025'!$C:$C,0,0)</f>
        <v>28900</v>
      </c>
      <c r="U269">
        <f t="shared" si="552"/>
        <v>5202</v>
      </c>
      <c r="V269">
        <f t="shared" si="553"/>
        <v>3468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545"/>
        <v>38070</v>
      </c>
      <c r="Z269">
        <f>_xlfn.XLOOKUP(B269,'[2]april-2025'!$A:$A,'[2]april-2025'!$H:$H,0,0)</f>
        <v>2000</v>
      </c>
      <c r="AA269">
        <f>_xlfn.XLOOKUP(B269,'[2]april-2025'!$A:$A,'[2]april-2025'!$I:$I,0,0)</f>
        <v>0</v>
      </c>
      <c r="AB269">
        <f t="shared" si="554"/>
        <v>150</v>
      </c>
      <c r="AC269">
        <f t="shared" si="555"/>
        <v>35920</v>
      </c>
      <c r="AD269">
        <f>_xlfn.XLOOKUP(B269,'[3]may-2025'!$A:$A,'[3]may-2025'!$C:$C,0,0)</f>
        <v>28900</v>
      </c>
      <c r="AE269">
        <f t="shared" si="556"/>
        <v>5202</v>
      </c>
      <c r="AF269">
        <f t="shared" si="557"/>
        <v>3468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546"/>
        <v>38070</v>
      </c>
      <c r="AJ269">
        <f>_xlfn.XLOOKUP(B269,'[3]may-2025'!$A:$A,'[3]may-2025'!$H:$H,0,0)</f>
        <v>2000</v>
      </c>
      <c r="AK269">
        <f>_xlfn.XLOOKUP(B269,'[3]may-2025'!$A:$A,'[3]may-2025'!$I:$I,0,0)</f>
        <v>0</v>
      </c>
      <c r="AL269">
        <f t="shared" si="558"/>
        <v>150</v>
      </c>
      <c r="AM269">
        <f t="shared" si="559"/>
        <v>35920</v>
      </c>
      <c r="AN269">
        <f>_xlfn.XLOOKUP(B269,'[4]june-2025'!$A:$A,'[4]june-2025'!$C:$C,0,0)</f>
        <v>28900</v>
      </c>
      <c r="AO269">
        <f t="shared" si="560"/>
        <v>5202</v>
      </c>
      <c r="AP269">
        <f t="shared" si="561"/>
        <v>3468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547"/>
        <v>38070</v>
      </c>
      <c r="AT269">
        <f>_xlfn.XLOOKUP(B269,'[4]june-2025'!$A:$A,'[4]june-2025'!$H:$H,0,0)</f>
        <v>2000</v>
      </c>
      <c r="AU269">
        <f>_xlfn.XLOOKUP(B269,'[4]june-2025'!$A:$A,'[4]june-2025'!$I:$I,0,0)</f>
        <v>0</v>
      </c>
      <c r="AV269">
        <f t="shared" si="562"/>
        <v>150</v>
      </c>
      <c r="AW269">
        <f t="shared" si="563"/>
        <v>35920</v>
      </c>
      <c r="AX269">
        <f>_xlfn.XLOOKUP(B269,'[5]july-2025'!$A:$A,'[5]july-2025'!$C:$C,0,0)</f>
        <v>29800</v>
      </c>
      <c r="AY269">
        <f t="shared" si="564"/>
        <v>5364</v>
      </c>
      <c r="AZ269">
        <v>0</v>
      </c>
      <c r="BA269">
        <f t="shared" si="565"/>
        <v>3576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>IF(AX269&gt;0,SUM(AX269:BC269),0)</f>
        <v>39240</v>
      </c>
      <c r="BE269">
        <f>_xlfn.XLOOKUP(B269,'[5]july-2025'!$A:$A,'[5]july-2025'!$H:$H,0,0)</f>
        <v>2000</v>
      </c>
      <c r="BF269">
        <f>_xlfn.XLOOKUP(B269,'[5]july-2025'!$A:$A,'[5]july-2025'!$I:$I,0,0)</f>
        <v>0</v>
      </c>
      <c r="BG269">
        <f t="shared" si="566"/>
        <v>150</v>
      </c>
      <c r="BH269">
        <f t="shared" si="567"/>
        <v>37090</v>
      </c>
      <c r="BI269">
        <f>_xlfn.XLOOKUP(B269,'[6]august-2025'!$A:$A,'[6]august-2025'!$C:$C,0,0)</f>
        <v>29800</v>
      </c>
      <c r="BJ269">
        <f t="shared" si="568"/>
        <v>5364</v>
      </c>
      <c r="BK269">
        <f t="shared" si="569"/>
        <v>3576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570"/>
        <v>39240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>IF($F269="YES",0,IF(BN269&gt;40000,200,IF(BN269&gt;25000,150,IF(BN269&gt;15000,130,IF(BN269&gt;10000,110,0)))))</f>
        <v>150</v>
      </c>
      <c r="BR269">
        <f>BN269-BO269-BP269-BQ269</f>
        <v>37090</v>
      </c>
      <c r="BS269">
        <f>_xlfn.XLOOKUP(B269,'[7]september-2025'!$A:$A,'[7]september-2025'!$C:$C,0,0)</f>
        <v>29800</v>
      </c>
      <c r="BT269">
        <f t="shared" si="571"/>
        <v>5364</v>
      </c>
      <c r="BU269">
        <f t="shared" si="572"/>
        <v>3576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>IF(BS269&gt;0,SUM(BS269:BW269),0)</f>
        <v>39240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573"/>
        <v>150</v>
      </c>
      <c r="CB269">
        <f t="shared" si="574"/>
        <v>37090</v>
      </c>
      <c r="CC269">
        <f>_xlfn.XLOOKUP(B269,'[8]october-2025'!$A:$A,'[8]october-2025'!$C:$C,0,0)</f>
        <v>29800</v>
      </c>
      <c r="CD269">
        <f t="shared" si="575"/>
        <v>5364</v>
      </c>
      <c r="CE269">
        <f t="shared" si="576"/>
        <v>3576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>IF(CC269&gt;0,SUM(CC269:CG269),0)</f>
        <v>39240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577"/>
        <v>150</v>
      </c>
      <c r="CL269">
        <f t="shared" si="578"/>
        <v>37090</v>
      </c>
      <c r="CM269">
        <f>_xlfn.XLOOKUP(B269,'[9]november-2025'!$A:$A,'[9]november-2025'!$C:$C,0,0)</f>
        <v>29800</v>
      </c>
      <c r="CN269">
        <f t="shared" si="579"/>
        <v>5364</v>
      </c>
      <c r="CO269">
        <f t="shared" si="580"/>
        <v>3576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>IF(CM269&gt;0,SUM(CM269:CQ269),0)</f>
        <v>39240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581"/>
        <v>150</v>
      </c>
      <c r="CV269">
        <f t="shared" si="582"/>
        <v>37090</v>
      </c>
      <c r="CW269">
        <f>_xlfn.XLOOKUP(B269,'[10]december-2025'!$A:$A,'[10]december-2025'!$C:$C,0,0)</f>
        <v>29800</v>
      </c>
      <c r="CX269">
        <f t="shared" si="583"/>
        <v>5364</v>
      </c>
      <c r="CY269">
        <f t="shared" si="584"/>
        <v>3576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>IF(CW269&gt;0,SUM(CW269:DA269),0)</f>
        <v>39240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585"/>
        <v>150</v>
      </c>
      <c r="DF269">
        <f t="shared" si="586"/>
        <v>37090</v>
      </c>
      <c r="DG269">
        <f>_xlfn.XLOOKUP(B269,'[11]january-2026'!$A:$A,'[11]january-2026'!$C:$C,0,0)</f>
        <v>29800</v>
      </c>
      <c r="DH269">
        <f t="shared" si="587"/>
        <v>5364</v>
      </c>
      <c r="DI269">
        <f t="shared" si="588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>IF(DG269&gt;0,SUM(DG269:DK269),0)</f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589"/>
        <v>150</v>
      </c>
      <c r="DP269">
        <f t="shared" si="590"/>
        <v>37090</v>
      </c>
      <c r="DQ269">
        <f>_xlfn.XLOOKUP(B269,'[12]february-2026'!$A:$A,'[12]february-2026'!$C:$C,0,0)</f>
        <v>29800</v>
      </c>
      <c r="DR269">
        <f t="shared" si="591"/>
        <v>5364</v>
      </c>
      <c r="DS269">
        <f t="shared" si="592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>IF(DQ269&gt;0,SUM(DQ269:DU269),0)</f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593"/>
        <v>150</v>
      </c>
      <c r="DZ269">
        <f t="shared" si="594"/>
        <v>37090</v>
      </c>
      <c r="EA269">
        <f>_xlfn.XLOOKUP(B269,'[1]march-2025'!$A:$A,'[1]march-2025'!$J:$J,0,0)</f>
        <v>0</v>
      </c>
      <c r="EB269">
        <f>_xlfn.XLOOKUP(B269,'[2]april-2025'!$A:$A,'[2]april-2025'!$J:$J,0,0)</f>
        <v>0</v>
      </c>
      <c r="EC269">
        <f>_xlfn.XLOOKUP(B269,'[3]may-2025'!$A:$A,'[3]may-2025'!$J:$J,0,0)</f>
        <v>60294</v>
      </c>
      <c r="ED269">
        <f>_xlfn.XLOOKUP(B269,'[4]june-2025'!$A:$A,'[4]june-2025'!$J:$J,0,0)</f>
        <v>0</v>
      </c>
      <c r="EE269">
        <f>_xlfn.XLOOKUP(B269,'[5]july-2025'!$A:$A,'[5]july-2025'!$J:$J,0,0)</f>
        <v>0</v>
      </c>
      <c r="EF269">
        <f>_xlfn.XLOOKUP(B269,'[6]august-2025'!$A:$A,'[6]august-2025'!$J:$J,0,0)</f>
        <v>0</v>
      </c>
      <c r="EG269">
        <f>_xlfn.XLOOKUP(B269,'[7]september-2025'!$A:$A,'[7]september-2025'!$J:$J,0,0)</f>
        <v>0</v>
      </c>
      <c r="EH269">
        <f>_xlfn.XLOOKUP(B269,'[8]october-2025'!$A:$A,'[8]october-2025'!$J:$J,0,0)</f>
        <v>0</v>
      </c>
      <c r="EI269">
        <f>_xlfn.XLOOKUP(C269,'[9]november-2025'!$A:$A,'[9]november-2025'!$J:$J,0,0)</f>
        <v>0</v>
      </c>
      <c r="EJ269">
        <f>_xlfn.XLOOKUP(B269,'[10]december-2025'!$A:$A,'[10]december-2025'!$J:$J,0,0)</f>
        <v>0</v>
      </c>
      <c r="EK269">
        <f>_xlfn.XLOOKUP(B269,'[11]january-2026'!$A:$A,'[11]january-2026'!$J:$J,0,0)</f>
        <v>0</v>
      </c>
      <c r="EL269">
        <f>_xlfn.XLOOKUP(B269,'[12]february-2026'!$A:$A,'[12]february-2026'!$J:$J,0,0)</f>
        <v>0</v>
      </c>
      <c r="EM269">
        <f t="shared" si="548"/>
        <v>60294</v>
      </c>
      <c r="EN269">
        <f>DV269+DL269+DB269+CR269+CH269+BX269+BN269+BD269+AS269+AI269+Y269+O269+H269+I269</f>
        <v>471844</v>
      </c>
      <c r="EO269">
        <f>DY269+DO269+DE269+CU269+CK269+CA269+BQ269+BG269+AV269+AL269+AB269+R269</f>
        <v>1800</v>
      </c>
      <c r="EP269">
        <f t="shared" si="595"/>
        <v>50000</v>
      </c>
      <c r="EQ269">
        <v>0</v>
      </c>
      <c r="ER269">
        <f t="shared" si="549"/>
        <v>480338</v>
      </c>
      <c r="ES269">
        <f>DW269+DM269+DC269+CS269+CI269+BY269+BO269+BE269+AT269+AJ269+Z269+P269</f>
        <v>24000</v>
      </c>
      <c r="ET269">
        <f>DX269+DN269+DD269+CT269+CJ269+BZ269+BP269+BF269+AU269+AK269+AA269+Q269</f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596"/>
        <v>24000</v>
      </c>
      <c r="FF269">
        <f t="shared" si="597"/>
        <v>24000</v>
      </c>
      <c r="FG269">
        <f t="shared" si="598"/>
        <v>456338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>SUM(FH269:FN269)+(IF(F269="YES",50000,0))</f>
        <v>0</v>
      </c>
      <c r="FP269">
        <f t="shared" si="599"/>
        <v>456338</v>
      </c>
      <c r="FQ269">
        <f t="shared" si="600"/>
        <v>10317</v>
      </c>
      <c r="FR269">
        <f t="shared" si="601"/>
        <v>0</v>
      </c>
      <c r="FS269">
        <f t="shared" si="602"/>
        <v>10317</v>
      </c>
      <c r="FT269">
        <f t="shared" si="603"/>
        <v>0</v>
      </c>
      <c r="FU269">
        <f t="shared" si="604"/>
        <v>0</v>
      </c>
      <c r="FV269">
        <f t="shared" si="605"/>
        <v>0</v>
      </c>
      <c r="FW269">
        <v>0</v>
      </c>
      <c r="FX269">
        <f t="shared" si="606"/>
        <v>0</v>
      </c>
      <c r="FY269" t="b">
        <f t="shared" si="607"/>
        <v>0</v>
      </c>
      <c r="FZ269">
        <f t="shared" ca="1" si="608"/>
        <v>2076</v>
      </c>
      <c r="GA269">
        <f t="shared" ca="1" si="609"/>
        <v>473920</v>
      </c>
      <c r="GB269">
        <f t="shared" si="610"/>
        <v>75000</v>
      </c>
      <c r="GC269">
        <f t="shared" ca="1" si="611"/>
        <v>398920</v>
      </c>
      <c r="GD269">
        <f t="shared" ca="1" si="612"/>
        <v>0</v>
      </c>
      <c r="GE269">
        <f t="shared" ca="1" si="613"/>
        <v>0</v>
      </c>
      <c r="GF269">
        <f t="shared" ca="1" si="614"/>
        <v>0</v>
      </c>
      <c r="GG269">
        <f t="shared" ca="1" si="615"/>
        <v>0</v>
      </c>
      <c r="GH269">
        <f t="shared" ca="1" si="616"/>
        <v>0</v>
      </c>
      <c r="GI269">
        <f t="shared" ca="1" si="617"/>
        <v>0</v>
      </c>
      <c r="GJ269">
        <f ca="1">IF(GC269&gt;1200000,GC269-1200000-IF(F269="YES",50000,0)-GH269,0)</f>
        <v>0</v>
      </c>
      <c r="GK269">
        <f t="shared" ca="1" si="618"/>
        <v>0</v>
      </c>
      <c r="GL269">
        <f t="shared" ca="1" si="619"/>
        <v>0</v>
      </c>
      <c r="GM269">
        <f t="shared" ca="1" si="620"/>
        <v>0</v>
      </c>
      <c r="GN269">
        <f t="shared" ca="1" si="621"/>
        <v>0</v>
      </c>
      <c r="GO269">
        <f t="shared" ca="1" si="622"/>
        <v>0</v>
      </c>
      <c r="GP269">
        <f t="shared" ca="1" si="623"/>
        <v>0</v>
      </c>
      <c r="GQ269">
        <f t="shared" ca="1" si="624"/>
        <v>0</v>
      </c>
      <c r="GR269">
        <f t="shared" ca="1" si="625"/>
        <v>0</v>
      </c>
      <c r="GS269">
        <f t="shared" ca="1" si="626"/>
        <v>0</v>
      </c>
      <c r="GT269">
        <f t="shared" ca="1" si="627"/>
        <v>0</v>
      </c>
      <c r="GU269" t="b">
        <f t="shared" ca="1" si="628"/>
        <v>0</v>
      </c>
      <c r="GV269">
        <f t="shared" ca="1" si="629"/>
        <v>0</v>
      </c>
      <c r="GW269">
        <f t="shared" ca="1" si="630"/>
        <v>0</v>
      </c>
      <c r="GX269">
        <f t="shared" ca="1" si="631"/>
        <v>0</v>
      </c>
      <c r="GY269">
        <f t="shared" ca="1" si="632"/>
        <v>0</v>
      </c>
      <c r="GZ269">
        <f t="shared" ca="1" si="633"/>
        <v>0</v>
      </c>
    </row>
    <row r="270" spans="1:208" x14ac:dyDescent="0.25">
      <c r="A270">
        <f>_xlfn.AGGREGATE(3,5,$B$2:B270)</f>
        <v>269</v>
      </c>
      <c r="B270" t="s">
        <v>869</v>
      </c>
      <c r="C270" t="s">
        <v>870</v>
      </c>
      <c r="D270" t="s">
        <v>819</v>
      </c>
      <c r="E270" t="s">
        <v>832</v>
      </c>
      <c r="F270" t="s">
        <v>958</v>
      </c>
      <c r="G270" t="s">
        <v>956</v>
      </c>
      <c r="H270">
        <f t="shared" si="635"/>
        <v>6800</v>
      </c>
      <c r="I270">
        <f>_xlfn.XLOOKUP(B270,'[1]march-2025'!$A:$A,'[1]march-2025'!$J:$J,0,0)</f>
        <v>0</v>
      </c>
      <c r="J270">
        <f>_xlfn.XLOOKUP(B270,'[1]march-2025'!$A:$A,'[1]march-2025'!$C:$C,0,0)</f>
        <v>0</v>
      </c>
      <c r="K270">
        <f t="shared" si="550"/>
        <v>0</v>
      </c>
      <c r="L270">
        <f t="shared" si="551"/>
        <v>0</v>
      </c>
      <c r="M270">
        <f>_xlfn.XLOOKUP(B270,'[1]march-2025'!$A:$A,'[1]march-2025'!$D:$D,0,0)</f>
        <v>0</v>
      </c>
      <c r="N270">
        <f>_xlfn.XLOOKUP(B270,'[1]march-2025'!$A:$A,'[1]march-2025'!$G:$G,0,0)</f>
        <v>0</v>
      </c>
      <c r="O270">
        <f>IF(J270&gt;0,SUM(J270:N270),0)</f>
        <v>0</v>
      </c>
      <c r="P270">
        <f>_xlfn.XLOOKUP(B270,'[1]march-2025'!$A:$A,'[1]march-2025'!$H:$H,0,0)</f>
        <v>0</v>
      </c>
      <c r="Q270">
        <f>_xlfn.XLOOKUP(B270,'[1]march-2025'!$A:$A,'[1]march-2025'!$I:$I,0,0)</f>
        <v>0</v>
      </c>
      <c r="R270">
        <f t="shared" si="634"/>
        <v>0</v>
      </c>
      <c r="S270">
        <f t="shared" si="544"/>
        <v>0</v>
      </c>
      <c r="T270">
        <f>_xlfn.XLOOKUP(B270,'[2]april-2025'!$A:$A,'[2]april-2025'!$C:$C,0,0)</f>
        <v>0</v>
      </c>
      <c r="U270">
        <f t="shared" si="552"/>
        <v>0</v>
      </c>
      <c r="V270">
        <f t="shared" si="553"/>
        <v>0</v>
      </c>
      <c r="W270">
        <f>_xlfn.XLOOKUP(B270,'[2]april-2025'!$A:$A,'[2]april-2025'!$D:$D,0,0)</f>
        <v>0</v>
      </c>
      <c r="X270">
        <f>_xlfn.XLOOKUP(B270,'[2]april-2025'!$A:$A,'[2]april-2025'!$G:$G,0,0)</f>
        <v>0</v>
      </c>
      <c r="Y270">
        <f t="shared" si="545"/>
        <v>0</v>
      </c>
      <c r="Z270">
        <f>_xlfn.XLOOKUP(B270,'[2]april-2025'!$A:$A,'[2]april-2025'!$H:$H,0,0)</f>
        <v>0</v>
      </c>
      <c r="AA270">
        <f>_xlfn.XLOOKUP(B270,'[2]april-2025'!$A:$A,'[2]april-2025'!$I:$I,0,0)</f>
        <v>0</v>
      </c>
      <c r="AB270">
        <f t="shared" si="554"/>
        <v>0</v>
      </c>
      <c r="AC270">
        <f t="shared" si="555"/>
        <v>0</v>
      </c>
      <c r="AD270">
        <f>_xlfn.XLOOKUP(B270,'[3]may-2025'!$A:$A,'[3]may-2025'!$C:$C,0,0)</f>
        <v>24700</v>
      </c>
      <c r="AE270">
        <f t="shared" si="556"/>
        <v>4446</v>
      </c>
      <c r="AF270">
        <f t="shared" si="557"/>
        <v>2964</v>
      </c>
      <c r="AG270">
        <f>_xlfn.XLOOKUP(B270,'[3]may-2025'!$A:$A,'[3]may-2025'!$D:$D,0,0)</f>
        <v>0</v>
      </c>
      <c r="AH270">
        <f>_xlfn.XLOOKUP(B270,'[3]may-2025'!$A:$A,'[3]may-2025'!$G:$G,0,0)</f>
        <v>0</v>
      </c>
      <c r="AI270">
        <f t="shared" si="546"/>
        <v>32110</v>
      </c>
      <c r="AJ270">
        <f>_xlfn.XLOOKUP(B270,'[3]may-2025'!$A:$A,'[3]may-2025'!$H:$H,0,0)</f>
        <v>0</v>
      </c>
      <c r="AK270">
        <f>_xlfn.XLOOKUP(B270,'[3]may-2025'!$A:$A,'[3]may-2025'!$I:$I,0,0)</f>
        <v>0</v>
      </c>
      <c r="AL270">
        <f t="shared" si="558"/>
        <v>0</v>
      </c>
      <c r="AM270">
        <f t="shared" si="559"/>
        <v>32110</v>
      </c>
      <c r="AN270">
        <f>_xlfn.XLOOKUP(B270,'[4]june-2025'!$A:$A,'[4]june-2025'!$C:$C,0,0)</f>
        <v>24700</v>
      </c>
      <c r="AO270">
        <f t="shared" si="560"/>
        <v>4446</v>
      </c>
      <c r="AP270">
        <f t="shared" si="561"/>
        <v>2964</v>
      </c>
      <c r="AQ270">
        <f>_xlfn.XLOOKUP(B270,'[4]june-2025'!$A:$A,'[4]june-2025'!$D:$D,0,0)</f>
        <v>0</v>
      </c>
      <c r="AR270">
        <f>_xlfn.XLOOKUP(B270,'[4]june-2025'!$A:$A,'[4]june-2025'!$G:$G,0,0)</f>
        <v>0</v>
      </c>
      <c r="AS270">
        <f t="shared" si="547"/>
        <v>32110</v>
      </c>
      <c r="AT270">
        <f>_xlfn.XLOOKUP(B270,'[4]june-2025'!$A:$A,'[4]june-2025'!$H:$H,0,0)</f>
        <v>0</v>
      </c>
      <c r="AU270">
        <f>_xlfn.XLOOKUP(B270,'[4]june-2025'!$A:$A,'[4]june-2025'!$I:$I,0,0)</f>
        <v>0</v>
      </c>
      <c r="AV270">
        <f t="shared" si="562"/>
        <v>0</v>
      </c>
      <c r="AW270">
        <f t="shared" si="563"/>
        <v>32110</v>
      </c>
      <c r="AX270">
        <f>_xlfn.XLOOKUP(B270,'[5]july-2025'!$A:$A,'[5]july-2025'!$C:$C,0,0)</f>
        <v>25400</v>
      </c>
      <c r="AY270">
        <f t="shared" si="564"/>
        <v>4572</v>
      </c>
      <c r="AZ270">
        <v>0</v>
      </c>
      <c r="BA270">
        <f t="shared" si="565"/>
        <v>3048</v>
      </c>
      <c r="BB270">
        <f>_xlfn.XLOOKUP(B270,'[5]july-2025'!$A:$A,'[5]july-2025'!$D:$D,0,0)</f>
        <v>0</v>
      </c>
      <c r="BC270">
        <f>_xlfn.XLOOKUP(B270,'[5]july-2025'!$A:$A,'[5]july-2025'!$G:$G,0,0)</f>
        <v>0</v>
      </c>
      <c r="BD270">
        <f>IF(AX270&gt;0,SUM(AX270:BC270),0)</f>
        <v>33020</v>
      </c>
      <c r="BE270">
        <f>_xlfn.XLOOKUP(B270,'[5]july-2025'!$A:$A,'[5]july-2025'!$H:$H,0,0)</f>
        <v>0</v>
      </c>
      <c r="BF270">
        <f>_xlfn.XLOOKUP(B270,'[5]july-2025'!$A:$A,'[5]july-2025'!$I:$I,0,0)</f>
        <v>0</v>
      </c>
      <c r="BG270">
        <f t="shared" si="566"/>
        <v>0</v>
      </c>
      <c r="BH270">
        <f t="shared" si="567"/>
        <v>33020</v>
      </c>
      <c r="BI270">
        <f>_xlfn.XLOOKUP(B270,'[6]august-2025'!$A:$A,'[6]august-2025'!$C:$C,0,0)</f>
        <v>25400</v>
      </c>
      <c r="BJ270">
        <f t="shared" si="568"/>
        <v>4572</v>
      </c>
      <c r="BK270">
        <f t="shared" si="569"/>
        <v>3048</v>
      </c>
      <c r="BL270">
        <f>_xlfn.XLOOKUP(B270,'[6]august-2025'!$A:$A,'[6]august-2025'!$D:$D,0,0)</f>
        <v>0</v>
      </c>
      <c r="BM270">
        <f>_xlfn.XLOOKUP(B270,'[6]august-2025'!$A:$A,'[6]august-2025'!$G:$G,0,0)</f>
        <v>0</v>
      </c>
      <c r="BN270">
        <f t="shared" si="570"/>
        <v>33020</v>
      </c>
      <c r="BO270">
        <f>_xlfn.XLOOKUP(B270,'[6]august-2025'!$A:$A,'[6]august-2025'!$H:$H,0,0)</f>
        <v>2000</v>
      </c>
      <c r="BP270">
        <f>_xlfn.XLOOKUP(B270,'[6]august-2025'!$A:$A,'[6]august-2025'!$I:$I,0,0)</f>
        <v>0</v>
      </c>
      <c r="BQ270">
        <f>IF($F270="YES",0,IF(BN270&gt;40000,200,IF(BN270&gt;25000,150,IF(BN270&gt;15000,130,IF(BN270&gt;10000,110,0)))))</f>
        <v>0</v>
      </c>
      <c r="BR270">
        <f>BN270-BO270-BP270-BQ270</f>
        <v>31020</v>
      </c>
      <c r="BS270">
        <f>_xlfn.XLOOKUP(B270,'[7]september-2025'!$A:$A,'[7]september-2025'!$C:$C,0,0)</f>
        <v>25400</v>
      </c>
      <c r="BT270">
        <f t="shared" si="571"/>
        <v>4572</v>
      </c>
      <c r="BU270">
        <f t="shared" si="572"/>
        <v>3048</v>
      </c>
      <c r="BV270">
        <f>_xlfn.XLOOKUP(B270,'[7]september-2025'!$A:$A,'[7]september-2025'!$D:$D,0,0)</f>
        <v>0</v>
      </c>
      <c r="BW270">
        <f>_xlfn.XLOOKUP(B270,'[7]september-2025'!$A:$A,'[7]september-2025'!$G:$G,0,0)</f>
        <v>0</v>
      </c>
      <c r="BX270">
        <f>IF(BS270&gt;0,SUM(BS270:BW270),0)</f>
        <v>33020</v>
      </c>
      <c r="BY270">
        <f>_xlfn.XLOOKUP(B270,'[7]september-2025'!$A:$A,'[7]september-2025'!$H:$H,0,0)</f>
        <v>2000</v>
      </c>
      <c r="BZ270">
        <f>_xlfn.XLOOKUP(B270,'[7]september-2025'!$A:$A,'[7]september-2025'!$I:$I,0,0)</f>
        <v>0</v>
      </c>
      <c r="CA270">
        <f t="shared" si="573"/>
        <v>0</v>
      </c>
      <c r="CB270">
        <f t="shared" si="574"/>
        <v>31020</v>
      </c>
      <c r="CC270">
        <f>_xlfn.XLOOKUP(B270,'[8]october-2025'!$A:$A,'[8]october-2025'!$C:$C,0,0)</f>
        <v>25400</v>
      </c>
      <c r="CD270">
        <f t="shared" si="575"/>
        <v>4572</v>
      </c>
      <c r="CE270">
        <f t="shared" si="576"/>
        <v>3048</v>
      </c>
      <c r="CF270">
        <f>_xlfn.XLOOKUP(B270,'[8]october-2025'!$A:$A,'[8]october-2025'!$D:$D,0,0)</f>
        <v>0</v>
      </c>
      <c r="CG270">
        <f>_xlfn.XLOOKUP(B270,'[8]october-2025'!$A:$A,'[8]october-2025'!$G:$G,0,0)</f>
        <v>0</v>
      </c>
      <c r="CH270">
        <f>IF(CC270&gt;0,SUM(CC270:CG270),0)</f>
        <v>33020</v>
      </c>
      <c r="CI270">
        <f>_xlfn.XLOOKUP(B270,'[8]october-2025'!$A:$A,'[8]october-2025'!$H:$H,0,0)</f>
        <v>2000</v>
      </c>
      <c r="CJ270">
        <f>_xlfn.XLOOKUP(B270,'[8]october-2025'!$A:$A,'[8]october-2025'!$I:$I,0,0)</f>
        <v>0</v>
      </c>
      <c r="CK270">
        <f t="shared" si="577"/>
        <v>0</v>
      </c>
      <c r="CL270">
        <f t="shared" si="578"/>
        <v>31020</v>
      </c>
      <c r="CM270">
        <f>_xlfn.XLOOKUP(B270,'[9]november-2025'!$A:$A,'[9]november-2025'!$C:$C,0,0)</f>
        <v>25400</v>
      </c>
      <c r="CN270">
        <f t="shared" si="579"/>
        <v>4572</v>
      </c>
      <c r="CO270">
        <f t="shared" si="580"/>
        <v>3048</v>
      </c>
      <c r="CP270">
        <f>_xlfn.XLOOKUP(B270,'[9]november-2025'!$A:$A,'[9]november-2025'!$D:$D,0,0)</f>
        <v>0</v>
      </c>
      <c r="CQ270">
        <f>_xlfn.XLOOKUP(B270,'[9]november-2025'!$A:$A,'[9]november-2025'!$G:$G,0,0)</f>
        <v>0</v>
      </c>
      <c r="CR270">
        <f>IF(CM270&gt;0,SUM(CM270:CQ270),0)</f>
        <v>33020</v>
      </c>
      <c r="CS270">
        <f>_xlfn.XLOOKUP(B270,'[9]november-2025'!$A:$A,'[9]november-2025'!$H:$H,0,0)</f>
        <v>2000</v>
      </c>
      <c r="CT270">
        <f>_xlfn.XLOOKUP(B270,'[9]november-2025'!$A:$A,'[9]november-2025'!$I:$I,0,0)</f>
        <v>0</v>
      </c>
      <c r="CU270">
        <f t="shared" si="581"/>
        <v>0</v>
      </c>
      <c r="CV270">
        <f t="shared" si="582"/>
        <v>31020</v>
      </c>
      <c r="CW270">
        <f>_xlfn.XLOOKUP(B270,'[10]december-2025'!$A:$A,'[10]december-2025'!$C:$C,0,0)</f>
        <v>25400</v>
      </c>
      <c r="CX270">
        <f t="shared" si="583"/>
        <v>4572</v>
      </c>
      <c r="CY270">
        <f t="shared" si="584"/>
        <v>3048</v>
      </c>
      <c r="CZ270">
        <f>_xlfn.XLOOKUP(B270,'[10]december-2025'!$A:$A,'[10]december-2025'!$D:$D,0,0)</f>
        <v>0</v>
      </c>
      <c r="DA270">
        <f>_xlfn.XLOOKUP(B270,'[10]december-2025'!$A:$A,'[10]december-2025'!$G:$G,0,0)</f>
        <v>0</v>
      </c>
      <c r="DB270">
        <f>IF(CW270&gt;0,SUM(CW270:DA270),0)</f>
        <v>33020</v>
      </c>
      <c r="DC270">
        <f>_xlfn.XLOOKUP(B270,'[10]december-2025'!$A:$A,'[10]december-2025'!$H:$H,0,0)</f>
        <v>2000</v>
      </c>
      <c r="DD270">
        <f>_xlfn.XLOOKUP(B270,'[10]december-2025'!$A:$A,'[10]december-2025'!$I:$I,0,0)</f>
        <v>0</v>
      </c>
      <c r="DE270">
        <f t="shared" si="585"/>
        <v>0</v>
      </c>
      <c r="DF270">
        <f t="shared" si="586"/>
        <v>31020</v>
      </c>
      <c r="DG270">
        <f>_xlfn.XLOOKUP(B270,'[11]january-2026'!$A:$A,'[11]january-2026'!$C:$C,0,0)</f>
        <v>25400</v>
      </c>
      <c r="DH270">
        <f t="shared" si="587"/>
        <v>4572</v>
      </c>
      <c r="DI270">
        <f t="shared" si="588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>IF(DG270&gt;0,SUM(DG270:DK270),0)</f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589"/>
        <v>0</v>
      </c>
      <c r="DP270">
        <f t="shared" si="590"/>
        <v>31020</v>
      </c>
      <c r="DQ270">
        <f>_xlfn.XLOOKUP(B270,'[12]february-2026'!$A:$A,'[12]february-2026'!$C:$C,0,0)</f>
        <v>25400</v>
      </c>
      <c r="DR270">
        <f t="shared" si="591"/>
        <v>4572</v>
      </c>
      <c r="DS270">
        <f t="shared" si="592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>IF(DQ270&gt;0,SUM(DQ270:DU270),0)</f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593"/>
        <v>0</v>
      </c>
      <c r="DZ270">
        <f t="shared" si="594"/>
        <v>31020</v>
      </c>
      <c r="EA270">
        <f>_xlfn.XLOOKUP(B270,'[1]march-2025'!$A:$A,'[1]march-2025'!$J:$J,0,0)</f>
        <v>0</v>
      </c>
      <c r="EB270">
        <f>_xlfn.XLOOKUP(B270,'[2]april-2025'!$A:$A,'[2]april-2025'!$J:$J,0,0)</f>
        <v>0</v>
      </c>
      <c r="EC270">
        <f>_xlfn.XLOOKUP(B270,'[3]may-2025'!$A:$A,'[3]may-2025'!$J:$J,0,0)</f>
        <v>0</v>
      </c>
      <c r="ED270">
        <f>_xlfn.XLOOKUP(B270,'[4]june-2025'!$A:$A,'[4]june-2025'!$J:$J,0,0)</f>
        <v>0</v>
      </c>
      <c r="EE270">
        <f>_xlfn.XLOOKUP(B270,'[5]july-2025'!$A:$A,'[5]july-2025'!$J:$J,0,0)</f>
        <v>0</v>
      </c>
      <c r="EF270">
        <f>_xlfn.XLOOKUP(B270,'[6]august-2025'!$A:$A,'[6]august-2025'!$J:$J,0,0)</f>
        <v>0</v>
      </c>
      <c r="EG270">
        <f>_xlfn.XLOOKUP(B270,'[7]september-2025'!$A:$A,'[7]september-2025'!$J:$J,0,0)</f>
        <v>0</v>
      </c>
      <c r="EH270">
        <f>_xlfn.XLOOKUP(B270,'[8]october-2025'!$A:$A,'[8]october-2025'!$J:$J,0,0)</f>
        <v>0</v>
      </c>
      <c r="EI270">
        <f>_xlfn.XLOOKUP(C270,'[9]november-2025'!$A:$A,'[9]november-2025'!$J:$J,0,0)</f>
        <v>0</v>
      </c>
      <c r="EJ270">
        <f>_xlfn.XLOOKUP(B270,'[10]december-2025'!$A:$A,'[10]december-2025'!$J:$J,0,0)</f>
        <v>0</v>
      </c>
      <c r="EK270">
        <f>_xlfn.XLOOKUP(B270,'[11]january-2026'!$A:$A,'[11]january-2026'!$J:$J,0,0)</f>
        <v>0</v>
      </c>
      <c r="EL270">
        <f>_xlfn.XLOOKUP(B270,'[12]february-2026'!$A:$A,'[12]february-2026'!$J:$J,0,0)</f>
        <v>0</v>
      </c>
      <c r="EM270">
        <f t="shared" si="548"/>
        <v>0</v>
      </c>
      <c r="EN270">
        <f>DV270+DL270+DB270+CR270+CH270+BX270+BN270+BD270+AS270+AI270+Y270+O270+H270+I270</f>
        <v>335180</v>
      </c>
      <c r="EO270">
        <f>DY270+DO270+DE270+CU270+CK270+CA270+BQ270+BG270+AV270+AL270+AB270+R270</f>
        <v>0</v>
      </c>
      <c r="EP270">
        <f t="shared" si="595"/>
        <v>50000</v>
      </c>
      <c r="EQ270">
        <v>0</v>
      </c>
      <c r="ER270">
        <f t="shared" si="549"/>
        <v>285180</v>
      </c>
      <c r="ES270">
        <f>DW270+DM270+DC270+CS270+CI270+BY270+BO270+BE270+AT270+AJ270+Z270+P270</f>
        <v>14000</v>
      </c>
      <c r="ET270">
        <f>DX270+DN270+DD270+CT270+CJ270+BZ270+BP270+BF270+AU270+AK270+AA270+Q270</f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596"/>
        <v>14000</v>
      </c>
      <c r="FF270">
        <f t="shared" si="597"/>
        <v>14000</v>
      </c>
      <c r="FG270">
        <f t="shared" si="598"/>
        <v>271180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>SUM(FH270:FN270)+(IF(F270="YES",50000,0))</f>
        <v>50000</v>
      </c>
      <c r="FP270">
        <f t="shared" si="599"/>
        <v>221180</v>
      </c>
      <c r="FQ270">
        <f t="shared" si="600"/>
        <v>-1441</v>
      </c>
      <c r="FR270">
        <f t="shared" si="601"/>
        <v>0</v>
      </c>
      <c r="FS270">
        <f t="shared" si="602"/>
        <v>-1441</v>
      </c>
      <c r="FT270">
        <f t="shared" si="603"/>
        <v>0</v>
      </c>
      <c r="FU270">
        <f t="shared" si="604"/>
        <v>0</v>
      </c>
      <c r="FV270">
        <f t="shared" si="605"/>
        <v>0</v>
      </c>
      <c r="FW270">
        <v>0</v>
      </c>
      <c r="FX270">
        <f t="shared" si="606"/>
        <v>0</v>
      </c>
      <c r="FY270" t="b">
        <f t="shared" si="607"/>
        <v>0</v>
      </c>
      <c r="FZ270">
        <f t="shared" ca="1" si="608"/>
        <v>1331</v>
      </c>
      <c r="GA270">
        <f t="shared" ca="1" si="609"/>
        <v>336511</v>
      </c>
      <c r="GB270">
        <f t="shared" si="610"/>
        <v>75000</v>
      </c>
      <c r="GC270">
        <f t="shared" ca="1" si="611"/>
        <v>261511</v>
      </c>
      <c r="GD270">
        <f t="shared" ca="1" si="612"/>
        <v>0</v>
      </c>
      <c r="GE270">
        <f t="shared" ca="1" si="613"/>
        <v>0</v>
      </c>
      <c r="GF270">
        <f t="shared" ca="1" si="614"/>
        <v>0</v>
      </c>
      <c r="GG270">
        <f t="shared" ca="1" si="615"/>
        <v>0</v>
      </c>
      <c r="GH270">
        <f t="shared" ca="1" si="616"/>
        <v>0</v>
      </c>
      <c r="GI270">
        <f t="shared" ca="1" si="617"/>
        <v>0</v>
      </c>
      <c r="GJ270">
        <f ca="1">IF(GC270&gt;1200000,GC270-1200000-IF(F270="YES",50000,0)-GH270,0)</f>
        <v>0</v>
      </c>
      <c r="GK270">
        <f t="shared" ca="1" si="618"/>
        <v>0</v>
      </c>
      <c r="GL270">
        <f t="shared" ca="1" si="619"/>
        <v>0</v>
      </c>
      <c r="GM270">
        <f t="shared" ca="1" si="620"/>
        <v>0</v>
      </c>
      <c r="GN270">
        <f t="shared" ca="1" si="621"/>
        <v>0</v>
      </c>
      <c r="GO270">
        <f t="shared" ca="1" si="622"/>
        <v>0</v>
      </c>
      <c r="GP270">
        <f t="shared" ca="1" si="623"/>
        <v>0</v>
      </c>
      <c r="GQ270">
        <f t="shared" ca="1" si="624"/>
        <v>0</v>
      </c>
      <c r="GR270">
        <f t="shared" ca="1" si="625"/>
        <v>0</v>
      </c>
      <c r="GS270">
        <f t="shared" ca="1" si="626"/>
        <v>0</v>
      </c>
      <c r="GT270">
        <f t="shared" ca="1" si="627"/>
        <v>0</v>
      </c>
      <c r="GU270" t="b">
        <f t="shared" ca="1" si="628"/>
        <v>0</v>
      </c>
      <c r="GV270">
        <f t="shared" ca="1" si="629"/>
        <v>0</v>
      </c>
      <c r="GW270">
        <f t="shared" ca="1" si="630"/>
        <v>0</v>
      </c>
      <c r="GX270">
        <f t="shared" ca="1" si="631"/>
        <v>0</v>
      </c>
      <c r="GY270">
        <f t="shared" ca="1" si="632"/>
        <v>0</v>
      </c>
      <c r="GZ270">
        <f t="shared" ca="1" si="633"/>
        <v>0</v>
      </c>
    </row>
    <row r="271" spans="1:208" x14ac:dyDescent="0.25">
      <c r="A271">
        <f>_xlfn.AGGREGATE(3,5,$B$2:B271)</f>
        <v>270</v>
      </c>
      <c r="B271" t="s">
        <v>641</v>
      </c>
      <c r="C271" t="s">
        <v>642</v>
      </c>
      <c r="D271" t="s">
        <v>820</v>
      </c>
      <c r="E271" t="s">
        <v>831</v>
      </c>
      <c r="F271" t="s">
        <v>957</v>
      </c>
      <c r="G271" t="s">
        <v>885</v>
      </c>
      <c r="H271">
        <f t="shared" si="635"/>
        <v>6800</v>
      </c>
      <c r="I271">
        <f>_xlfn.XLOOKUP(B271,'[1]march-2025'!$A:$A,'[1]march-2025'!$J:$J,0,0)</f>
        <v>0</v>
      </c>
      <c r="J271">
        <f>_xlfn.XLOOKUP(B271,'[1]march-2025'!$A:$A,'[1]march-2025'!$C:$C,0,0)</f>
        <v>48700</v>
      </c>
      <c r="K271">
        <f t="shared" si="550"/>
        <v>6818.0000000000009</v>
      </c>
      <c r="L271">
        <f t="shared" si="551"/>
        <v>5844</v>
      </c>
      <c r="M271">
        <f>_xlfn.XLOOKUP(B271,'[1]march-2025'!$A:$A,'[1]march-2025'!$D:$D,0,0)</f>
        <v>400</v>
      </c>
      <c r="N271">
        <f>_xlfn.XLOOKUP(B271,'[1]march-2025'!$A:$A,'[1]march-2025'!$G:$G,0,0)</f>
        <v>0</v>
      </c>
      <c r="O271">
        <f>IF(J271&gt;0,SUM(J271:N271),0)</f>
        <v>61762</v>
      </c>
      <c r="P271">
        <f>_xlfn.XLOOKUP(B271,'[1]march-2025'!$A:$A,'[1]march-2025'!$H:$H,0,0)</f>
        <v>5000</v>
      </c>
      <c r="Q271">
        <f>_xlfn.XLOOKUP(B271,'[1]march-2025'!$A:$A,'[1]march-2025'!$I:$I,0,0)</f>
        <v>60</v>
      </c>
      <c r="R271">
        <f t="shared" si="634"/>
        <v>200</v>
      </c>
      <c r="S271">
        <f t="shared" si="544"/>
        <v>56502</v>
      </c>
      <c r="T271">
        <f>_xlfn.XLOOKUP(B271,'[2]april-2025'!$A:$A,'[2]april-2025'!$C:$C,0,0)</f>
        <v>48700</v>
      </c>
      <c r="U271">
        <f t="shared" si="552"/>
        <v>8766</v>
      </c>
      <c r="V271">
        <f t="shared" si="553"/>
        <v>5844</v>
      </c>
      <c r="W271">
        <f>_xlfn.XLOOKUP(B271,'[2]april-2025'!$A:$A,'[2]april-2025'!$D:$D,0,0)</f>
        <v>400</v>
      </c>
      <c r="X271">
        <f>_xlfn.XLOOKUP(B271,'[2]april-2025'!$A:$A,'[2]april-2025'!$G:$G,0,0)</f>
        <v>0</v>
      </c>
      <c r="Y271">
        <f t="shared" si="545"/>
        <v>63710</v>
      </c>
      <c r="Z271">
        <f>_xlfn.XLOOKUP(B271,'[2]april-2025'!$A:$A,'[2]april-2025'!$H:$H,0,0)</f>
        <v>5000</v>
      </c>
      <c r="AA271">
        <f>_xlfn.XLOOKUP(B271,'[2]april-2025'!$A:$A,'[2]april-2025'!$I:$I,0,0)</f>
        <v>60</v>
      </c>
      <c r="AB271">
        <f t="shared" si="554"/>
        <v>200</v>
      </c>
      <c r="AC271">
        <f t="shared" si="555"/>
        <v>58450</v>
      </c>
      <c r="AD271">
        <f>_xlfn.XLOOKUP(B271,'[3]may-2025'!$A:$A,'[3]may-2025'!$C:$C,0,0)</f>
        <v>48700</v>
      </c>
      <c r="AE271">
        <f t="shared" si="556"/>
        <v>8766</v>
      </c>
      <c r="AF271">
        <f t="shared" si="557"/>
        <v>5844</v>
      </c>
      <c r="AG271">
        <f>_xlfn.XLOOKUP(B271,'[3]may-2025'!$A:$A,'[3]may-2025'!$D:$D,0,0)</f>
        <v>400</v>
      </c>
      <c r="AH271">
        <f>_xlfn.XLOOKUP(B271,'[3]may-2025'!$A:$A,'[3]may-2025'!$G:$G,0,0)</f>
        <v>0</v>
      </c>
      <c r="AI271">
        <f t="shared" si="546"/>
        <v>63710</v>
      </c>
      <c r="AJ271">
        <f>_xlfn.XLOOKUP(B271,'[3]may-2025'!$A:$A,'[3]may-2025'!$H:$H,0,0)</f>
        <v>5000</v>
      </c>
      <c r="AK271">
        <f>_xlfn.XLOOKUP(B271,'[3]may-2025'!$A:$A,'[3]may-2025'!$I:$I,0,0)</f>
        <v>60</v>
      </c>
      <c r="AL271">
        <f t="shared" si="558"/>
        <v>200</v>
      </c>
      <c r="AM271">
        <f t="shared" si="559"/>
        <v>58450</v>
      </c>
      <c r="AN271">
        <f>_xlfn.XLOOKUP(B271,'[4]june-2025'!$A:$A,'[4]june-2025'!$C:$C,0,0)</f>
        <v>48700</v>
      </c>
      <c r="AO271">
        <f t="shared" si="560"/>
        <v>8766</v>
      </c>
      <c r="AP271">
        <f t="shared" si="561"/>
        <v>5844</v>
      </c>
      <c r="AQ271">
        <f>_xlfn.XLOOKUP(B271,'[4]june-2025'!$A:$A,'[4]june-2025'!$D:$D,0,0)</f>
        <v>400</v>
      </c>
      <c r="AR271">
        <f>_xlfn.XLOOKUP(B271,'[4]june-2025'!$A:$A,'[4]june-2025'!$G:$G,0,0)</f>
        <v>0</v>
      </c>
      <c r="AS271">
        <f t="shared" si="547"/>
        <v>63710</v>
      </c>
      <c r="AT271">
        <f>_xlfn.XLOOKUP(B271,'[4]june-2025'!$A:$A,'[4]june-2025'!$H:$H,0,0)</f>
        <v>5000</v>
      </c>
      <c r="AU271">
        <f>_xlfn.XLOOKUP(B271,'[4]june-2025'!$A:$A,'[4]june-2025'!$I:$I,0,0)</f>
        <v>60</v>
      </c>
      <c r="AV271">
        <f t="shared" si="562"/>
        <v>200</v>
      </c>
      <c r="AW271">
        <f t="shared" si="563"/>
        <v>58450</v>
      </c>
      <c r="AX271">
        <f>_xlfn.XLOOKUP(B271,'[5]july-2025'!$A:$A,'[5]july-2025'!$C:$C,0,0)</f>
        <v>50200</v>
      </c>
      <c r="AY271">
        <f t="shared" si="564"/>
        <v>9036</v>
      </c>
      <c r="AZ271">
        <v>0</v>
      </c>
      <c r="BA271">
        <f t="shared" si="565"/>
        <v>6024</v>
      </c>
      <c r="BB271">
        <f>_xlfn.XLOOKUP(B271,'[5]july-2025'!$A:$A,'[5]july-2025'!$D:$D,0,0)</f>
        <v>400</v>
      </c>
      <c r="BC271">
        <f>_xlfn.XLOOKUP(B271,'[5]july-2025'!$A:$A,'[5]july-2025'!$G:$G,0,0)</f>
        <v>0</v>
      </c>
      <c r="BD271">
        <f>IF(AX271&gt;0,SUM(AX271:BC271),0)</f>
        <v>65660</v>
      </c>
      <c r="BE271">
        <f>_xlfn.XLOOKUP(B271,'[5]july-2025'!$A:$A,'[5]july-2025'!$H:$H,0,0)</f>
        <v>5000</v>
      </c>
      <c r="BF271">
        <f>_xlfn.XLOOKUP(B271,'[5]july-2025'!$A:$A,'[5]july-2025'!$I:$I,0,0)</f>
        <v>60</v>
      </c>
      <c r="BG271">
        <f t="shared" si="566"/>
        <v>200</v>
      </c>
      <c r="BH271">
        <f t="shared" si="567"/>
        <v>60400</v>
      </c>
      <c r="BI271">
        <f>_xlfn.XLOOKUP(B271,'[6]august-2025'!$A:$A,'[6]august-2025'!$C:$C,0,0)</f>
        <v>50200</v>
      </c>
      <c r="BJ271">
        <f t="shared" si="568"/>
        <v>9036</v>
      </c>
      <c r="BK271">
        <f t="shared" si="569"/>
        <v>6024</v>
      </c>
      <c r="BL271">
        <f>_xlfn.XLOOKUP(B271,'[6]august-2025'!$A:$A,'[6]august-2025'!$D:$D,0,0)</f>
        <v>400</v>
      </c>
      <c r="BM271">
        <f>_xlfn.XLOOKUP(B271,'[6]august-2025'!$A:$A,'[6]august-2025'!$G:$G,0,0)</f>
        <v>0</v>
      </c>
      <c r="BN271">
        <f t="shared" si="570"/>
        <v>65660</v>
      </c>
      <c r="BO271">
        <f>_xlfn.XLOOKUP(B271,'[6]august-2025'!$A:$A,'[6]august-2025'!$H:$H,0,0)</f>
        <v>5000</v>
      </c>
      <c r="BP271">
        <f>_xlfn.XLOOKUP(B271,'[6]august-2025'!$A:$A,'[6]august-2025'!$I:$I,0,0)</f>
        <v>60</v>
      </c>
      <c r="BQ271">
        <f>IF($F271="YES",0,IF(BN271&gt;40000,200,IF(BN271&gt;25000,150,IF(BN271&gt;15000,130,IF(BN271&gt;10000,110,0)))))</f>
        <v>200</v>
      </c>
      <c r="BR271">
        <f>BN271-BO271-BP271-BQ271</f>
        <v>60400</v>
      </c>
      <c r="BS271">
        <f>_xlfn.XLOOKUP(B271,'[7]september-2025'!$A:$A,'[7]september-2025'!$C:$C,0,0)</f>
        <v>50200</v>
      </c>
      <c r="BT271">
        <f t="shared" si="571"/>
        <v>9036</v>
      </c>
      <c r="BU271">
        <f t="shared" si="572"/>
        <v>6024</v>
      </c>
      <c r="BV271">
        <f>_xlfn.XLOOKUP(B271,'[7]september-2025'!$A:$A,'[7]september-2025'!$D:$D,0,0)</f>
        <v>400</v>
      </c>
      <c r="BW271">
        <f>_xlfn.XLOOKUP(B271,'[7]september-2025'!$A:$A,'[7]september-2025'!$G:$G,0,0)</f>
        <v>0</v>
      </c>
      <c r="BX271">
        <f>IF(BS271&gt;0,SUM(BS271:BW271),0)</f>
        <v>65660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60</v>
      </c>
      <c r="CA271">
        <f t="shared" si="573"/>
        <v>200</v>
      </c>
      <c r="CB271">
        <f t="shared" si="574"/>
        <v>60400</v>
      </c>
      <c r="CC271">
        <f>_xlfn.XLOOKUP(B271,'[8]october-2025'!$A:$A,'[8]october-2025'!$C:$C,0,0)</f>
        <v>50200</v>
      </c>
      <c r="CD271">
        <f t="shared" si="575"/>
        <v>9036</v>
      </c>
      <c r="CE271">
        <f t="shared" si="576"/>
        <v>6024</v>
      </c>
      <c r="CF271">
        <f>_xlfn.XLOOKUP(B271,'[8]october-2025'!$A:$A,'[8]october-2025'!$D:$D,0,0)</f>
        <v>400</v>
      </c>
      <c r="CG271">
        <f>_xlfn.XLOOKUP(B271,'[8]october-2025'!$A:$A,'[8]october-2025'!$G:$G,0,0)</f>
        <v>0</v>
      </c>
      <c r="CH271">
        <f>IF(CC271&gt;0,SUM(CC271:CG271),0)</f>
        <v>65660</v>
      </c>
      <c r="CI271">
        <f>_xlfn.XLOOKUP(B271,'[8]october-2025'!$A:$A,'[8]october-2025'!$H:$H,0,0)</f>
        <v>5000</v>
      </c>
      <c r="CJ271">
        <f>_xlfn.XLOOKUP(B271,'[8]october-2025'!$A:$A,'[8]october-2025'!$I:$I,0,0)</f>
        <v>60</v>
      </c>
      <c r="CK271">
        <f t="shared" si="577"/>
        <v>200</v>
      </c>
      <c r="CL271">
        <f t="shared" si="578"/>
        <v>60400</v>
      </c>
      <c r="CM271">
        <f>_xlfn.XLOOKUP(B271,'[9]november-2025'!$A:$A,'[9]november-2025'!$C:$C,0,0)</f>
        <v>50200</v>
      </c>
      <c r="CN271">
        <f t="shared" si="579"/>
        <v>9036</v>
      </c>
      <c r="CO271">
        <f t="shared" si="580"/>
        <v>6024</v>
      </c>
      <c r="CP271">
        <f>_xlfn.XLOOKUP(B271,'[9]november-2025'!$A:$A,'[9]november-2025'!$D:$D,0,0)</f>
        <v>400</v>
      </c>
      <c r="CQ271">
        <f>_xlfn.XLOOKUP(B271,'[9]november-2025'!$A:$A,'[9]november-2025'!$G:$G,0,0)</f>
        <v>0</v>
      </c>
      <c r="CR271">
        <f>IF(CM271&gt;0,SUM(CM271:CQ271),0)</f>
        <v>65660</v>
      </c>
      <c r="CS271">
        <f>_xlfn.XLOOKUP(B271,'[9]november-2025'!$A:$A,'[9]november-2025'!$H:$H,0,0)</f>
        <v>5000</v>
      </c>
      <c r="CT271">
        <f>_xlfn.XLOOKUP(B271,'[9]november-2025'!$A:$A,'[9]november-2025'!$I:$I,0,0)</f>
        <v>60</v>
      </c>
      <c r="CU271">
        <f t="shared" si="581"/>
        <v>200</v>
      </c>
      <c r="CV271">
        <f t="shared" si="582"/>
        <v>60400</v>
      </c>
      <c r="CW271">
        <f>_xlfn.XLOOKUP(B271,'[10]december-2025'!$A:$A,'[10]december-2025'!$C:$C,0,0)</f>
        <v>50200</v>
      </c>
      <c r="CX271">
        <f t="shared" si="583"/>
        <v>9036</v>
      </c>
      <c r="CY271">
        <f t="shared" si="584"/>
        <v>6024</v>
      </c>
      <c r="CZ271">
        <f>_xlfn.XLOOKUP(B271,'[10]december-2025'!$A:$A,'[10]december-2025'!$D:$D,0,0)</f>
        <v>400</v>
      </c>
      <c r="DA271">
        <f>_xlfn.XLOOKUP(B271,'[10]december-2025'!$A:$A,'[10]december-2025'!$G:$G,0,0)</f>
        <v>0</v>
      </c>
      <c r="DB271">
        <f>IF(CW271&gt;0,SUM(CW271:DA271),0)</f>
        <v>65660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60</v>
      </c>
      <c r="DE271">
        <f t="shared" si="585"/>
        <v>200</v>
      </c>
      <c r="DF271">
        <f t="shared" si="586"/>
        <v>60400</v>
      </c>
      <c r="DG271">
        <f>_xlfn.XLOOKUP(B271,'[11]january-2026'!$A:$A,'[11]january-2026'!$C:$C,0,0)</f>
        <v>50200</v>
      </c>
      <c r="DH271">
        <f t="shared" si="587"/>
        <v>9036</v>
      </c>
      <c r="DI271">
        <f t="shared" si="588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>IF(DG271&gt;0,SUM(DG271:DK271),0)</f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589"/>
        <v>200</v>
      </c>
      <c r="DP271">
        <f t="shared" si="590"/>
        <v>60400</v>
      </c>
      <c r="DQ271">
        <f>_xlfn.XLOOKUP(B271,'[12]february-2026'!$A:$A,'[12]february-2026'!$C:$C,0,0)</f>
        <v>50200</v>
      </c>
      <c r="DR271">
        <f t="shared" si="591"/>
        <v>9036</v>
      </c>
      <c r="DS271">
        <f t="shared" si="592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>IF(DQ271&gt;0,SUM(DQ271:DU271),0)</f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593"/>
        <v>200</v>
      </c>
      <c r="DZ271">
        <f t="shared" si="594"/>
        <v>60400</v>
      </c>
      <c r="EA271">
        <f>_xlfn.XLOOKUP(B271,'[1]march-2025'!$A:$A,'[1]march-2025'!$J:$J,0,0)</f>
        <v>0</v>
      </c>
      <c r="EB271">
        <f>_xlfn.XLOOKUP(B271,'[2]april-2025'!$A:$A,'[2]april-2025'!$J:$J,0,0)</f>
        <v>0</v>
      </c>
      <c r="EC271">
        <f>_xlfn.XLOOKUP(B271,'[3]may-2025'!$A:$A,'[3]may-2025'!$J:$J,0,0)</f>
        <v>0</v>
      </c>
      <c r="ED271">
        <f>_xlfn.XLOOKUP(B271,'[4]june-2025'!$A:$A,'[4]june-2025'!$J:$J,0,0)</f>
        <v>0</v>
      </c>
      <c r="EE271">
        <f>_xlfn.XLOOKUP(B271,'[5]july-2025'!$A:$A,'[5]july-2025'!$J:$J,0,0)</f>
        <v>0</v>
      </c>
      <c r="EF271">
        <f>_xlfn.XLOOKUP(B271,'[6]august-2025'!$A:$A,'[6]august-2025'!$J:$J,0,0)</f>
        <v>0</v>
      </c>
      <c r="EG271">
        <f>_xlfn.XLOOKUP(B271,'[7]september-2025'!$A:$A,'[7]september-2025'!$J:$J,0,0)</f>
        <v>0</v>
      </c>
      <c r="EH271">
        <f>_xlfn.XLOOKUP(B271,'[8]october-2025'!$A:$A,'[8]october-2025'!$J:$J,0,0)</f>
        <v>0</v>
      </c>
      <c r="EI271">
        <f>_xlfn.XLOOKUP(C271,'[9]november-2025'!$A:$A,'[9]november-2025'!$J:$J,0,0)</f>
        <v>0</v>
      </c>
      <c r="EJ271">
        <f>_xlfn.XLOOKUP(B271,'[10]december-2025'!$A:$A,'[10]december-2025'!$J:$J,0,0)</f>
        <v>0</v>
      </c>
      <c r="EK271">
        <f>_xlfn.XLOOKUP(B271,'[11]january-2026'!$A:$A,'[11]january-2026'!$J:$J,0,0)</f>
        <v>0</v>
      </c>
      <c r="EL271">
        <f>_xlfn.XLOOKUP(B271,'[12]february-2026'!$A:$A,'[12]february-2026'!$J:$J,0,0)</f>
        <v>0</v>
      </c>
      <c r="EM271">
        <f t="shared" si="548"/>
        <v>0</v>
      </c>
      <c r="EN271">
        <f>DV271+DL271+DB271+CR271+CH271+BX271+BN271+BD271+AS271+AI271+Y271+O271+H271+I271</f>
        <v>784972</v>
      </c>
      <c r="EO271">
        <f>DY271+DO271+DE271+CU271+CK271+CA271+BQ271+BG271+AV271+AL271+AB271+R271</f>
        <v>2400</v>
      </c>
      <c r="EP271">
        <f t="shared" si="595"/>
        <v>50000</v>
      </c>
      <c r="EQ271">
        <v>0</v>
      </c>
      <c r="ER271">
        <f t="shared" si="549"/>
        <v>732572</v>
      </c>
      <c r="ES271">
        <f>DW271+DM271+DC271+CS271+CI271+BY271+BO271+BE271+AT271+AJ271+Z271+P271</f>
        <v>60000</v>
      </c>
      <c r="ET271">
        <f>DX271+DN271+DD271+CT271+CJ271+BZ271+BP271+BF271+AU271+AK271+AA271+Q271</f>
        <v>720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596"/>
        <v>60720</v>
      </c>
      <c r="FF271">
        <f t="shared" si="597"/>
        <v>60720</v>
      </c>
      <c r="FG271">
        <f t="shared" si="598"/>
        <v>671852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>SUM(FH271:FN271)+(IF(F271="YES",50000,0))</f>
        <v>0</v>
      </c>
      <c r="FP271">
        <f t="shared" si="599"/>
        <v>671852</v>
      </c>
      <c r="FQ271">
        <f t="shared" si="600"/>
        <v>12500</v>
      </c>
      <c r="FR271">
        <f t="shared" si="601"/>
        <v>34370</v>
      </c>
      <c r="FS271">
        <f t="shared" si="602"/>
        <v>46870</v>
      </c>
      <c r="FT271">
        <f t="shared" si="603"/>
        <v>46870</v>
      </c>
      <c r="FU271">
        <f t="shared" si="604"/>
        <v>1874.8</v>
      </c>
      <c r="FV271">
        <f t="shared" si="605"/>
        <v>48745</v>
      </c>
      <c r="FW271">
        <v>0</v>
      </c>
      <c r="FX271">
        <f t="shared" si="606"/>
        <v>48745</v>
      </c>
      <c r="FY271" t="b">
        <f t="shared" si="607"/>
        <v>1</v>
      </c>
      <c r="FZ271">
        <f t="shared" ca="1" si="608"/>
        <v>583</v>
      </c>
      <c r="GA271">
        <f t="shared" ca="1" si="609"/>
        <v>785555</v>
      </c>
      <c r="GB271">
        <f t="shared" si="610"/>
        <v>75000</v>
      </c>
      <c r="GC271">
        <f t="shared" ca="1" si="611"/>
        <v>710555</v>
      </c>
      <c r="GD271">
        <f t="shared" ca="1" si="612"/>
        <v>0</v>
      </c>
      <c r="GE271">
        <f t="shared" ca="1" si="613"/>
        <v>0</v>
      </c>
      <c r="GF271">
        <f t="shared" ca="1" si="614"/>
        <v>0</v>
      </c>
      <c r="GG271">
        <f t="shared" ca="1" si="615"/>
        <v>0</v>
      </c>
      <c r="GH271">
        <f t="shared" ca="1" si="616"/>
        <v>0</v>
      </c>
      <c r="GI271">
        <f t="shared" ca="1" si="617"/>
        <v>0</v>
      </c>
      <c r="GJ271">
        <f ca="1">IF(GC271&gt;1200000,GC271-1200000-IF(F271="YES",50000,0)-GH271,0)</f>
        <v>0</v>
      </c>
      <c r="GK271">
        <f t="shared" ca="1" si="618"/>
        <v>0</v>
      </c>
      <c r="GL271">
        <f t="shared" ca="1" si="619"/>
        <v>0</v>
      </c>
      <c r="GM271">
        <f t="shared" ca="1" si="620"/>
        <v>0</v>
      </c>
      <c r="GN271">
        <f t="shared" ca="1" si="621"/>
        <v>310555</v>
      </c>
      <c r="GO271">
        <f t="shared" ca="1" si="622"/>
        <v>15527.75</v>
      </c>
      <c r="GP271">
        <f t="shared" ca="1" si="623"/>
        <v>15528</v>
      </c>
      <c r="GQ271">
        <f t="shared" ca="1" si="624"/>
        <v>0</v>
      </c>
      <c r="GR271">
        <f t="shared" ca="1" si="625"/>
        <v>0</v>
      </c>
      <c r="GS271">
        <f t="shared" ca="1" si="626"/>
        <v>15528</v>
      </c>
      <c r="GT271">
        <f t="shared" ca="1" si="627"/>
        <v>0</v>
      </c>
      <c r="GU271" t="b">
        <f t="shared" ca="1" si="628"/>
        <v>0</v>
      </c>
      <c r="GV271">
        <f t="shared" ca="1" si="629"/>
        <v>0</v>
      </c>
      <c r="GW271">
        <f t="shared" ca="1" si="630"/>
        <v>15528</v>
      </c>
      <c r="GX271">
        <f t="shared" ca="1" si="631"/>
        <v>0</v>
      </c>
      <c r="GY271">
        <f t="shared" ca="1" si="632"/>
        <v>0</v>
      </c>
      <c r="GZ271">
        <f t="shared" ca="1" si="633"/>
        <v>0</v>
      </c>
    </row>
    <row r="272" spans="1:208" x14ac:dyDescent="0.25">
      <c r="A272">
        <f>_xlfn.AGGREGATE(3,5,$B$2:B272)</f>
        <v>271</v>
      </c>
      <c r="B272" t="s">
        <v>643</v>
      </c>
      <c r="C272" t="s">
        <v>644</v>
      </c>
      <c r="D272" t="s">
        <v>820</v>
      </c>
      <c r="E272" t="s">
        <v>831</v>
      </c>
      <c r="F272" t="s">
        <v>957</v>
      </c>
      <c r="G272" t="s">
        <v>880</v>
      </c>
      <c r="H272">
        <f t="shared" si="635"/>
        <v>6800</v>
      </c>
      <c r="I272">
        <f>_xlfn.XLOOKUP(B272,'[1]march-2025'!$A:$A,'[1]march-2025'!$J:$J,0,0)</f>
        <v>0</v>
      </c>
      <c r="J272">
        <f>_xlfn.XLOOKUP(B272,'[1]march-2025'!$A:$A,'[1]march-2025'!$C:$C,0,0)</f>
        <v>47300</v>
      </c>
      <c r="K272">
        <f t="shared" si="550"/>
        <v>6622.0000000000009</v>
      </c>
      <c r="L272">
        <f t="shared" si="551"/>
        <v>5676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>IF(J272&gt;0,SUM(J272:N272),0)</f>
        <v>60098</v>
      </c>
      <c r="P272">
        <f>_xlfn.XLOOKUP(B272,'[1]march-2025'!$A:$A,'[1]march-2025'!$H:$H,0,0)</f>
        <v>12000</v>
      </c>
      <c r="Q272">
        <f>_xlfn.XLOOKUP(B272,'[1]march-2025'!$A:$A,'[1]march-2025'!$I:$I,0,0)</f>
        <v>0</v>
      </c>
      <c r="R272">
        <f t="shared" si="634"/>
        <v>200</v>
      </c>
      <c r="S272">
        <f t="shared" si="544"/>
        <v>47898</v>
      </c>
      <c r="T272">
        <f>_xlfn.XLOOKUP(B272,'[2]april-2025'!$A:$A,'[2]april-2025'!$C:$C,0,0)</f>
        <v>47300</v>
      </c>
      <c r="U272">
        <f t="shared" si="552"/>
        <v>8514</v>
      </c>
      <c r="V272">
        <f t="shared" si="553"/>
        <v>5676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545"/>
        <v>61990</v>
      </c>
      <c r="Z272">
        <f>_xlfn.XLOOKUP(B272,'[2]april-2025'!$A:$A,'[2]april-2025'!$H:$H,0,0)</f>
        <v>12000</v>
      </c>
      <c r="AA272">
        <f>_xlfn.XLOOKUP(B272,'[2]april-2025'!$A:$A,'[2]april-2025'!$I:$I,0,0)</f>
        <v>0</v>
      </c>
      <c r="AB272">
        <f t="shared" si="554"/>
        <v>200</v>
      </c>
      <c r="AC272">
        <f t="shared" si="555"/>
        <v>49790</v>
      </c>
      <c r="AD272">
        <f>_xlfn.XLOOKUP(B272,'[3]may-2025'!$A:$A,'[3]may-2025'!$C:$C,0,0)</f>
        <v>47300</v>
      </c>
      <c r="AE272">
        <f t="shared" si="556"/>
        <v>8514</v>
      </c>
      <c r="AF272">
        <f t="shared" si="557"/>
        <v>5676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546"/>
        <v>61990</v>
      </c>
      <c r="AJ272">
        <f>_xlfn.XLOOKUP(B272,'[3]may-2025'!$A:$A,'[3]may-2025'!$H:$H,0,0)</f>
        <v>12000</v>
      </c>
      <c r="AK272">
        <f>_xlfn.XLOOKUP(B272,'[3]may-2025'!$A:$A,'[3]may-2025'!$I:$I,0,0)</f>
        <v>0</v>
      </c>
      <c r="AL272">
        <f t="shared" si="558"/>
        <v>200</v>
      </c>
      <c r="AM272">
        <f t="shared" si="559"/>
        <v>49790</v>
      </c>
      <c r="AN272">
        <f>_xlfn.XLOOKUP(B272,'[4]june-2025'!$A:$A,'[4]june-2025'!$C:$C,0,0)</f>
        <v>47300</v>
      </c>
      <c r="AO272">
        <f t="shared" si="560"/>
        <v>8514</v>
      </c>
      <c r="AP272">
        <f t="shared" si="561"/>
        <v>5676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547"/>
        <v>61990</v>
      </c>
      <c r="AT272">
        <f>_xlfn.XLOOKUP(B272,'[4]june-2025'!$A:$A,'[4]june-2025'!$H:$H,0,0)</f>
        <v>12000</v>
      </c>
      <c r="AU272">
        <f>_xlfn.XLOOKUP(B272,'[4]june-2025'!$A:$A,'[4]june-2025'!$I:$I,0,0)</f>
        <v>0</v>
      </c>
      <c r="AV272">
        <f t="shared" si="562"/>
        <v>200</v>
      </c>
      <c r="AW272">
        <f t="shared" si="563"/>
        <v>49790</v>
      </c>
      <c r="AX272">
        <f>_xlfn.XLOOKUP(B272,'[5]july-2025'!$A:$A,'[5]july-2025'!$C:$C,0,0)</f>
        <v>48700</v>
      </c>
      <c r="AY272">
        <f t="shared" si="564"/>
        <v>8766</v>
      </c>
      <c r="AZ272">
        <v>0</v>
      </c>
      <c r="BA272">
        <f t="shared" si="565"/>
        <v>5844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>IF(AX272&gt;0,SUM(AX272:BC272),0)</f>
        <v>63810</v>
      </c>
      <c r="BE272">
        <f>_xlfn.XLOOKUP(B272,'[5]july-2025'!$A:$A,'[5]july-2025'!$H:$H,0,0)</f>
        <v>12000</v>
      </c>
      <c r="BF272">
        <f>_xlfn.XLOOKUP(B272,'[5]july-2025'!$A:$A,'[5]july-2025'!$I:$I,0,0)</f>
        <v>0</v>
      </c>
      <c r="BG272">
        <f t="shared" si="566"/>
        <v>200</v>
      </c>
      <c r="BH272">
        <f t="shared" si="567"/>
        <v>51610</v>
      </c>
      <c r="BI272">
        <f>_xlfn.XLOOKUP(B272,'[6]august-2025'!$A:$A,'[6]august-2025'!$C:$C,0,0)</f>
        <v>48700</v>
      </c>
      <c r="BJ272">
        <f t="shared" si="568"/>
        <v>8766</v>
      </c>
      <c r="BK272">
        <f t="shared" si="569"/>
        <v>5844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570"/>
        <v>63810</v>
      </c>
      <c r="BO272">
        <f>_xlfn.XLOOKUP(B272,'[6]august-2025'!$A:$A,'[6]august-2025'!$H:$H,0,0)</f>
        <v>12000</v>
      </c>
      <c r="BP272">
        <f>_xlfn.XLOOKUP(B272,'[6]august-2025'!$A:$A,'[6]august-2025'!$I:$I,0,0)</f>
        <v>0</v>
      </c>
      <c r="BQ272">
        <f>IF($F272="YES",0,IF(BN272&gt;40000,200,IF(BN272&gt;25000,150,IF(BN272&gt;15000,130,IF(BN272&gt;10000,110,0)))))</f>
        <v>200</v>
      </c>
      <c r="BR272">
        <f>BN272-BO272-BP272-BQ272</f>
        <v>51610</v>
      </c>
      <c r="BS272">
        <f>_xlfn.XLOOKUP(B272,'[7]september-2025'!$A:$A,'[7]september-2025'!$C:$C,0,0)</f>
        <v>48700</v>
      </c>
      <c r="BT272">
        <f t="shared" si="571"/>
        <v>8766</v>
      </c>
      <c r="BU272">
        <f t="shared" si="572"/>
        <v>5844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>IF(BS272&gt;0,SUM(BS272:BW272),0)</f>
        <v>63810</v>
      </c>
      <c r="BY272">
        <f>_xlfn.XLOOKUP(B272,'[7]september-2025'!$A:$A,'[7]september-2025'!$H:$H,0,0)</f>
        <v>12000</v>
      </c>
      <c r="BZ272">
        <f>_xlfn.XLOOKUP(B272,'[7]september-2025'!$A:$A,'[7]september-2025'!$I:$I,0,0)</f>
        <v>0</v>
      </c>
      <c r="CA272">
        <f t="shared" si="573"/>
        <v>200</v>
      </c>
      <c r="CB272">
        <f t="shared" si="574"/>
        <v>51610</v>
      </c>
      <c r="CC272">
        <f>_xlfn.XLOOKUP(B272,'[8]october-2025'!$A:$A,'[8]october-2025'!$C:$C,0,0)</f>
        <v>48700</v>
      </c>
      <c r="CD272">
        <f t="shared" si="575"/>
        <v>8766</v>
      </c>
      <c r="CE272">
        <f t="shared" si="576"/>
        <v>5844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>IF(CC272&gt;0,SUM(CC272:CG272),0)</f>
        <v>63810</v>
      </c>
      <c r="CI272">
        <f>_xlfn.XLOOKUP(B272,'[8]october-2025'!$A:$A,'[8]october-2025'!$H:$H,0,0)</f>
        <v>12000</v>
      </c>
      <c r="CJ272">
        <f>_xlfn.XLOOKUP(B272,'[8]october-2025'!$A:$A,'[8]october-2025'!$I:$I,0,0)</f>
        <v>0</v>
      </c>
      <c r="CK272">
        <f t="shared" si="577"/>
        <v>200</v>
      </c>
      <c r="CL272">
        <f t="shared" si="578"/>
        <v>51610</v>
      </c>
      <c r="CM272">
        <f>_xlfn.XLOOKUP(B272,'[9]november-2025'!$A:$A,'[9]november-2025'!$C:$C,0,0)</f>
        <v>48700</v>
      </c>
      <c r="CN272">
        <f t="shared" si="579"/>
        <v>8766</v>
      </c>
      <c r="CO272">
        <f t="shared" si="580"/>
        <v>5844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>IF(CM272&gt;0,SUM(CM272:CQ272),0)</f>
        <v>63810</v>
      </c>
      <c r="CS272">
        <f>_xlfn.XLOOKUP(B272,'[9]november-2025'!$A:$A,'[9]november-2025'!$H:$H,0,0)</f>
        <v>12000</v>
      </c>
      <c r="CT272">
        <f>_xlfn.XLOOKUP(B272,'[9]november-2025'!$A:$A,'[9]november-2025'!$I:$I,0,0)</f>
        <v>0</v>
      </c>
      <c r="CU272">
        <f t="shared" si="581"/>
        <v>200</v>
      </c>
      <c r="CV272">
        <f t="shared" si="582"/>
        <v>51610</v>
      </c>
      <c r="CW272">
        <f>_xlfn.XLOOKUP(B272,'[10]december-2025'!$A:$A,'[10]december-2025'!$C:$C,0,0)</f>
        <v>48700</v>
      </c>
      <c r="CX272">
        <f t="shared" si="583"/>
        <v>8766</v>
      </c>
      <c r="CY272">
        <f t="shared" si="584"/>
        <v>5844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>IF(CW272&gt;0,SUM(CW272:DA272),0)</f>
        <v>63810</v>
      </c>
      <c r="DC272">
        <f>_xlfn.XLOOKUP(B272,'[10]december-2025'!$A:$A,'[10]december-2025'!$H:$H,0,0)</f>
        <v>12000</v>
      </c>
      <c r="DD272">
        <f>_xlfn.XLOOKUP(B272,'[10]december-2025'!$A:$A,'[10]december-2025'!$I:$I,0,0)</f>
        <v>0</v>
      </c>
      <c r="DE272">
        <f t="shared" si="585"/>
        <v>200</v>
      </c>
      <c r="DF272">
        <f t="shared" si="586"/>
        <v>51610</v>
      </c>
      <c r="DG272">
        <f>_xlfn.XLOOKUP(B272,'[11]january-2026'!$A:$A,'[11]january-2026'!$C:$C,0,0)</f>
        <v>48700</v>
      </c>
      <c r="DH272">
        <f t="shared" si="587"/>
        <v>8766</v>
      </c>
      <c r="DI272">
        <f t="shared" si="588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>IF(DG272&gt;0,SUM(DG272:DK272),0)</f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589"/>
        <v>200</v>
      </c>
      <c r="DP272">
        <f t="shared" si="590"/>
        <v>63610</v>
      </c>
      <c r="DQ272">
        <f>_xlfn.XLOOKUP(B272,'[12]february-2026'!$A:$A,'[12]february-2026'!$C:$C,0,0)</f>
        <v>48700</v>
      </c>
      <c r="DR272">
        <f t="shared" si="591"/>
        <v>8766</v>
      </c>
      <c r="DS272">
        <f t="shared" si="592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>IF(DQ272&gt;0,SUM(DQ272:DU272),0)</f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593"/>
        <v>200</v>
      </c>
      <c r="DZ272">
        <f t="shared" si="594"/>
        <v>51610</v>
      </c>
      <c r="EA272">
        <f>_xlfn.XLOOKUP(B272,'[1]march-2025'!$A:$A,'[1]march-2025'!$J:$J,0,0)</f>
        <v>0</v>
      </c>
      <c r="EB272">
        <f>_xlfn.XLOOKUP(B272,'[2]april-2025'!$A:$A,'[2]april-2025'!$J:$J,0,0)</f>
        <v>0</v>
      </c>
      <c r="EC272">
        <f>_xlfn.XLOOKUP(B272,'[3]may-2025'!$A:$A,'[3]may-2025'!$J:$J,0,0)</f>
        <v>0</v>
      </c>
      <c r="ED272">
        <f>_xlfn.XLOOKUP(B272,'[4]june-2025'!$A:$A,'[4]june-2025'!$J:$J,0,0)</f>
        <v>0</v>
      </c>
      <c r="EE272">
        <f>_xlfn.XLOOKUP(B272,'[5]july-2025'!$A:$A,'[5]july-2025'!$J:$J,0,0)</f>
        <v>0</v>
      </c>
      <c r="EF272">
        <f>_xlfn.XLOOKUP(B272,'[6]august-2025'!$A:$A,'[6]august-2025'!$J:$J,0,0)</f>
        <v>0</v>
      </c>
      <c r="EG272">
        <f>_xlfn.XLOOKUP(B272,'[7]september-2025'!$A:$A,'[7]september-2025'!$J:$J,0,0)</f>
        <v>0</v>
      </c>
      <c r="EH272">
        <f>_xlfn.XLOOKUP(B272,'[8]october-2025'!$A:$A,'[8]october-2025'!$J:$J,0,0)</f>
        <v>0</v>
      </c>
      <c r="EI272">
        <f>_xlfn.XLOOKUP(C272,'[9]november-2025'!$A:$A,'[9]november-2025'!$J:$J,0,0)</f>
        <v>0</v>
      </c>
      <c r="EJ272">
        <f>_xlfn.XLOOKUP(B272,'[10]december-2025'!$A:$A,'[10]december-2025'!$J:$J,0,0)</f>
        <v>0</v>
      </c>
      <c r="EK272">
        <f>_xlfn.XLOOKUP(B272,'[11]january-2026'!$A:$A,'[11]january-2026'!$J:$J,0,0)</f>
        <v>0</v>
      </c>
      <c r="EL272">
        <f>_xlfn.XLOOKUP(B272,'[12]february-2026'!$A:$A,'[12]february-2026'!$J:$J,0,0)</f>
        <v>0</v>
      </c>
      <c r="EM272">
        <f t="shared" si="548"/>
        <v>0</v>
      </c>
      <c r="EN272">
        <f>DV272+DL272+DB272+CR272+CH272+BX272+BN272+BD272+AS272+AI272+Y272+O272+H272+I272</f>
        <v>763348</v>
      </c>
      <c r="EO272">
        <f>DY272+DO272+DE272+CU272+CK272+CA272+BQ272+BG272+AV272+AL272+AB272+R272</f>
        <v>2400</v>
      </c>
      <c r="EP272">
        <f t="shared" si="595"/>
        <v>50000</v>
      </c>
      <c r="EQ272">
        <v>0</v>
      </c>
      <c r="ER272">
        <f t="shared" si="549"/>
        <v>710948</v>
      </c>
      <c r="ES272">
        <f>DW272+DM272+DC272+CS272+CI272+BY272+BO272+BE272+AT272+AJ272+Z272+P272</f>
        <v>132000</v>
      </c>
      <c r="ET272">
        <f>DX272+DN272+DD272+CT272+CJ272+BZ272+BP272+BF272+AU272+AK272+AA272+Q272</f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596"/>
        <v>132000</v>
      </c>
      <c r="FF272">
        <f t="shared" si="597"/>
        <v>132000</v>
      </c>
      <c r="FG272">
        <f t="shared" si="598"/>
        <v>578948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>SUM(FH272:FN272)+(IF(F272="YES",50000,0))</f>
        <v>0</v>
      </c>
      <c r="FP272">
        <f t="shared" si="599"/>
        <v>578948</v>
      </c>
      <c r="FQ272">
        <f t="shared" si="600"/>
        <v>12500</v>
      </c>
      <c r="FR272">
        <f t="shared" si="601"/>
        <v>15790</v>
      </c>
      <c r="FS272">
        <f t="shared" si="602"/>
        <v>28290</v>
      </c>
      <c r="FT272">
        <f t="shared" si="603"/>
        <v>28290</v>
      </c>
      <c r="FU272">
        <f t="shared" si="604"/>
        <v>1131.6000000000001</v>
      </c>
      <c r="FV272">
        <f t="shared" si="605"/>
        <v>29422</v>
      </c>
      <c r="FW272">
        <v>0</v>
      </c>
      <c r="FX272">
        <f t="shared" si="606"/>
        <v>29422</v>
      </c>
      <c r="FY272" t="b">
        <f t="shared" si="607"/>
        <v>1</v>
      </c>
      <c r="FZ272">
        <f t="shared" ca="1" si="608"/>
        <v>818</v>
      </c>
      <c r="GA272">
        <f t="shared" ca="1" si="609"/>
        <v>764166</v>
      </c>
      <c r="GB272">
        <f t="shared" si="610"/>
        <v>75000</v>
      </c>
      <c r="GC272">
        <f t="shared" ca="1" si="611"/>
        <v>689166</v>
      </c>
      <c r="GD272">
        <f t="shared" ca="1" si="612"/>
        <v>0</v>
      </c>
      <c r="GE272">
        <f t="shared" ca="1" si="613"/>
        <v>0</v>
      </c>
      <c r="GF272">
        <f t="shared" ca="1" si="614"/>
        <v>0</v>
      </c>
      <c r="GG272">
        <f t="shared" ca="1" si="615"/>
        <v>0</v>
      </c>
      <c r="GH272">
        <f t="shared" ca="1" si="616"/>
        <v>0</v>
      </c>
      <c r="GI272">
        <f t="shared" ca="1" si="617"/>
        <v>0</v>
      </c>
      <c r="GJ272">
        <f ca="1">IF(GC272&gt;1200000,GC272-1200000-IF(F272="YES",50000,0)-GH272,0)</f>
        <v>0</v>
      </c>
      <c r="GK272">
        <f t="shared" ca="1" si="618"/>
        <v>0</v>
      </c>
      <c r="GL272">
        <f t="shared" ca="1" si="619"/>
        <v>0</v>
      </c>
      <c r="GM272">
        <f t="shared" ca="1" si="620"/>
        <v>0</v>
      </c>
      <c r="GN272">
        <f t="shared" ca="1" si="621"/>
        <v>289166</v>
      </c>
      <c r="GO272">
        <f t="shared" ca="1" si="622"/>
        <v>14458.300000000001</v>
      </c>
      <c r="GP272">
        <f t="shared" ca="1" si="623"/>
        <v>14458</v>
      </c>
      <c r="GQ272">
        <f t="shared" ca="1" si="624"/>
        <v>0</v>
      </c>
      <c r="GR272">
        <f t="shared" ca="1" si="625"/>
        <v>0</v>
      </c>
      <c r="GS272">
        <f t="shared" ca="1" si="626"/>
        <v>14458</v>
      </c>
      <c r="GT272">
        <f t="shared" ca="1" si="627"/>
        <v>0</v>
      </c>
      <c r="GU272" t="b">
        <f t="shared" ca="1" si="628"/>
        <v>0</v>
      </c>
      <c r="GV272">
        <f t="shared" ca="1" si="629"/>
        <v>0</v>
      </c>
      <c r="GW272">
        <f t="shared" ca="1" si="630"/>
        <v>14458</v>
      </c>
      <c r="GX272">
        <f t="shared" ca="1" si="631"/>
        <v>0</v>
      </c>
      <c r="GY272">
        <f t="shared" ca="1" si="632"/>
        <v>0</v>
      </c>
      <c r="GZ272">
        <f t="shared" ca="1" si="633"/>
        <v>0</v>
      </c>
    </row>
    <row r="273" spans="1:208" x14ac:dyDescent="0.25">
      <c r="A273">
        <f>_xlfn.AGGREGATE(3,5,$B$2:B273)</f>
        <v>272</v>
      </c>
      <c r="B273" t="s">
        <v>645</v>
      </c>
      <c r="C273" t="s">
        <v>646</v>
      </c>
      <c r="D273" t="s">
        <v>821</v>
      </c>
      <c r="E273" t="s">
        <v>832</v>
      </c>
      <c r="F273" t="s">
        <v>957</v>
      </c>
      <c r="G273" t="s">
        <v>880</v>
      </c>
      <c r="H273">
        <f t="shared" si="635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550"/>
        <v>7238.0000000000009</v>
      </c>
      <c r="L273">
        <f t="shared" si="551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>IF(J273&gt;0,SUM(J273:N273),0)</f>
        <v>66042</v>
      </c>
      <c r="P273">
        <f>_xlfn.XLOOKUP(B273,'[1]march-2025'!$A:$A,'[1]march-2025'!$H:$H,0,0)</f>
        <v>8000</v>
      </c>
      <c r="Q273">
        <f>_xlfn.XLOOKUP(B273,'[1]march-2025'!$A:$A,'[1]march-2025'!$I:$I,0,0)</f>
        <v>60</v>
      </c>
      <c r="R273">
        <f t="shared" si="634"/>
        <v>200</v>
      </c>
      <c r="S273">
        <f t="shared" si="544"/>
        <v>57782</v>
      </c>
      <c r="T273">
        <f>_xlfn.XLOOKUP(B273,'[2]april-2025'!$A:$A,'[2]april-2025'!$C:$C,0,0)</f>
        <v>51700</v>
      </c>
      <c r="U273">
        <f t="shared" si="552"/>
        <v>9306</v>
      </c>
      <c r="V273">
        <f t="shared" si="553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545"/>
        <v>68110</v>
      </c>
      <c r="Z273">
        <f>_xlfn.XLOOKUP(B273,'[2]april-2025'!$A:$A,'[2]april-2025'!$H:$H,0,0)</f>
        <v>8000</v>
      </c>
      <c r="AA273">
        <f>_xlfn.XLOOKUP(B273,'[2]april-2025'!$A:$A,'[2]april-2025'!$I:$I,0,0)</f>
        <v>60</v>
      </c>
      <c r="AB273">
        <f t="shared" si="554"/>
        <v>200</v>
      </c>
      <c r="AC273">
        <f t="shared" si="555"/>
        <v>59850</v>
      </c>
      <c r="AD273">
        <f>_xlfn.XLOOKUP(B273,'[3]may-2025'!$A:$A,'[3]may-2025'!$C:$C,0,0)</f>
        <v>51700</v>
      </c>
      <c r="AE273">
        <f t="shared" si="556"/>
        <v>9306</v>
      </c>
      <c r="AF273">
        <f t="shared" si="557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546"/>
        <v>68110</v>
      </c>
      <c r="AJ273">
        <f>_xlfn.XLOOKUP(B273,'[3]may-2025'!$A:$A,'[3]may-2025'!$H:$H,0,0)</f>
        <v>8000</v>
      </c>
      <c r="AK273">
        <f>_xlfn.XLOOKUP(B273,'[3]may-2025'!$A:$A,'[3]may-2025'!$I:$I,0,0)</f>
        <v>60</v>
      </c>
      <c r="AL273">
        <f t="shared" si="558"/>
        <v>200</v>
      </c>
      <c r="AM273">
        <f t="shared" si="559"/>
        <v>59850</v>
      </c>
      <c r="AN273">
        <f>_xlfn.XLOOKUP(B273,'[4]june-2025'!$A:$A,'[4]june-2025'!$C:$C,0,0)</f>
        <v>51700</v>
      </c>
      <c r="AO273">
        <f t="shared" si="560"/>
        <v>9306</v>
      </c>
      <c r="AP273">
        <f t="shared" si="561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547"/>
        <v>68110</v>
      </c>
      <c r="AT273">
        <f>_xlfn.XLOOKUP(B273,'[4]june-2025'!$A:$A,'[4]june-2025'!$H:$H,0,0)</f>
        <v>8000</v>
      </c>
      <c r="AU273">
        <f>_xlfn.XLOOKUP(B273,'[4]june-2025'!$A:$A,'[4]june-2025'!$I:$I,0,0)</f>
        <v>60</v>
      </c>
      <c r="AV273">
        <f t="shared" si="562"/>
        <v>200</v>
      </c>
      <c r="AW273">
        <f t="shared" si="563"/>
        <v>59850</v>
      </c>
      <c r="AX273">
        <f>_xlfn.XLOOKUP(B273,'[5]july-2025'!$A:$A,'[5]july-2025'!$C:$C,0,0)</f>
        <v>53300</v>
      </c>
      <c r="AY273">
        <f t="shared" si="564"/>
        <v>9594</v>
      </c>
      <c r="AZ273">
        <v>0</v>
      </c>
      <c r="BA273">
        <f t="shared" si="565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>IF(AX273&gt;0,SUM(AX273:BC273),0)</f>
        <v>70190</v>
      </c>
      <c r="BE273">
        <f>_xlfn.XLOOKUP(B273,'[5]july-2025'!$A:$A,'[5]july-2025'!$H:$H,0,0)</f>
        <v>8000</v>
      </c>
      <c r="BF273">
        <f>_xlfn.XLOOKUP(B273,'[5]july-2025'!$A:$A,'[5]july-2025'!$I:$I,0,0)</f>
        <v>60</v>
      </c>
      <c r="BG273">
        <f t="shared" si="566"/>
        <v>200</v>
      </c>
      <c r="BH273">
        <f t="shared" si="567"/>
        <v>61930</v>
      </c>
      <c r="BI273">
        <f>_xlfn.XLOOKUP(B273,'[6]august-2025'!$A:$A,'[6]august-2025'!$C:$C,0,0)</f>
        <v>53300</v>
      </c>
      <c r="BJ273">
        <f t="shared" si="568"/>
        <v>9594</v>
      </c>
      <c r="BK273">
        <f t="shared" si="569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570"/>
        <v>70190</v>
      </c>
      <c r="BO273">
        <f>_xlfn.XLOOKUP(B273,'[6]august-2025'!$A:$A,'[6]august-2025'!$H:$H,0,0)</f>
        <v>8000</v>
      </c>
      <c r="BP273">
        <f>_xlfn.XLOOKUP(B273,'[6]august-2025'!$A:$A,'[6]august-2025'!$I:$I,0,0)</f>
        <v>60</v>
      </c>
      <c r="BQ273">
        <f>IF($F273="YES",0,IF(BN273&gt;40000,200,IF(BN273&gt;25000,150,IF(BN273&gt;15000,130,IF(BN273&gt;10000,110,0)))))</f>
        <v>200</v>
      </c>
      <c r="BR273">
        <f>BN273-BO273-BP273-BQ273</f>
        <v>61930</v>
      </c>
      <c r="BS273">
        <f>_xlfn.XLOOKUP(B273,'[7]september-2025'!$A:$A,'[7]september-2025'!$C:$C,0,0)</f>
        <v>53300</v>
      </c>
      <c r="BT273">
        <f t="shared" si="571"/>
        <v>9594</v>
      </c>
      <c r="BU273">
        <f t="shared" si="572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>IF(BS273&gt;0,SUM(BS273:BW273),0)</f>
        <v>70190</v>
      </c>
      <c r="BY273">
        <f>_xlfn.XLOOKUP(B273,'[7]september-2025'!$A:$A,'[7]september-2025'!$H:$H,0,0)</f>
        <v>8000</v>
      </c>
      <c r="BZ273">
        <f>_xlfn.XLOOKUP(B273,'[7]september-2025'!$A:$A,'[7]september-2025'!$I:$I,0,0)</f>
        <v>60</v>
      </c>
      <c r="CA273">
        <f t="shared" si="573"/>
        <v>200</v>
      </c>
      <c r="CB273">
        <f t="shared" si="574"/>
        <v>61930</v>
      </c>
      <c r="CC273">
        <f>_xlfn.XLOOKUP(B273,'[8]october-2025'!$A:$A,'[8]october-2025'!$C:$C,0,0)</f>
        <v>53300</v>
      </c>
      <c r="CD273">
        <f t="shared" si="575"/>
        <v>9594</v>
      </c>
      <c r="CE273">
        <f t="shared" si="576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>IF(CC273&gt;0,SUM(CC273:CG273),0)</f>
        <v>70190</v>
      </c>
      <c r="CI273">
        <f>_xlfn.XLOOKUP(B273,'[8]october-2025'!$A:$A,'[8]october-2025'!$H:$H,0,0)</f>
        <v>8000</v>
      </c>
      <c r="CJ273">
        <f>_xlfn.XLOOKUP(B273,'[8]october-2025'!$A:$A,'[8]october-2025'!$I:$I,0,0)</f>
        <v>60</v>
      </c>
      <c r="CK273">
        <f t="shared" si="577"/>
        <v>200</v>
      </c>
      <c r="CL273">
        <f t="shared" si="578"/>
        <v>61930</v>
      </c>
      <c r="CM273">
        <f>_xlfn.XLOOKUP(B273,'[9]november-2025'!$A:$A,'[9]november-2025'!$C:$C,0,0)</f>
        <v>53300</v>
      </c>
      <c r="CN273">
        <f t="shared" si="579"/>
        <v>9594</v>
      </c>
      <c r="CO273">
        <f t="shared" si="580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>IF(CM273&gt;0,SUM(CM273:CQ273),0)</f>
        <v>70190</v>
      </c>
      <c r="CS273">
        <f>_xlfn.XLOOKUP(B273,'[9]november-2025'!$A:$A,'[9]november-2025'!$H:$H,0,0)</f>
        <v>8000</v>
      </c>
      <c r="CT273">
        <f>_xlfn.XLOOKUP(B273,'[9]november-2025'!$A:$A,'[9]november-2025'!$I:$I,0,0)</f>
        <v>60</v>
      </c>
      <c r="CU273">
        <f t="shared" si="581"/>
        <v>200</v>
      </c>
      <c r="CV273">
        <f t="shared" si="582"/>
        <v>61930</v>
      </c>
      <c r="CW273">
        <f>_xlfn.XLOOKUP(B273,'[10]december-2025'!$A:$A,'[10]december-2025'!$C:$C,0,0)</f>
        <v>53300</v>
      </c>
      <c r="CX273">
        <f t="shared" si="583"/>
        <v>9594</v>
      </c>
      <c r="CY273">
        <f t="shared" si="584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>IF(CW273&gt;0,SUM(CW273:DA273),0)</f>
        <v>70190</v>
      </c>
      <c r="DC273">
        <f>_xlfn.XLOOKUP(B273,'[10]december-2025'!$A:$A,'[10]december-2025'!$H:$H,0,0)</f>
        <v>8000</v>
      </c>
      <c r="DD273">
        <f>_xlfn.XLOOKUP(B273,'[10]december-2025'!$A:$A,'[10]december-2025'!$I:$I,0,0)</f>
        <v>60</v>
      </c>
      <c r="DE273">
        <f t="shared" si="585"/>
        <v>200</v>
      </c>
      <c r="DF273">
        <f t="shared" si="586"/>
        <v>61930</v>
      </c>
      <c r="DG273">
        <f>_xlfn.XLOOKUP(B273,'[11]january-2026'!$A:$A,'[11]january-2026'!$C:$C,0,0)</f>
        <v>53300</v>
      </c>
      <c r="DH273">
        <f t="shared" si="587"/>
        <v>9594</v>
      </c>
      <c r="DI273">
        <f t="shared" si="588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>IF(DG273&gt;0,SUM(DG273:DK273),0)</f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589"/>
        <v>200</v>
      </c>
      <c r="DP273">
        <f t="shared" si="590"/>
        <v>61930</v>
      </c>
      <c r="DQ273">
        <f>_xlfn.XLOOKUP(B273,'[12]february-2026'!$A:$A,'[12]february-2026'!$C:$C,0,0)</f>
        <v>53300</v>
      </c>
      <c r="DR273">
        <f t="shared" si="591"/>
        <v>9594</v>
      </c>
      <c r="DS273">
        <f t="shared" si="592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>IF(DQ273&gt;0,SUM(DQ273:DU273),0)</f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593"/>
        <v>200</v>
      </c>
      <c r="DZ273">
        <f t="shared" si="594"/>
        <v>61930</v>
      </c>
      <c r="EA273">
        <f>_xlfn.XLOOKUP(B273,'[1]march-2025'!$A:$A,'[1]march-2025'!$J:$J,0,0)</f>
        <v>0</v>
      </c>
      <c r="EB273">
        <f>_xlfn.XLOOKUP(B273,'[2]april-2025'!$A:$A,'[2]april-2025'!$J:$J,0,0)</f>
        <v>0</v>
      </c>
      <c r="EC273">
        <f>_xlfn.XLOOKUP(B273,'[3]may-2025'!$A:$A,'[3]may-2025'!$J:$J,0,0)</f>
        <v>0</v>
      </c>
      <c r="ED273">
        <f>_xlfn.XLOOKUP(B273,'[4]june-2025'!$A:$A,'[4]june-2025'!$J:$J,0,0)</f>
        <v>0</v>
      </c>
      <c r="EE273">
        <f>_xlfn.XLOOKUP(B273,'[5]july-2025'!$A:$A,'[5]july-2025'!$J:$J,0,0)</f>
        <v>0</v>
      </c>
      <c r="EF273">
        <f>_xlfn.XLOOKUP(B273,'[6]august-2025'!$A:$A,'[6]august-2025'!$J:$J,0,0)</f>
        <v>0</v>
      </c>
      <c r="EG273">
        <f>_xlfn.XLOOKUP(B273,'[7]september-2025'!$A:$A,'[7]september-2025'!$J:$J,0,0)</f>
        <v>0</v>
      </c>
      <c r="EH273">
        <f>_xlfn.XLOOKUP(B273,'[8]october-2025'!$A:$A,'[8]october-2025'!$J:$J,0,0)</f>
        <v>0</v>
      </c>
      <c r="EI273">
        <f>_xlfn.XLOOKUP(C273,'[9]november-2025'!$A:$A,'[9]november-2025'!$J:$J,0,0)</f>
        <v>0</v>
      </c>
      <c r="EJ273">
        <f>_xlfn.XLOOKUP(B273,'[10]december-2025'!$A:$A,'[10]december-2025'!$J:$J,0,0)</f>
        <v>0</v>
      </c>
      <c r="EK273">
        <f>_xlfn.XLOOKUP(B273,'[11]january-2026'!$A:$A,'[11]january-2026'!$J:$J,0,0)</f>
        <v>0</v>
      </c>
      <c r="EL273">
        <f>_xlfn.XLOOKUP(B273,'[12]february-2026'!$A:$A,'[12]february-2026'!$J:$J,0,0)</f>
        <v>0</v>
      </c>
      <c r="EM273">
        <f t="shared" si="548"/>
        <v>0</v>
      </c>
      <c r="EN273">
        <f>DV273+DL273+DB273+CR273+CH273+BX273+BN273+BD273+AS273+AI273+Y273+O273+H273+I273</f>
        <v>838692</v>
      </c>
      <c r="EO273">
        <f>DY273+DO273+DE273+CU273+CK273+CA273+BQ273+BG273+AV273+AL273+AB273+R273</f>
        <v>2400</v>
      </c>
      <c r="EP273">
        <f t="shared" si="595"/>
        <v>50000</v>
      </c>
      <c r="EQ273">
        <v>0</v>
      </c>
      <c r="ER273">
        <f t="shared" si="549"/>
        <v>786292</v>
      </c>
      <c r="ES273">
        <f>DW273+DM273+DC273+CS273+CI273+BY273+BO273+BE273+AT273+AJ273+Z273+P273</f>
        <v>96000</v>
      </c>
      <c r="ET273">
        <f>DX273+DN273+DD273+CT273+CJ273+BZ273+BP273+BF273+AU273+AK273+AA273+Q273</f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596"/>
        <v>96720</v>
      </c>
      <c r="FF273">
        <f t="shared" si="597"/>
        <v>96720</v>
      </c>
      <c r="FG273">
        <f t="shared" si="598"/>
        <v>689572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>SUM(FH273:FN273)+(IF(F273="YES",50000,0))</f>
        <v>0</v>
      </c>
      <c r="FP273">
        <f t="shared" si="599"/>
        <v>689572</v>
      </c>
      <c r="FQ273">
        <f t="shared" si="600"/>
        <v>12500</v>
      </c>
      <c r="FR273">
        <f t="shared" si="601"/>
        <v>37914</v>
      </c>
      <c r="FS273">
        <f t="shared" si="602"/>
        <v>50414</v>
      </c>
      <c r="FT273">
        <f t="shared" si="603"/>
        <v>50414</v>
      </c>
      <c r="FU273">
        <f t="shared" si="604"/>
        <v>2016.56</v>
      </c>
      <c r="FV273">
        <f t="shared" si="605"/>
        <v>52431</v>
      </c>
      <c r="FW273">
        <v>0</v>
      </c>
      <c r="FX273">
        <f t="shared" si="606"/>
        <v>52431</v>
      </c>
      <c r="FY273" t="b">
        <f t="shared" si="607"/>
        <v>1</v>
      </c>
      <c r="FZ273">
        <f t="shared" ca="1" si="608"/>
        <v>891</v>
      </c>
      <c r="GA273">
        <f t="shared" ca="1" si="609"/>
        <v>839583</v>
      </c>
      <c r="GB273">
        <f t="shared" si="610"/>
        <v>75000</v>
      </c>
      <c r="GC273">
        <f t="shared" ca="1" si="611"/>
        <v>764583</v>
      </c>
      <c r="GD273">
        <f t="shared" ca="1" si="612"/>
        <v>0</v>
      </c>
      <c r="GE273">
        <f t="shared" ca="1" si="613"/>
        <v>0</v>
      </c>
      <c r="GF273">
        <f t="shared" ca="1" si="614"/>
        <v>0</v>
      </c>
      <c r="GG273">
        <f t="shared" ca="1" si="615"/>
        <v>0</v>
      </c>
      <c r="GH273">
        <f t="shared" ca="1" si="616"/>
        <v>0</v>
      </c>
      <c r="GI273">
        <f t="shared" ca="1" si="617"/>
        <v>0</v>
      </c>
      <c r="GJ273">
        <f ca="1">IF(GC273&gt;1200000,GC273-1200000-IF(F273="YES",50000,0)-GH273,0)</f>
        <v>0</v>
      </c>
      <c r="GK273">
        <f t="shared" ca="1" si="618"/>
        <v>0</v>
      </c>
      <c r="GL273">
        <f t="shared" ca="1" si="619"/>
        <v>0</v>
      </c>
      <c r="GM273">
        <f t="shared" ca="1" si="620"/>
        <v>0</v>
      </c>
      <c r="GN273">
        <f t="shared" ca="1" si="621"/>
        <v>364583</v>
      </c>
      <c r="GO273">
        <f t="shared" ca="1" si="622"/>
        <v>18229.150000000001</v>
      </c>
      <c r="GP273">
        <f t="shared" ca="1" si="623"/>
        <v>18229</v>
      </c>
      <c r="GQ273">
        <f t="shared" ca="1" si="624"/>
        <v>0</v>
      </c>
      <c r="GR273">
        <f t="shared" ca="1" si="625"/>
        <v>0</v>
      </c>
      <c r="GS273">
        <f t="shared" ca="1" si="626"/>
        <v>18229</v>
      </c>
      <c r="GT273">
        <f t="shared" ca="1" si="627"/>
        <v>0</v>
      </c>
      <c r="GU273" t="b">
        <f t="shared" ca="1" si="628"/>
        <v>0</v>
      </c>
      <c r="GV273">
        <f t="shared" ca="1" si="629"/>
        <v>0</v>
      </c>
      <c r="GW273">
        <f t="shared" ca="1" si="630"/>
        <v>18229</v>
      </c>
      <c r="GX273">
        <f t="shared" ca="1" si="631"/>
        <v>0</v>
      </c>
      <c r="GY273">
        <f t="shared" ca="1" si="632"/>
        <v>0</v>
      </c>
      <c r="GZ273">
        <f t="shared" ca="1" si="633"/>
        <v>0</v>
      </c>
    </row>
    <row r="274" spans="1:208" x14ac:dyDescent="0.25">
      <c r="A274">
        <f>_xlfn.AGGREGATE(3,5,$B$2:B274)</f>
        <v>273</v>
      </c>
      <c r="B274" t="s">
        <v>647</v>
      </c>
      <c r="C274" t="s">
        <v>648</v>
      </c>
      <c r="D274" t="s">
        <v>821</v>
      </c>
      <c r="E274" t="s">
        <v>832</v>
      </c>
      <c r="F274" t="s">
        <v>957</v>
      </c>
      <c r="G274" t="s">
        <v>888</v>
      </c>
      <c r="H274">
        <f t="shared" si="635"/>
        <v>6800</v>
      </c>
      <c r="I274">
        <f>_xlfn.XLOOKUP(B274,'[1]march-2025'!$A:$A,'[1]march-2025'!$J:$J,0,0)</f>
        <v>0</v>
      </c>
      <c r="J274">
        <f>_xlfn.XLOOKUP(B274,'[1]march-2025'!$A:$A,'[1]march-2025'!$C:$C,0,0)</f>
        <v>37700</v>
      </c>
      <c r="K274">
        <f t="shared" si="550"/>
        <v>5278.0000000000009</v>
      </c>
      <c r="L274">
        <f t="shared" si="551"/>
        <v>4524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>IF(J274&gt;0,SUM(J274:N274),0)</f>
        <v>48002</v>
      </c>
      <c r="P274">
        <f>_xlfn.XLOOKUP(B274,'[1]march-2025'!$A:$A,'[1]march-2025'!$H:$H,0,0)</f>
        <v>5000</v>
      </c>
      <c r="Q274">
        <f>_xlfn.XLOOKUP(B274,'[1]march-2025'!$A:$A,'[1]march-2025'!$I:$I,0,0)</f>
        <v>0</v>
      </c>
      <c r="R274">
        <f t="shared" si="634"/>
        <v>200</v>
      </c>
      <c r="S274">
        <f t="shared" si="544"/>
        <v>42802</v>
      </c>
      <c r="T274">
        <f>_xlfn.XLOOKUP(B274,'[2]april-2025'!$A:$A,'[2]april-2025'!$C:$C,0,0)</f>
        <v>37700</v>
      </c>
      <c r="U274">
        <f t="shared" si="552"/>
        <v>6786</v>
      </c>
      <c r="V274">
        <f t="shared" si="553"/>
        <v>4524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545"/>
        <v>49510</v>
      </c>
      <c r="Z274">
        <f>_xlfn.XLOOKUP(B274,'[2]april-2025'!$A:$A,'[2]april-2025'!$H:$H,0,0)</f>
        <v>5000</v>
      </c>
      <c r="AA274">
        <f>_xlfn.XLOOKUP(B274,'[2]april-2025'!$A:$A,'[2]april-2025'!$I:$I,0,0)</f>
        <v>0</v>
      </c>
      <c r="AB274">
        <f t="shared" si="554"/>
        <v>200</v>
      </c>
      <c r="AC274">
        <f t="shared" si="555"/>
        <v>44310</v>
      </c>
      <c r="AD274">
        <f>_xlfn.XLOOKUP(B274,'[3]may-2025'!$A:$A,'[3]may-2025'!$C:$C,0,0)</f>
        <v>37700</v>
      </c>
      <c r="AE274">
        <f t="shared" si="556"/>
        <v>6786</v>
      </c>
      <c r="AF274">
        <f t="shared" si="557"/>
        <v>4524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546"/>
        <v>49510</v>
      </c>
      <c r="AJ274">
        <f>_xlfn.XLOOKUP(B274,'[3]may-2025'!$A:$A,'[3]may-2025'!$H:$H,0,0)</f>
        <v>5000</v>
      </c>
      <c r="AK274">
        <f>_xlfn.XLOOKUP(B274,'[3]may-2025'!$A:$A,'[3]may-2025'!$I:$I,0,0)</f>
        <v>0</v>
      </c>
      <c r="AL274">
        <f t="shared" si="558"/>
        <v>200</v>
      </c>
      <c r="AM274">
        <f t="shared" si="559"/>
        <v>44310</v>
      </c>
      <c r="AN274">
        <f>_xlfn.XLOOKUP(B274,'[4]june-2025'!$A:$A,'[4]june-2025'!$C:$C,0,0)</f>
        <v>37700</v>
      </c>
      <c r="AO274">
        <f t="shared" si="560"/>
        <v>6786</v>
      </c>
      <c r="AP274">
        <f t="shared" si="561"/>
        <v>4524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547"/>
        <v>49510</v>
      </c>
      <c r="AT274">
        <f>_xlfn.XLOOKUP(B274,'[4]june-2025'!$A:$A,'[4]june-2025'!$H:$H,0,0)</f>
        <v>5000</v>
      </c>
      <c r="AU274">
        <f>_xlfn.XLOOKUP(B274,'[4]june-2025'!$A:$A,'[4]june-2025'!$I:$I,0,0)</f>
        <v>0</v>
      </c>
      <c r="AV274">
        <f t="shared" si="562"/>
        <v>200</v>
      </c>
      <c r="AW274">
        <f t="shared" si="563"/>
        <v>44310</v>
      </c>
      <c r="AX274">
        <f>_xlfn.XLOOKUP(B274,'[5]july-2025'!$A:$A,'[5]july-2025'!$C:$C,0,0)</f>
        <v>38800</v>
      </c>
      <c r="AY274">
        <f t="shared" si="564"/>
        <v>6984</v>
      </c>
      <c r="AZ274">
        <v>0</v>
      </c>
      <c r="BA274">
        <f t="shared" si="565"/>
        <v>4656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>IF(AX274&gt;0,SUM(AX274:BC274),0)</f>
        <v>50940</v>
      </c>
      <c r="BE274">
        <f>_xlfn.XLOOKUP(B274,'[5]july-2025'!$A:$A,'[5]july-2025'!$H:$H,0,0)</f>
        <v>5000</v>
      </c>
      <c r="BF274">
        <f>_xlfn.XLOOKUP(B274,'[5]july-2025'!$A:$A,'[5]july-2025'!$I:$I,0,0)</f>
        <v>0</v>
      </c>
      <c r="BG274">
        <f t="shared" si="566"/>
        <v>200</v>
      </c>
      <c r="BH274">
        <f t="shared" si="567"/>
        <v>45740</v>
      </c>
      <c r="BI274">
        <f>_xlfn.XLOOKUP(B274,'[6]august-2025'!$A:$A,'[6]august-2025'!$C:$C,0,0)</f>
        <v>38800</v>
      </c>
      <c r="BJ274">
        <f t="shared" si="568"/>
        <v>6984</v>
      </c>
      <c r="BK274">
        <f t="shared" si="569"/>
        <v>4656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570"/>
        <v>50940</v>
      </c>
      <c r="BO274">
        <f>_xlfn.XLOOKUP(B274,'[6]august-2025'!$A:$A,'[6]august-2025'!$H:$H,0,0)</f>
        <v>5000</v>
      </c>
      <c r="BP274">
        <f>_xlfn.XLOOKUP(B274,'[6]august-2025'!$A:$A,'[6]august-2025'!$I:$I,0,0)</f>
        <v>0</v>
      </c>
      <c r="BQ274">
        <f>IF($F274="YES",0,IF(BN274&gt;40000,200,IF(BN274&gt;25000,150,IF(BN274&gt;15000,130,IF(BN274&gt;10000,110,0)))))</f>
        <v>200</v>
      </c>
      <c r="BR274">
        <f>BN274-BO274-BP274-BQ274</f>
        <v>45740</v>
      </c>
      <c r="BS274">
        <f>_xlfn.XLOOKUP(B274,'[7]september-2025'!$A:$A,'[7]september-2025'!$C:$C,0,0)</f>
        <v>38800</v>
      </c>
      <c r="BT274">
        <f t="shared" si="571"/>
        <v>6984</v>
      </c>
      <c r="BU274">
        <f t="shared" si="572"/>
        <v>4656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>IF(BS274&gt;0,SUM(BS274:BW274),0)</f>
        <v>50940</v>
      </c>
      <c r="BY274">
        <f>_xlfn.XLOOKUP(B274,'[7]september-2025'!$A:$A,'[7]september-2025'!$H:$H,0,0)</f>
        <v>5000</v>
      </c>
      <c r="BZ274">
        <f>_xlfn.XLOOKUP(B274,'[7]september-2025'!$A:$A,'[7]september-2025'!$I:$I,0,0)</f>
        <v>0</v>
      </c>
      <c r="CA274">
        <f t="shared" si="573"/>
        <v>200</v>
      </c>
      <c r="CB274">
        <f t="shared" si="574"/>
        <v>45740</v>
      </c>
      <c r="CC274">
        <f>_xlfn.XLOOKUP(B274,'[8]october-2025'!$A:$A,'[8]october-2025'!$C:$C,0,0)</f>
        <v>38800</v>
      </c>
      <c r="CD274">
        <f t="shared" si="575"/>
        <v>6984</v>
      </c>
      <c r="CE274">
        <f t="shared" si="576"/>
        <v>4656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>IF(CC274&gt;0,SUM(CC274:CG274),0)</f>
        <v>50940</v>
      </c>
      <c r="CI274">
        <f>_xlfn.XLOOKUP(B274,'[8]october-2025'!$A:$A,'[8]october-2025'!$H:$H,0,0)</f>
        <v>5000</v>
      </c>
      <c r="CJ274">
        <f>_xlfn.XLOOKUP(B274,'[8]october-2025'!$A:$A,'[8]october-2025'!$I:$I,0,0)</f>
        <v>0</v>
      </c>
      <c r="CK274">
        <f t="shared" si="577"/>
        <v>200</v>
      </c>
      <c r="CL274">
        <f t="shared" si="578"/>
        <v>45740</v>
      </c>
      <c r="CM274">
        <f>_xlfn.XLOOKUP(B274,'[9]november-2025'!$A:$A,'[9]november-2025'!$C:$C,0,0)</f>
        <v>38800</v>
      </c>
      <c r="CN274">
        <f t="shared" si="579"/>
        <v>6984</v>
      </c>
      <c r="CO274">
        <f t="shared" si="580"/>
        <v>4656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>IF(CM274&gt;0,SUM(CM274:CQ274),0)</f>
        <v>50940</v>
      </c>
      <c r="CS274">
        <f>_xlfn.XLOOKUP(B274,'[9]november-2025'!$A:$A,'[9]november-2025'!$H:$H,0,0)</f>
        <v>5000</v>
      </c>
      <c r="CT274">
        <f>_xlfn.XLOOKUP(B274,'[9]november-2025'!$A:$A,'[9]november-2025'!$I:$I,0,0)</f>
        <v>0</v>
      </c>
      <c r="CU274">
        <f t="shared" si="581"/>
        <v>200</v>
      </c>
      <c r="CV274">
        <f t="shared" si="582"/>
        <v>45740</v>
      </c>
      <c r="CW274">
        <f>_xlfn.XLOOKUP(B274,'[10]december-2025'!$A:$A,'[10]december-2025'!$C:$C,0,0)</f>
        <v>38800</v>
      </c>
      <c r="CX274">
        <f t="shared" si="583"/>
        <v>6984</v>
      </c>
      <c r="CY274">
        <f t="shared" si="584"/>
        <v>4656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>IF(CW274&gt;0,SUM(CW274:DA274),0)</f>
        <v>50940</v>
      </c>
      <c r="DC274">
        <f>_xlfn.XLOOKUP(B274,'[10]december-2025'!$A:$A,'[10]december-2025'!$H:$H,0,0)</f>
        <v>5000</v>
      </c>
      <c r="DD274">
        <f>_xlfn.XLOOKUP(B274,'[10]december-2025'!$A:$A,'[10]december-2025'!$I:$I,0,0)</f>
        <v>0</v>
      </c>
      <c r="DE274">
        <f t="shared" si="585"/>
        <v>200</v>
      </c>
      <c r="DF274">
        <f t="shared" si="586"/>
        <v>45740</v>
      </c>
      <c r="DG274">
        <f>_xlfn.XLOOKUP(B274,'[11]january-2026'!$A:$A,'[11]january-2026'!$C:$C,0,0)</f>
        <v>38800</v>
      </c>
      <c r="DH274">
        <f t="shared" si="587"/>
        <v>6984</v>
      </c>
      <c r="DI274">
        <f t="shared" si="588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>IF(DG274&gt;0,SUM(DG274:DK274),0)</f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589"/>
        <v>200</v>
      </c>
      <c r="DP274">
        <f t="shared" si="590"/>
        <v>45740</v>
      </c>
      <c r="DQ274">
        <f>_xlfn.XLOOKUP(B274,'[12]february-2026'!$A:$A,'[12]february-2026'!$C:$C,0,0)</f>
        <v>38800</v>
      </c>
      <c r="DR274">
        <f t="shared" si="591"/>
        <v>6984</v>
      </c>
      <c r="DS274">
        <f t="shared" si="592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>IF(DQ274&gt;0,SUM(DQ274:DU274),0)</f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593"/>
        <v>200</v>
      </c>
      <c r="DZ274">
        <f t="shared" si="594"/>
        <v>45740</v>
      </c>
      <c r="EA274">
        <f>_xlfn.XLOOKUP(B274,'[1]march-2025'!$A:$A,'[1]march-2025'!$J:$J,0,0)</f>
        <v>0</v>
      </c>
      <c r="EB274">
        <f>_xlfn.XLOOKUP(B274,'[2]april-2025'!$A:$A,'[2]april-2025'!$J:$J,0,0)</f>
        <v>0</v>
      </c>
      <c r="EC274">
        <f>_xlfn.XLOOKUP(B274,'[3]may-2025'!$A:$A,'[3]may-2025'!$J:$J,0,0)</f>
        <v>0</v>
      </c>
      <c r="ED274">
        <f>_xlfn.XLOOKUP(B274,'[4]june-2025'!$A:$A,'[4]june-2025'!$J:$J,0,0)</f>
        <v>0</v>
      </c>
      <c r="EE274">
        <f>_xlfn.XLOOKUP(B274,'[5]july-2025'!$A:$A,'[5]july-2025'!$J:$J,0,0)</f>
        <v>0</v>
      </c>
      <c r="EF274">
        <f>_xlfn.XLOOKUP(B274,'[6]august-2025'!$A:$A,'[6]august-2025'!$J:$J,0,0)</f>
        <v>0</v>
      </c>
      <c r="EG274">
        <f>_xlfn.XLOOKUP(B274,'[7]september-2025'!$A:$A,'[7]september-2025'!$J:$J,0,0)</f>
        <v>0</v>
      </c>
      <c r="EH274">
        <f>_xlfn.XLOOKUP(B274,'[8]october-2025'!$A:$A,'[8]october-2025'!$J:$J,0,0)</f>
        <v>0</v>
      </c>
      <c r="EI274">
        <f>_xlfn.XLOOKUP(C274,'[9]november-2025'!$A:$A,'[9]november-2025'!$J:$J,0,0)</f>
        <v>0</v>
      </c>
      <c r="EJ274">
        <f>_xlfn.XLOOKUP(B274,'[10]december-2025'!$A:$A,'[10]december-2025'!$J:$J,0,0)</f>
        <v>0</v>
      </c>
      <c r="EK274">
        <f>_xlfn.XLOOKUP(B274,'[11]january-2026'!$A:$A,'[11]january-2026'!$J:$J,0,0)</f>
        <v>0</v>
      </c>
      <c r="EL274">
        <f>_xlfn.XLOOKUP(B274,'[12]february-2026'!$A:$A,'[12]february-2026'!$J:$J,0,0)</f>
        <v>0</v>
      </c>
      <c r="EM274">
        <f t="shared" si="548"/>
        <v>0</v>
      </c>
      <c r="EN274">
        <f>DV274+DL274+DB274+CR274+CH274+BX274+BN274+BD274+AS274+AI274+Y274+O274+H274+I274</f>
        <v>610852</v>
      </c>
      <c r="EO274">
        <f>DY274+DO274+DE274+CU274+CK274+CA274+BQ274+BG274+AV274+AL274+AB274+R274</f>
        <v>2400</v>
      </c>
      <c r="EP274">
        <f t="shared" si="595"/>
        <v>50000</v>
      </c>
      <c r="EQ274">
        <v>0</v>
      </c>
      <c r="ER274">
        <f t="shared" si="549"/>
        <v>558452</v>
      </c>
      <c r="ES274">
        <f>DW274+DM274+DC274+CS274+CI274+BY274+BO274+BE274+AT274+AJ274+Z274+P274</f>
        <v>60000</v>
      </c>
      <c r="ET274">
        <f>DX274+DN274+DD274+CT274+CJ274+BZ274+BP274+BF274+AU274+AK274+AA274+Q274</f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596"/>
        <v>60000</v>
      </c>
      <c r="FF274">
        <f t="shared" si="597"/>
        <v>60000</v>
      </c>
      <c r="FG274">
        <f t="shared" si="598"/>
        <v>498452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>SUM(FH274:FN274)+(IF(F274="YES",50000,0))</f>
        <v>0</v>
      </c>
      <c r="FP274">
        <f t="shared" si="599"/>
        <v>498452</v>
      </c>
      <c r="FQ274">
        <f t="shared" si="600"/>
        <v>12423</v>
      </c>
      <c r="FR274">
        <f t="shared" si="601"/>
        <v>0</v>
      </c>
      <c r="FS274">
        <f t="shared" si="602"/>
        <v>12423</v>
      </c>
      <c r="FT274">
        <f t="shared" si="603"/>
        <v>0</v>
      </c>
      <c r="FU274">
        <f t="shared" si="604"/>
        <v>0</v>
      </c>
      <c r="FV274">
        <f t="shared" si="605"/>
        <v>0</v>
      </c>
      <c r="FW274">
        <v>0</v>
      </c>
      <c r="FX274">
        <f t="shared" si="606"/>
        <v>0</v>
      </c>
      <c r="FY274" t="b">
        <f t="shared" si="607"/>
        <v>1</v>
      </c>
      <c r="FZ274">
        <f t="shared" ca="1" si="608"/>
        <v>589</v>
      </c>
      <c r="GA274">
        <f t="shared" ca="1" si="609"/>
        <v>611441</v>
      </c>
      <c r="GB274">
        <f t="shared" si="610"/>
        <v>75000</v>
      </c>
      <c r="GC274">
        <f t="shared" ca="1" si="611"/>
        <v>536441</v>
      </c>
      <c r="GD274">
        <f t="shared" ca="1" si="612"/>
        <v>0</v>
      </c>
      <c r="GE274">
        <f t="shared" ca="1" si="613"/>
        <v>0</v>
      </c>
      <c r="GF274">
        <f t="shared" ca="1" si="614"/>
        <v>0</v>
      </c>
      <c r="GG274">
        <f t="shared" ca="1" si="615"/>
        <v>0</v>
      </c>
      <c r="GH274">
        <f t="shared" ca="1" si="616"/>
        <v>0</v>
      </c>
      <c r="GI274">
        <f t="shared" ca="1" si="617"/>
        <v>0</v>
      </c>
      <c r="GJ274">
        <f ca="1">IF(GC274&gt;1200000,GC274-1200000-IF(F274="YES",50000,0)-GH274,0)</f>
        <v>0</v>
      </c>
      <c r="GK274">
        <f t="shared" ca="1" si="618"/>
        <v>0</v>
      </c>
      <c r="GL274">
        <f t="shared" ca="1" si="619"/>
        <v>0</v>
      </c>
      <c r="GM274">
        <f t="shared" ca="1" si="620"/>
        <v>0</v>
      </c>
      <c r="GN274">
        <f t="shared" ca="1" si="621"/>
        <v>136441</v>
      </c>
      <c r="GO274">
        <f t="shared" ca="1" si="622"/>
        <v>6822.05</v>
      </c>
      <c r="GP274">
        <f t="shared" ca="1" si="623"/>
        <v>6822</v>
      </c>
      <c r="GQ274">
        <f t="shared" ca="1" si="624"/>
        <v>0</v>
      </c>
      <c r="GR274">
        <f t="shared" ca="1" si="625"/>
        <v>0</v>
      </c>
      <c r="GS274">
        <f t="shared" ca="1" si="626"/>
        <v>6822</v>
      </c>
      <c r="GT274">
        <f t="shared" ca="1" si="627"/>
        <v>0</v>
      </c>
      <c r="GU274" t="b">
        <f t="shared" ca="1" si="628"/>
        <v>0</v>
      </c>
      <c r="GV274">
        <f t="shared" ca="1" si="629"/>
        <v>0</v>
      </c>
      <c r="GW274">
        <f t="shared" ca="1" si="630"/>
        <v>6822</v>
      </c>
      <c r="GX274">
        <f t="shared" ca="1" si="631"/>
        <v>0</v>
      </c>
      <c r="GY274">
        <f t="shared" ca="1" si="632"/>
        <v>0</v>
      </c>
      <c r="GZ274">
        <f t="shared" ca="1" si="633"/>
        <v>0</v>
      </c>
    </row>
    <row r="275" spans="1:208" x14ac:dyDescent="0.25">
      <c r="A275">
        <f>_xlfn.AGGREGATE(3,5,$B$2:B275)</f>
        <v>274</v>
      </c>
      <c r="B275" t="s">
        <v>649</v>
      </c>
      <c r="C275" t="s">
        <v>650</v>
      </c>
      <c r="D275" t="s">
        <v>822</v>
      </c>
      <c r="E275" t="s">
        <v>831</v>
      </c>
      <c r="F275" t="s">
        <v>957</v>
      </c>
      <c r="G275" t="s">
        <v>880</v>
      </c>
      <c r="H275">
        <f t="shared" si="635"/>
        <v>6800</v>
      </c>
      <c r="I275">
        <f>_xlfn.XLOOKUP(B275,'[1]march-2025'!$A:$A,'[1]march-2025'!$J:$J,0,0)</f>
        <v>0</v>
      </c>
      <c r="J275">
        <f>_xlfn.XLOOKUP(B275,'[1]march-2025'!$A:$A,'[1]march-2025'!$C:$C,0,0)</f>
        <v>51700</v>
      </c>
      <c r="K275">
        <f t="shared" si="550"/>
        <v>7238.0000000000009</v>
      </c>
      <c r="L275">
        <f t="shared" si="551"/>
        <v>6204</v>
      </c>
      <c r="M275">
        <f>_xlfn.XLOOKUP(B275,'[1]march-2025'!$A:$A,'[1]march-2025'!$D:$D,0,0)</f>
        <v>400</v>
      </c>
      <c r="N275">
        <f>_xlfn.XLOOKUP(B275,'[1]march-2025'!$A:$A,'[1]march-2025'!$G:$G,0,0)</f>
        <v>500</v>
      </c>
      <c r="O275">
        <f>IF(J275&gt;0,SUM(J275:N275),0)</f>
        <v>66042</v>
      </c>
      <c r="P275">
        <f>_xlfn.XLOOKUP(B275,'[1]march-2025'!$A:$A,'[1]march-2025'!$H:$H,0,0)</f>
        <v>4000</v>
      </c>
      <c r="Q275">
        <f>_xlfn.XLOOKUP(B275,'[1]march-2025'!$A:$A,'[1]march-2025'!$I:$I,0,0)</f>
        <v>0</v>
      </c>
      <c r="R275">
        <f t="shared" si="634"/>
        <v>200</v>
      </c>
      <c r="S275">
        <f t="shared" si="544"/>
        <v>61842</v>
      </c>
      <c r="T275">
        <f>_xlfn.XLOOKUP(B275,'[2]april-2025'!$A:$A,'[2]april-2025'!$C:$C,0,0)</f>
        <v>51700</v>
      </c>
      <c r="U275">
        <f t="shared" si="552"/>
        <v>9306</v>
      </c>
      <c r="V275">
        <f t="shared" si="553"/>
        <v>6204</v>
      </c>
      <c r="W275">
        <f>_xlfn.XLOOKUP(B275,'[2]april-2025'!$A:$A,'[2]april-2025'!$D:$D,0,0)</f>
        <v>400</v>
      </c>
      <c r="X275">
        <f>_xlfn.XLOOKUP(B275,'[2]april-2025'!$A:$A,'[2]april-2025'!$G:$G,0,0)</f>
        <v>500</v>
      </c>
      <c r="Y275">
        <f t="shared" si="545"/>
        <v>68110</v>
      </c>
      <c r="Z275">
        <f>_xlfn.XLOOKUP(B275,'[2]april-2025'!$A:$A,'[2]april-2025'!$H:$H,0,0)</f>
        <v>4000</v>
      </c>
      <c r="AA275">
        <f>_xlfn.XLOOKUP(B275,'[2]april-2025'!$A:$A,'[2]april-2025'!$I:$I,0,0)</f>
        <v>0</v>
      </c>
      <c r="AB275">
        <f t="shared" si="554"/>
        <v>200</v>
      </c>
      <c r="AC275">
        <f t="shared" si="555"/>
        <v>63910</v>
      </c>
      <c r="AD275">
        <f>_xlfn.XLOOKUP(B275,'[3]may-2025'!$A:$A,'[3]may-2025'!$C:$C,0,0)</f>
        <v>51700</v>
      </c>
      <c r="AE275">
        <f t="shared" si="556"/>
        <v>9306</v>
      </c>
      <c r="AF275">
        <f t="shared" si="557"/>
        <v>6204</v>
      </c>
      <c r="AG275">
        <f>_xlfn.XLOOKUP(B275,'[3]may-2025'!$A:$A,'[3]may-2025'!$D:$D,0,0)</f>
        <v>400</v>
      </c>
      <c r="AH275">
        <f>_xlfn.XLOOKUP(B275,'[3]may-2025'!$A:$A,'[3]may-2025'!$G:$G,0,0)</f>
        <v>500</v>
      </c>
      <c r="AI275">
        <f t="shared" si="546"/>
        <v>68110</v>
      </c>
      <c r="AJ275">
        <f>_xlfn.XLOOKUP(B275,'[3]may-2025'!$A:$A,'[3]may-2025'!$H:$H,0,0)</f>
        <v>4000</v>
      </c>
      <c r="AK275">
        <f>_xlfn.XLOOKUP(B275,'[3]may-2025'!$A:$A,'[3]may-2025'!$I:$I,0,0)</f>
        <v>0</v>
      </c>
      <c r="AL275">
        <f t="shared" si="558"/>
        <v>200</v>
      </c>
      <c r="AM275">
        <f t="shared" si="559"/>
        <v>63910</v>
      </c>
      <c r="AN275">
        <f>_xlfn.XLOOKUP(B275,'[4]june-2025'!$A:$A,'[4]june-2025'!$C:$C,0,0)</f>
        <v>51700</v>
      </c>
      <c r="AO275">
        <f t="shared" si="560"/>
        <v>9306</v>
      </c>
      <c r="AP275">
        <f t="shared" si="561"/>
        <v>6204</v>
      </c>
      <c r="AQ275">
        <f>_xlfn.XLOOKUP(B275,'[4]june-2025'!$A:$A,'[4]june-2025'!$D:$D,0,0)</f>
        <v>400</v>
      </c>
      <c r="AR275">
        <f>_xlfn.XLOOKUP(B275,'[4]june-2025'!$A:$A,'[4]june-2025'!$G:$G,0,0)</f>
        <v>500</v>
      </c>
      <c r="AS275">
        <f t="shared" si="547"/>
        <v>68110</v>
      </c>
      <c r="AT275">
        <f>_xlfn.XLOOKUP(B275,'[4]june-2025'!$A:$A,'[4]june-2025'!$H:$H,0,0)</f>
        <v>4000</v>
      </c>
      <c r="AU275">
        <f>_xlfn.XLOOKUP(B275,'[4]june-2025'!$A:$A,'[4]june-2025'!$I:$I,0,0)</f>
        <v>0</v>
      </c>
      <c r="AV275">
        <f t="shared" si="562"/>
        <v>200</v>
      </c>
      <c r="AW275">
        <f t="shared" si="563"/>
        <v>63910</v>
      </c>
      <c r="AX275">
        <f>_xlfn.XLOOKUP(B275,'[5]july-2025'!$A:$A,'[5]july-2025'!$C:$C,0,0)</f>
        <v>53300</v>
      </c>
      <c r="AY275">
        <f t="shared" si="564"/>
        <v>9594</v>
      </c>
      <c r="AZ275">
        <v>0</v>
      </c>
      <c r="BA275">
        <f t="shared" si="565"/>
        <v>6396</v>
      </c>
      <c r="BB275">
        <f>_xlfn.XLOOKUP(B275,'[5]july-2025'!$A:$A,'[5]july-2025'!$D:$D,0,0)</f>
        <v>400</v>
      </c>
      <c r="BC275">
        <f>_xlfn.XLOOKUP(B275,'[5]july-2025'!$A:$A,'[5]july-2025'!$G:$G,0,0)</f>
        <v>500</v>
      </c>
      <c r="BD275">
        <f>IF(AX275&gt;0,SUM(AX275:BC275),0)</f>
        <v>70190</v>
      </c>
      <c r="BE275">
        <f>_xlfn.XLOOKUP(B275,'[5]july-2025'!$A:$A,'[5]july-2025'!$H:$H,0,0)</f>
        <v>4000</v>
      </c>
      <c r="BF275">
        <f>_xlfn.XLOOKUP(B275,'[5]july-2025'!$A:$A,'[5]july-2025'!$I:$I,0,0)</f>
        <v>0</v>
      </c>
      <c r="BG275">
        <f t="shared" si="566"/>
        <v>200</v>
      </c>
      <c r="BH275">
        <f t="shared" si="567"/>
        <v>65990</v>
      </c>
      <c r="BI275">
        <f>_xlfn.XLOOKUP(B275,'[6]august-2025'!$A:$A,'[6]august-2025'!$C:$C,0,0)</f>
        <v>53300</v>
      </c>
      <c r="BJ275">
        <f t="shared" si="568"/>
        <v>9594</v>
      </c>
      <c r="BK275">
        <f t="shared" si="569"/>
        <v>6396</v>
      </c>
      <c r="BL275">
        <f>_xlfn.XLOOKUP(B275,'[6]august-2025'!$A:$A,'[6]august-2025'!$D:$D,0,0)</f>
        <v>400</v>
      </c>
      <c r="BM275">
        <f>_xlfn.XLOOKUP(B275,'[6]august-2025'!$A:$A,'[6]august-2025'!$G:$G,0,0)</f>
        <v>500</v>
      </c>
      <c r="BN275">
        <f t="shared" si="570"/>
        <v>70190</v>
      </c>
      <c r="BO275">
        <f>_xlfn.XLOOKUP(B275,'[6]august-2025'!$A:$A,'[6]august-2025'!$H:$H,0,0)</f>
        <v>4000</v>
      </c>
      <c r="BP275">
        <f>_xlfn.XLOOKUP(B275,'[6]august-2025'!$A:$A,'[6]august-2025'!$I:$I,0,0)</f>
        <v>0</v>
      </c>
      <c r="BQ275">
        <f>IF($F275="YES",0,IF(BN275&gt;40000,200,IF(BN275&gt;25000,150,IF(BN275&gt;15000,130,IF(BN275&gt;10000,110,0)))))</f>
        <v>200</v>
      </c>
      <c r="BR275">
        <f>BN275-BO275-BP275-BQ275</f>
        <v>65990</v>
      </c>
      <c r="BS275">
        <f>_xlfn.XLOOKUP(B275,'[7]september-2025'!$A:$A,'[7]september-2025'!$C:$C,0,0)</f>
        <v>53300</v>
      </c>
      <c r="BT275">
        <f t="shared" si="571"/>
        <v>9594</v>
      </c>
      <c r="BU275">
        <f t="shared" si="572"/>
        <v>6396</v>
      </c>
      <c r="BV275">
        <f>_xlfn.XLOOKUP(B275,'[7]september-2025'!$A:$A,'[7]september-2025'!$D:$D,0,0)</f>
        <v>400</v>
      </c>
      <c r="BW275">
        <f>_xlfn.XLOOKUP(B275,'[7]september-2025'!$A:$A,'[7]september-2025'!$G:$G,0,0)</f>
        <v>500</v>
      </c>
      <c r="BX275">
        <f>IF(BS275&gt;0,SUM(BS275:BW275),0)</f>
        <v>70190</v>
      </c>
      <c r="BY275">
        <f>_xlfn.XLOOKUP(B275,'[7]september-2025'!$A:$A,'[7]september-2025'!$H:$H,0,0)</f>
        <v>4000</v>
      </c>
      <c r="BZ275">
        <f>_xlfn.XLOOKUP(B275,'[7]september-2025'!$A:$A,'[7]september-2025'!$I:$I,0,0)</f>
        <v>0</v>
      </c>
      <c r="CA275">
        <f t="shared" si="573"/>
        <v>200</v>
      </c>
      <c r="CB275">
        <f t="shared" si="574"/>
        <v>65990</v>
      </c>
      <c r="CC275">
        <f>_xlfn.XLOOKUP(B275,'[8]october-2025'!$A:$A,'[8]october-2025'!$C:$C,0,0)</f>
        <v>53300</v>
      </c>
      <c r="CD275">
        <f t="shared" si="575"/>
        <v>9594</v>
      </c>
      <c r="CE275">
        <f t="shared" si="576"/>
        <v>6396</v>
      </c>
      <c r="CF275">
        <f>_xlfn.XLOOKUP(B275,'[8]october-2025'!$A:$A,'[8]october-2025'!$D:$D,0,0)</f>
        <v>400</v>
      </c>
      <c r="CG275">
        <f>_xlfn.XLOOKUP(B275,'[8]october-2025'!$A:$A,'[8]october-2025'!$G:$G,0,0)</f>
        <v>500</v>
      </c>
      <c r="CH275">
        <f>IF(CC275&gt;0,SUM(CC275:CG275),0)</f>
        <v>70190</v>
      </c>
      <c r="CI275">
        <f>_xlfn.XLOOKUP(B275,'[8]october-2025'!$A:$A,'[8]october-2025'!$H:$H,0,0)</f>
        <v>4000</v>
      </c>
      <c r="CJ275">
        <f>_xlfn.XLOOKUP(B275,'[8]october-2025'!$A:$A,'[8]october-2025'!$I:$I,0,0)</f>
        <v>0</v>
      </c>
      <c r="CK275">
        <f t="shared" si="577"/>
        <v>200</v>
      </c>
      <c r="CL275">
        <f t="shared" si="578"/>
        <v>65990</v>
      </c>
      <c r="CM275">
        <f>_xlfn.XLOOKUP(B275,'[9]november-2025'!$A:$A,'[9]november-2025'!$C:$C,0,0)</f>
        <v>53300</v>
      </c>
      <c r="CN275">
        <f t="shared" si="579"/>
        <v>9594</v>
      </c>
      <c r="CO275">
        <f t="shared" si="580"/>
        <v>6396</v>
      </c>
      <c r="CP275">
        <f>_xlfn.XLOOKUP(B275,'[9]november-2025'!$A:$A,'[9]november-2025'!$D:$D,0,0)</f>
        <v>400</v>
      </c>
      <c r="CQ275">
        <f>_xlfn.XLOOKUP(B275,'[9]november-2025'!$A:$A,'[9]november-2025'!$G:$G,0,0)</f>
        <v>500</v>
      </c>
      <c r="CR275">
        <f>IF(CM275&gt;0,SUM(CM275:CQ275),0)</f>
        <v>70190</v>
      </c>
      <c r="CS275">
        <f>_xlfn.XLOOKUP(B275,'[9]november-2025'!$A:$A,'[9]november-2025'!$H:$H,0,0)</f>
        <v>4000</v>
      </c>
      <c r="CT275">
        <f>_xlfn.XLOOKUP(B275,'[9]november-2025'!$A:$A,'[9]november-2025'!$I:$I,0,0)</f>
        <v>0</v>
      </c>
      <c r="CU275">
        <f t="shared" si="581"/>
        <v>200</v>
      </c>
      <c r="CV275">
        <f t="shared" si="582"/>
        <v>65990</v>
      </c>
      <c r="CW275">
        <f>_xlfn.XLOOKUP(B275,'[10]december-2025'!$A:$A,'[10]december-2025'!$C:$C,0,0)</f>
        <v>53300</v>
      </c>
      <c r="CX275">
        <f t="shared" si="583"/>
        <v>9594</v>
      </c>
      <c r="CY275">
        <f t="shared" si="584"/>
        <v>6396</v>
      </c>
      <c r="CZ275">
        <f>_xlfn.XLOOKUP(B275,'[10]december-2025'!$A:$A,'[10]december-2025'!$D:$D,0,0)</f>
        <v>400</v>
      </c>
      <c r="DA275">
        <f>_xlfn.XLOOKUP(B275,'[10]december-2025'!$A:$A,'[10]december-2025'!$G:$G,0,0)</f>
        <v>500</v>
      </c>
      <c r="DB275">
        <f>IF(CW275&gt;0,SUM(CW275:DA275),0)</f>
        <v>70190</v>
      </c>
      <c r="DC275">
        <f>_xlfn.XLOOKUP(B275,'[10]december-2025'!$A:$A,'[10]december-2025'!$H:$H,0,0)</f>
        <v>4000</v>
      </c>
      <c r="DD275">
        <f>_xlfn.XLOOKUP(B275,'[10]december-2025'!$A:$A,'[10]december-2025'!$I:$I,0,0)</f>
        <v>0</v>
      </c>
      <c r="DE275">
        <f t="shared" si="585"/>
        <v>200</v>
      </c>
      <c r="DF275">
        <f t="shared" si="586"/>
        <v>65990</v>
      </c>
      <c r="DG275">
        <f>_xlfn.XLOOKUP(B275,'[11]january-2026'!$A:$A,'[11]january-2026'!$C:$C,0,0)</f>
        <v>53300</v>
      </c>
      <c r="DH275">
        <f t="shared" si="587"/>
        <v>9594</v>
      </c>
      <c r="DI275">
        <f t="shared" si="588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>IF(DG275&gt;0,SUM(DG275:DK275),0)</f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589"/>
        <v>200</v>
      </c>
      <c r="DP275">
        <f t="shared" si="590"/>
        <v>65990</v>
      </c>
      <c r="DQ275">
        <f>_xlfn.XLOOKUP(B275,'[12]february-2026'!$A:$A,'[12]february-2026'!$C:$C,0,0)</f>
        <v>53300</v>
      </c>
      <c r="DR275">
        <f t="shared" si="591"/>
        <v>9594</v>
      </c>
      <c r="DS275">
        <f t="shared" si="592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>IF(DQ275&gt;0,SUM(DQ275:DU275),0)</f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593"/>
        <v>200</v>
      </c>
      <c r="DZ275">
        <f t="shared" si="594"/>
        <v>65990</v>
      </c>
      <c r="EA275">
        <f>_xlfn.XLOOKUP(B275,'[1]march-2025'!$A:$A,'[1]march-2025'!$J:$J,0,0)</f>
        <v>0</v>
      </c>
      <c r="EB275">
        <f>_xlfn.XLOOKUP(B275,'[2]april-2025'!$A:$A,'[2]april-2025'!$J:$J,0,0)</f>
        <v>0</v>
      </c>
      <c r="EC275">
        <f>_xlfn.XLOOKUP(B275,'[3]may-2025'!$A:$A,'[3]may-2025'!$J:$J,0,0)</f>
        <v>0</v>
      </c>
      <c r="ED275">
        <f>_xlfn.XLOOKUP(B275,'[4]june-2025'!$A:$A,'[4]june-2025'!$J:$J,0,0)</f>
        <v>0</v>
      </c>
      <c r="EE275">
        <f>_xlfn.XLOOKUP(B275,'[5]july-2025'!$A:$A,'[5]july-2025'!$J:$J,0,0)</f>
        <v>0</v>
      </c>
      <c r="EF275">
        <f>_xlfn.XLOOKUP(B275,'[6]august-2025'!$A:$A,'[6]august-2025'!$J:$J,0,0)</f>
        <v>0</v>
      </c>
      <c r="EG275">
        <f>_xlfn.XLOOKUP(B275,'[7]september-2025'!$A:$A,'[7]september-2025'!$J:$J,0,0)</f>
        <v>0</v>
      </c>
      <c r="EH275">
        <f>_xlfn.XLOOKUP(B275,'[8]october-2025'!$A:$A,'[8]october-2025'!$J:$J,0,0)</f>
        <v>0</v>
      </c>
      <c r="EI275">
        <f>_xlfn.XLOOKUP(C275,'[9]november-2025'!$A:$A,'[9]november-2025'!$J:$J,0,0)</f>
        <v>0</v>
      </c>
      <c r="EJ275">
        <f>_xlfn.XLOOKUP(B275,'[10]december-2025'!$A:$A,'[10]december-2025'!$J:$J,0,0)</f>
        <v>0</v>
      </c>
      <c r="EK275">
        <f>_xlfn.XLOOKUP(B275,'[11]january-2026'!$A:$A,'[11]january-2026'!$J:$J,0,0)</f>
        <v>0</v>
      </c>
      <c r="EL275">
        <f>_xlfn.XLOOKUP(B275,'[12]february-2026'!$A:$A,'[12]february-2026'!$J:$J,0,0)</f>
        <v>0</v>
      </c>
      <c r="EM275">
        <f t="shared" si="548"/>
        <v>0</v>
      </c>
      <c r="EN275">
        <f>DV275+DL275+DB275+CR275+CH275+BX275+BN275+BD275+AS275+AI275+Y275+O275+H275+I275</f>
        <v>838692</v>
      </c>
      <c r="EO275">
        <f>DY275+DO275+DE275+CU275+CK275+CA275+BQ275+BG275+AV275+AL275+AB275+R275</f>
        <v>2400</v>
      </c>
      <c r="EP275">
        <f t="shared" si="595"/>
        <v>50000</v>
      </c>
      <c r="EQ275">
        <v>0</v>
      </c>
      <c r="ER275">
        <f t="shared" si="549"/>
        <v>786292</v>
      </c>
      <c r="ES275">
        <f>DW275+DM275+DC275+CS275+CI275+BY275+BO275+BE275+AT275+AJ275+Z275+P275</f>
        <v>48000</v>
      </c>
      <c r="ET275">
        <f>DX275+DN275+DD275+CT275+CJ275+BZ275+BP275+BF275+AU275+AK275+AA275+Q275</f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596"/>
        <v>48000</v>
      </c>
      <c r="FF275">
        <f t="shared" si="597"/>
        <v>48000</v>
      </c>
      <c r="FG275">
        <f t="shared" si="598"/>
        <v>738292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>SUM(FH275:FN275)+(IF(F275="YES",50000,0))</f>
        <v>0</v>
      </c>
      <c r="FP275">
        <f t="shared" si="599"/>
        <v>738292</v>
      </c>
      <c r="FQ275">
        <f t="shared" si="600"/>
        <v>12500</v>
      </c>
      <c r="FR275">
        <f t="shared" si="601"/>
        <v>47658</v>
      </c>
      <c r="FS275">
        <f t="shared" si="602"/>
        <v>60158</v>
      </c>
      <c r="FT275">
        <f t="shared" si="603"/>
        <v>60158</v>
      </c>
      <c r="FU275">
        <f t="shared" si="604"/>
        <v>2406.3200000000002</v>
      </c>
      <c r="FV275">
        <f t="shared" si="605"/>
        <v>62564</v>
      </c>
      <c r="FW275">
        <v>0</v>
      </c>
      <c r="FX275">
        <f t="shared" si="606"/>
        <v>62564</v>
      </c>
      <c r="FY275" t="b">
        <f t="shared" si="607"/>
        <v>1</v>
      </c>
      <c r="FZ275">
        <f t="shared" ca="1" si="608"/>
        <v>637</v>
      </c>
      <c r="GA275">
        <f t="shared" ca="1" si="609"/>
        <v>839329</v>
      </c>
      <c r="GB275">
        <f t="shared" si="610"/>
        <v>75000</v>
      </c>
      <c r="GC275">
        <f t="shared" ca="1" si="611"/>
        <v>764329</v>
      </c>
      <c r="GD275">
        <f t="shared" ca="1" si="612"/>
        <v>0</v>
      </c>
      <c r="GE275">
        <f t="shared" ca="1" si="613"/>
        <v>0</v>
      </c>
      <c r="GF275">
        <f t="shared" ca="1" si="614"/>
        <v>0</v>
      </c>
      <c r="GG275">
        <f t="shared" ca="1" si="615"/>
        <v>0</v>
      </c>
      <c r="GH275">
        <f t="shared" ca="1" si="616"/>
        <v>0</v>
      </c>
      <c r="GI275">
        <f t="shared" ca="1" si="617"/>
        <v>0</v>
      </c>
      <c r="GJ275">
        <f ca="1">IF(GC275&gt;1200000,GC275-1200000-IF(F275="YES",50000,0)-GH275,0)</f>
        <v>0</v>
      </c>
      <c r="GK275">
        <f t="shared" ca="1" si="618"/>
        <v>0</v>
      </c>
      <c r="GL275">
        <f t="shared" ca="1" si="619"/>
        <v>0</v>
      </c>
      <c r="GM275">
        <f t="shared" ca="1" si="620"/>
        <v>0</v>
      </c>
      <c r="GN275">
        <f t="shared" ca="1" si="621"/>
        <v>364329</v>
      </c>
      <c r="GO275">
        <f t="shared" ca="1" si="622"/>
        <v>18216.45</v>
      </c>
      <c r="GP275">
        <f t="shared" ca="1" si="623"/>
        <v>18216</v>
      </c>
      <c r="GQ275">
        <f t="shared" ca="1" si="624"/>
        <v>0</v>
      </c>
      <c r="GR275">
        <f t="shared" ca="1" si="625"/>
        <v>0</v>
      </c>
      <c r="GS275">
        <f t="shared" ca="1" si="626"/>
        <v>18216</v>
      </c>
      <c r="GT275">
        <f t="shared" ca="1" si="627"/>
        <v>0</v>
      </c>
      <c r="GU275" t="b">
        <f t="shared" ca="1" si="628"/>
        <v>0</v>
      </c>
      <c r="GV275">
        <f t="shared" ca="1" si="629"/>
        <v>0</v>
      </c>
      <c r="GW275">
        <f t="shared" ca="1" si="630"/>
        <v>18216</v>
      </c>
      <c r="GX275">
        <f t="shared" ca="1" si="631"/>
        <v>0</v>
      </c>
      <c r="GY275">
        <f t="shared" ca="1" si="632"/>
        <v>0</v>
      </c>
      <c r="GZ275">
        <f t="shared" ca="1" si="633"/>
        <v>0</v>
      </c>
    </row>
    <row r="276" spans="1:208" x14ac:dyDescent="0.25">
      <c r="A276">
        <f>_xlfn.AGGREGATE(3,5,$B$2:B276)</f>
        <v>275</v>
      </c>
      <c r="B276" t="s">
        <v>651</v>
      </c>
      <c r="C276" t="s">
        <v>652</v>
      </c>
      <c r="D276" t="s">
        <v>822</v>
      </c>
      <c r="E276" t="s">
        <v>831</v>
      </c>
      <c r="F276" t="s">
        <v>957</v>
      </c>
      <c r="G276" t="s">
        <v>877</v>
      </c>
      <c r="H276">
        <f t="shared" si="635"/>
        <v>6800</v>
      </c>
      <c r="I276">
        <f>_xlfn.XLOOKUP(B276,'[1]march-2025'!$A:$A,'[1]march-2025'!$J:$J,0,0)</f>
        <v>41373</v>
      </c>
      <c r="J276">
        <f>_xlfn.XLOOKUP(B276,'[1]march-2025'!$A:$A,'[1]march-2025'!$C:$C,0,0)</f>
        <v>29800</v>
      </c>
      <c r="K276">
        <f t="shared" si="550"/>
        <v>4172</v>
      </c>
      <c r="L276">
        <f t="shared" si="551"/>
        <v>3576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>IF(J276&gt;0,SUM(J276:N276),0)</f>
        <v>38048</v>
      </c>
      <c r="P276">
        <f>_xlfn.XLOOKUP(B276,'[1]march-2025'!$A:$A,'[1]march-2025'!$H:$H,0,0)</f>
        <v>2000</v>
      </c>
      <c r="Q276">
        <f>_xlfn.XLOOKUP(B276,'[1]march-2025'!$A:$A,'[1]march-2025'!$I:$I,0,0)</f>
        <v>0</v>
      </c>
      <c r="R276">
        <f t="shared" si="634"/>
        <v>150</v>
      </c>
      <c r="S276">
        <f t="shared" si="544"/>
        <v>35898</v>
      </c>
      <c r="T276">
        <f>_xlfn.XLOOKUP(B276,'[2]april-2025'!$A:$A,'[2]april-2025'!$C:$C,0,0)</f>
        <v>29800</v>
      </c>
      <c r="U276">
        <f t="shared" si="552"/>
        <v>5364</v>
      </c>
      <c r="V276">
        <f t="shared" si="553"/>
        <v>3576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545"/>
        <v>39240</v>
      </c>
      <c r="Z276">
        <f>_xlfn.XLOOKUP(B276,'[2]april-2025'!$A:$A,'[2]april-2025'!$H:$H,0,0)</f>
        <v>2000</v>
      </c>
      <c r="AA276">
        <f>_xlfn.XLOOKUP(B276,'[2]april-2025'!$A:$A,'[2]april-2025'!$I:$I,0,0)</f>
        <v>0</v>
      </c>
      <c r="AB276">
        <f t="shared" si="554"/>
        <v>150</v>
      </c>
      <c r="AC276">
        <f t="shared" si="555"/>
        <v>37090</v>
      </c>
      <c r="AD276">
        <f>_xlfn.XLOOKUP(B276,'[3]may-2025'!$A:$A,'[3]may-2025'!$C:$C,0,0)</f>
        <v>29800</v>
      </c>
      <c r="AE276">
        <f t="shared" si="556"/>
        <v>5364</v>
      </c>
      <c r="AF276">
        <f t="shared" si="557"/>
        <v>3576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546"/>
        <v>39240</v>
      </c>
      <c r="AJ276">
        <f>_xlfn.XLOOKUP(B276,'[3]may-2025'!$A:$A,'[3]may-2025'!$H:$H,0,0)</f>
        <v>2000</v>
      </c>
      <c r="AK276">
        <f>_xlfn.XLOOKUP(B276,'[3]may-2025'!$A:$A,'[3]may-2025'!$I:$I,0,0)</f>
        <v>0</v>
      </c>
      <c r="AL276">
        <f t="shared" si="558"/>
        <v>150</v>
      </c>
      <c r="AM276">
        <f t="shared" si="559"/>
        <v>37090</v>
      </c>
      <c r="AN276">
        <f>_xlfn.XLOOKUP(B276,'[4]june-2025'!$A:$A,'[4]june-2025'!$C:$C,0,0)</f>
        <v>29800</v>
      </c>
      <c r="AO276">
        <f t="shared" si="560"/>
        <v>5364</v>
      </c>
      <c r="AP276">
        <f t="shared" si="561"/>
        <v>3576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547"/>
        <v>39240</v>
      </c>
      <c r="AT276">
        <f>_xlfn.XLOOKUP(B276,'[4]june-2025'!$A:$A,'[4]june-2025'!$H:$H,0,0)</f>
        <v>2000</v>
      </c>
      <c r="AU276">
        <f>_xlfn.XLOOKUP(B276,'[4]june-2025'!$A:$A,'[4]june-2025'!$I:$I,0,0)</f>
        <v>0</v>
      </c>
      <c r="AV276">
        <f t="shared" si="562"/>
        <v>150</v>
      </c>
      <c r="AW276">
        <f t="shared" si="563"/>
        <v>37090</v>
      </c>
      <c r="AX276">
        <f>_xlfn.XLOOKUP(B276,'[5]july-2025'!$A:$A,'[5]july-2025'!$C:$C,0,0)</f>
        <v>30700</v>
      </c>
      <c r="AY276">
        <f t="shared" si="564"/>
        <v>5526</v>
      </c>
      <c r="AZ276">
        <v>0</v>
      </c>
      <c r="BA276">
        <f t="shared" si="565"/>
        <v>3684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>IF(AX276&gt;0,SUM(AX276:BC276),0)</f>
        <v>40410</v>
      </c>
      <c r="BE276">
        <f>_xlfn.XLOOKUP(B276,'[5]july-2025'!$A:$A,'[5]july-2025'!$H:$H,0,0)</f>
        <v>2000</v>
      </c>
      <c r="BF276">
        <f>_xlfn.XLOOKUP(B276,'[5]july-2025'!$A:$A,'[5]july-2025'!$I:$I,0,0)</f>
        <v>0</v>
      </c>
      <c r="BG276">
        <f t="shared" si="566"/>
        <v>200</v>
      </c>
      <c r="BH276">
        <f t="shared" si="567"/>
        <v>38210</v>
      </c>
      <c r="BI276">
        <f>_xlfn.XLOOKUP(B276,'[6]august-2025'!$A:$A,'[6]august-2025'!$C:$C,0,0)</f>
        <v>30700</v>
      </c>
      <c r="BJ276">
        <f t="shared" si="568"/>
        <v>5526</v>
      </c>
      <c r="BK276">
        <f t="shared" si="569"/>
        <v>3684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570"/>
        <v>40410</v>
      </c>
      <c r="BO276">
        <f>_xlfn.XLOOKUP(B276,'[6]august-2025'!$A:$A,'[6]august-2025'!$H:$H,0,0)</f>
        <v>2000</v>
      </c>
      <c r="BP276">
        <f>_xlfn.XLOOKUP(B276,'[6]august-2025'!$A:$A,'[6]august-2025'!$I:$I,0,0)</f>
        <v>0</v>
      </c>
      <c r="BQ276">
        <f>IF($F276="YES",0,IF(BN276&gt;40000,200,IF(BN276&gt;25000,150,IF(BN276&gt;15000,130,IF(BN276&gt;10000,110,0)))))</f>
        <v>200</v>
      </c>
      <c r="BR276">
        <f>BN276-BO276-BP276-BQ276</f>
        <v>38210</v>
      </c>
      <c r="BS276">
        <f>_xlfn.XLOOKUP(B276,'[7]september-2025'!$A:$A,'[7]september-2025'!$C:$C,0,0)</f>
        <v>30700</v>
      </c>
      <c r="BT276">
        <f t="shared" si="571"/>
        <v>5526</v>
      </c>
      <c r="BU276">
        <f t="shared" si="572"/>
        <v>3684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>IF(BS276&gt;0,SUM(BS276:BW276),0)</f>
        <v>40410</v>
      </c>
      <c r="BY276">
        <f>_xlfn.XLOOKUP(B276,'[7]september-2025'!$A:$A,'[7]september-2025'!$H:$H,0,0)</f>
        <v>2000</v>
      </c>
      <c r="BZ276">
        <f>_xlfn.XLOOKUP(B276,'[7]september-2025'!$A:$A,'[7]september-2025'!$I:$I,0,0)</f>
        <v>0</v>
      </c>
      <c r="CA276">
        <f t="shared" si="573"/>
        <v>200</v>
      </c>
      <c r="CB276">
        <f t="shared" si="574"/>
        <v>38210</v>
      </c>
      <c r="CC276">
        <f>_xlfn.XLOOKUP(B276,'[8]october-2025'!$A:$A,'[8]october-2025'!$C:$C,0,0)</f>
        <v>30700</v>
      </c>
      <c r="CD276">
        <f t="shared" si="575"/>
        <v>5526</v>
      </c>
      <c r="CE276">
        <f t="shared" si="576"/>
        <v>3684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>IF(CC276&gt;0,SUM(CC276:CG276),0)</f>
        <v>40410</v>
      </c>
      <c r="CI276">
        <f>_xlfn.XLOOKUP(B276,'[8]october-2025'!$A:$A,'[8]october-2025'!$H:$H,0,0)</f>
        <v>2000</v>
      </c>
      <c r="CJ276">
        <f>_xlfn.XLOOKUP(B276,'[8]october-2025'!$A:$A,'[8]october-2025'!$I:$I,0,0)</f>
        <v>0</v>
      </c>
      <c r="CK276">
        <f t="shared" si="577"/>
        <v>200</v>
      </c>
      <c r="CL276">
        <f t="shared" si="578"/>
        <v>38210</v>
      </c>
      <c r="CM276">
        <f>_xlfn.XLOOKUP(B276,'[9]november-2025'!$A:$A,'[9]november-2025'!$C:$C,0,0)</f>
        <v>30700</v>
      </c>
      <c r="CN276">
        <f t="shared" si="579"/>
        <v>5526</v>
      </c>
      <c r="CO276">
        <f t="shared" si="580"/>
        <v>3684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>IF(CM276&gt;0,SUM(CM276:CQ276),0)</f>
        <v>40410</v>
      </c>
      <c r="CS276">
        <f>_xlfn.XLOOKUP(B276,'[9]november-2025'!$A:$A,'[9]november-2025'!$H:$H,0,0)</f>
        <v>2000</v>
      </c>
      <c r="CT276">
        <f>_xlfn.XLOOKUP(B276,'[9]november-2025'!$A:$A,'[9]november-2025'!$I:$I,0,0)</f>
        <v>0</v>
      </c>
      <c r="CU276">
        <f t="shared" si="581"/>
        <v>200</v>
      </c>
      <c r="CV276">
        <f t="shared" si="582"/>
        <v>38210</v>
      </c>
      <c r="CW276">
        <f>_xlfn.XLOOKUP(B276,'[10]december-2025'!$A:$A,'[10]december-2025'!$C:$C,0,0)</f>
        <v>30700</v>
      </c>
      <c r="CX276">
        <f t="shared" si="583"/>
        <v>5526</v>
      </c>
      <c r="CY276">
        <f t="shared" si="584"/>
        <v>3684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>IF(CW276&gt;0,SUM(CW276:DA276),0)</f>
        <v>40410</v>
      </c>
      <c r="DC276">
        <f>_xlfn.XLOOKUP(B276,'[10]december-2025'!$A:$A,'[10]december-2025'!$H:$H,0,0)</f>
        <v>2000</v>
      </c>
      <c r="DD276">
        <f>_xlfn.XLOOKUP(B276,'[10]december-2025'!$A:$A,'[10]december-2025'!$I:$I,0,0)</f>
        <v>0</v>
      </c>
      <c r="DE276">
        <f t="shared" si="585"/>
        <v>200</v>
      </c>
      <c r="DF276">
        <f t="shared" si="586"/>
        <v>38210</v>
      </c>
      <c r="DG276">
        <f>_xlfn.XLOOKUP(B276,'[11]january-2026'!$A:$A,'[11]january-2026'!$C:$C,0,0)</f>
        <v>30700</v>
      </c>
      <c r="DH276">
        <f t="shared" si="587"/>
        <v>5526</v>
      </c>
      <c r="DI276">
        <f t="shared" si="588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>IF(DG276&gt;0,SUM(DG276:DK276),0)</f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589"/>
        <v>200</v>
      </c>
      <c r="DP276">
        <f t="shared" si="590"/>
        <v>38210</v>
      </c>
      <c r="DQ276">
        <f>_xlfn.XLOOKUP(B276,'[12]february-2026'!$A:$A,'[12]february-2026'!$C:$C,0,0)</f>
        <v>30700</v>
      </c>
      <c r="DR276">
        <f t="shared" si="591"/>
        <v>5526</v>
      </c>
      <c r="DS276">
        <f t="shared" si="592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>IF(DQ276&gt;0,SUM(DQ276:DU276),0)</f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593"/>
        <v>200</v>
      </c>
      <c r="DZ276">
        <f t="shared" si="594"/>
        <v>38210</v>
      </c>
      <c r="EA276">
        <f>_xlfn.XLOOKUP(B276,'[1]march-2025'!$A:$A,'[1]march-2025'!$J:$J,0,0)</f>
        <v>41373</v>
      </c>
      <c r="EB276">
        <f>_xlfn.XLOOKUP(B276,'[2]april-2025'!$A:$A,'[2]april-2025'!$J:$J,0,0)</f>
        <v>0</v>
      </c>
      <c r="EC276">
        <f>_xlfn.XLOOKUP(B276,'[3]may-2025'!$A:$A,'[3]may-2025'!$J:$J,0,0)</f>
        <v>0</v>
      </c>
      <c r="ED276">
        <f>_xlfn.XLOOKUP(B276,'[4]june-2025'!$A:$A,'[4]june-2025'!$J:$J,0,0)</f>
        <v>0</v>
      </c>
      <c r="EE276">
        <f>_xlfn.XLOOKUP(B276,'[5]july-2025'!$A:$A,'[5]july-2025'!$J:$J,0,0)</f>
        <v>0</v>
      </c>
      <c r="EF276">
        <f>_xlfn.XLOOKUP(B276,'[6]august-2025'!$A:$A,'[6]august-2025'!$J:$J,0,0)</f>
        <v>0</v>
      </c>
      <c r="EG276">
        <f>_xlfn.XLOOKUP(B276,'[7]september-2025'!$A:$A,'[7]september-2025'!$J:$J,0,0)</f>
        <v>0</v>
      </c>
      <c r="EH276">
        <f>_xlfn.XLOOKUP(B276,'[8]october-2025'!$A:$A,'[8]october-2025'!$J:$J,0,0)</f>
        <v>0</v>
      </c>
      <c r="EI276">
        <f>_xlfn.XLOOKUP(C276,'[9]november-2025'!$A:$A,'[9]november-2025'!$J:$J,0,0)</f>
        <v>0</v>
      </c>
      <c r="EJ276">
        <f>_xlfn.XLOOKUP(B276,'[10]december-2025'!$A:$A,'[10]december-2025'!$J:$J,0,0)</f>
        <v>0</v>
      </c>
      <c r="EK276">
        <f>_xlfn.XLOOKUP(B276,'[11]january-2026'!$A:$A,'[11]january-2026'!$J:$J,0,0)</f>
        <v>0</v>
      </c>
      <c r="EL276">
        <f>_xlfn.XLOOKUP(B276,'[12]february-2026'!$A:$A,'[12]february-2026'!$J:$J,0,0)</f>
        <v>0</v>
      </c>
      <c r="EM276">
        <f t="shared" si="548"/>
        <v>41373</v>
      </c>
      <c r="EN276">
        <f>DV276+DL276+DB276+CR276+CH276+BX276+BN276+BD276+AS276+AI276+Y276+O276+H276+I276</f>
        <v>527221</v>
      </c>
      <c r="EO276">
        <f>DY276+DO276+DE276+CU276+CK276+CA276+BQ276+BG276+AV276+AL276+AB276+R276</f>
        <v>2200</v>
      </c>
      <c r="EP276">
        <f t="shared" si="595"/>
        <v>50000</v>
      </c>
      <c r="EQ276">
        <v>0</v>
      </c>
      <c r="ER276">
        <f t="shared" si="549"/>
        <v>516394</v>
      </c>
      <c r="ES276">
        <f>DW276+DM276+DC276+CS276+CI276+BY276+BO276+BE276+AT276+AJ276+Z276+P276</f>
        <v>24000</v>
      </c>
      <c r="ET276">
        <f>DX276+DN276+DD276+CT276+CJ276+BZ276+BP276+BF276+AU276+AK276+AA276+Q276</f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596"/>
        <v>24000</v>
      </c>
      <c r="FF276">
        <f t="shared" si="597"/>
        <v>24000</v>
      </c>
      <c r="FG276">
        <f t="shared" si="598"/>
        <v>492394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>SUM(FH276:FN276)+(IF(F276="YES",50000,0))</f>
        <v>0</v>
      </c>
      <c r="FP276">
        <f t="shared" si="599"/>
        <v>492394</v>
      </c>
      <c r="FQ276">
        <f t="shared" si="600"/>
        <v>12120</v>
      </c>
      <c r="FR276">
        <f t="shared" si="601"/>
        <v>0</v>
      </c>
      <c r="FS276">
        <f t="shared" si="602"/>
        <v>12120</v>
      </c>
      <c r="FT276">
        <f t="shared" si="603"/>
        <v>0</v>
      </c>
      <c r="FU276">
        <f t="shared" si="604"/>
        <v>0</v>
      </c>
      <c r="FV276">
        <f t="shared" si="605"/>
        <v>0</v>
      </c>
      <c r="FW276">
        <v>0</v>
      </c>
      <c r="FX276">
        <f t="shared" si="606"/>
        <v>0</v>
      </c>
      <c r="FY276" t="b">
        <f t="shared" si="607"/>
        <v>1</v>
      </c>
      <c r="FZ276">
        <f t="shared" ca="1" si="608"/>
        <v>822</v>
      </c>
      <c r="GA276">
        <f t="shared" ca="1" si="609"/>
        <v>528043</v>
      </c>
      <c r="GB276">
        <f t="shared" si="610"/>
        <v>75000</v>
      </c>
      <c r="GC276">
        <f t="shared" ca="1" si="611"/>
        <v>453043</v>
      </c>
      <c r="GD276">
        <f t="shared" ca="1" si="612"/>
        <v>0</v>
      </c>
      <c r="GE276">
        <f t="shared" ca="1" si="613"/>
        <v>0</v>
      </c>
      <c r="GF276">
        <f t="shared" ca="1" si="614"/>
        <v>0</v>
      </c>
      <c r="GG276">
        <f t="shared" ca="1" si="615"/>
        <v>0</v>
      </c>
      <c r="GH276">
        <f t="shared" ca="1" si="616"/>
        <v>0</v>
      </c>
      <c r="GI276">
        <f t="shared" ca="1" si="617"/>
        <v>0</v>
      </c>
      <c r="GJ276">
        <f ca="1">IF(GC276&gt;1200000,GC276-1200000-IF(F276="YES",50000,0)-GH276,0)</f>
        <v>0</v>
      </c>
      <c r="GK276">
        <f t="shared" ca="1" si="618"/>
        <v>0</v>
      </c>
      <c r="GL276">
        <f t="shared" ca="1" si="619"/>
        <v>0</v>
      </c>
      <c r="GM276">
        <f t="shared" ca="1" si="620"/>
        <v>0</v>
      </c>
      <c r="GN276">
        <f t="shared" ca="1" si="621"/>
        <v>53043</v>
      </c>
      <c r="GO276">
        <f t="shared" ca="1" si="622"/>
        <v>2652.15</v>
      </c>
      <c r="GP276">
        <f t="shared" ca="1" si="623"/>
        <v>2652</v>
      </c>
      <c r="GQ276">
        <f t="shared" ca="1" si="624"/>
        <v>0</v>
      </c>
      <c r="GR276">
        <f t="shared" ca="1" si="625"/>
        <v>0</v>
      </c>
      <c r="GS276">
        <f t="shared" ca="1" si="626"/>
        <v>2652</v>
      </c>
      <c r="GT276">
        <f t="shared" ca="1" si="627"/>
        <v>0</v>
      </c>
      <c r="GU276" t="b">
        <f t="shared" ca="1" si="628"/>
        <v>0</v>
      </c>
      <c r="GV276">
        <f t="shared" ca="1" si="629"/>
        <v>0</v>
      </c>
      <c r="GW276">
        <f t="shared" ca="1" si="630"/>
        <v>2652</v>
      </c>
      <c r="GX276">
        <f t="shared" ca="1" si="631"/>
        <v>0</v>
      </c>
      <c r="GY276">
        <f t="shared" ca="1" si="632"/>
        <v>0</v>
      </c>
      <c r="GZ276">
        <f t="shared" ca="1" si="633"/>
        <v>0</v>
      </c>
    </row>
    <row r="277" spans="1:208" x14ac:dyDescent="0.25">
      <c r="A277">
        <f>_xlfn.AGGREGATE(3,5,$B$2:B277)</f>
        <v>276</v>
      </c>
      <c r="B277" t="s">
        <v>653</v>
      </c>
      <c r="C277" t="s">
        <v>654</v>
      </c>
      <c r="D277" t="s">
        <v>823</v>
      </c>
      <c r="E277" t="s">
        <v>831</v>
      </c>
      <c r="F277" t="s">
        <v>957</v>
      </c>
      <c r="G277" t="s">
        <v>885</v>
      </c>
      <c r="H277">
        <f t="shared" si="635"/>
        <v>6800</v>
      </c>
      <c r="I277">
        <f>_xlfn.XLOOKUP(B277,'[1]march-2025'!$A:$A,'[1]march-2025'!$J:$J,0,0)</f>
        <v>0</v>
      </c>
      <c r="J277">
        <f>_xlfn.XLOOKUP(B277,'[1]march-2025'!$A:$A,'[1]march-2025'!$C:$C,0,0)</f>
        <v>47300</v>
      </c>
      <c r="K277">
        <f t="shared" si="550"/>
        <v>6622.0000000000009</v>
      </c>
      <c r="L277">
        <f t="shared" si="551"/>
        <v>5676</v>
      </c>
      <c r="M277">
        <f>_xlfn.XLOOKUP(B277,'[1]march-2025'!$A:$A,'[1]march-2025'!$D:$D,0,0)</f>
        <v>400</v>
      </c>
      <c r="N277">
        <f>_xlfn.XLOOKUP(B277,'[1]march-2025'!$A:$A,'[1]march-2025'!$G:$G,0,0)</f>
        <v>0</v>
      </c>
      <c r="O277">
        <f>IF(J277&gt;0,SUM(J277:N277),0)</f>
        <v>59998</v>
      </c>
      <c r="P277">
        <f>_xlfn.XLOOKUP(B277,'[1]march-2025'!$A:$A,'[1]march-2025'!$H:$H,0,0)</f>
        <v>7000</v>
      </c>
      <c r="Q277">
        <f>_xlfn.XLOOKUP(B277,'[1]march-2025'!$A:$A,'[1]march-2025'!$I:$I,0,0)</f>
        <v>60</v>
      </c>
      <c r="R277">
        <f t="shared" si="634"/>
        <v>200</v>
      </c>
      <c r="S277">
        <f t="shared" si="544"/>
        <v>52738</v>
      </c>
      <c r="T277">
        <f>_xlfn.XLOOKUP(B277,'[2]april-2025'!$A:$A,'[2]april-2025'!$C:$C,0,0)</f>
        <v>47300</v>
      </c>
      <c r="U277">
        <f t="shared" si="552"/>
        <v>8514</v>
      </c>
      <c r="V277">
        <f t="shared" si="553"/>
        <v>5676</v>
      </c>
      <c r="W277">
        <f>_xlfn.XLOOKUP(B277,'[2]april-2025'!$A:$A,'[2]april-2025'!$D:$D,0,0)</f>
        <v>400</v>
      </c>
      <c r="X277">
        <f>_xlfn.XLOOKUP(B277,'[2]april-2025'!$A:$A,'[2]april-2025'!$G:$G,0,0)</f>
        <v>0</v>
      </c>
      <c r="Y277">
        <f t="shared" si="545"/>
        <v>61890</v>
      </c>
      <c r="Z277">
        <f>_xlfn.XLOOKUP(B277,'[2]april-2025'!$A:$A,'[2]april-2025'!$H:$H,0,0)</f>
        <v>7000</v>
      </c>
      <c r="AA277">
        <f>_xlfn.XLOOKUP(B277,'[2]april-2025'!$A:$A,'[2]april-2025'!$I:$I,0,0)</f>
        <v>60</v>
      </c>
      <c r="AB277">
        <f t="shared" si="554"/>
        <v>200</v>
      </c>
      <c r="AC277">
        <f t="shared" si="555"/>
        <v>54630</v>
      </c>
      <c r="AD277">
        <f>_xlfn.XLOOKUP(B277,'[3]may-2025'!$A:$A,'[3]may-2025'!$C:$C,0,0)</f>
        <v>47300</v>
      </c>
      <c r="AE277">
        <f t="shared" si="556"/>
        <v>8514</v>
      </c>
      <c r="AF277">
        <f t="shared" si="557"/>
        <v>5676</v>
      </c>
      <c r="AG277">
        <f>_xlfn.XLOOKUP(B277,'[3]may-2025'!$A:$A,'[3]may-2025'!$D:$D,0,0)</f>
        <v>400</v>
      </c>
      <c r="AH277">
        <f>_xlfn.XLOOKUP(B277,'[3]may-2025'!$A:$A,'[3]may-2025'!$G:$G,0,0)</f>
        <v>0</v>
      </c>
      <c r="AI277">
        <f t="shared" si="546"/>
        <v>61890</v>
      </c>
      <c r="AJ277">
        <f>_xlfn.XLOOKUP(B277,'[3]may-2025'!$A:$A,'[3]may-2025'!$H:$H,0,0)</f>
        <v>7000</v>
      </c>
      <c r="AK277">
        <f>_xlfn.XLOOKUP(B277,'[3]may-2025'!$A:$A,'[3]may-2025'!$I:$I,0,0)</f>
        <v>60</v>
      </c>
      <c r="AL277">
        <f t="shared" si="558"/>
        <v>200</v>
      </c>
      <c r="AM277">
        <f t="shared" si="559"/>
        <v>54630</v>
      </c>
      <c r="AN277">
        <f>_xlfn.XLOOKUP(B277,'[4]june-2025'!$A:$A,'[4]june-2025'!$C:$C,0,0)</f>
        <v>47300</v>
      </c>
      <c r="AO277">
        <f t="shared" si="560"/>
        <v>8514</v>
      </c>
      <c r="AP277">
        <f t="shared" si="561"/>
        <v>5676</v>
      </c>
      <c r="AQ277">
        <f>_xlfn.XLOOKUP(B277,'[4]june-2025'!$A:$A,'[4]june-2025'!$D:$D,0,0)</f>
        <v>400</v>
      </c>
      <c r="AR277">
        <f>_xlfn.XLOOKUP(B277,'[4]june-2025'!$A:$A,'[4]june-2025'!$G:$G,0,0)</f>
        <v>0</v>
      </c>
      <c r="AS277">
        <f t="shared" si="547"/>
        <v>61890</v>
      </c>
      <c r="AT277">
        <f>_xlfn.XLOOKUP(B277,'[4]june-2025'!$A:$A,'[4]june-2025'!$H:$H,0,0)</f>
        <v>7000</v>
      </c>
      <c r="AU277">
        <f>_xlfn.XLOOKUP(B277,'[4]june-2025'!$A:$A,'[4]june-2025'!$I:$I,0,0)</f>
        <v>60</v>
      </c>
      <c r="AV277">
        <f t="shared" si="562"/>
        <v>200</v>
      </c>
      <c r="AW277">
        <f t="shared" si="563"/>
        <v>54630</v>
      </c>
      <c r="AX277">
        <f>_xlfn.XLOOKUP(B277,'[5]july-2025'!$A:$A,'[5]july-2025'!$C:$C,0,0)</f>
        <v>48700</v>
      </c>
      <c r="AY277">
        <f t="shared" si="564"/>
        <v>8766</v>
      </c>
      <c r="AZ277">
        <v>0</v>
      </c>
      <c r="BA277">
        <f t="shared" si="565"/>
        <v>5844</v>
      </c>
      <c r="BB277">
        <f>_xlfn.XLOOKUP(B277,'[5]july-2025'!$A:$A,'[5]july-2025'!$D:$D,0,0)</f>
        <v>400</v>
      </c>
      <c r="BC277">
        <f>_xlfn.XLOOKUP(B277,'[5]july-2025'!$A:$A,'[5]july-2025'!$G:$G,0,0)</f>
        <v>0</v>
      </c>
      <c r="BD277">
        <f>IF(AX277&gt;0,SUM(AX277:BC277),0)</f>
        <v>63710</v>
      </c>
      <c r="BE277">
        <f>_xlfn.XLOOKUP(B277,'[5]july-2025'!$A:$A,'[5]july-2025'!$H:$H,0,0)</f>
        <v>7000</v>
      </c>
      <c r="BF277">
        <f>_xlfn.XLOOKUP(B277,'[5]july-2025'!$A:$A,'[5]july-2025'!$I:$I,0,0)</f>
        <v>60</v>
      </c>
      <c r="BG277">
        <f t="shared" si="566"/>
        <v>200</v>
      </c>
      <c r="BH277">
        <f t="shared" si="567"/>
        <v>56450</v>
      </c>
      <c r="BI277">
        <f>_xlfn.XLOOKUP(B277,'[6]august-2025'!$A:$A,'[6]august-2025'!$C:$C,0,0)</f>
        <v>48700</v>
      </c>
      <c r="BJ277">
        <f t="shared" si="568"/>
        <v>8766</v>
      </c>
      <c r="BK277">
        <f t="shared" si="569"/>
        <v>5844</v>
      </c>
      <c r="BL277">
        <f>_xlfn.XLOOKUP(B277,'[6]august-2025'!$A:$A,'[6]august-2025'!$D:$D,0,0)</f>
        <v>400</v>
      </c>
      <c r="BM277">
        <f>_xlfn.XLOOKUP(B277,'[6]august-2025'!$A:$A,'[6]august-2025'!$G:$G,0,0)</f>
        <v>0</v>
      </c>
      <c r="BN277">
        <f t="shared" si="570"/>
        <v>63710</v>
      </c>
      <c r="BO277">
        <f>_xlfn.XLOOKUP(B277,'[6]august-2025'!$A:$A,'[6]august-2025'!$H:$H,0,0)</f>
        <v>7000</v>
      </c>
      <c r="BP277">
        <f>_xlfn.XLOOKUP(B277,'[6]august-2025'!$A:$A,'[6]august-2025'!$I:$I,0,0)</f>
        <v>60</v>
      </c>
      <c r="BQ277">
        <f>IF($F277="YES",0,IF(BN277&gt;40000,200,IF(BN277&gt;25000,150,IF(BN277&gt;15000,130,IF(BN277&gt;10000,110,0)))))</f>
        <v>200</v>
      </c>
      <c r="BR277">
        <f>BN277-BO277-BP277-BQ277</f>
        <v>56450</v>
      </c>
      <c r="BS277">
        <f>_xlfn.XLOOKUP(B277,'[7]september-2025'!$A:$A,'[7]september-2025'!$C:$C,0,0)</f>
        <v>48700</v>
      </c>
      <c r="BT277">
        <f t="shared" si="571"/>
        <v>8766</v>
      </c>
      <c r="BU277">
        <f t="shared" si="572"/>
        <v>5844</v>
      </c>
      <c r="BV277">
        <f>_xlfn.XLOOKUP(B277,'[7]september-2025'!$A:$A,'[7]september-2025'!$D:$D,0,0)</f>
        <v>400</v>
      </c>
      <c r="BW277">
        <f>_xlfn.XLOOKUP(B277,'[7]september-2025'!$A:$A,'[7]september-2025'!$G:$G,0,0)</f>
        <v>0</v>
      </c>
      <c r="BX277">
        <f>IF(BS277&gt;0,SUM(BS277:BW277),0)</f>
        <v>63710</v>
      </c>
      <c r="BY277">
        <f>_xlfn.XLOOKUP(B277,'[7]september-2025'!$A:$A,'[7]september-2025'!$H:$H,0,0)</f>
        <v>7000</v>
      </c>
      <c r="BZ277">
        <f>_xlfn.XLOOKUP(B277,'[7]september-2025'!$A:$A,'[7]september-2025'!$I:$I,0,0)</f>
        <v>60</v>
      </c>
      <c r="CA277">
        <f t="shared" si="573"/>
        <v>200</v>
      </c>
      <c r="CB277">
        <f t="shared" si="574"/>
        <v>56450</v>
      </c>
      <c r="CC277">
        <f>_xlfn.XLOOKUP(B277,'[8]october-2025'!$A:$A,'[8]october-2025'!$C:$C,0,0)</f>
        <v>48700</v>
      </c>
      <c r="CD277">
        <f t="shared" si="575"/>
        <v>8766</v>
      </c>
      <c r="CE277">
        <f t="shared" si="576"/>
        <v>5844</v>
      </c>
      <c r="CF277">
        <f>_xlfn.XLOOKUP(B277,'[8]october-2025'!$A:$A,'[8]october-2025'!$D:$D,0,0)</f>
        <v>400</v>
      </c>
      <c r="CG277">
        <f>_xlfn.XLOOKUP(B277,'[8]october-2025'!$A:$A,'[8]october-2025'!$G:$G,0,0)</f>
        <v>0</v>
      </c>
      <c r="CH277">
        <f>IF(CC277&gt;0,SUM(CC277:CG277),0)</f>
        <v>63710</v>
      </c>
      <c r="CI277">
        <f>_xlfn.XLOOKUP(B277,'[8]october-2025'!$A:$A,'[8]october-2025'!$H:$H,0,0)</f>
        <v>7000</v>
      </c>
      <c r="CJ277">
        <f>_xlfn.XLOOKUP(B277,'[8]october-2025'!$A:$A,'[8]october-2025'!$I:$I,0,0)</f>
        <v>60</v>
      </c>
      <c r="CK277">
        <f t="shared" si="577"/>
        <v>200</v>
      </c>
      <c r="CL277">
        <f t="shared" si="578"/>
        <v>56450</v>
      </c>
      <c r="CM277">
        <f>_xlfn.XLOOKUP(B277,'[9]november-2025'!$A:$A,'[9]november-2025'!$C:$C,0,0)</f>
        <v>48700</v>
      </c>
      <c r="CN277">
        <f t="shared" si="579"/>
        <v>8766</v>
      </c>
      <c r="CO277">
        <f t="shared" si="580"/>
        <v>5844</v>
      </c>
      <c r="CP277">
        <f>_xlfn.XLOOKUP(B277,'[9]november-2025'!$A:$A,'[9]november-2025'!$D:$D,0,0)</f>
        <v>400</v>
      </c>
      <c r="CQ277">
        <f>_xlfn.XLOOKUP(B277,'[9]november-2025'!$A:$A,'[9]november-2025'!$G:$G,0,0)</f>
        <v>0</v>
      </c>
      <c r="CR277">
        <f>IF(CM277&gt;0,SUM(CM277:CQ277),0)</f>
        <v>63710</v>
      </c>
      <c r="CS277">
        <f>_xlfn.XLOOKUP(B277,'[9]november-2025'!$A:$A,'[9]november-2025'!$H:$H,0,0)</f>
        <v>7000</v>
      </c>
      <c r="CT277">
        <f>_xlfn.XLOOKUP(B277,'[9]november-2025'!$A:$A,'[9]november-2025'!$I:$I,0,0)</f>
        <v>60</v>
      </c>
      <c r="CU277">
        <f t="shared" si="581"/>
        <v>200</v>
      </c>
      <c r="CV277">
        <f t="shared" si="582"/>
        <v>56450</v>
      </c>
      <c r="CW277">
        <f>_xlfn.XLOOKUP(B277,'[10]december-2025'!$A:$A,'[10]december-2025'!$C:$C,0,0)</f>
        <v>48700</v>
      </c>
      <c r="CX277">
        <f t="shared" si="583"/>
        <v>8766</v>
      </c>
      <c r="CY277">
        <f t="shared" si="584"/>
        <v>5844</v>
      </c>
      <c r="CZ277">
        <f>_xlfn.XLOOKUP(B277,'[10]december-2025'!$A:$A,'[10]december-2025'!$D:$D,0,0)</f>
        <v>400</v>
      </c>
      <c r="DA277">
        <f>_xlfn.XLOOKUP(B277,'[10]december-2025'!$A:$A,'[10]december-2025'!$G:$G,0,0)</f>
        <v>0</v>
      </c>
      <c r="DB277">
        <f>IF(CW277&gt;0,SUM(CW277:DA277),0)</f>
        <v>63710</v>
      </c>
      <c r="DC277">
        <f>_xlfn.XLOOKUP(B277,'[10]december-2025'!$A:$A,'[10]december-2025'!$H:$H,0,0)</f>
        <v>7000</v>
      </c>
      <c r="DD277">
        <f>_xlfn.XLOOKUP(B277,'[10]december-2025'!$A:$A,'[10]december-2025'!$I:$I,0,0)</f>
        <v>60</v>
      </c>
      <c r="DE277">
        <f t="shared" si="585"/>
        <v>200</v>
      </c>
      <c r="DF277">
        <f t="shared" si="586"/>
        <v>56450</v>
      </c>
      <c r="DG277">
        <f>_xlfn.XLOOKUP(B277,'[11]january-2026'!$A:$A,'[11]january-2026'!$C:$C,0,0)</f>
        <v>48700</v>
      </c>
      <c r="DH277">
        <f t="shared" si="587"/>
        <v>8766</v>
      </c>
      <c r="DI277">
        <f t="shared" si="588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>IF(DG277&gt;0,SUM(DG277:DK277),0)</f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589"/>
        <v>200</v>
      </c>
      <c r="DP277">
        <f t="shared" si="590"/>
        <v>63450</v>
      </c>
      <c r="DQ277">
        <f>_xlfn.XLOOKUP(B277,'[12]february-2026'!$A:$A,'[12]february-2026'!$C:$C,0,0)</f>
        <v>48700</v>
      </c>
      <c r="DR277">
        <f t="shared" si="591"/>
        <v>8766</v>
      </c>
      <c r="DS277">
        <f t="shared" si="592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>IF(DQ277&gt;0,SUM(DQ277:DU277),0)</f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593"/>
        <v>200</v>
      </c>
      <c r="DZ277">
        <f t="shared" si="594"/>
        <v>63450</v>
      </c>
      <c r="EA277">
        <f>_xlfn.XLOOKUP(B277,'[1]march-2025'!$A:$A,'[1]march-2025'!$J:$J,0,0)</f>
        <v>0</v>
      </c>
      <c r="EB277">
        <f>_xlfn.XLOOKUP(B277,'[2]april-2025'!$A:$A,'[2]april-2025'!$J:$J,0,0)</f>
        <v>0</v>
      </c>
      <c r="EC277">
        <f>_xlfn.XLOOKUP(B277,'[3]may-2025'!$A:$A,'[3]may-2025'!$J:$J,0,0)</f>
        <v>0</v>
      </c>
      <c r="ED277">
        <f>_xlfn.XLOOKUP(B277,'[4]june-2025'!$A:$A,'[4]june-2025'!$J:$J,0,0)</f>
        <v>0</v>
      </c>
      <c r="EE277">
        <f>_xlfn.XLOOKUP(B277,'[5]july-2025'!$A:$A,'[5]july-2025'!$J:$J,0,0)</f>
        <v>0</v>
      </c>
      <c r="EF277">
        <f>_xlfn.XLOOKUP(B277,'[6]august-2025'!$A:$A,'[6]august-2025'!$J:$J,0,0)</f>
        <v>0</v>
      </c>
      <c r="EG277">
        <f>_xlfn.XLOOKUP(B277,'[7]september-2025'!$A:$A,'[7]september-2025'!$J:$J,0,0)</f>
        <v>0</v>
      </c>
      <c r="EH277">
        <f>_xlfn.XLOOKUP(B277,'[8]october-2025'!$A:$A,'[8]october-2025'!$J:$J,0,0)</f>
        <v>0</v>
      </c>
      <c r="EI277">
        <f>_xlfn.XLOOKUP(C277,'[9]november-2025'!$A:$A,'[9]november-2025'!$J:$J,0,0)</f>
        <v>0</v>
      </c>
      <c r="EJ277">
        <f>_xlfn.XLOOKUP(B277,'[10]december-2025'!$A:$A,'[10]december-2025'!$J:$J,0,0)</f>
        <v>0</v>
      </c>
      <c r="EK277">
        <f>_xlfn.XLOOKUP(B277,'[11]january-2026'!$A:$A,'[11]january-2026'!$J:$J,0,0)</f>
        <v>0</v>
      </c>
      <c r="EL277">
        <f>_xlfn.XLOOKUP(B277,'[12]february-2026'!$A:$A,'[12]february-2026'!$J:$J,0,0)</f>
        <v>0</v>
      </c>
      <c r="EM277">
        <f t="shared" si="548"/>
        <v>0</v>
      </c>
      <c r="EN277">
        <f>DV277+DL277+DB277+CR277+CH277+BX277+BN277+BD277+AS277+AI277+Y277+O277+H277+I277</f>
        <v>762148</v>
      </c>
      <c r="EO277">
        <f>DY277+DO277+DE277+CU277+CK277+CA277+BQ277+BG277+AV277+AL277+AB277+R277</f>
        <v>2400</v>
      </c>
      <c r="EP277">
        <f t="shared" si="595"/>
        <v>50000</v>
      </c>
      <c r="EQ277">
        <v>0</v>
      </c>
      <c r="ER277">
        <f t="shared" si="549"/>
        <v>709748</v>
      </c>
      <c r="ES277">
        <f>DW277+DM277+DC277+CS277+CI277+BY277+BO277+BE277+AT277+AJ277+Z277+P277</f>
        <v>70000</v>
      </c>
      <c r="ET277">
        <f>DX277+DN277+DD277+CT277+CJ277+BZ277+BP277+BF277+AU277+AK277+AA277+Q277</f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596"/>
        <v>70720</v>
      </c>
      <c r="FF277">
        <f t="shared" si="597"/>
        <v>70720</v>
      </c>
      <c r="FG277">
        <f t="shared" si="598"/>
        <v>639028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>SUM(FH277:FN277)+(IF(F277="YES",50000,0))</f>
        <v>0</v>
      </c>
      <c r="FP277">
        <f t="shared" si="599"/>
        <v>639028</v>
      </c>
      <c r="FQ277">
        <f t="shared" si="600"/>
        <v>12500</v>
      </c>
      <c r="FR277">
        <f t="shared" si="601"/>
        <v>27806</v>
      </c>
      <c r="FS277">
        <f t="shared" si="602"/>
        <v>40306</v>
      </c>
      <c r="FT277">
        <f t="shared" si="603"/>
        <v>40306</v>
      </c>
      <c r="FU277">
        <f t="shared" si="604"/>
        <v>1612.24</v>
      </c>
      <c r="FV277">
        <f t="shared" si="605"/>
        <v>41918</v>
      </c>
      <c r="FW277">
        <v>0</v>
      </c>
      <c r="FX277">
        <f t="shared" si="606"/>
        <v>41918</v>
      </c>
      <c r="FY277" t="b">
        <f t="shared" si="607"/>
        <v>1</v>
      </c>
      <c r="FZ277">
        <f t="shared" ca="1" si="608"/>
        <v>947</v>
      </c>
      <c r="GA277">
        <f t="shared" ca="1" si="609"/>
        <v>763095</v>
      </c>
      <c r="GB277">
        <f t="shared" si="610"/>
        <v>75000</v>
      </c>
      <c r="GC277">
        <f t="shared" ca="1" si="611"/>
        <v>688095</v>
      </c>
      <c r="GD277">
        <f t="shared" ca="1" si="612"/>
        <v>0</v>
      </c>
      <c r="GE277">
        <f t="shared" ca="1" si="613"/>
        <v>0</v>
      </c>
      <c r="GF277">
        <f t="shared" ca="1" si="614"/>
        <v>0</v>
      </c>
      <c r="GG277">
        <f t="shared" ca="1" si="615"/>
        <v>0</v>
      </c>
      <c r="GH277">
        <f t="shared" ca="1" si="616"/>
        <v>0</v>
      </c>
      <c r="GI277">
        <f t="shared" ca="1" si="617"/>
        <v>0</v>
      </c>
      <c r="GJ277">
        <f ca="1">IF(GC277&gt;1200000,GC277-1200000-IF(F277="YES",50000,0)-GH277,0)</f>
        <v>0</v>
      </c>
      <c r="GK277">
        <f t="shared" ca="1" si="618"/>
        <v>0</v>
      </c>
      <c r="GL277">
        <f t="shared" ca="1" si="619"/>
        <v>0</v>
      </c>
      <c r="GM277">
        <f t="shared" ca="1" si="620"/>
        <v>0</v>
      </c>
      <c r="GN277">
        <f t="shared" ca="1" si="621"/>
        <v>288095</v>
      </c>
      <c r="GO277">
        <f t="shared" ca="1" si="622"/>
        <v>14404.75</v>
      </c>
      <c r="GP277">
        <f t="shared" ca="1" si="623"/>
        <v>14405</v>
      </c>
      <c r="GQ277">
        <f t="shared" ca="1" si="624"/>
        <v>0</v>
      </c>
      <c r="GR277">
        <f t="shared" ca="1" si="625"/>
        <v>0</v>
      </c>
      <c r="GS277">
        <f t="shared" ca="1" si="626"/>
        <v>14405</v>
      </c>
      <c r="GT277">
        <f t="shared" ca="1" si="627"/>
        <v>0</v>
      </c>
      <c r="GU277" t="b">
        <f t="shared" ca="1" si="628"/>
        <v>0</v>
      </c>
      <c r="GV277">
        <f t="shared" ca="1" si="629"/>
        <v>0</v>
      </c>
      <c r="GW277">
        <f t="shared" ca="1" si="630"/>
        <v>14405</v>
      </c>
      <c r="GX277">
        <f t="shared" ca="1" si="631"/>
        <v>0</v>
      </c>
      <c r="GY277">
        <f t="shared" ca="1" si="632"/>
        <v>0</v>
      </c>
      <c r="GZ277">
        <f t="shared" ca="1" si="633"/>
        <v>0</v>
      </c>
    </row>
    <row r="278" spans="1:208" x14ac:dyDescent="0.25">
      <c r="A278">
        <f>_xlfn.AGGREGATE(3,5,$B$2:B278)</f>
        <v>277</v>
      </c>
      <c r="B278" t="s">
        <v>655</v>
      </c>
      <c r="C278" t="s">
        <v>656</v>
      </c>
      <c r="D278" t="s">
        <v>823</v>
      </c>
      <c r="E278" t="s">
        <v>832</v>
      </c>
      <c r="F278" t="s">
        <v>957</v>
      </c>
      <c r="G278" t="s">
        <v>885</v>
      </c>
      <c r="H278">
        <f t="shared" si="635"/>
        <v>6800</v>
      </c>
      <c r="I278">
        <f>_xlfn.XLOOKUP(B278,'[1]march-2025'!$A:$A,'[1]march-2025'!$J:$J,0,0)</f>
        <v>0</v>
      </c>
      <c r="J278">
        <f>_xlfn.XLOOKUP(B278,'[1]march-2025'!$A:$A,'[1]march-2025'!$C:$C,0,0)</f>
        <v>50200</v>
      </c>
      <c r="K278">
        <f t="shared" si="550"/>
        <v>7028.0000000000009</v>
      </c>
      <c r="L278">
        <f t="shared" si="551"/>
        <v>6024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>IF(J278&gt;0,SUM(J278:N278),0)</f>
        <v>63752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634"/>
        <v>200</v>
      </c>
      <c r="S278">
        <f t="shared" si="544"/>
        <v>58552</v>
      </c>
      <c r="T278">
        <f>_xlfn.XLOOKUP(B278,'[2]april-2025'!$A:$A,'[2]april-2025'!$C:$C,0,0)</f>
        <v>50200</v>
      </c>
      <c r="U278">
        <f t="shared" si="552"/>
        <v>9036</v>
      </c>
      <c r="V278">
        <f t="shared" si="553"/>
        <v>6024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545"/>
        <v>65760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554"/>
        <v>200</v>
      </c>
      <c r="AC278">
        <f t="shared" si="555"/>
        <v>60560</v>
      </c>
      <c r="AD278">
        <f>_xlfn.XLOOKUP(B278,'[3]may-2025'!$A:$A,'[3]may-2025'!$C:$C,0,0)</f>
        <v>50200</v>
      </c>
      <c r="AE278">
        <f t="shared" si="556"/>
        <v>9036</v>
      </c>
      <c r="AF278">
        <f t="shared" si="557"/>
        <v>6024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546"/>
        <v>65760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558"/>
        <v>200</v>
      </c>
      <c r="AM278">
        <f t="shared" si="559"/>
        <v>60560</v>
      </c>
      <c r="AN278">
        <f>_xlfn.XLOOKUP(B278,'[4]june-2025'!$A:$A,'[4]june-2025'!$C:$C,0,0)</f>
        <v>50200</v>
      </c>
      <c r="AO278">
        <f t="shared" si="560"/>
        <v>9036</v>
      </c>
      <c r="AP278">
        <f t="shared" si="561"/>
        <v>6024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547"/>
        <v>65760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562"/>
        <v>200</v>
      </c>
      <c r="AW278">
        <f t="shared" si="563"/>
        <v>60560</v>
      </c>
      <c r="AX278">
        <f>_xlfn.XLOOKUP(B278,'[5]july-2025'!$A:$A,'[5]july-2025'!$C:$C,0,0)</f>
        <v>51700</v>
      </c>
      <c r="AY278">
        <f t="shared" si="564"/>
        <v>9306</v>
      </c>
      <c r="AZ278">
        <v>0</v>
      </c>
      <c r="BA278">
        <f t="shared" si="565"/>
        <v>6204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>IF(AX278&gt;0,SUM(AX278:BC278),0)</f>
        <v>67710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566"/>
        <v>200</v>
      </c>
      <c r="BH278">
        <f t="shared" si="567"/>
        <v>62510</v>
      </c>
      <c r="BI278">
        <f>_xlfn.XLOOKUP(B278,'[6]august-2025'!$A:$A,'[6]august-2025'!$C:$C,0,0)</f>
        <v>51700</v>
      </c>
      <c r="BJ278">
        <f t="shared" si="568"/>
        <v>9306</v>
      </c>
      <c r="BK278">
        <f t="shared" si="569"/>
        <v>6204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570"/>
        <v>67710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>IF($F278="YES",0,IF(BN278&gt;40000,200,IF(BN278&gt;25000,150,IF(BN278&gt;15000,130,IF(BN278&gt;10000,110,0)))))</f>
        <v>200</v>
      </c>
      <c r="BR278">
        <f>BN278-BO278-BP278-BQ278</f>
        <v>62510</v>
      </c>
      <c r="BS278">
        <f>_xlfn.XLOOKUP(B278,'[7]september-2025'!$A:$A,'[7]september-2025'!$C:$C,0,0)</f>
        <v>51700</v>
      </c>
      <c r="BT278">
        <f t="shared" si="571"/>
        <v>9306</v>
      </c>
      <c r="BU278">
        <f t="shared" si="572"/>
        <v>6204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>IF(BS278&gt;0,SUM(BS278:BW278),0)</f>
        <v>67710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573"/>
        <v>200</v>
      </c>
      <c r="CB278">
        <f t="shared" si="574"/>
        <v>62510</v>
      </c>
      <c r="CC278">
        <f>_xlfn.XLOOKUP(B278,'[8]october-2025'!$A:$A,'[8]october-2025'!$C:$C,0,0)</f>
        <v>51700</v>
      </c>
      <c r="CD278">
        <f t="shared" si="575"/>
        <v>9306</v>
      </c>
      <c r="CE278">
        <f t="shared" si="576"/>
        <v>6204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>IF(CC278&gt;0,SUM(CC278:CG278),0)</f>
        <v>67710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577"/>
        <v>200</v>
      </c>
      <c r="CL278">
        <f t="shared" si="578"/>
        <v>62510</v>
      </c>
      <c r="CM278">
        <f>_xlfn.XLOOKUP(B278,'[9]november-2025'!$A:$A,'[9]november-2025'!$C:$C,0,0)</f>
        <v>51700</v>
      </c>
      <c r="CN278">
        <f t="shared" si="579"/>
        <v>9306</v>
      </c>
      <c r="CO278">
        <f t="shared" si="580"/>
        <v>6204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>IF(CM278&gt;0,SUM(CM278:CQ278),0)</f>
        <v>67710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581"/>
        <v>200</v>
      </c>
      <c r="CV278">
        <f t="shared" si="582"/>
        <v>62510</v>
      </c>
      <c r="CW278">
        <f>_xlfn.XLOOKUP(B278,'[10]december-2025'!$A:$A,'[10]december-2025'!$C:$C,0,0)</f>
        <v>51700</v>
      </c>
      <c r="CX278">
        <f t="shared" si="583"/>
        <v>9306</v>
      </c>
      <c r="CY278">
        <f t="shared" si="584"/>
        <v>6204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>IF(CW278&gt;0,SUM(CW278:DA278),0)</f>
        <v>67710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585"/>
        <v>200</v>
      </c>
      <c r="DF278">
        <f t="shared" si="586"/>
        <v>62510</v>
      </c>
      <c r="DG278">
        <f>_xlfn.XLOOKUP(B278,'[11]january-2026'!$A:$A,'[11]january-2026'!$C:$C,0,0)</f>
        <v>51700</v>
      </c>
      <c r="DH278">
        <f t="shared" si="587"/>
        <v>9306</v>
      </c>
      <c r="DI278">
        <f t="shared" si="588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>IF(DG278&gt;0,SUM(DG278:DK278),0)</f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589"/>
        <v>200</v>
      </c>
      <c r="DP278">
        <f t="shared" si="590"/>
        <v>62510</v>
      </c>
      <c r="DQ278">
        <f>_xlfn.XLOOKUP(B278,'[12]february-2026'!$A:$A,'[12]february-2026'!$C:$C,0,0)</f>
        <v>51700</v>
      </c>
      <c r="DR278">
        <f t="shared" si="591"/>
        <v>9306</v>
      </c>
      <c r="DS278">
        <f t="shared" si="592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>IF(DQ278&gt;0,SUM(DQ278:DU278),0)</f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593"/>
        <v>200</v>
      </c>
      <c r="DZ278">
        <f t="shared" si="594"/>
        <v>62510</v>
      </c>
      <c r="EA278">
        <f>_xlfn.XLOOKUP(B278,'[1]march-2025'!$A:$A,'[1]march-2025'!$J:$J,0,0)</f>
        <v>0</v>
      </c>
      <c r="EB278">
        <f>_xlfn.XLOOKUP(B278,'[2]april-2025'!$A:$A,'[2]april-2025'!$J:$J,0,0)</f>
        <v>0</v>
      </c>
      <c r="EC278">
        <f>_xlfn.XLOOKUP(B278,'[3]may-2025'!$A:$A,'[3]may-2025'!$J:$J,0,0)</f>
        <v>0</v>
      </c>
      <c r="ED278">
        <f>_xlfn.XLOOKUP(B278,'[4]june-2025'!$A:$A,'[4]june-2025'!$J:$J,0,0)</f>
        <v>0</v>
      </c>
      <c r="EE278">
        <f>_xlfn.XLOOKUP(B278,'[5]july-2025'!$A:$A,'[5]july-2025'!$J:$J,0,0)</f>
        <v>0</v>
      </c>
      <c r="EF278">
        <f>_xlfn.XLOOKUP(B278,'[6]august-2025'!$A:$A,'[6]august-2025'!$J:$J,0,0)</f>
        <v>0</v>
      </c>
      <c r="EG278">
        <f>_xlfn.XLOOKUP(B278,'[7]september-2025'!$A:$A,'[7]september-2025'!$J:$J,0,0)</f>
        <v>0</v>
      </c>
      <c r="EH278">
        <f>_xlfn.XLOOKUP(B278,'[8]october-2025'!$A:$A,'[8]october-2025'!$J:$J,0,0)</f>
        <v>0</v>
      </c>
      <c r="EI278">
        <f>_xlfn.XLOOKUP(C278,'[9]november-2025'!$A:$A,'[9]november-2025'!$J:$J,0,0)</f>
        <v>0</v>
      </c>
      <c r="EJ278">
        <f>_xlfn.XLOOKUP(B278,'[10]december-2025'!$A:$A,'[10]december-2025'!$J:$J,0,0)</f>
        <v>0</v>
      </c>
      <c r="EK278">
        <f>_xlfn.XLOOKUP(B278,'[11]january-2026'!$A:$A,'[11]january-2026'!$J:$J,0,0)</f>
        <v>0</v>
      </c>
      <c r="EL278">
        <f>_xlfn.XLOOKUP(B278,'[12]february-2026'!$A:$A,'[12]february-2026'!$J:$J,0,0)</f>
        <v>0</v>
      </c>
      <c r="EM278">
        <f t="shared" si="548"/>
        <v>0</v>
      </c>
      <c r="EN278">
        <f>DV278+DL278+DB278+CR278+CH278+BX278+BN278+BD278+AS278+AI278+Y278+O278+H278+I278</f>
        <v>809512</v>
      </c>
      <c r="EO278">
        <f>DY278+DO278+DE278+CU278+CK278+CA278+BQ278+BG278+AV278+AL278+AB278+R278</f>
        <v>2400</v>
      </c>
      <c r="EP278">
        <f t="shared" si="595"/>
        <v>50000</v>
      </c>
      <c r="EQ278">
        <v>0</v>
      </c>
      <c r="ER278">
        <f t="shared" si="549"/>
        <v>757112</v>
      </c>
      <c r="ES278">
        <f>DW278+DM278+DC278+CS278+CI278+BY278+BO278+BE278+AT278+AJ278+Z278+P278</f>
        <v>60000</v>
      </c>
      <c r="ET278">
        <f>DX278+DN278+DD278+CT278+CJ278+BZ278+BP278+BF278+AU278+AK278+AA278+Q278</f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596"/>
        <v>60000</v>
      </c>
      <c r="FF278">
        <f t="shared" si="597"/>
        <v>60000</v>
      </c>
      <c r="FG278">
        <f t="shared" si="598"/>
        <v>697112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>SUM(FH278:FN278)+(IF(F278="YES",50000,0))</f>
        <v>0</v>
      </c>
      <c r="FP278">
        <f t="shared" si="599"/>
        <v>697112</v>
      </c>
      <c r="FQ278">
        <f t="shared" si="600"/>
        <v>12500</v>
      </c>
      <c r="FR278">
        <f t="shared" si="601"/>
        <v>39422</v>
      </c>
      <c r="FS278">
        <f t="shared" si="602"/>
        <v>51922</v>
      </c>
      <c r="FT278">
        <f t="shared" si="603"/>
        <v>51922</v>
      </c>
      <c r="FU278">
        <f t="shared" si="604"/>
        <v>2076.88</v>
      </c>
      <c r="FV278">
        <f t="shared" si="605"/>
        <v>53999</v>
      </c>
      <c r="FW278">
        <v>0</v>
      </c>
      <c r="FX278">
        <f t="shared" si="606"/>
        <v>53999</v>
      </c>
      <c r="FY278" t="b">
        <f t="shared" si="607"/>
        <v>1</v>
      </c>
      <c r="FZ278">
        <f t="shared" ca="1" si="608"/>
        <v>537</v>
      </c>
      <c r="GA278">
        <f t="shared" ca="1" si="609"/>
        <v>810049</v>
      </c>
      <c r="GB278">
        <f t="shared" si="610"/>
        <v>75000</v>
      </c>
      <c r="GC278">
        <f t="shared" ca="1" si="611"/>
        <v>735049</v>
      </c>
      <c r="GD278">
        <f t="shared" ca="1" si="612"/>
        <v>0</v>
      </c>
      <c r="GE278">
        <f t="shared" ca="1" si="613"/>
        <v>0</v>
      </c>
      <c r="GF278">
        <f t="shared" ca="1" si="614"/>
        <v>0</v>
      </c>
      <c r="GG278">
        <f t="shared" ca="1" si="615"/>
        <v>0</v>
      </c>
      <c r="GH278">
        <f t="shared" ca="1" si="616"/>
        <v>0</v>
      </c>
      <c r="GI278">
        <f t="shared" ca="1" si="617"/>
        <v>0</v>
      </c>
      <c r="GJ278">
        <f ca="1">IF(GC278&gt;1200000,GC278-1200000-IF(F278="YES",50000,0)-GH278,0)</f>
        <v>0</v>
      </c>
      <c r="GK278">
        <f t="shared" ca="1" si="618"/>
        <v>0</v>
      </c>
      <c r="GL278">
        <f t="shared" ca="1" si="619"/>
        <v>0</v>
      </c>
      <c r="GM278">
        <f t="shared" ca="1" si="620"/>
        <v>0</v>
      </c>
      <c r="GN278">
        <f t="shared" ca="1" si="621"/>
        <v>335049</v>
      </c>
      <c r="GO278">
        <f t="shared" ca="1" si="622"/>
        <v>16752.45</v>
      </c>
      <c r="GP278">
        <f t="shared" ca="1" si="623"/>
        <v>16752</v>
      </c>
      <c r="GQ278">
        <f t="shared" ca="1" si="624"/>
        <v>0</v>
      </c>
      <c r="GR278">
        <f t="shared" ca="1" si="625"/>
        <v>0</v>
      </c>
      <c r="GS278">
        <f t="shared" ca="1" si="626"/>
        <v>16752</v>
      </c>
      <c r="GT278">
        <f t="shared" ca="1" si="627"/>
        <v>0</v>
      </c>
      <c r="GU278" t="b">
        <f t="shared" ca="1" si="628"/>
        <v>0</v>
      </c>
      <c r="GV278">
        <f t="shared" ca="1" si="629"/>
        <v>0</v>
      </c>
      <c r="GW278">
        <f t="shared" ca="1" si="630"/>
        <v>16752</v>
      </c>
      <c r="GX278">
        <f t="shared" ca="1" si="631"/>
        <v>0</v>
      </c>
      <c r="GY278">
        <f t="shared" ca="1" si="632"/>
        <v>0</v>
      </c>
      <c r="GZ278">
        <f t="shared" ca="1" si="633"/>
        <v>0</v>
      </c>
    </row>
    <row r="279" spans="1:208" x14ac:dyDescent="0.25">
      <c r="A279">
        <f>_xlfn.AGGREGATE(3,5,$B$2:B279)</f>
        <v>278</v>
      </c>
      <c r="B279" t="s">
        <v>657</v>
      </c>
      <c r="C279" t="s">
        <v>658</v>
      </c>
      <c r="D279" t="s">
        <v>823</v>
      </c>
      <c r="E279" t="s">
        <v>831</v>
      </c>
      <c r="F279" t="s">
        <v>957</v>
      </c>
      <c r="G279" t="s">
        <v>886</v>
      </c>
      <c r="H279">
        <f t="shared" si="635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550"/>
        <v>4690</v>
      </c>
      <c r="L279">
        <f t="shared" si="551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>IF(J279&gt;0,SUM(J279:N279),0)</f>
        <v>42710</v>
      </c>
      <c r="P279">
        <f>_xlfn.XLOOKUP(B279,'[1]march-2025'!$A:$A,'[1]march-2025'!$H:$H,0,0)</f>
        <v>5000</v>
      </c>
      <c r="Q279">
        <f>_xlfn.XLOOKUP(B279,'[1]march-2025'!$A:$A,'[1]march-2025'!$I:$I,0,0)</f>
        <v>0</v>
      </c>
      <c r="R279">
        <f t="shared" si="634"/>
        <v>200</v>
      </c>
      <c r="S279">
        <f t="shared" si="544"/>
        <v>37510</v>
      </c>
      <c r="T279">
        <f>_xlfn.XLOOKUP(B279,'[2]april-2025'!$A:$A,'[2]april-2025'!$C:$C,0,0)</f>
        <v>33500</v>
      </c>
      <c r="U279">
        <f t="shared" si="552"/>
        <v>6030</v>
      </c>
      <c r="V279">
        <f t="shared" si="553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545"/>
        <v>44050</v>
      </c>
      <c r="Z279">
        <f>_xlfn.XLOOKUP(B279,'[2]april-2025'!$A:$A,'[2]april-2025'!$H:$H,0,0)</f>
        <v>5000</v>
      </c>
      <c r="AA279">
        <f>_xlfn.XLOOKUP(B279,'[2]april-2025'!$A:$A,'[2]april-2025'!$I:$I,0,0)</f>
        <v>0</v>
      </c>
      <c r="AB279">
        <f t="shared" si="554"/>
        <v>200</v>
      </c>
      <c r="AC279">
        <f t="shared" si="555"/>
        <v>38850</v>
      </c>
      <c r="AD279">
        <f>_xlfn.XLOOKUP(B279,'[3]may-2025'!$A:$A,'[3]may-2025'!$C:$C,0,0)</f>
        <v>33500</v>
      </c>
      <c r="AE279">
        <f t="shared" si="556"/>
        <v>6030</v>
      </c>
      <c r="AF279">
        <f t="shared" si="557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546"/>
        <v>44050</v>
      </c>
      <c r="AJ279">
        <f>_xlfn.XLOOKUP(B279,'[3]may-2025'!$A:$A,'[3]may-2025'!$H:$H,0,0)</f>
        <v>5000</v>
      </c>
      <c r="AK279">
        <f>_xlfn.XLOOKUP(B279,'[3]may-2025'!$A:$A,'[3]may-2025'!$I:$I,0,0)</f>
        <v>0</v>
      </c>
      <c r="AL279">
        <f t="shared" si="558"/>
        <v>200</v>
      </c>
      <c r="AM279">
        <f t="shared" si="559"/>
        <v>38850</v>
      </c>
      <c r="AN279">
        <f>_xlfn.XLOOKUP(B279,'[4]june-2025'!$A:$A,'[4]june-2025'!$C:$C,0,0)</f>
        <v>33500</v>
      </c>
      <c r="AO279">
        <f t="shared" si="560"/>
        <v>6030</v>
      </c>
      <c r="AP279">
        <f t="shared" si="561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547"/>
        <v>44050</v>
      </c>
      <c r="AT279">
        <f>_xlfn.XLOOKUP(B279,'[4]june-2025'!$A:$A,'[4]june-2025'!$H:$H,0,0)</f>
        <v>5000</v>
      </c>
      <c r="AU279">
        <f>_xlfn.XLOOKUP(B279,'[4]june-2025'!$A:$A,'[4]june-2025'!$I:$I,0,0)</f>
        <v>0</v>
      </c>
      <c r="AV279">
        <f t="shared" si="562"/>
        <v>200</v>
      </c>
      <c r="AW279">
        <f t="shared" si="563"/>
        <v>38850</v>
      </c>
      <c r="AX279">
        <f>_xlfn.XLOOKUP(B279,'[5]july-2025'!$A:$A,'[5]july-2025'!$C:$C,0,0)</f>
        <v>34500</v>
      </c>
      <c r="AY279">
        <f t="shared" si="564"/>
        <v>6210</v>
      </c>
      <c r="AZ279">
        <v>0</v>
      </c>
      <c r="BA279">
        <f t="shared" si="565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>IF(AX279&gt;0,SUM(AX279:BC279),0)</f>
        <v>45350</v>
      </c>
      <c r="BE279">
        <f>_xlfn.XLOOKUP(B279,'[5]july-2025'!$A:$A,'[5]july-2025'!$H:$H,0,0)</f>
        <v>5000</v>
      </c>
      <c r="BF279">
        <f>_xlfn.XLOOKUP(B279,'[5]july-2025'!$A:$A,'[5]july-2025'!$I:$I,0,0)</f>
        <v>0</v>
      </c>
      <c r="BG279">
        <f t="shared" si="566"/>
        <v>200</v>
      </c>
      <c r="BH279">
        <f t="shared" si="567"/>
        <v>40150</v>
      </c>
      <c r="BI279">
        <f>_xlfn.XLOOKUP(B279,'[6]august-2025'!$A:$A,'[6]august-2025'!$C:$C,0,0)</f>
        <v>34500</v>
      </c>
      <c r="BJ279">
        <f t="shared" si="568"/>
        <v>6210</v>
      </c>
      <c r="BK279">
        <f t="shared" si="569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570"/>
        <v>45350</v>
      </c>
      <c r="BO279">
        <f>_xlfn.XLOOKUP(B279,'[6]august-2025'!$A:$A,'[6]august-2025'!$H:$H,0,0)</f>
        <v>5000</v>
      </c>
      <c r="BP279">
        <f>_xlfn.XLOOKUP(B279,'[6]august-2025'!$A:$A,'[6]august-2025'!$I:$I,0,0)</f>
        <v>0</v>
      </c>
      <c r="BQ279">
        <f>IF($F279="YES",0,IF(BN279&gt;40000,200,IF(BN279&gt;25000,150,IF(BN279&gt;15000,130,IF(BN279&gt;10000,110,0)))))</f>
        <v>200</v>
      </c>
      <c r="BR279">
        <f>BN279-BO279-BP279-BQ279</f>
        <v>40150</v>
      </c>
      <c r="BS279">
        <f>_xlfn.XLOOKUP(B279,'[7]september-2025'!$A:$A,'[7]september-2025'!$C:$C,0,0)</f>
        <v>34500</v>
      </c>
      <c r="BT279">
        <f t="shared" si="571"/>
        <v>6210</v>
      </c>
      <c r="BU279">
        <f t="shared" si="572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>IF(BS279&gt;0,SUM(BS279:BW279),0)</f>
        <v>45350</v>
      </c>
      <c r="BY279">
        <f>_xlfn.XLOOKUP(B279,'[7]september-2025'!$A:$A,'[7]september-2025'!$H:$H,0,0)</f>
        <v>5000</v>
      </c>
      <c r="BZ279">
        <f>_xlfn.XLOOKUP(B279,'[7]september-2025'!$A:$A,'[7]september-2025'!$I:$I,0,0)</f>
        <v>0</v>
      </c>
      <c r="CA279">
        <f t="shared" si="573"/>
        <v>200</v>
      </c>
      <c r="CB279">
        <f t="shared" si="574"/>
        <v>40150</v>
      </c>
      <c r="CC279">
        <f>_xlfn.XLOOKUP(B279,'[8]october-2025'!$A:$A,'[8]october-2025'!$C:$C,0,0)</f>
        <v>34500</v>
      </c>
      <c r="CD279">
        <f t="shared" si="575"/>
        <v>6210</v>
      </c>
      <c r="CE279">
        <f t="shared" si="576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>IF(CC279&gt;0,SUM(CC279:CG279),0)</f>
        <v>45350</v>
      </c>
      <c r="CI279">
        <f>_xlfn.XLOOKUP(B279,'[8]october-2025'!$A:$A,'[8]october-2025'!$H:$H,0,0)</f>
        <v>5000</v>
      </c>
      <c r="CJ279">
        <f>_xlfn.XLOOKUP(B279,'[8]october-2025'!$A:$A,'[8]october-2025'!$I:$I,0,0)</f>
        <v>0</v>
      </c>
      <c r="CK279">
        <f t="shared" si="577"/>
        <v>200</v>
      </c>
      <c r="CL279">
        <f t="shared" si="578"/>
        <v>40150</v>
      </c>
      <c r="CM279">
        <f>_xlfn.XLOOKUP(B279,'[9]november-2025'!$A:$A,'[9]november-2025'!$C:$C,0,0)</f>
        <v>34500</v>
      </c>
      <c r="CN279">
        <f t="shared" si="579"/>
        <v>6210</v>
      </c>
      <c r="CO279">
        <f t="shared" si="580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>IF(CM279&gt;0,SUM(CM279:CQ279),0)</f>
        <v>45350</v>
      </c>
      <c r="CS279">
        <f>_xlfn.XLOOKUP(B279,'[9]november-2025'!$A:$A,'[9]november-2025'!$H:$H,0,0)</f>
        <v>5000</v>
      </c>
      <c r="CT279">
        <f>_xlfn.XLOOKUP(B279,'[9]november-2025'!$A:$A,'[9]november-2025'!$I:$I,0,0)</f>
        <v>0</v>
      </c>
      <c r="CU279">
        <f t="shared" si="581"/>
        <v>200</v>
      </c>
      <c r="CV279">
        <f t="shared" si="582"/>
        <v>40150</v>
      </c>
      <c r="CW279">
        <f>_xlfn.XLOOKUP(B279,'[10]december-2025'!$A:$A,'[10]december-2025'!$C:$C,0,0)</f>
        <v>34500</v>
      </c>
      <c r="CX279">
        <f t="shared" si="583"/>
        <v>6210</v>
      </c>
      <c r="CY279">
        <f t="shared" si="584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>IF(CW279&gt;0,SUM(CW279:DA279),0)</f>
        <v>45350</v>
      </c>
      <c r="DC279">
        <f>_xlfn.XLOOKUP(B279,'[10]december-2025'!$A:$A,'[10]december-2025'!$H:$H,0,0)</f>
        <v>5000</v>
      </c>
      <c r="DD279">
        <f>_xlfn.XLOOKUP(B279,'[10]december-2025'!$A:$A,'[10]december-2025'!$I:$I,0,0)</f>
        <v>0</v>
      </c>
      <c r="DE279">
        <f t="shared" si="585"/>
        <v>200</v>
      </c>
      <c r="DF279">
        <f t="shared" si="586"/>
        <v>40150</v>
      </c>
      <c r="DG279">
        <f>_xlfn.XLOOKUP(B279,'[11]january-2026'!$A:$A,'[11]january-2026'!$C:$C,0,0)</f>
        <v>34500</v>
      </c>
      <c r="DH279">
        <f t="shared" si="587"/>
        <v>6210</v>
      </c>
      <c r="DI279">
        <f t="shared" si="588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>IF(DG279&gt;0,SUM(DG279:DK279),0)</f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589"/>
        <v>200</v>
      </c>
      <c r="DP279">
        <f t="shared" si="590"/>
        <v>40150</v>
      </c>
      <c r="DQ279">
        <f>_xlfn.XLOOKUP(B279,'[12]february-2026'!$A:$A,'[12]february-2026'!$C:$C,0,0)</f>
        <v>34500</v>
      </c>
      <c r="DR279">
        <f t="shared" si="591"/>
        <v>6210</v>
      </c>
      <c r="DS279">
        <f t="shared" si="592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>IF(DQ279&gt;0,SUM(DQ279:DU279),0)</f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593"/>
        <v>200</v>
      </c>
      <c r="DZ279">
        <f t="shared" si="594"/>
        <v>40150</v>
      </c>
      <c r="EA279">
        <f>_xlfn.XLOOKUP(B279,'[1]march-2025'!$A:$A,'[1]march-2025'!$J:$J,0,0)</f>
        <v>0</v>
      </c>
      <c r="EB279">
        <f>_xlfn.XLOOKUP(B279,'[2]april-2025'!$A:$A,'[2]april-2025'!$J:$J,0,0)</f>
        <v>0</v>
      </c>
      <c r="EC279">
        <f>_xlfn.XLOOKUP(B279,'[3]may-2025'!$A:$A,'[3]may-2025'!$J:$J,0,0)</f>
        <v>0</v>
      </c>
      <c r="ED279">
        <f>_xlfn.XLOOKUP(B279,'[4]june-2025'!$A:$A,'[4]june-2025'!$J:$J,0,0)</f>
        <v>0</v>
      </c>
      <c r="EE279">
        <f>_xlfn.XLOOKUP(B279,'[5]july-2025'!$A:$A,'[5]july-2025'!$J:$J,0,0)</f>
        <v>0</v>
      </c>
      <c r="EF279">
        <f>_xlfn.XLOOKUP(B279,'[6]august-2025'!$A:$A,'[6]august-2025'!$J:$J,0,0)</f>
        <v>0</v>
      </c>
      <c r="EG279">
        <f>_xlfn.XLOOKUP(B279,'[7]september-2025'!$A:$A,'[7]september-2025'!$J:$J,0,0)</f>
        <v>0</v>
      </c>
      <c r="EH279">
        <f>_xlfn.XLOOKUP(B279,'[8]october-2025'!$A:$A,'[8]october-2025'!$J:$J,0,0)</f>
        <v>0</v>
      </c>
      <c r="EI279">
        <f>_xlfn.XLOOKUP(C279,'[9]november-2025'!$A:$A,'[9]november-2025'!$J:$J,0,0)</f>
        <v>0</v>
      </c>
      <c r="EJ279">
        <f>_xlfn.XLOOKUP(B279,'[10]december-2025'!$A:$A,'[10]december-2025'!$J:$J,0,0)</f>
        <v>0</v>
      </c>
      <c r="EK279">
        <f>_xlfn.XLOOKUP(B279,'[11]january-2026'!$A:$A,'[11]january-2026'!$J:$J,0,0)</f>
        <v>0</v>
      </c>
      <c r="EL279">
        <f>_xlfn.XLOOKUP(B279,'[12]february-2026'!$A:$A,'[12]february-2026'!$J:$J,0,0)</f>
        <v>0</v>
      </c>
      <c r="EM279">
        <f t="shared" si="548"/>
        <v>0</v>
      </c>
      <c r="EN279">
        <f>DV279+DL279+DB279+CR279+CH279+BX279+BN279+BD279+AS279+AI279+Y279+O279+H279+I279</f>
        <v>544460</v>
      </c>
      <c r="EO279">
        <f>DY279+DO279+DE279+CU279+CK279+CA279+BQ279+BG279+AV279+AL279+AB279+R279</f>
        <v>2400</v>
      </c>
      <c r="EP279">
        <f t="shared" si="595"/>
        <v>50000</v>
      </c>
      <c r="EQ279">
        <v>0</v>
      </c>
      <c r="ER279">
        <f t="shared" si="549"/>
        <v>492060</v>
      </c>
      <c r="ES279">
        <f>DW279+DM279+DC279+CS279+CI279+BY279+BO279+BE279+AT279+AJ279+Z279+P279</f>
        <v>60000</v>
      </c>
      <c r="ET279">
        <f>DX279+DN279+DD279+CT279+CJ279+BZ279+BP279+BF279+AU279+AK279+AA279+Q279</f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596"/>
        <v>60000</v>
      </c>
      <c r="FF279">
        <f t="shared" si="597"/>
        <v>60000</v>
      </c>
      <c r="FG279">
        <f t="shared" si="598"/>
        <v>432060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>SUM(FH279:FN279)+(IF(F279="YES",50000,0))</f>
        <v>0</v>
      </c>
      <c r="FP279">
        <f t="shared" si="599"/>
        <v>432060</v>
      </c>
      <c r="FQ279">
        <f t="shared" si="600"/>
        <v>9103</v>
      </c>
      <c r="FR279">
        <f t="shared" si="601"/>
        <v>0</v>
      </c>
      <c r="FS279">
        <f t="shared" si="602"/>
        <v>9103</v>
      </c>
      <c r="FT279">
        <f t="shared" si="603"/>
        <v>0</v>
      </c>
      <c r="FU279">
        <f t="shared" si="604"/>
        <v>0</v>
      </c>
      <c r="FV279">
        <f t="shared" si="605"/>
        <v>0</v>
      </c>
      <c r="FW279">
        <v>0</v>
      </c>
      <c r="FX279">
        <f t="shared" si="606"/>
        <v>0</v>
      </c>
      <c r="FY279" t="b">
        <f t="shared" si="607"/>
        <v>1</v>
      </c>
      <c r="FZ279">
        <f t="shared" ca="1" si="608"/>
        <v>732</v>
      </c>
      <c r="GA279">
        <f t="shared" ca="1" si="609"/>
        <v>545192</v>
      </c>
      <c r="GB279">
        <f t="shared" si="610"/>
        <v>75000</v>
      </c>
      <c r="GC279">
        <f t="shared" ca="1" si="611"/>
        <v>470192</v>
      </c>
      <c r="GD279">
        <f t="shared" ca="1" si="612"/>
        <v>0</v>
      </c>
      <c r="GE279">
        <f t="shared" ca="1" si="613"/>
        <v>0</v>
      </c>
      <c r="GF279">
        <f t="shared" ca="1" si="614"/>
        <v>0</v>
      </c>
      <c r="GG279">
        <f t="shared" ca="1" si="615"/>
        <v>0</v>
      </c>
      <c r="GH279">
        <f t="shared" ca="1" si="616"/>
        <v>0</v>
      </c>
      <c r="GI279">
        <f t="shared" ca="1" si="617"/>
        <v>0</v>
      </c>
      <c r="GJ279">
        <f ca="1">IF(GC279&gt;1200000,GC279-1200000-IF(F279="YES",50000,0)-GH279,0)</f>
        <v>0</v>
      </c>
      <c r="GK279">
        <f t="shared" ca="1" si="618"/>
        <v>0</v>
      </c>
      <c r="GL279">
        <f t="shared" ca="1" si="619"/>
        <v>0</v>
      </c>
      <c r="GM279">
        <f t="shared" ca="1" si="620"/>
        <v>0</v>
      </c>
      <c r="GN279">
        <f t="shared" ca="1" si="621"/>
        <v>70192</v>
      </c>
      <c r="GO279">
        <f t="shared" ca="1" si="622"/>
        <v>3509.6000000000004</v>
      </c>
      <c r="GP279">
        <f t="shared" ca="1" si="623"/>
        <v>3510</v>
      </c>
      <c r="GQ279">
        <f t="shared" ca="1" si="624"/>
        <v>0</v>
      </c>
      <c r="GR279">
        <f t="shared" ca="1" si="625"/>
        <v>0</v>
      </c>
      <c r="GS279">
        <f t="shared" ca="1" si="626"/>
        <v>3510</v>
      </c>
      <c r="GT279">
        <f t="shared" ca="1" si="627"/>
        <v>0</v>
      </c>
      <c r="GU279" t="b">
        <f t="shared" ca="1" si="628"/>
        <v>0</v>
      </c>
      <c r="GV279">
        <f t="shared" ca="1" si="629"/>
        <v>0</v>
      </c>
      <c r="GW279">
        <f t="shared" ca="1" si="630"/>
        <v>3510</v>
      </c>
      <c r="GX279">
        <f t="shared" ca="1" si="631"/>
        <v>0</v>
      </c>
      <c r="GY279">
        <f t="shared" ca="1" si="632"/>
        <v>0</v>
      </c>
      <c r="GZ279">
        <f t="shared" ca="1" si="633"/>
        <v>0</v>
      </c>
    </row>
    <row r="280" spans="1:208" x14ac:dyDescent="0.25">
      <c r="A280">
        <f>_xlfn.AGGREGATE(3,5,$B$2:B280)</f>
        <v>279</v>
      </c>
      <c r="B280" t="s">
        <v>659</v>
      </c>
      <c r="C280" t="s">
        <v>660</v>
      </c>
      <c r="D280" t="s">
        <v>823</v>
      </c>
      <c r="E280" t="s">
        <v>831</v>
      </c>
      <c r="F280" t="s">
        <v>957</v>
      </c>
      <c r="G280" t="s">
        <v>897</v>
      </c>
      <c r="H280">
        <f t="shared" si="635"/>
        <v>6800</v>
      </c>
      <c r="I280">
        <f>_xlfn.XLOOKUP(B280,'[1]march-2025'!$A:$A,'[1]march-2025'!$J:$J,0,0)</f>
        <v>0</v>
      </c>
      <c r="J280">
        <f>_xlfn.XLOOKUP(B280,'[1]march-2025'!$A:$A,'[1]march-2025'!$C:$C,0,0)</f>
        <v>33500</v>
      </c>
      <c r="K280">
        <f t="shared" si="550"/>
        <v>4690</v>
      </c>
      <c r="L280">
        <f t="shared" si="551"/>
        <v>4020</v>
      </c>
      <c r="M280">
        <f>_xlfn.XLOOKUP(B280,'[1]march-2025'!$A:$A,'[1]march-2025'!$D:$D,0,0)</f>
        <v>0</v>
      </c>
      <c r="N280">
        <f>_xlfn.XLOOKUP(B280,'[1]march-2025'!$A:$A,'[1]march-2025'!$G:$G,0,0)</f>
        <v>500</v>
      </c>
      <c r="O280">
        <f>IF(J280&gt;0,SUM(J280:N280),0)</f>
        <v>42710</v>
      </c>
      <c r="P280">
        <f>_xlfn.XLOOKUP(B280,'[1]march-2025'!$A:$A,'[1]march-2025'!$H:$H,0,0)</f>
        <v>3000</v>
      </c>
      <c r="Q280">
        <f>_xlfn.XLOOKUP(B280,'[1]march-2025'!$A:$A,'[1]march-2025'!$I:$I,0,0)</f>
        <v>0</v>
      </c>
      <c r="R280">
        <f t="shared" si="634"/>
        <v>200</v>
      </c>
      <c r="S280">
        <f t="shared" si="544"/>
        <v>39510</v>
      </c>
      <c r="T280">
        <f>_xlfn.XLOOKUP(B280,'[2]april-2025'!$A:$A,'[2]april-2025'!$C:$C,0,0)</f>
        <v>33500</v>
      </c>
      <c r="U280">
        <f t="shared" si="552"/>
        <v>6030</v>
      </c>
      <c r="V280">
        <f t="shared" si="553"/>
        <v>4020</v>
      </c>
      <c r="W280">
        <f>_xlfn.XLOOKUP(B280,'[2]april-2025'!$A:$A,'[2]april-2025'!$D:$D,0,0)</f>
        <v>0</v>
      </c>
      <c r="X280">
        <f>_xlfn.XLOOKUP(B280,'[2]april-2025'!$A:$A,'[2]april-2025'!$G:$G,0,0)</f>
        <v>500</v>
      </c>
      <c r="Y280">
        <f t="shared" si="545"/>
        <v>44050</v>
      </c>
      <c r="Z280">
        <f>_xlfn.XLOOKUP(B280,'[2]april-2025'!$A:$A,'[2]april-2025'!$H:$H,0,0)</f>
        <v>3000</v>
      </c>
      <c r="AA280">
        <f>_xlfn.XLOOKUP(B280,'[2]april-2025'!$A:$A,'[2]april-2025'!$I:$I,0,0)</f>
        <v>0</v>
      </c>
      <c r="AB280">
        <f t="shared" si="554"/>
        <v>200</v>
      </c>
      <c r="AC280">
        <f t="shared" si="555"/>
        <v>40850</v>
      </c>
      <c r="AD280">
        <f>_xlfn.XLOOKUP(B280,'[3]may-2025'!$A:$A,'[3]may-2025'!$C:$C,0,0)</f>
        <v>33500</v>
      </c>
      <c r="AE280">
        <f t="shared" si="556"/>
        <v>6030</v>
      </c>
      <c r="AF280">
        <f t="shared" si="557"/>
        <v>4020</v>
      </c>
      <c r="AG280">
        <f>_xlfn.XLOOKUP(B280,'[3]may-2025'!$A:$A,'[3]may-2025'!$D:$D,0,0)</f>
        <v>0</v>
      </c>
      <c r="AH280">
        <f>_xlfn.XLOOKUP(B280,'[3]may-2025'!$A:$A,'[3]may-2025'!$G:$G,0,0)</f>
        <v>500</v>
      </c>
      <c r="AI280">
        <f t="shared" si="546"/>
        <v>44050</v>
      </c>
      <c r="AJ280">
        <f>_xlfn.XLOOKUP(B280,'[3]may-2025'!$A:$A,'[3]may-2025'!$H:$H,0,0)</f>
        <v>3000</v>
      </c>
      <c r="AK280">
        <f>_xlfn.XLOOKUP(B280,'[3]may-2025'!$A:$A,'[3]may-2025'!$I:$I,0,0)</f>
        <v>0</v>
      </c>
      <c r="AL280">
        <f t="shared" si="558"/>
        <v>200</v>
      </c>
      <c r="AM280">
        <f t="shared" si="559"/>
        <v>40850</v>
      </c>
      <c r="AN280">
        <f>_xlfn.XLOOKUP(B280,'[4]june-2025'!$A:$A,'[4]june-2025'!$C:$C,0,0)</f>
        <v>33500</v>
      </c>
      <c r="AO280">
        <f t="shared" si="560"/>
        <v>6030</v>
      </c>
      <c r="AP280">
        <f t="shared" si="561"/>
        <v>4020</v>
      </c>
      <c r="AQ280">
        <f>_xlfn.XLOOKUP(B280,'[4]june-2025'!$A:$A,'[4]june-2025'!$D:$D,0,0)</f>
        <v>0</v>
      </c>
      <c r="AR280">
        <f>_xlfn.XLOOKUP(B280,'[4]june-2025'!$A:$A,'[4]june-2025'!$G:$G,0,0)</f>
        <v>500</v>
      </c>
      <c r="AS280">
        <f t="shared" si="547"/>
        <v>44050</v>
      </c>
      <c r="AT280">
        <f>_xlfn.XLOOKUP(B280,'[4]june-2025'!$A:$A,'[4]june-2025'!$H:$H,0,0)</f>
        <v>3000</v>
      </c>
      <c r="AU280">
        <f>_xlfn.XLOOKUP(B280,'[4]june-2025'!$A:$A,'[4]june-2025'!$I:$I,0,0)</f>
        <v>0</v>
      </c>
      <c r="AV280">
        <f t="shared" si="562"/>
        <v>200</v>
      </c>
      <c r="AW280">
        <f t="shared" si="563"/>
        <v>40850</v>
      </c>
      <c r="AX280">
        <f>_xlfn.XLOOKUP(B280,'[5]july-2025'!$A:$A,'[5]july-2025'!$C:$C,0,0)</f>
        <v>34500</v>
      </c>
      <c r="AY280">
        <f t="shared" si="564"/>
        <v>6210</v>
      </c>
      <c r="AZ280">
        <v>0</v>
      </c>
      <c r="BA280">
        <f t="shared" si="565"/>
        <v>4140</v>
      </c>
      <c r="BB280">
        <f>_xlfn.XLOOKUP(B280,'[5]july-2025'!$A:$A,'[5]july-2025'!$D:$D,0,0)</f>
        <v>0</v>
      </c>
      <c r="BC280">
        <f>_xlfn.XLOOKUP(B280,'[5]july-2025'!$A:$A,'[5]july-2025'!$G:$G,0,0)</f>
        <v>500</v>
      </c>
      <c r="BD280">
        <f>IF(AX280&gt;0,SUM(AX280:BC280),0)</f>
        <v>45350</v>
      </c>
      <c r="BE280">
        <f>_xlfn.XLOOKUP(B280,'[5]july-2025'!$A:$A,'[5]july-2025'!$H:$H,0,0)</f>
        <v>3000</v>
      </c>
      <c r="BF280">
        <f>_xlfn.XLOOKUP(B280,'[5]july-2025'!$A:$A,'[5]july-2025'!$I:$I,0,0)</f>
        <v>0</v>
      </c>
      <c r="BG280">
        <f t="shared" si="566"/>
        <v>200</v>
      </c>
      <c r="BH280">
        <f t="shared" si="567"/>
        <v>42150</v>
      </c>
      <c r="BI280">
        <f>_xlfn.XLOOKUP(B280,'[6]august-2025'!$A:$A,'[6]august-2025'!$C:$C,0,0)</f>
        <v>34500</v>
      </c>
      <c r="BJ280">
        <f t="shared" si="568"/>
        <v>6210</v>
      </c>
      <c r="BK280">
        <f t="shared" si="569"/>
        <v>4140</v>
      </c>
      <c r="BL280">
        <f>_xlfn.XLOOKUP(B280,'[6]august-2025'!$A:$A,'[6]august-2025'!$D:$D,0,0)</f>
        <v>0</v>
      </c>
      <c r="BM280">
        <f>_xlfn.XLOOKUP(B280,'[6]august-2025'!$A:$A,'[6]august-2025'!$G:$G,0,0)</f>
        <v>500</v>
      </c>
      <c r="BN280">
        <f t="shared" si="570"/>
        <v>45350</v>
      </c>
      <c r="BO280">
        <f>_xlfn.XLOOKUP(B280,'[6]august-2025'!$A:$A,'[6]august-2025'!$H:$H,0,0)</f>
        <v>3000</v>
      </c>
      <c r="BP280">
        <f>_xlfn.XLOOKUP(B280,'[6]august-2025'!$A:$A,'[6]august-2025'!$I:$I,0,0)</f>
        <v>0</v>
      </c>
      <c r="BQ280">
        <f>IF($F280="YES",0,IF(BN280&gt;40000,200,IF(BN280&gt;25000,150,IF(BN280&gt;15000,130,IF(BN280&gt;10000,110,0)))))</f>
        <v>200</v>
      </c>
      <c r="BR280">
        <f>BN280-BO280-BP280-BQ280</f>
        <v>42150</v>
      </c>
      <c r="BS280">
        <f>_xlfn.XLOOKUP(B280,'[7]september-2025'!$A:$A,'[7]september-2025'!$C:$C,0,0)</f>
        <v>34500</v>
      </c>
      <c r="BT280">
        <f t="shared" si="571"/>
        <v>6210</v>
      </c>
      <c r="BU280">
        <f t="shared" si="572"/>
        <v>4140</v>
      </c>
      <c r="BV280">
        <f>_xlfn.XLOOKUP(B280,'[7]september-2025'!$A:$A,'[7]september-2025'!$D:$D,0,0)</f>
        <v>0</v>
      </c>
      <c r="BW280">
        <f>_xlfn.XLOOKUP(B280,'[7]september-2025'!$A:$A,'[7]september-2025'!$G:$G,0,0)</f>
        <v>500</v>
      </c>
      <c r="BX280">
        <f>IF(BS280&gt;0,SUM(BS280:BW280),0)</f>
        <v>45350</v>
      </c>
      <c r="BY280">
        <f>_xlfn.XLOOKUP(B280,'[7]september-2025'!$A:$A,'[7]september-2025'!$H:$H,0,0)</f>
        <v>3000</v>
      </c>
      <c r="BZ280">
        <f>_xlfn.XLOOKUP(B280,'[7]september-2025'!$A:$A,'[7]september-2025'!$I:$I,0,0)</f>
        <v>0</v>
      </c>
      <c r="CA280">
        <f t="shared" si="573"/>
        <v>200</v>
      </c>
      <c r="CB280">
        <f t="shared" si="574"/>
        <v>42150</v>
      </c>
      <c r="CC280">
        <f>_xlfn.XLOOKUP(B280,'[8]october-2025'!$A:$A,'[8]october-2025'!$C:$C,0,0)</f>
        <v>34500</v>
      </c>
      <c r="CD280">
        <f t="shared" si="575"/>
        <v>6210</v>
      </c>
      <c r="CE280">
        <f t="shared" si="576"/>
        <v>4140</v>
      </c>
      <c r="CF280">
        <f>_xlfn.XLOOKUP(B280,'[8]october-2025'!$A:$A,'[8]october-2025'!$D:$D,0,0)</f>
        <v>0</v>
      </c>
      <c r="CG280">
        <f>_xlfn.XLOOKUP(B280,'[8]october-2025'!$A:$A,'[8]october-2025'!$G:$G,0,0)</f>
        <v>500</v>
      </c>
      <c r="CH280">
        <f>IF(CC280&gt;0,SUM(CC280:CG280),0)</f>
        <v>45350</v>
      </c>
      <c r="CI280">
        <f>_xlfn.XLOOKUP(B280,'[8]october-2025'!$A:$A,'[8]october-2025'!$H:$H,0,0)</f>
        <v>2500</v>
      </c>
      <c r="CJ280">
        <f>_xlfn.XLOOKUP(B280,'[8]october-2025'!$A:$A,'[8]october-2025'!$I:$I,0,0)</f>
        <v>0</v>
      </c>
      <c r="CK280">
        <f t="shared" si="577"/>
        <v>200</v>
      </c>
      <c r="CL280">
        <f t="shared" si="578"/>
        <v>42650</v>
      </c>
      <c r="CM280">
        <f>_xlfn.XLOOKUP(B280,'[9]november-2025'!$A:$A,'[9]november-2025'!$C:$C,0,0)</f>
        <v>34500</v>
      </c>
      <c r="CN280">
        <f t="shared" si="579"/>
        <v>6210</v>
      </c>
      <c r="CO280">
        <f t="shared" si="580"/>
        <v>4140</v>
      </c>
      <c r="CP280">
        <f>_xlfn.XLOOKUP(B280,'[9]november-2025'!$A:$A,'[9]november-2025'!$D:$D,0,0)</f>
        <v>0</v>
      </c>
      <c r="CQ280">
        <f>_xlfn.XLOOKUP(B280,'[9]november-2025'!$A:$A,'[9]november-2025'!$G:$G,0,0)</f>
        <v>500</v>
      </c>
      <c r="CR280">
        <f>IF(CM280&gt;0,SUM(CM280:CQ280),0)</f>
        <v>45350</v>
      </c>
      <c r="CS280">
        <f>_xlfn.XLOOKUP(B280,'[9]november-2025'!$A:$A,'[9]november-2025'!$H:$H,0,0)</f>
        <v>2500</v>
      </c>
      <c r="CT280">
        <f>_xlfn.XLOOKUP(B280,'[9]november-2025'!$A:$A,'[9]november-2025'!$I:$I,0,0)</f>
        <v>0</v>
      </c>
      <c r="CU280">
        <f t="shared" si="581"/>
        <v>200</v>
      </c>
      <c r="CV280">
        <f t="shared" si="582"/>
        <v>42650</v>
      </c>
      <c r="CW280">
        <f>_xlfn.XLOOKUP(B280,'[10]december-2025'!$A:$A,'[10]december-2025'!$C:$C,0,0)</f>
        <v>34500</v>
      </c>
      <c r="CX280">
        <f t="shared" si="583"/>
        <v>6210</v>
      </c>
      <c r="CY280">
        <f t="shared" si="584"/>
        <v>4140</v>
      </c>
      <c r="CZ280">
        <f>_xlfn.XLOOKUP(B280,'[10]december-2025'!$A:$A,'[10]december-2025'!$D:$D,0,0)</f>
        <v>0</v>
      </c>
      <c r="DA280">
        <f>_xlfn.XLOOKUP(B280,'[10]december-2025'!$A:$A,'[10]december-2025'!$G:$G,0,0)</f>
        <v>500</v>
      </c>
      <c r="DB280">
        <f>IF(CW280&gt;0,SUM(CW280:DA280),0)</f>
        <v>45350</v>
      </c>
      <c r="DC280">
        <f>_xlfn.XLOOKUP(B280,'[10]december-2025'!$A:$A,'[10]december-2025'!$H:$H,0,0)</f>
        <v>2500</v>
      </c>
      <c r="DD280">
        <f>_xlfn.XLOOKUP(B280,'[10]december-2025'!$A:$A,'[10]december-2025'!$I:$I,0,0)</f>
        <v>0</v>
      </c>
      <c r="DE280">
        <f t="shared" si="585"/>
        <v>200</v>
      </c>
      <c r="DF280">
        <f t="shared" si="586"/>
        <v>42650</v>
      </c>
      <c r="DG280">
        <f>_xlfn.XLOOKUP(B280,'[11]january-2026'!$A:$A,'[11]january-2026'!$C:$C,0,0)</f>
        <v>34500</v>
      </c>
      <c r="DH280">
        <f t="shared" si="587"/>
        <v>6210</v>
      </c>
      <c r="DI280">
        <f t="shared" si="588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>IF(DG280&gt;0,SUM(DG280:DK280),0)</f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589"/>
        <v>200</v>
      </c>
      <c r="DP280">
        <f t="shared" si="590"/>
        <v>42650</v>
      </c>
      <c r="DQ280">
        <f>_xlfn.XLOOKUP(B280,'[12]february-2026'!$A:$A,'[12]february-2026'!$C:$C,0,0)</f>
        <v>34500</v>
      </c>
      <c r="DR280">
        <f t="shared" si="591"/>
        <v>6210</v>
      </c>
      <c r="DS280">
        <f t="shared" si="592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>IF(DQ280&gt;0,SUM(DQ280:DU280),0)</f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593"/>
        <v>200</v>
      </c>
      <c r="DZ280">
        <f t="shared" si="594"/>
        <v>42650</v>
      </c>
      <c r="EA280">
        <f>_xlfn.XLOOKUP(B280,'[1]march-2025'!$A:$A,'[1]march-2025'!$J:$J,0,0)</f>
        <v>0</v>
      </c>
      <c r="EB280">
        <f>_xlfn.XLOOKUP(B280,'[2]april-2025'!$A:$A,'[2]april-2025'!$J:$J,0,0)</f>
        <v>0</v>
      </c>
      <c r="EC280">
        <f>_xlfn.XLOOKUP(B280,'[3]may-2025'!$A:$A,'[3]may-2025'!$J:$J,0,0)</f>
        <v>0</v>
      </c>
      <c r="ED280">
        <f>_xlfn.XLOOKUP(B280,'[4]june-2025'!$A:$A,'[4]june-2025'!$J:$J,0,0)</f>
        <v>0</v>
      </c>
      <c r="EE280">
        <f>_xlfn.XLOOKUP(B280,'[5]july-2025'!$A:$A,'[5]july-2025'!$J:$J,0,0)</f>
        <v>0</v>
      </c>
      <c r="EF280">
        <f>_xlfn.XLOOKUP(B280,'[6]august-2025'!$A:$A,'[6]august-2025'!$J:$J,0,0)</f>
        <v>0</v>
      </c>
      <c r="EG280">
        <f>_xlfn.XLOOKUP(B280,'[7]september-2025'!$A:$A,'[7]september-2025'!$J:$J,0,0)</f>
        <v>0</v>
      </c>
      <c r="EH280">
        <f>_xlfn.XLOOKUP(B280,'[8]october-2025'!$A:$A,'[8]october-2025'!$J:$J,0,0)</f>
        <v>0</v>
      </c>
      <c r="EI280">
        <f>_xlfn.XLOOKUP(C280,'[9]november-2025'!$A:$A,'[9]november-2025'!$J:$J,0,0)</f>
        <v>0</v>
      </c>
      <c r="EJ280">
        <f>_xlfn.XLOOKUP(B280,'[10]december-2025'!$A:$A,'[10]december-2025'!$J:$J,0,0)</f>
        <v>0</v>
      </c>
      <c r="EK280">
        <f>_xlfn.XLOOKUP(B280,'[11]january-2026'!$A:$A,'[11]january-2026'!$J:$J,0,0)</f>
        <v>0</v>
      </c>
      <c r="EL280">
        <f>_xlfn.XLOOKUP(B280,'[12]february-2026'!$A:$A,'[12]february-2026'!$J:$J,0,0)</f>
        <v>0</v>
      </c>
      <c r="EM280">
        <f t="shared" si="548"/>
        <v>0</v>
      </c>
      <c r="EN280">
        <f>DV280+DL280+DB280+CR280+CH280+BX280+BN280+BD280+AS280+AI280+Y280+O280+H280+I280</f>
        <v>544460</v>
      </c>
      <c r="EO280">
        <f>DY280+DO280+DE280+CU280+CK280+CA280+BQ280+BG280+AV280+AL280+AB280+R280</f>
        <v>2400</v>
      </c>
      <c r="EP280">
        <f t="shared" si="595"/>
        <v>50000</v>
      </c>
      <c r="EQ280">
        <v>0</v>
      </c>
      <c r="ER280">
        <f t="shared" si="549"/>
        <v>492060</v>
      </c>
      <c r="ES280">
        <f>DW280+DM280+DC280+CS280+CI280+BY280+BO280+BE280+AT280+AJ280+Z280+P280</f>
        <v>33500</v>
      </c>
      <c r="ET280">
        <f>DX280+DN280+DD280+CT280+CJ280+BZ280+BP280+BF280+AU280+AK280+AA280+Q280</f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596"/>
        <v>33500</v>
      </c>
      <c r="FF280">
        <f t="shared" si="597"/>
        <v>33500</v>
      </c>
      <c r="FG280">
        <f t="shared" si="598"/>
        <v>458560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>SUM(FH280:FN280)+(IF(F280="YES",50000,0))</f>
        <v>0</v>
      </c>
      <c r="FP280">
        <f t="shared" si="599"/>
        <v>458560</v>
      </c>
      <c r="FQ280">
        <f t="shared" si="600"/>
        <v>10428</v>
      </c>
      <c r="FR280">
        <f t="shared" si="601"/>
        <v>0</v>
      </c>
      <c r="FS280">
        <f t="shared" si="602"/>
        <v>10428</v>
      </c>
      <c r="FT280">
        <f t="shared" si="603"/>
        <v>0</v>
      </c>
      <c r="FU280">
        <f t="shared" si="604"/>
        <v>0</v>
      </c>
      <c r="FV280">
        <f t="shared" si="605"/>
        <v>0</v>
      </c>
      <c r="FW280">
        <v>0</v>
      </c>
      <c r="FX280">
        <f t="shared" si="606"/>
        <v>0</v>
      </c>
      <c r="FY280" t="b">
        <f t="shared" si="607"/>
        <v>1</v>
      </c>
      <c r="FZ280">
        <f t="shared" ca="1" si="608"/>
        <v>636</v>
      </c>
      <c r="GA280">
        <f t="shared" ca="1" si="609"/>
        <v>545096</v>
      </c>
      <c r="GB280">
        <f t="shared" si="610"/>
        <v>75000</v>
      </c>
      <c r="GC280">
        <f t="shared" ca="1" si="611"/>
        <v>470096</v>
      </c>
      <c r="GD280">
        <f t="shared" ca="1" si="612"/>
        <v>0</v>
      </c>
      <c r="GE280">
        <f t="shared" ca="1" si="613"/>
        <v>0</v>
      </c>
      <c r="GF280">
        <f t="shared" ca="1" si="614"/>
        <v>0</v>
      </c>
      <c r="GG280">
        <f t="shared" ca="1" si="615"/>
        <v>0</v>
      </c>
      <c r="GH280">
        <f t="shared" ca="1" si="616"/>
        <v>0</v>
      </c>
      <c r="GI280">
        <f t="shared" ca="1" si="617"/>
        <v>0</v>
      </c>
      <c r="GJ280">
        <f ca="1">IF(GC280&gt;1200000,GC280-1200000-IF(F280="YES",50000,0)-GH280,0)</f>
        <v>0</v>
      </c>
      <c r="GK280">
        <f t="shared" ca="1" si="618"/>
        <v>0</v>
      </c>
      <c r="GL280">
        <f t="shared" ca="1" si="619"/>
        <v>0</v>
      </c>
      <c r="GM280">
        <f t="shared" ca="1" si="620"/>
        <v>0</v>
      </c>
      <c r="GN280">
        <f t="shared" ca="1" si="621"/>
        <v>70096</v>
      </c>
      <c r="GO280">
        <f t="shared" ca="1" si="622"/>
        <v>3504.8</v>
      </c>
      <c r="GP280">
        <f t="shared" ca="1" si="623"/>
        <v>3505</v>
      </c>
      <c r="GQ280">
        <f t="shared" ca="1" si="624"/>
        <v>0</v>
      </c>
      <c r="GR280">
        <f t="shared" ca="1" si="625"/>
        <v>0</v>
      </c>
      <c r="GS280">
        <f t="shared" ca="1" si="626"/>
        <v>3505</v>
      </c>
      <c r="GT280">
        <f t="shared" ca="1" si="627"/>
        <v>0</v>
      </c>
      <c r="GU280" t="b">
        <f t="shared" ca="1" si="628"/>
        <v>0</v>
      </c>
      <c r="GV280">
        <f t="shared" ca="1" si="629"/>
        <v>0</v>
      </c>
      <c r="GW280">
        <f t="shared" ca="1" si="630"/>
        <v>3505</v>
      </c>
      <c r="GX280">
        <f t="shared" ca="1" si="631"/>
        <v>0</v>
      </c>
      <c r="GY280">
        <f t="shared" ca="1" si="632"/>
        <v>0</v>
      </c>
      <c r="GZ280">
        <f t="shared" ca="1" si="633"/>
        <v>0</v>
      </c>
    </row>
    <row r="281" spans="1:208" x14ac:dyDescent="0.25">
      <c r="A281">
        <f>_xlfn.AGGREGATE(3,5,$B$2:B281)</f>
        <v>280</v>
      </c>
      <c r="B281" t="s">
        <v>661</v>
      </c>
      <c r="C281" t="s">
        <v>662</v>
      </c>
      <c r="D281" t="s">
        <v>823</v>
      </c>
      <c r="E281" t="s">
        <v>834</v>
      </c>
      <c r="F281" t="s">
        <v>957</v>
      </c>
      <c r="G281" t="s">
        <v>879</v>
      </c>
      <c r="H281">
        <f t="shared" si="635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550"/>
        <v>3780.0000000000005</v>
      </c>
      <c r="L281">
        <f t="shared" si="551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>IF(J281&gt;0,SUM(J281:N281),0)</f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634"/>
        <v>150</v>
      </c>
      <c r="S281">
        <f t="shared" si="544"/>
        <v>31870</v>
      </c>
      <c r="T281">
        <f>_xlfn.XLOOKUP(B281,'[2]april-2025'!$A:$A,'[2]april-2025'!$C:$C,0,0)</f>
        <v>27000</v>
      </c>
      <c r="U281">
        <f t="shared" si="552"/>
        <v>4860</v>
      </c>
      <c r="V281">
        <f t="shared" si="553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545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554"/>
        <v>150</v>
      </c>
      <c r="AC281">
        <f t="shared" si="555"/>
        <v>32950</v>
      </c>
      <c r="AD281">
        <f>_xlfn.XLOOKUP(B281,'[3]may-2025'!$A:$A,'[3]may-2025'!$C:$C,0,0)</f>
        <v>31600</v>
      </c>
      <c r="AE281">
        <f t="shared" si="556"/>
        <v>5688</v>
      </c>
      <c r="AF281">
        <f t="shared" si="557"/>
        <v>3792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546"/>
        <v>41080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558"/>
        <v>200</v>
      </c>
      <c r="AM281">
        <f t="shared" si="559"/>
        <v>38880</v>
      </c>
      <c r="AN281">
        <f>_xlfn.XLOOKUP(B281,'[4]june-2025'!$A:$A,'[4]june-2025'!$C:$C,0,0)</f>
        <v>31600</v>
      </c>
      <c r="AO281">
        <f t="shared" si="560"/>
        <v>5688</v>
      </c>
      <c r="AP281">
        <f t="shared" si="561"/>
        <v>3792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547"/>
        <v>41080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562"/>
        <v>200</v>
      </c>
      <c r="AW281">
        <f t="shared" si="563"/>
        <v>38880</v>
      </c>
      <c r="AX281">
        <f>_xlfn.XLOOKUP(B281,'[5]july-2025'!$A:$A,'[5]july-2025'!$C:$C,0,0)</f>
        <v>32500</v>
      </c>
      <c r="AY281">
        <f t="shared" si="564"/>
        <v>5850</v>
      </c>
      <c r="AZ281">
        <v>0</v>
      </c>
      <c r="BA281">
        <f t="shared" si="565"/>
        <v>3900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>IF(AX281&gt;0,SUM(AX281:BC281),0)</f>
        <v>42250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566"/>
        <v>200</v>
      </c>
      <c r="BH281">
        <f t="shared" si="567"/>
        <v>40050</v>
      </c>
      <c r="BI281">
        <f>_xlfn.XLOOKUP(B281,'[6]august-2025'!$A:$A,'[6]august-2025'!$C:$C,0,0)</f>
        <v>32500</v>
      </c>
      <c r="BJ281">
        <f t="shared" si="568"/>
        <v>5850</v>
      </c>
      <c r="BK281">
        <f t="shared" si="569"/>
        <v>3900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570"/>
        <v>42250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>IF($F281="YES",0,IF(BN281&gt;40000,200,IF(BN281&gt;25000,150,IF(BN281&gt;15000,130,IF(BN281&gt;10000,110,0)))))</f>
        <v>200</v>
      </c>
      <c r="BR281">
        <f>BN281-BO281-BP281-BQ281</f>
        <v>40050</v>
      </c>
      <c r="BS281">
        <f>_xlfn.XLOOKUP(B281,'[7]september-2025'!$A:$A,'[7]september-2025'!$C:$C,0,0)</f>
        <v>32500</v>
      </c>
      <c r="BT281">
        <f t="shared" si="571"/>
        <v>5850</v>
      </c>
      <c r="BU281">
        <f t="shared" si="572"/>
        <v>3900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>IF(BS281&gt;0,SUM(BS281:BW281),0)</f>
        <v>42250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573"/>
        <v>200</v>
      </c>
      <c r="CB281">
        <f t="shared" si="574"/>
        <v>40050</v>
      </c>
      <c r="CC281">
        <f>_xlfn.XLOOKUP(B281,'[8]october-2025'!$A:$A,'[8]october-2025'!$C:$C,0,0)</f>
        <v>32500</v>
      </c>
      <c r="CD281">
        <f t="shared" si="575"/>
        <v>5850</v>
      </c>
      <c r="CE281">
        <f t="shared" si="576"/>
        <v>3900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>IF(CC281&gt;0,SUM(CC281:CG281),0)</f>
        <v>42250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577"/>
        <v>200</v>
      </c>
      <c r="CL281">
        <f t="shared" si="578"/>
        <v>40050</v>
      </c>
      <c r="CM281">
        <f>_xlfn.XLOOKUP(B281,'[9]november-2025'!$A:$A,'[9]november-2025'!$C:$C,0,0)</f>
        <v>32500</v>
      </c>
      <c r="CN281">
        <f t="shared" si="579"/>
        <v>5850</v>
      </c>
      <c r="CO281">
        <f t="shared" si="580"/>
        <v>3900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>IF(CM281&gt;0,SUM(CM281:CQ281),0)</f>
        <v>42250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581"/>
        <v>200</v>
      </c>
      <c r="CV281">
        <f t="shared" si="582"/>
        <v>40050</v>
      </c>
      <c r="CW281">
        <f>_xlfn.XLOOKUP(B281,'[10]december-2025'!$A:$A,'[10]december-2025'!$C:$C,0,0)</f>
        <v>32500</v>
      </c>
      <c r="CX281">
        <f t="shared" si="583"/>
        <v>5850</v>
      </c>
      <c r="CY281">
        <f t="shared" si="584"/>
        <v>3900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>IF(CW281&gt;0,SUM(CW281:DA281),0)</f>
        <v>42250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585"/>
        <v>200</v>
      </c>
      <c r="DF281">
        <f t="shared" si="586"/>
        <v>40050</v>
      </c>
      <c r="DG281">
        <f>_xlfn.XLOOKUP(B281,'[11]january-2026'!$A:$A,'[11]january-2026'!$C:$C,0,0)</f>
        <v>32500</v>
      </c>
      <c r="DH281">
        <f t="shared" si="587"/>
        <v>5850</v>
      </c>
      <c r="DI281">
        <f t="shared" si="588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>IF(DG281&gt;0,SUM(DG281:DK281),0)</f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589"/>
        <v>200</v>
      </c>
      <c r="DP281">
        <f t="shared" si="590"/>
        <v>40050</v>
      </c>
      <c r="DQ281">
        <f>_xlfn.XLOOKUP(B281,'[12]february-2026'!$A:$A,'[12]february-2026'!$C:$C,0,0)</f>
        <v>32500</v>
      </c>
      <c r="DR281">
        <f t="shared" si="591"/>
        <v>5850</v>
      </c>
      <c r="DS281">
        <f t="shared" si="592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>IF(DQ281&gt;0,SUM(DQ281:DU281),0)</f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593"/>
        <v>200</v>
      </c>
      <c r="DZ281">
        <f t="shared" si="594"/>
        <v>40050</v>
      </c>
      <c r="EA281">
        <f>_xlfn.XLOOKUP(B281,'[1]march-2025'!$A:$A,'[1]march-2025'!$J:$J,0,0)</f>
        <v>0</v>
      </c>
      <c r="EB281">
        <f>_xlfn.XLOOKUP(B281,'[2]april-2025'!$A:$A,'[2]april-2025'!$J:$J,0,0)</f>
        <v>0</v>
      </c>
      <c r="EC281">
        <f>_xlfn.XLOOKUP(B281,'[3]may-2025'!$A:$A,'[3]may-2025'!$J:$J,0,0)</f>
        <v>0</v>
      </c>
      <c r="ED281">
        <f>_xlfn.XLOOKUP(B281,'[4]june-2025'!$A:$A,'[4]june-2025'!$J:$J,0,0)</f>
        <v>0</v>
      </c>
      <c r="EE281">
        <f>_xlfn.XLOOKUP(B281,'[5]july-2025'!$A:$A,'[5]july-2025'!$J:$J,0,0)</f>
        <v>0</v>
      </c>
      <c r="EF281">
        <f>_xlfn.XLOOKUP(B281,'[6]august-2025'!$A:$A,'[6]august-2025'!$J:$J,0,0)</f>
        <v>0</v>
      </c>
      <c r="EG281">
        <f>_xlfn.XLOOKUP(B281,'[7]september-2025'!$A:$A,'[7]september-2025'!$J:$J,0,0)</f>
        <v>0</v>
      </c>
      <c r="EH281">
        <f>_xlfn.XLOOKUP(B281,'[8]october-2025'!$A:$A,'[8]october-2025'!$J:$J,0,0)</f>
        <v>0</v>
      </c>
      <c r="EI281">
        <f>_xlfn.XLOOKUP(C281,'[9]november-2025'!$A:$A,'[9]november-2025'!$J:$J,0,0)</f>
        <v>0</v>
      </c>
      <c r="EJ281">
        <f>_xlfn.XLOOKUP(B281,'[10]december-2025'!$A:$A,'[10]december-2025'!$J:$J,0,0)</f>
        <v>0</v>
      </c>
      <c r="EK281">
        <f>_xlfn.XLOOKUP(B281,'[11]january-2026'!$A:$A,'[11]january-2026'!$J:$J,0,0)</f>
        <v>0</v>
      </c>
      <c r="EL281">
        <f>_xlfn.XLOOKUP(B281,'[12]february-2026'!$A:$A,'[12]february-2026'!$J:$J,0,0)</f>
        <v>0</v>
      </c>
      <c r="EM281">
        <f t="shared" si="548"/>
        <v>0</v>
      </c>
      <c r="EN281">
        <f>DV281+DL281+DB281+CR281+CH281+BX281+BN281+BD281+AS281+AI281+Y281+O281+H281+I281</f>
        <v>496080</v>
      </c>
      <c r="EO281">
        <f>DY281+DO281+DE281+CU281+CK281+CA281+BQ281+BG281+AV281+AL281+AB281+R281</f>
        <v>2300</v>
      </c>
      <c r="EP281">
        <f t="shared" si="595"/>
        <v>50000</v>
      </c>
      <c r="EQ281">
        <v>0</v>
      </c>
      <c r="ER281">
        <f t="shared" si="549"/>
        <v>443780</v>
      </c>
      <c r="ES281">
        <f>DW281+DM281+DC281+CS281+CI281+BY281+BO281+BE281+AT281+AJ281+Z281+P281</f>
        <v>24000</v>
      </c>
      <c r="ET281">
        <f>DX281+DN281+DD281+CT281+CJ281+BZ281+BP281+BF281+AU281+AK281+AA281+Q281</f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596"/>
        <v>24000</v>
      </c>
      <c r="FF281">
        <f t="shared" si="597"/>
        <v>24000</v>
      </c>
      <c r="FG281">
        <f t="shared" si="598"/>
        <v>419780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>SUM(FH281:FN281)+(IF(F281="YES",50000,0))</f>
        <v>0</v>
      </c>
      <c r="FP281">
        <f t="shared" si="599"/>
        <v>419780</v>
      </c>
      <c r="FQ281">
        <f t="shared" si="600"/>
        <v>8489</v>
      </c>
      <c r="FR281">
        <f t="shared" si="601"/>
        <v>0</v>
      </c>
      <c r="FS281">
        <f t="shared" si="602"/>
        <v>8489</v>
      </c>
      <c r="FT281">
        <f t="shared" si="603"/>
        <v>0</v>
      </c>
      <c r="FU281">
        <f t="shared" si="604"/>
        <v>0</v>
      </c>
      <c r="FV281">
        <f t="shared" si="605"/>
        <v>0</v>
      </c>
      <c r="FW281">
        <v>0</v>
      </c>
      <c r="FX281">
        <f t="shared" si="606"/>
        <v>0</v>
      </c>
      <c r="FY281" t="b">
        <f t="shared" si="607"/>
        <v>0</v>
      </c>
      <c r="FZ281">
        <f t="shared" ca="1" si="608"/>
        <v>1362</v>
      </c>
      <c r="GA281">
        <f t="shared" ca="1" si="609"/>
        <v>497442</v>
      </c>
      <c r="GB281">
        <f t="shared" si="610"/>
        <v>75000</v>
      </c>
      <c r="GC281">
        <f t="shared" ca="1" si="611"/>
        <v>422442</v>
      </c>
      <c r="GD281">
        <f t="shared" ca="1" si="612"/>
        <v>0</v>
      </c>
      <c r="GE281">
        <f t="shared" ca="1" si="613"/>
        <v>0</v>
      </c>
      <c r="GF281">
        <f t="shared" ca="1" si="614"/>
        <v>0</v>
      </c>
      <c r="GG281">
        <f t="shared" ca="1" si="615"/>
        <v>0</v>
      </c>
      <c r="GH281">
        <f t="shared" ca="1" si="616"/>
        <v>0</v>
      </c>
      <c r="GI281">
        <f t="shared" ca="1" si="617"/>
        <v>0</v>
      </c>
      <c r="GJ281">
        <f ca="1">IF(GC281&gt;1200000,GC281-1200000-IF(F281="YES",50000,0)-GH281,0)</f>
        <v>0</v>
      </c>
      <c r="GK281">
        <f t="shared" ca="1" si="618"/>
        <v>0</v>
      </c>
      <c r="GL281">
        <f t="shared" ca="1" si="619"/>
        <v>0</v>
      </c>
      <c r="GM281">
        <f t="shared" ca="1" si="620"/>
        <v>0</v>
      </c>
      <c r="GN281">
        <f t="shared" ca="1" si="621"/>
        <v>22442</v>
      </c>
      <c r="GO281">
        <f t="shared" ca="1" si="622"/>
        <v>1122.1000000000001</v>
      </c>
      <c r="GP281">
        <f t="shared" ca="1" si="623"/>
        <v>1122</v>
      </c>
      <c r="GQ281">
        <f t="shared" ca="1" si="624"/>
        <v>0</v>
      </c>
      <c r="GR281">
        <f t="shared" ca="1" si="625"/>
        <v>0</v>
      </c>
      <c r="GS281">
        <f t="shared" ca="1" si="626"/>
        <v>1122</v>
      </c>
      <c r="GT281">
        <f t="shared" ca="1" si="627"/>
        <v>0</v>
      </c>
      <c r="GU281" t="b">
        <f t="shared" ca="1" si="628"/>
        <v>0</v>
      </c>
      <c r="GV281">
        <f t="shared" ca="1" si="629"/>
        <v>0</v>
      </c>
      <c r="GW281">
        <f t="shared" ca="1" si="630"/>
        <v>1122</v>
      </c>
      <c r="GX281">
        <f t="shared" ca="1" si="631"/>
        <v>0</v>
      </c>
      <c r="GY281">
        <f t="shared" ca="1" si="632"/>
        <v>0</v>
      </c>
      <c r="GZ281">
        <f t="shared" ca="1" si="633"/>
        <v>0</v>
      </c>
    </row>
    <row r="282" spans="1:208" x14ac:dyDescent="0.25">
      <c r="A282">
        <f>_xlfn.AGGREGATE(3,5,$B$2:B282)</f>
        <v>281</v>
      </c>
      <c r="B282" t="s">
        <v>663</v>
      </c>
      <c r="C282" t="s">
        <v>664</v>
      </c>
      <c r="D282" t="s">
        <v>823</v>
      </c>
      <c r="E282" t="s">
        <v>831</v>
      </c>
      <c r="F282" t="s">
        <v>957</v>
      </c>
      <c r="G282" t="s">
        <v>879</v>
      </c>
      <c r="H282">
        <f t="shared" si="635"/>
        <v>6800</v>
      </c>
      <c r="I282">
        <f>_xlfn.XLOOKUP(B282,'[1]march-2025'!$A:$A,'[1]march-2025'!$J:$J,0,0)</f>
        <v>0</v>
      </c>
      <c r="J282">
        <f>_xlfn.XLOOKUP(B282,'[1]march-2025'!$A:$A,'[1]march-2025'!$C:$C,0,0)</f>
        <v>27000</v>
      </c>
      <c r="K282">
        <f t="shared" si="550"/>
        <v>3780.0000000000005</v>
      </c>
      <c r="L282">
        <f t="shared" si="551"/>
        <v>3240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>IF(J282&gt;0,SUM(J282:N282),0)</f>
        <v>34020</v>
      </c>
      <c r="P282">
        <f>_xlfn.XLOOKUP(B282,'[1]march-2025'!$A:$A,'[1]march-2025'!$H:$H,0,0)</f>
        <v>2000</v>
      </c>
      <c r="Q282">
        <f>_xlfn.XLOOKUP(B282,'[1]march-2025'!$A:$A,'[1]march-2025'!$I:$I,0,0)</f>
        <v>0</v>
      </c>
      <c r="R282">
        <f t="shared" si="634"/>
        <v>150</v>
      </c>
      <c r="S282">
        <f t="shared" si="544"/>
        <v>31870</v>
      </c>
      <c r="T282">
        <f>_xlfn.XLOOKUP(B282,'[2]april-2025'!$A:$A,'[2]april-2025'!$C:$C,0,0)</f>
        <v>27000</v>
      </c>
      <c r="U282">
        <f t="shared" si="552"/>
        <v>4860</v>
      </c>
      <c r="V282">
        <f t="shared" si="553"/>
        <v>3240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545"/>
        <v>35100</v>
      </c>
      <c r="Z282">
        <f>_xlfn.XLOOKUP(B282,'[2]april-2025'!$A:$A,'[2]april-2025'!$H:$H,0,0)</f>
        <v>2000</v>
      </c>
      <c r="AA282">
        <f>_xlfn.XLOOKUP(B282,'[2]april-2025'!$A:$A,'[2]april-2025'!$I:$I,0,0)</f>
        <v>0</v>
      </c>
      <c r="AB282">
        <f t="shared" si="554"/>
        <v>150</v>
      </c>
      <c r="AC282">
        <f t="shared" si="555"/>
        <v>32950</v>
      </c>
      <c r="AD282">
        <f>_xlfn.XLOOKUP(B282,'[3]may-2025'!$A:$A,'[3]may-2025'!$C:$C,0,0)</f>
        <v>27000</v>
      </c>
      <c r="AE282">
        <f t="shared" si="556"/>
        <v>4860</v>
      </c>
      <c r="AF282">
        <f t="shared" si="557"/>
        <v>3240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546"/>
        <v>35100</v>
      </c>
      <c r="AJ282">
        <f>_xlfn.XLOOKUP(B282,'[3]may-2025'!$A:$A,'[3]may-2025'!$H:$H,0,0)</f>
        <v>2000</v>
      </c>
      <c r="AK282">
        <f>_xlfn.XLOOKUP(B282,'[3]may-2025'!$A:$A,'[3]may-2025'!$I:$I,0,0)</f>
        <v>0</v>
      </c>
      <c r="AL282">
        <f t="shared" si="558"/>
        <v>150</v>
      </c>
      <c r="AM282">
        <f t="shared" si="559"/>
        <v>32950</v>
      </c>
      <c r="AN282">
        <f>_xlfn.XLOOKUP(B282,'[4]june-2025'!$A:$A,'[4]june-2025'!$C:$C,0,0)</f>
        <v>27000</v>
      </c>
      <c r="AO282">
        <f t="shared" si="560"/>
        <v>4860</v>
      </c>
      <c r="AP282">
        <f t="shared" si="561"/>
        <v>3240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547"/>
        <v>35100</v>
      </c>
      <c r="AT282">
        <f>_xlfn.XLOOKUP(B282,'[4]june-2025'!$A:$A,'[4]june-2025'!$H:$H,0,0)</f>
        <v>2000</v>
      </c>
      <c r="AU282">
        <f>_xlfn.XLOOKUP(B282,'[4]june-2025'!$A:$A,'[4]june-2025'!$I:$I,0,0)</f>
        <v>0</v>
      </c>
      <c r="AV282">
        <f t="shared" si="562"/>
        <v>150</v>
      </c>
      <c r="AW282">
        <f t="shared" si="563"/>
        <v>32950</v>
      </c>
      <c r="AX282">
        <f>_xlfn.XLOOKUP(B282,'[5]july-2025'!$A:$A,'[5]july-2025'!$C:$C,0,0)</f>
        <v>27800</v>
      </c>
      <c r="AY282">
        <f t="shared" si="564"/>
        <v>5004</v>
      </c>
      <c r="AZ282">
        <v>0</v>
      </c>
      <c r="BA282">
        <f t="shared" si="565"/>
        <v>3336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>IF(AX282&gt;0,SUM(AX282:BC282),0)</f>
        <v>36140</v>
      </c>
      <c r="BE282">
        <f>_xlfn.XLOOKUP(B282,'[5]july-2025'!$A:$A,'[5]july-2025'!$H:$H,0,0)</f>
        <v>2000</v>
      </c>
      <c r="BF282">
        <f>_xlfn.XLOOKUP(B282,'[5]july-2025'!$A:$A,'[5]july-2025'!$I:$I,0,0)</f>
        <v>0</v>
      </c>
      <c r="BG282">
        <f t="shared" si="566"/>
        <v>150</v>
      </c>
      <c r="BH282">
        <f t="shared" si="567"/>
        <v>33990</v>
      </c>
      <c r="BI282">
        <f>_xlfn.XLOOKUP(B282,'[6]august-2025'!$A:$A,'[6]august-2025'!$C:$C,0,0)</f>
        <v>27800</v>
      </c>
      <c r="BJ282">
        <f t="shared" si="568"/>
        <v>5004</v>
      </c>
      <c r="BK282">
        <f t="shared" si="569"/>
        <v>3336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570"/>
        <v>36140</v>
      </c>
      <c r="BO282">
        <f>_xlfn.XLOOKUP(B282,'[6]august-2025'!$A:$A,'[6]august-2025'!$H:$H,0,0)</f>
        <v>2000</v>
      </c>
      <c r="BP282">
        <f>_xlfn.XLOOKUP(B282,'[6]august-2025'!$A:$A,'[6]august-2025'!$I:$I,0,0)</f>
        <v>0</v>
      </c>
      <c r="BQ282">
        <f>IF($F282="YES",0,IF(BN282&gt;40000,200,IF(BN282&gt;25000,150,IF(BN282&gt;15000,130,IF(BN282&gt;10000,110,0)))))</f>
        <v>150</v>
      </c>
      <c r="BR282">
        <f>BN282-BO282-BP282-BQ282</f>
        <v>33990</v>
      </c>
      <c r="BS282">
        <f>_xlfn.XLOOKUP(B282,'[7]september-2025'!$A:$A,'[7]september-2025'!$C:$C,0,0)</f>
        <v>27800</v>
      </c>
      <c r="BT282">
        <f t="shared" si="571"/>
        <v>5004</v>
      </c>
      <c r="BU282">
        <f t="shared" si="572"/>
        <v>3336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>IF(BS282&gt;0,SUM(BS282:BW282),0)</f>
        <v>36140</v>
      </c>
      <c r="BY282">
        <f>_xlfn.XLOOKUP(B282,'[7]september-2025'!$A:$A,'[7]september-2025'!$H:$H,0,0)</f>
        <v>2000</v>
      </c>
      <c r="BZ282">
        <f>_xlfn.XLOOKUP(B282,'[7]september-2025'!$A:$A,'[7]september-2025'!$I:$I,0,0)</f>
        <v>0</v>
      </c>
      <c r="CA282">
        <f t="shared" si="573"/>
        <v>150</v>
      </c>
      <c r="CB282">
        <f t="shared" si="574"/>
        <v>33990</v>
      </c>
      <c r="CC282">
        <f>_xlfn.XLOOKUP(B282,'[8]october-2025'!$A:$A,'[8]october-2025'!$C:$C,0,0)</f>
        <v>27800</v>
      </c>
      <c r="CD282">
        <f t="shared" si="575"/>
        <v>5004</v>
      </c>
      <c r="CE282">
        <f t="shared" si="576"/>
        <v>3336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>IF(CC282&gt;0,SUM(CC282:CG282),0)</f>
        <v>36140</v>
      </c>
      <c r="CI282">
        <f>_xlfn.XLOOKUP(B282,'[8]october-2025'!$A:$A,'[8]october-2025'!$H:$H,0,0)</f>
        <v>2000</v>
      </c>
      <c r="CJ282">
        <f>_xlfn.XLOOKUP(B282,'[8]october-2025'!$A:$A,'[8]october-2025'!$I:$I,0,0)</f>
        <v>0</v>
      </c>
      <c r="CK282">
        <f t="shared" si="577"/>
        <v>150</v>
      </c>
      <c r="CL282">
        <f t="shared" si="578"/>
        <v>33990</v>
      </c>
      <c r="CM282">
        <f>_xlfn.XLOOKUP(B282,'[9]november-2025'!$A:$A,'[9]november-2025'!$C:$C,0,0)</f>
        <v>27800</v>
      </c>
      <c r="CN282">
        <f t="shared" si="579"/>
        <v>5004</v>
      </c>
      <c r="CO282">
        <f t="shared" si="580"/>
        <v>3336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>IF(CM282&gt;0,SUM(CM282:CQ282),0)</f>
        <v>36140</v>
      </c>
      <c r="CS282">
        <f>_xlfn.XLOOKUP(B282,'[9]november-2025'!$A:$A,'[9]november-2025'!$H:$H,0,0)</f>
        <v>2000</v>
      </c>
      <c r="CT282">
        <f>_xlfn.XLOOKUP(B282,'[9]november-2025'!$A:$A,'[9]november-2025'!$I:$I,0,0)</f>
        <v>0</v>
      </c>
      <c r="CU282">
        <f t="shared" si="581"/>
        <v>150</v>
      </c>
      <c r="CV282">
        <f t="shared" si="582"/>
        <v>33990</v>
      </c>
      <c r="CW282">
        <f>_xlfn.XLOOKUP(B282,'[10]december-2025'!$A:$A,'[10]december-2025'!$C:$C,0,0)</f>
        <v>27800</v>
      </c>
      <c r="CX282">
        <f t="shared" si="583"/>
        <v>5004</v>
      </c>
      <c r="CY282">
        <f t="shared" si="584"/>
        <v>3336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>IF(CW282&gt;0,SUM(CW282:DA282),0)</f>
        <v>36140</v>
      </c>
      <c r="DC282">
        <f>_xlfn.XLOOKUP(B282,'[10]december-2025'!$A:$A,'[10]december-2025'!$H:$H,0,0)</f>
        <v>2000</v>
      </c>
      <c r="DD282">
        <f>_xlfn.XLOOKUP(B282,'[10]december-2025'!$A:$A,'[10]december-2025'!$I:$I,0,0)</f>
        <v>0</v>
      </c>
      <c r="DE282">
        <f t="shared" si="585"/>
        <v>150</v>
      </c>
      <c r="DF282">
        <f t="shared" si="586"/>
        <v>33990</v>
      </c>
      <c r="DG282">
        <f>_xlfn.XLOOKUP(B282,'[11]january-2026'!$A:$A,'[11]january-2026'!$C:$C,0,0)</f>
        <v>27800</v>
      </c>
      <c r="DH282">
        <f t="shared" si="587"/>
        <v>5004</v>
      </c>
      <c r="DI282">
        <f t="shared" si="588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>IF(DG282&gt;0,SUM(DG282:DK282),0)</f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589"/>
        <v>150</v>
      </c>
      <c r="DP282">
        <f t="shared" si="590"/>
        <v>33990</v>
      </c>
      <c r="DQ282">
        <f>_xlfn.XLOOKUP(B282,'[12]february-2026'!$A:$A,'[12]february-2026'!$C:$C,0,0)</f>
        <v>27800</v>
      </c>
      <c r="DR282">
        <f t="shared" si="591"/>
        <v>5004</v>
      </c>
      <c r="DS282">
        <f t="shared" si="592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>IF(DQ282&gt;0,SUM(DQ282:DU282),0)</f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593"/>
        <v>150</v>
      </c>
      <c r="DZ282">
        <f t="shared" si="594"/>
        <v>33990</v>
      </c>
      <c r="EA282">
        <f>_xlfn.XLOOKUP(B282,'[1]march-2025'!$A:$A,'[1]march-2025'!$J:$J,0,0)</f>
        <v>0</v>
      </c>
      <c r="EB282">
        <f>_xlfn.XLOOKUP(B282,'[2]april-2025'!$A:$A,'[2]april-2025'!$J:$J,0,0)</f>
        <v>0</v>
      </c>
      <c r="EC282">
        <f>_xlfn.XLOOKUP(B282,'[3]may-2025'!$A:$A,'[3]may-2025'!$J:$J,0,0)</f>
        <v>0</v>
      </c>
      <c r="ED282">
        <f>_xlfn.XLOOKUP(B282,'[4]june-2025'!$A:$A,'[4]june-2025'!$J:$J,0,0)</f>
        <v>0</v>
      </c>
      <c r="EE282">
        <f>_xlfn.XLOOKUP(B282,'[5]july-2025'!$A:$A,'[5]july-2025'!$J:$J,0,0)</f>
        <v>0</v>
      </c>
      <c r="EF282">
        <f>_xlfn.XLOOKUP(B282,'[6]august-2025'!$A:$A,'[6]august-2025'!$J:$J,0,0)</f>
        <v>0</v>
      </c>
      <c r="EG282">
        <f>_xlfn.XLOOKUP(B282,'[7]september-2025'!$A:$A,'[7]september-2025'!$J:$J,0,0)</f>
        <v>0</v>
      </c>
      <c r="EH282">
        <f>_xlfn.XLOOKUP(B282,'[8]october-2025'!$A:$A,'[8]october-2025'!$J:$J,0,0)</f>
        <v>0</v>
      </c>
      <c r="EI282">
        <f>_xlfn.XLOOKUP(C282,'[9]november-2025'!$A:$A,'[9]november-2025'!$J:$J,0,0)</f>
        <v>0</v>
      </c>
      <c r="EJ282">
        <f>_xlfn.XLOOKUP(B282,'[10]december-2025'!$A:$A,'[10]december-2025'!$J:$J,0,0)</f>
        <v>0</v>
      </c>
      <c r="EK282">
        <f>_xlfn.XLOOKUP(B282,'[11]january-2026'!$A:$A,'[11]january-2026'!$J:$J,0,0)</f>
        <v>0</v>
      </c>
      <c r="EL282">
        <f>_xlfn.XLOOKUP(B282,'[12]february-2026'!$A:$A,'[12]february-2026'!$J:$J,0,0)</f>
        <v>0</v>
      </c>
      <c r="EM282">
        <f t="shared" si="548"/>
        <v>0</v>
      </c>
      <c r="EN282">
        <f>DV282+DL282+DB282+CR282+CH282+BX282+BN282+BD282+AS282+AI282+Y282+O282+H282+I282</f>
        <v>435240</v>
      </c>
      <c r="EO282">
        <f>DY282+DO282+DE282+CU282+CK282+CA282+BQ282+BG282+AV282+AL282+AB282+R282</f>
        <v>1800</v>
      </c>
      <c r="EP282">
        <f t="shared" si="595"/>
        <v>50000</v>
      </c>
      <c r="EQ282">
        <v>0</v>
      </c>
      <c r="ER282">
        <f t="shared" si="549"/>
        <v>383440</v>
      </c>
      <c r="ES282">
        <f>DW282+DM282+DC282+CS282+CI282+BY282+BO282+BE282+AT282+AJ282+Z282+P282</f>
        <v>24000</v>
      </c>
      <c r="ET282">
        <f>DX282+DN282+DD282+CT282+CJ282+BZ282+BP282+BF282+AU282+AK282+AA282+Q282</f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596"/>
        <v>24000</v>
      </c>
      <c r="FF282">
        <f t="shared" si="597"/>
        <v>24000</v>
      </c>
      <c r="FG282">
        <f t="shared" si="598"/>
        <v>359440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>SUM(FH282:FN282)+(IF(F282="YES",50000,0))</f>
        <v>0</v>
      </c>
      <c r="FP282">
        <f t="shared" si="599"/>
        <v>359440</v>
      </c>
      <c r="FQ282">
        <f t="shared" si="600"/>
        <v>5472</v>
      </c>
      <c r="FR282">
        <f t="shared" si="601"/>
        <v>0</v>
      </c>
      <c r="FS282">
        <f t="shared" si="602"/>
        <v>5472</v>
      </c>
      <c r="FT282">
        <f t="shared" si="603"/>
        <v>0</v>
      </c>
      <c r="FU282">
        <f t="shared" si="604"/>
        <v>0</v>
      </c>
      <c r="FV282">
        <f t="shared" si="605"/>
        <v>0</v>
      </c>
      <c r="FW282">
        <v>0</v>
      </c>
      <c r="FX282">
        <f t="shared" si="606"/>
        <v>0</v>
      </c>
      <c r="FY282" t="b">
        <f t="shared" si="607"/>
        <v>0</v>
      </c>
      <c r="FZ282">
        <f t="shared" ca="1" si="608"/>
        <v>1864</v>
      </c>
      <c r="GA282">
        <f t="shared" ca="1" si="609"/>
        <v>437104</v>
      </c>
      <c r="GB282">
        <f t="shared" si="610"/>
        <v>75000</v>
      </c>
      <c r="GC282">
        <f t="shared" ca="1" si="611"/>
        <v>362104</v>
      </c>
      <c r="GD282">
        <f t="shared" ca="1" si="612"/>
        <v>0</v>
      </c>
      <c r="GE282">
        <f t="shared" ca="1" si="613"/>
        <v>0</v>
      </c>
      <c r="GF282">
        <f t="shared" ca="1" si="614"/>
        <v>0</v>
      </c>
      <c r="GG282">
        <f t="shared" ca="1" si="615"/>
        <v>0</v>
      </c>
      <c r="GH282">
        <f t="shared" ca="1" si="616"/>
        <v>0</v>
      </c>
      <c r="GI282">
        <f t="shared" ca="1" si="617"/>
        <v>0</v>
      </c>
      <c r="GJ282">
        <f ca="1">IF(GC282&gt;1200000,GC282-1200000-IF(F282="YES",50000,0)-GH282,0)</f>
        <v>0</v>
      </c>
      <c r="GK282">
        <f t="shared" ca="1" si="618"/>
        <v>0</v>
      </c>
      <c r="GL282">
        <f t="shared" ca="1" si="619"/>
        <v>0</v>
      </c>
      <c r="GM282">
        <f t="shared" ca="1" si="620"/>
        <v>0</v>
      </c>
      <c r="GN282">
        <f t="shared" ca="1" si="621"/>
        <v>0</v>
      </c>
      <c r="GO282">
        <f t="shared" ca="1" si="622"/>
        <v>0</v>
      </c>
      <c r="GP282">
        <f t="shared" ca="1" si="623"/>
        <v>0</v>
      </c>
      <c r="GQ282">
        <f t="shared" ca="1" si="624"/>
        <v>0</v>
      </c>
      <c r="GR282">
        <f t="shared" ca="1" si="625"/>
        <v>0</v>
      </c>
      <c r="GS282">
        <f t="shared" ca="1" si="626"/>
        <v>0</v>
      </c>
      <c r="GT282">
        <f t="shared" ca="1" si="627"/>
        <v>0</v>
      </c>
      <c r="GU282" t="b">
        <f t="shared" ca="1" si="628"/>
        <v>0</v>
      </c>
      <c r="GV282">
        <f t="shared" ca="1" si="629"/>
        <v>0</v>
      </c>
      <c r="GW282">
        <f t="shared" ca="1" si="630"/>
        <v>0</v>
      </c>
      <c r="GX282">
        <f t="shared" ca="1" si="631"/>
        <v>0</v>
      </c>
      <c r="GY282">
        <f t="shared" ca="1" si="632"/>
        <v>0</v>
      </c>
      <c r="GZ282">
        <f t="shared" ca="1" si="633"/>
        <v>0</v>
      </c>
    </row>
    <row r="283" spans="1:208" x14ac:dyDescent="0.25">
      <c r="A283">
        <f>_xlfn.AGGREGATE(3,5,$B$2:B283)</f>
        <v>282</v>
      </c>
      <c r="B283" t="s">
        <v>665</v>
      </c>
      <c r="C283" t="s">
        <v>666</v>
      </c>
      <c r="D283" t="s">
        <v>824</v>
      </c>
      <c r="E283" t="s">
        <v>832</v>
      </c>
      <c r="F283" t="s">
        <v>957</v>
      </c>
      <c r="G283" t="s">
        <v>880</v>
      </c>
      <c r="H283">
        <f t="shared" si="635"/>
        <v>6800</v>
      </c>
      <c r="I283">
        <f>_xlfn.XLOOKUP(B283,'[1]march-2025'!$A:$A,'[1]march-2025'!$J:$J,0,0)</f>
        <v>0</v>
      </c>
      <c r="J283">
        <f>_xlfn.XLOOKUP(B283,'[1]march-2025'!$A:$A,'[1]march-2025'!$C:$C,0,0)</f>
        <v>47300</v>
      </c>
      <c r="K283">
        <f t="shared" si="550"/>
        <v>6622.0000000000009</v>
      </c>
      <c r="L283">
        <f t="shared" si="551"/>
        <v>5676</v>
      </c>
      <c r="M283">
        <f>_xlfn.XLOOKUP(B283,'[1]march-2025'!$A:$A,'[1]march-2025'!$D:$D,0,0)</f>
        <v>400</v>
      </c>
      <c r="N283">
        <f>_xlfn.XLOOKUP(B283,'[1]march-2025'!$A:$A,'[1]march-2025'!$G:$G,0,0)</f>
        <v>500</v>
      </c>
      <c r="O283">
        <f>IF(J283&gt;0,SUM(J283:N283),0)</f>
        <v>60498</v>
      </c>
      <c r="P283">
        <f>_xlfn.XLOOKUP(B283,'[1]march-2025'!$A:$A,'[1]march-2025'!$H:$H,0,0)</f>
        <v>4000</v>
      </c>
      <c r="Q283">
        <f>_xlfn.XLOOKUP(B283,'[1]march-2025'!$A:$A,'[1]march-2025'!$I:$I,0,0)</f>
        <v>0</v>
      </c>
      <c r="R283">
        <f t="shared" si="634"/>
        <v>200</v>
      </c>
      <c r="S283">
        <f t="shared" si="544"/>
        <v>56298</v>
      </c>
      <c r="T283">
        <f>_xlfn.XLOOKUP(B283,'[2]april-2025'!$A:$A,'[2]april-2025'!$C:$C,0,0)</f>
        <v>47300</v>
      </c>
      <c r="U283">
        <f t="shared" si="552"/>
        <v>8514</v>
      </c>
      <c r="V283">
        <f t="shared" si="553"/>
        <v>5676</v>
      </c>
      <c r="W283">
        <f>_xlfn.XLOOKUP(B283,'[2]april-2025'!$A:$A,'[2]april-2025'!$D:$D,0,0)</f>
        <v>400</v>
      </c>
      <c r="X283">
        <f>_xlfn.XLOOKUP(B283,'[2]april-2025'!$A:$A,'[2]april-2025'!$G:$G,0,0)</f>
        <v>500</v>
      </c>
      <c r="Y283">
        <f t="shared" si="545"/>
        <v>62390</v>
      </c>
      <c r="Z283">
        <f>_xlfn.XLOOKUP(B283,'[2]april-2025'!$A:$A,'[2]april-2025'!$H:$H,0,0)</f>
        <v>4000</v>
      </c>
      <c r="AA283">
        <f>_xlfn.XLOOKUP(B283,'[2]april-2025'!$A:$A,'[2]april-2025'!$I:$I,0,0)</f>
        <v>0</v>
      </c>
      <c r="AB283">
        <f t="shared" si="554"/>
        <v>200</v>
      </c>
      <c r="AC283">
        <f t="shared" si="555"/>
        <v>58190</v>
      </c>
      <c r="AD283">
        <f>_xlfn.XLOOKUP(B283,'[3]may-2025'!$A:$A,'[3]may-2025'!$C:$C,0,0)</f>
        <v>47300</v>
      </c>
      <c r="AE283">
        <f t="shared" si="556"/>
        <v>8514</v>
      </c>
      <c r="AF283">
        <f t="shared" si="557"/>
        <v>5676</v>
      </c>
      <c r="AG283">
        <f>_xlfn.XLOOKUP(B283,'[3]may-2025'!$A:$A,'[3]may-2025'!$D:$D,0,0)</f>
        <v>400</v>
      </c>
      <c r="AH283">
        <f>_xlfn.XLOOKUP(B283,'[3]may-2025'!$A:$A,'[3]may-2025'!$G:$G,0,0)</f>
        <v>500</v>
      </c>
      <c r="AI283">
        <f t="shared" si="546"/>
        <v>62390</v>
      </c>
      <c r="AJ283">
        <f>_xlfn.XLOOKUP(B283,'[3]may-2025'!$A:$A,'[3]may-2025'!$H:$H,0,0)</f>
        <v>4000</v>
      </c>
      <c r="AK283">
        <f>_xlfn.XLOOKUP(B283,'[3]may-2025'!$A:$A,'[3]may-2025'!$I:$I,0,0)</f>
        <v>0</v>
      </c>
      <c r="AL283">
        <f t="shared" si="558"/>
        <v>200</v>
      </c>
      <c r="AM283">
        <f t="shared" si="559"/>
        <v>58190</v>
      </c>
      <c r="AN283">
        <f>_xlfn.XLOOKUP(B283,'[4]june-2025'!$A:$A,'[4]june-2025'!$C:$C,0,0)</f>
        <v>47300</v>
      </c>
      <c r="AO283">
        <f t="shared" si="560"/>
        <v>8514</v>
      </c>
      <c r="AP283">
        <f t="shared" si="561"/>
        <v>5676</v>
      </c>
      <c r="AQ283">
        <f>_xlfn.XLOOKUP(B283,'[4]june-2025'!$A:$A,'[4]june-2025'!$D:$D,0,0)</f>
        <v>400</v>
      </c>
      <c r="AR283">
        <f>_xlfn.XLOOKUP(B283,'[4]june-2025'!$A:$A,'[4]june-2025'!$G:$G,0,0)</f>
        <v>500</v>
      </c>
      <c r="AS283">
        <f t="shared" si="547"/>
        <v>62390</v>
      </c>
      <c r="AT283">
        <f>_xlfn.XLOOKUP(B283,'[4]june-2025'!$A:$A,'[4]june-2025'!$H:$H,0,0)</f>
        <v>4000</v>
      </c>
      <c r="AU283">
        <f>_xlfn.XLOOKUP(B283,'[4]june-2025'!$A:$A,'[4]june-2025'!$I:$I,0,0)</f>
        <v>0</v>
      </c>
      <c r="AV283">
        <f t="shared" si="562"/>
        <v>200</v>
      </c>
      <c r="AW283">
        <f t="shared" si="563"/>
        <v>58190</v>
      </c>
      <c r="AX283">
        <f>_xlfn.XLOOKUP(B283,'[5]july-2025'!$A:$A,'[5]july-2025'!$C:$C,0,0)</f>
        <v>48700</v>
      </c>
      <c r="AY283">
        <f t="shared" si="564"/>
        <v>8766</v>
      </c>
      <c r="AZ283">
        <v>0</v>
      </c>
      <c r="BA283">
        <f t="shared" si="565"/>
        <v>5844</v>
      </c>
      <c r="BB283">
        <f>_xlfn.XLOOKUP(B283,'[5]july-2025'!$A:$A,'[5]july-2025'!$D:$D,0,0)</f>
        <v>400</v>
      </c>
      <c r="BC283">
        <f>_xlfn.XLOOKUP(B283,'[5]july-2025'!$A:$A,'[5]july-2025'!$G:$G,0,0)</f>
        <v>500</v>
      </c>
      <c r="BD283">
        <f>IF(AX283&gt;0,SUM(AX283:BC283),0)</f>
        <v>64210</v>
      </c>
      <c r="BE283">
        <f>_xlfn.XLOOKUP(B283,'[5]july-2025'!$A:$A,'[5]july-2025'!$H:$H,0,0)</f>
        <v>4000</v>
      </c>
      <c r="BF283">
        <f>_xlfn.XLOOKUP(B283,'[5]july-2025'!$A:$A,'[5]july-2025'!$I:$I,0,0)</f>
        <v>0</v>
      </c>
      <c r="BG283">
        <f t="shared" si="566"/>
        <v>200</v>
      </c>
      <c r="BH283">
        <f t="shared" si="567"/>
        <v>60010</v>
      </c>
      <c r="BI283">
        <f>_xlfn.XLOOKUP(B283,'[6]august-2025'!$A:$A,'[6]august-2025'!$C:$C,0,0)</f>
        <v>48700</v>
      </c>
      <c r="BJ283">
        <f t="shared" si="568"/>
        <v>8766</v>
      </c>
      <c r="BK283">
        <f t="shared" si="569"/>
        <v>5844</v>
      </c>
      <c r="BL283">
        <f>_xlfn.XLOOKUP(B283,'[6]august-2025'!$A:$A,'[6]august-2025'!$D:$D,0,0)</f>
        <v>400</v>
      </c>
      <c r="BM283">
        <f>_xlfn.XLOOKUP(B283,'[6]august-2025'!$A:$A,'[6]august-2025'!$G:$G,0,0)</f>
        <v>500</v>
      </c>
      <c r="BN283">
        <f t="shared" si="570"/>
        <v>64210</v>
      </c>
      <c r="BO283">
        <f>_xlfn.XLOOKUP(B283,'[6]august-2025'!$A:$A,'[6]august-2025'!$H:$H,0,0)</f>
        <v>4000</v>
      </c>
      <c r="BP283">
        <f>_xlfn.XLOOKUP(B283,'[6]august-2025'!$A:$A,'[6]august-2025'!$I:$I,0,0)</f>
        <v>0</v>
      </c>
      <c r="BQ283">
        <f>IF($F283="YES",0,IF(BN283&gt;40000,200,IF(BN283&gt;25000,150,IF(BN283&gt;15000,130,IF(BN283&gt;10000,110,0)))))</f>
        <v>200</v>
      </c>
      <c r="BR283">
        <f>BN283-BO283-BP283-BQ283</f>
        <v>60010</v>
      </c>
      <c r="BS283">
        <f>_xlfn.XLOOKUP(B283,'[7]september-2025'!$A:$A,'[7]september-2025'!$C:$C,0,0)</f>
        <v>48700</v>
      </c>
      <c r="BT283">
        <f t="shared" si="571"/>
        <v>8766</v>
      </c>
      <c r="BU283">
        <f t="shared" si="572"/>
        <v>5844</v>
      </c>
      <c r="BV283">
        <f>_xlfn.XLOOKUP(B283,'[7]september-2025'!$A:$A,'[7]september-2025'!$D:$D,0,0)</f>
        <v>400</v>
      </c>
      <c r="BW283">
        <f>_xlfn.XLOOKUP(B283,'[7]september-2025'!$A:$A,'[7]september-2025'!$G:$G,0,0)</f>
        <v>500</v>
      </c>
      <c r="BX283">
        <f>IF(BS283&gt;0,SUM(BS283:BW283),0)</f>
        <v>64210</v>
      </c>
      <c r="BY283">
        <f>_xlfn.XLOOKUP(B283,'[7]september-2025'!$A:$A,'[7]september-2025'!$H:$H,0,0)</f>
        <v>4000</v>
      </c>
      <c r="BZ283">
        <f>_xlfn.XLOOKUP(B283,'[7]september-2025'!$A:$A,'[7]september-2025'!$I:$I,0,0)</f>
        <v>0</v>
      </c>
      <c r="CA283">
        <f t="shared" si="573"/>
        <v>200</v>
      </c>
      <c r="CB283">
        <f t="shared" si="574"/>
        <v>60010</v>
      </c>
      <c r="CC283">
        <f>_xlfn.XLOOKUP(B283,'[8]october-2025'!$A:$A,'[8]october-2025'!$C:$C,0,0)</f>
        <v>48700</v>
      </c>
      <c r="CD283">
        <f t="shared" si="575"/>
        <v>8766</v>
      </c>
      <c r="CE283">
        <f t="shared" si="576"/>
        <v>5844</v>
      </c>
      <c r="CF283">
        <f>_xlfn.XLOOKUP(B283,'[8]october-2025'!$A:$A,'[8]october-2025'!$D:$D,0,0)</f>
        <v>400</v>
      </c>
      <c r="CG283">
        <f>_xlfn.XLOOKUP(B283,'[8]october-2025'!$A:$A,'[8]october-2025'!$G:$G,0,0)</f>
        <v>500</v>
      </c>
      <c r="CH283">
        <f>IF(CC283&gt;0,SUM(CC283:CG283),0)</f>
        <v>64210</v>
      </c>
      <c r="CI283">
        <f>_xlfn.XLOOKUP(B283,'[8]october-2025'!$A:$A,'[8]october-2025'!$H:$H,0,0)</f>
        <v>4000</v>
      </c>
      <c r="CJ283">
        <f>_xlfn.XLOOKUP(B283,'[8]october-2025'!$A:$A,'[8]october-2025'!$I:$I,0,0)</f>
        <v>0</v>
      </c>
      <c r="CK283">
        <f t="shared" si="577"/>
        <v>200</v>
      </c>
      <c r="CL283">
        <f t="shared" si="578"/>
        <v>60010</v>
      </c>
      <c r="CM283">
        <f>_xlfn.XLOOKUP(B283,'[9]november-2025'!$A:$A,'[9]november-2025'!$C:$C,0,0)</f>
        <v>48700</v>
      </c>
      <c r="CN283">
        <f t="shared" si="579"/>
        <v>8766</v>
      </c>
      <c r="CO283">
        <f t="shared" si="580"/>
        <v>5844</v>
      </c>
      <c r="CP283">
        <f>_xlfn.XLOOKUP(B283,'[9]november-2025'!$A:$A,'[9]november-2025'!$D:$D,0,0)</f>
        <v>400</v>
      </c>
      <c r="CQ283">
        <f>_xlfn.XLOOKUP(B283,'[9]november-2025'!$A:$A,'[9]november-2025'!$G:$G,0,0)</f>
        <v>500</v>
      </c>
      <c r="CR283">
        <f>IF(CM283&gt;0,SUM(CM283:CQ283),0)</f>
        <v>64210</v>
      </c>
      <c r="CS283">
        <f>_xlfn.XLOOKUP(B283,'[9]november-2025'!$A:$A,'[9]november-2025'!$H:$H,0,0)</f>
        <v>4000</v>
      </c>
      <c r="CT283">
        <f>_xlfn.XLOOKUP(B283,'[9]november-2025'!$A:$A,'[9]november-2025'!$I:$I,0,0)</f>
        <v>0</v>
      </c>
      <c r="CU283">
        <f t="shared" si="581"/>
        <v>200</v>
      </c>
      <c r="CV283">
        <f t="shared" si="582"/>
        <v>60010</v>
      </c>
      <c r="CW283">
        <f>_xlfn.XLOOKUP(B283,'[10]december-2025'!$A:$A,'[10]december-2025'!$C:$C,0,0)</f>
        <v>48700</v>
      </c>
      <c r="CX283">
        <f t="shared" si="583"/>
        <v>8766</v>
      </c>
      <c r="CY283">
        <f t="shared" si="584"/>
        <v>5844</v>
      </c>
      <c r="CZ283">
        <f>_xlfn.XLOOKUP(B283,'[10]december-2025'!$A:$A,'[10]december-2025'!$D:$D,0,0)</f>
        <v>400</v>
      </c>
      <c r="DA283">
        <f>_xlfn.XLOOKUP(B283,'[10]december-2025'!$A:$A,'[10]december-2025'!$G:$G,0,0)</f>
        <v>500</v>
      </c>
      <c r="DB283">
        <f>IF(CW283&gt;0,SUM(CW283:DA283),0)</f>
        <v>64210</v>
      </c>
      <c r="DC283">
        <f>_xlfn.XLOOKUP(B283,'[10]december-2025'!$A:$A,'[10]december-2025'!$H:$H,0,0)</f>
        <v>4000</v>
      </c>
      <c r="DD283">
        <f>_xlfn.XLOOKUP(B283,'[10]december-2025'!$A:$A,'[10]december-2025'!$I:$I,0,0)</f>
        <v>0</v>
      </c>
      <c r="DE283">
        <f t="shared" si="585"/>
        <v>200</v>
      </c>
      <c r="DF283">
        <f t="shared" si="586"/>
        <v>60010</v>
      </c>
      <c r="DG283">
        <f>_xlfn.XLOOKUP(B283,'[11]january-2026'!$A:$A,'[11]january-2026'!$C:$C,0,0)</f>
        <v>48700</v>
      </c>
      <c r="DH283">
        <f t="shared" si="587"/>
        <v>8766</v>
      </c>
      <c r="DI283">
        <f t="shared" si="588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>IF(DG283&gt;0,SUM(DG283:DK283),0)</f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589"/>
        <v>200</v>
      </c>
      <c r="DP283">
        <f t="shared" si="590"/>
        <v>60010</v>
      </c>
      <c r="DQ283">
        <f>_xlfn.XLOOKUP(B283,'[12]february-2026'!$A:$A,'[12]february-2026'!$C:$C,0,0)</f>
        <v>48700</v>
      </c>
      <c r="DR283">
        <f t="shared" si="591"/>
        <v>8766</v>
      </c>
      <c r="DS283">
        <f t="shared" si="592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>IF(DQ283&gt;0,SUM(DQ283:DU283),0)</f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593"/>
        <v>200</v>
      </c>
      <c r="DZ283">
        <f t="shared" si="594"/>
        <v>60010</v>
      </c>
      <c r="EA283">
        <f>_xlfn.XLOOKUP(B283,'[1]march-2025'!$A:$A,'[1]march-2025'!$J:$J,0,0)</f>
        <v>0</v>
      </c>
      <c r="EB283">
        <f>_xlfn.XLOOKUP(B283,'[2]april-2025'!$A:$A,'[2]april-2025'!$J:$J,0,0)</f>
        <v>0</v>
      </c>
      <c r="EC283">
        <f>_xlfn.XLOOKUP(B283,'[3]may-2025'!$A:$A,'[3]may-2025'!$J:$J,0,0)</f>
        <v>0</v>
      </c>
      <c r="ED283">
        <f>_xlfn.XLOOKUP(B283,'[4]june-2025'!$A:$A,'[4]june-2025'!$J:$J,0,0)</f>
        <v>0</v>
      </c>
      <c r="EE283">
        <f>_xlfn.XLOOKUP(B283,'[5]july-2025'!$A:$A,'[5]july-2025'!$J:$J,0,0)</f>
        <v>0</v>
      </c>
      <c r="EF283">
        <f>_xlfn.XLOOKUP(B283,'[6]august-2025'!$A:$A,'[6]august-2025'!$J:$J,0,0)</f>
        <v>0</v>
      </c>
      <c r="EG283">
        <f>_xlfn.XLOOKUP(B283,'[7]september-2025'!$A:$A,'[7]september-2025'!$J:$J,0,0)</f>
        <v>0</v>
      </c>
      <c r="EH283">
        <f>_xlfn.XLOOKUP(B283,'[8]october-2025'!$A:$A,'[8]october-2025'!$J:$J,0,0)</f>
        <v>0</v>
      </c>
      <c r="EI283">
        <f>_xlfn.XLOOKUP(C283,'[9]november-2025'!$A:$A,'[9]november-2025'!$J:$J,0,0)</f>
        <v>0</v>
      </c>
      <c r="EJ283">
        <f>_xlfn.XLOOKUP(B283,'[10]december-2025'!$A:$A,'[10]december-2025'!$J:$J,0,0)</f>
        <v>0</v>
      </c>
      <c r="EK283">
        <f>_xlfn.XLOOKUP(B283,'[11]january-2026'!$A:$A,'[11]january-2026'!$J:$J,0,0)</f>
        <v>0</v>
      </c>
      <c r="EL283">
        <f>_xlfn.XLOOKUP(B283,'[12]february-2026'!$A:$A,'[12]february-2026'!$J:$J,0,0)</f>
        <v>0</v>
      </c>
      <c r="EM283">
        <f t="shared" si="548"/>
        <v>0</v>
      </c>
      <c r="EN283">
        <f>DV283+DL283+DB283+CR283+CH283+BX283+BN283+BD283+AS283+AI283+Y283+O283+H283+I283</f>
        <v>768148</v>
      </c>
      <c r="EO283">
        <f>DY283+DO283+DE283+CU283+CK283+CA283+BQ283+BG283+AV283+AL283+AB283+R283</f>
        <v>2400</v>
      </c>
      <c r="EP283">
        <f t="shared" si="595"/>
        <v>50000</v>
      </c>
      <c r="EQ283">
        <v>0</v>
      </c>
      <c r="ER283">
        <f t="shared" si="549"/>
        <v>715748</v>
      </c>
      <c r="ES283">
        <f>DW283+DM283+DC283+CS283+CI283+BY283+BO283+BE283+AT283+AJ283+Z283+P283</f>
        <v>48000</v>
      </c>
      <c r="ET283">
        <f>DX283+DN283+DD283+CT283+CJ283+BZ283+BP283+BF283+AU283+AK283+AA283+Q283</f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596"/>
        <v>48000</v>
      </c>
      <c r="FF283">
        <f t="shared" si="597"/>
        <v>48000</v>
      </c>
      <c r="FG283">
        <f t="shared" si="598"/>
        <v>667748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>SUM(FH283:FN283)+(IF(F283="YES",50000,0))</f>
        <v>0</v>
      </c>
      <c r="FP283">
        <f t="shared" si="599"/>
        <v>667748</v>
      </c>
      <c r="FQ283">
        <f t="shared" si="600"/>
        <v>12500</v>
      </c>
      <c r="FR283">
        <f t="shared" si="601"/>
        <v>33550</v>
      </c>
      <c r="FS283">
        <f t="shared" si="602"/>
        <v>46050</v>
      </c>
      <c r="FT283">
        <f t="shared" si="603"/>
        <v>46050</v>
      </c>
      <c r="FU283">
        <f t="shared" si="604"/>
        <v>1842</v>
      </c>
      <c r="FV283">
        <f t="shared" si="605"/>
        <v>47892</v>
      </c>
      <c r="FW283">
        <v>0</v>
      </c>
      <c r="FX283">
        <f t="shared" si="606"/>
        <v>47892</v>
      </c>
      <c r="FY283" t="b">
        <f t="shared" si="607"/>
        <v>1</v>
      </c>
      <c r="FZ283">
        <f t="shared" ca="1" si="608"/>
        <v>668</v>
      </c>
      <c r="GA283">
        <f t="shared" ca="1" si="609"/>
        <v>768816</v>
      </c>
      <c r="GB283">
        <f t="shared" si="610"/>
        <v>75000</v>
      </c>
      <c r="GC283">
        <f t="shared" ca="1" si="611"/>
        <v>693816</v>
      </c>
      <c r="GD283">
        <f t="shared" ca="1" si="612"/>
        <v>0</v>
      </c>
      <c r="GE283">
        <f t="shared" ca="1" si="613"/>
        <v>0</v>
      </c>
      <c r="GF283">
        <f t="shared" ca="1" si="614"/>
        <v>0</v>
      </c>
      <c r="GG283">
        <f t="shared" ca="1" si="615"/>
        <v>0</v>
      </c>
      <c r="GH283">
        <f t="shared" ca="1" si="616"/>
        <v>0</v>
      </c>
      <c r="GI283">
        <f t="shared" ca="1" si="617"/>
        <v>0</v>
      </c>
      <c r="GJ283">
        <f ca="1">IF(GC283&gt;1200000,GC283-1200000-IF(F283="YES",50000,0)-GH283,0)</f>
        <v>0</v>
      </c>
      <c r="GK283">
        <f t="shared" ca="1" si="618"/>
        <v>0</v>
      </c>
      <c r="GL283">
        <f t="shared" ca="1" si="619"/>
        <v>0</v>
      </c>
      <c r="GM283">
        <f t="shared" ca="1" si="620"/>
        <v>0</v>
      </c>
      <c r="GN283">
        <f t="shared" ca="1" si="621"/>
        <v>293816</v>
      </c>
      <c r="GO283">
        <f t="shared" ca="1" si="622"/>
        <v>14690.800000000001</v>
      </c>
      <c r="GP283">
        <f t="shared" ca="1" si="623"/>
        <v>14691</v>
      </c>
      <c r="GQ283">
        <f t="shared" ca="1" si="624"/>
        <v>0</v>
      </c>
      <c r="GR283">
        <f t="shared" ca="1" si="625"/>
        <v>0</v>
      </c>
      <c r="GS283">
        <f t="shared" ca="1" si="626"/>
        <v>14691</v>
      </c>
      <c r="GT283">
        <f t="shared" ca="1" si="627"/>
        <v>0</v>
      </c>
      <c r="GU283" t="b">
        <f t="shared" ca="1" si="628"/>
        <v>0</v>
      </c>
      <c r="GV283">
        <f t="shared" ca="1" si="629"/>
        <v>0</v>
      </c>
      <c r="GW283">
        <f t="shared" ca="1" si="630"/>
        <v>14691</v>
      </c>
      <c r="GX283">
        <f t="shared" ca="1" si="631"/>
        <v>0</v>
      </c>
      <c r="GY283">
        <f t="shared" ca="1" si="632"/>
        <v>0</v>
      </c>
      <c r="GZ283">
        <f t="shared" ca="1" si="633"/>
        <v>0</v>
      </c>
    </row>
    <row r="284" spans="1:208" x14ac:dyDescent="0.25">
      <c r="A284">
        <f>_xlfn.AGGREGATE(3,5,$B$2:B284)</f>
        <v>283</v>
      </c>
      <c r="B284" t="s">
        <v>667</v>
      </c>
      <c r="C284" t="s">
        <v>668</v>
      </c>
      <c r="D284" t="s">
        <v>824</v>
      </c>
      <c r="E284" t="s">
        <v>831</v>
      </c>
      <c r="F284" t="s">
        <v>957</v>
      </c>
      <c r="G284" t="s">
        <v>897</v>
      </c>
      <c r="H284">
        <f t="shared" si="635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550"/>
        <v>4690</v>
      </c>
      <c r="L284">
        <f t="shared" si="551"/>
        <v>4020</v>
      </c>
      <c r="M284">
        <f>_xlfn.XLOOKUP(B284,'[1]march-2025'!$A:$A,'[1]march-2025'!$D:$D,0,0)</f>
        <v>0</v>
      </c>
      <c r="N284">
        <f>_xlfn.XLOOKUP(B284,'[1]march-2025'!$A:$A,'[1]march-2025'!$G:$G,0,0)</f>
        <v>500</v>
      </c>
      <c r="O284">
        <f>IF(J284&gt;0,SUM(J284:N284),0)</f>
        <v>42710</v>
      </c>
      <c r="P284">
        <f>_xlfn.XLOOKUP(B284,'[1]march-2025'!$A:$A,'[1]march-2025'!$H:$H,0,0)</f>
        <v>2500</v>
      </c>
      <c r="Q284">
        <f>_xlfn.XLOOKUP(B284,'[1]march-2025'!$A:$A,'[1]march-2025'!$I:$I,0,0)</f>
        <v>0</v>
      </c>
      <c r="R284">
        <f t="shared" si="634"/>
        <v>200</v>
      </c>
      <c r="S284">
        <f t="shared" si="544"/>
        <v>40010</v>
      </c>
      <c r="T284">
        <f>_xlfn.XLOOKUP(B284,'[2]april-2025'!$A:$A,'[2]april-2025'!$C:$C,0,0)</f>
        <v>33500</v>
      </c>
      <c r="U284">
        <f t="shared" si="552"/>
        <v>6030</v>
      </c>
      <c r="V284">
        <f t="shared" si="553"/>
        <v>4020</v>
      </c>
      <c r="W284">
        <f>_xlfn.XLOOKUP(B284,'[2]april-2025'!$A:$A,'[2]april-2025'!$D:$D,0,0)</f>
        <v>0</v>
      </c>
      <c r="X284">
        <f>_xlfn.XLOOKUP(B284,'[2]april-2025'!$A:$A,'[2]april-2025'!$G:$G,0,0)</f>
        <v>500</v>
      </c>
      <c r="Y284">
        <f t="shared" si="545"/>
        <v>44050</v>
      </c>
      <c r="Z284">
        <f>_xlfn.XLOOKUP(B284,'[2]april-2025'!$A:$A,'[2]april-2025'!$H:$H,0,0)</f>
        <v>2500</v>
      </c>
      <c r="AA284">
        <f>_xlfn.XLOOKUP(B284,'[2]april-2025'!$A:$A,'[2]april-2025'!$I:$I,0,0)</f>
        <v>0</v>
      </c>
      <c r="AB284">
        <f t="shared" si="554"/>
        <v>200</v>
      </c>
      <c r="AC284">
        <f t="shared" si="555"/>
        <v>41350</v>
      </c>
      <c r="AD284">
        <f>_xlfn.XLOOKUP(B284,'[3]may-2025'!$A:$A,'[3]may-2025'!$C:$C,0,0)</f>
        <v>33500</v>
      </c>
      <c r="AE284">
        <f t="shared" si="556"/>
        <v>6030</v>
      </c>
      <c r="AF284">
        <f t="shared" si="557"/>
        <v>4020</v>
      </c>
      <c r="AG284">
        <f>_xlfn.XLOOKUP(B284,'[3]may-2025'!$A:$A,'[3]may-2025'!$D:$D,0,0)</f>
        <v>0</v>
      </c>
      <c r="AH284">
        <f>_xlfn.XLOOKUP(B284,'[3]may-2025'!$A:$A,'[3]may-2025'!$G:$G,0,0)</f>
        <v>500</v>
      </c>
      <c r="AI284">
        <f t="shared" si="546"/>
        <v>44050</v>
      </c>
      <c r="AJ284">
        <f>_xlfn.XLOOKUP(B284,'[3]may-2025'!$A:$A,'[3]may-2025'!$H:$H,0,0)</f>
        <v>2500</v>
      </c>
      <c r="AK284">
        <f>_xlfn.XLOOKUP(B284,'[3]may-2025'!$A:$A,'[3]may-2025'!$I:$I,0,0)</f>
        <v>0</v>
      </c>
      <c r="AL284">
        <f t="shared" si="558"/>
        <v>200</v>
      </c>
      <c r="AM284">
        <f t="shared" si="559"/>
        <v>41350</v>
      </c>
      <c r="AN284">
        <f>_xlfn.XLOOKUP(B284,'[4]june-2025'!$A:$A,'[4]june-2025'!$C:$C,0,0)</f>
        <v>33500</v>
      </c>
      <c r="AO284">
        <f t="shared" si="560"/>
        <v>6030</v>
      </c>
      <c r="AP284">
        <f t="shared" si="561"/>
        <v>4020</v>
      </c>
      <c r="AQ284">
        <f>_xlfn.XLOOKUP(B284,'[4]june-2025'!$A:$A,'[4]june-2025'!$D:$D,0,0)</f>
        <v>0</v>
      </c>
      <c r="AR284">
        <f>_xlfn.XLOOKUP(B284,'[4]june-2025'!$A:$A,'[4]june-2025'!$G:$G,0,0)</f>
        <v>500</v>
      </c>
      <c r="AS284">
        <f t="shared" si="547"/>
        <v>44050</v>
      </c>
      <c r="AT284">
        <f>_xlfn.XLOOKUP(B284,'[4]june-2025'!$A:$A,'[4]june-2025'!$H:$H,0,0)</f>
        <v>2500</v>
      </c>
      <c r="AU284">
        <f>_xlfn.XLOOKUP(B284,'[4]june-2025'!$A:$A,'[4]june-2025'!$I:$I,0,0)</f>
        <v>0</v>
      </c>
      <c r="AV284">
        <f t="shared" si="562"/>
        <v>200</v>
      </c>
      <c r="AW284">
        <f t="shared" si="563"/>
        <v>41350</v>
      </c>
      <c r="AX284">
        <f>_xlfn.XLOOKUP(B284,'[5]july-2025'!$A:$A,'[5]july-2025'!$C:$C,0,0)</f>
        <v>34500</v>
      </c>
      <c r="AY284">
        <f t="shared" si="564"/>
        <v>6210</v>
      </c>
      <c r="AZ284">
        <v>0</v>
      </c>
      <c r="BA284">
        <f t="shared" si="565"/>
        <v>4140</v>
      </c>
      <c r="BB284">
        <f>_xlfn.XLOOKUP(B284,'[5]july-2025'!$A:$A,'[5]july-2025'!$D:$D,0,0)</f>
        <v>0</v>
      </c>
      <c r="BC284">
        <f>_xlfn.XLOOKUP(B284,'[5]july-2025'!$A:$A,'[5]july-2025'!$G:$G,0,0)</f>
        <v>500</v>
      </c>
      <c r="BD284">
        <f>IF(AX284&gt;0,SUM(AX284:BC284),0)</f>
        <v>45350</v>
      </c>
      <c r="BE284">
        <f>_xlfn.XLOOKUP(B284,'[5]july-2025'!$A:$A,'[5]july-2025'!$H:$H,0,0)</f>
        <v>2500</v>
      </c>
      <c r="BF284">
        <f>_xlfn.XLOOKUP(B284,'[5]july-2025'!$A:$A,'[5]july-2025'!$I:$I,0,0)</f>
        <v>0</v>
      </c>
      <c r="BG284">
        <f t="shared" si="566"/>
        <v>200</v>
      </c>
      <c r="BH284">
        <f t="shared" si="567"/>
        <v>42650</v>
      </c>
      <c r="BI284">
        <f>_xlfn.XLOOKUP(B284,'[6]august-2025'!$A:$A,'[6]august-2025'!$C:$C,0,0)</f>
        <v>34500</v>
      </c>
      <c r="BJ284">
        <f t="shared" si="568"/>
        <v>6210</v>
      </c>
      <c r="BK284">
        <f t="shared" si="569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500</v>
      </c>
      <c r="BN284">
        <f t="shared" si="570"/>
        <v>45350</v>
      </c>
      <c r="BO284">
        <f>_xlfn.XLOOKUP(B284,'[6]august-2025'!$A:$A,'[6]august-2025'!$H:$H,0,0)</f>
        <v>2500</v>
      </c>
      <c r="BP284">
        <f>_xlfn.XLOOKUP(B284,'[6]august-2025'!$A:$A,'[6]august-2025'!$I:$I,0,0)</f>
        <v>0</v>
      </c>
      <c r="BQ284">
        <f>IF($F284="YES",0,IF(BN284&gt;40000,200,IF(BN284&gt;25000,150,IF(BN284&gt;15000,130,IF(BN284&gt;10000,110,0)))))</f>
        <v>200</v>
      </c>
      <c r="BR284">
        <f>BN284-BO284-BP284-BQ284</f>
        <v>42650</v>
      </c>
      <c r="BS284">
        <f>_xlfn.XLOOKUP(B284,'[7]september-2025'!$A:$A,'[7]september-2025'!$C:$C,0,0)</f>
        <v>34500</v>
      </c>
      <c r="BT284">
        <f t="shared" si="571"/>
        <v>6210</v>
      </c>
      <c r="BU284">
        <f t="shared" si="572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500</v>
      </c>
      <c r="BX284">
        <f>IF(BS284&gt;0,SUM(BS284:BW284),0)</f>
        <v>45350</v>
      </c>
      <c r="BY284">
        <f>_xlfn.XLOOKUP(B284,'[7]september-2025'!$A:$A,'[7]september-2025'!$H:$H,0,0)</f>
        <v>2500</v>
      </c>
      <c r="BZ284">
        <f>_xlfn.XLOOKUP(B284,'[7]september-2025'!$A:$A,'[7]september-2025'!$I:$I,0,0)</f>
        <v>0</v>
      </c>
      <c r="CA284">
        <f t="shared" si="573"/>
        <v>200</v>
      </c>
      <c r="CB284">
        <f t="shared" si="574"/>
        <v>42650</v>
      </c>
      <c r="CC284">
        <f>_xlfn.XLOOKUP(B284,'[8]october-2025'!$A:$A,'[8]october-2025'!$C:$C,0,0)</f>
        <v>34500</v>
      </c>
      <c r="CD284">
        <f t="shared" si="575"/>
        <v>6210</v>
      </c>
      <c r="CE284">
        <f t="shared" si="576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500</v>
      </c>
      <c r="CH284">
        <f>IF(CC284&gt;0,SUM(CC284:CG284),0)</f>
        <v>45350</v>
      </c>
      <c r="CI284">
        <f>_xlfn.XLOOKUP(B284,'[8]october-2025'!$A:$A,'[8]october-2025'!$H:$H,0,0)</f>
        <v>2500</v>
      </c>
      <c r="CJ284">
        <f>_xlfn.XLOOKUP(B284,'[8]october-2025'!$A:$A,'[8]october-2025'!$I:$I,0,0)</f>
        <v>0</v>
      </c>
      <c r="CK284">
        <f t="shared" si="577"/>
        <v>200</v>
      </c>
      <c r="CL284">
        <f t="shared" si="578"/>
        <v>42650</v>
      </c>
      <c r="CM284">
        <f>_xlfn.XLOOKUP(B284,'[9]november-2025'!$A:$A,'[9]november-2025'!$C:$C,0,0)</f>
        <v>34500</v>
      </c>
      <c r="CN284">
        <f t="shared" si="579"/>
        <v>6210</v>
      </c>
      <c r="CO284">
        <f t="shared" si="580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500</v>
      </c>
      <c r="CR284">
        <f>IF(CM284&gt;0,SUM(CM284:CQ284),0)</f>
        <v>45350</v>
      </c>
      <c r="CS284">
        <f>_xlfn.XLOOKUP(B284,'[9]november-2025'!$A:$A,'[9]november-2025'!$H:$H,0,0)</f>
        <v>2500</v>
      </c>
      <c r="CT284">
        <f>_xlfn.XLOOKUP(B284,'[9]november-2025'!$A:$A,'[9]november-2025'!$I:$I,0,0)</f>
        <v>0</v>
      </c>
      <c r="CU284">
        <f t="shared" si="581"/>
        <v>200</v>
      </c>
      <c r="CV284">
        <f t="shared" si="582"/>
        <v>42650</v>
      </c>
      <c r="CW284">
        <f>_xlfn.XLOOKUP(B284,'[10]december-2025'!$A:$A,'[10]december-2025'!$C:$C,0,0)</f>
        <v>34500</v>
      </c>
      <c r="CX284">
        <f t="shared" si="583"/>
        <v>6210</v>
      </c>
      <c r="CY284">
        <f t="shared" si="584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500</v>
      </c>
      <c r="DB284">
        <f>IF(CW284&gt;0,SUM(CW284:DA284),0)</f>
        <v>45350</v>
      </c>
      <c r="DC284">
        <f>_xlfn.XLOOKUP(B284,'[10]december-2025'!$A:$A,'[10]december-2025'!$H:$H,0,0)</f>
        <v>2500</v>
      </c>
      <c r="DD284">
        <f>_xlfn.XLOOKUP(B284,'[10]december-2025'!$A:$A,'[10]december-2025'!$I:$I,0,0)</f>
        <v>0</v>
      </c>
      <c r="DE284">
        <f t="shared" si="585"/>
        <v>200</v>
      </c>
      <c r="DF284">
        <f t="shared" si="586"/>
        <v>42650</v>
      </c>
      <c r="DG284">
        <f>_xlfn.XLOOKUP(B284,'[11]january-2026'!$A:$A,'[11]january-2026'!$C:$C,0,0)</f>
        <v>34500</v>
      </c>
      <c r="DH284">
        <f t="shared" si="587"/>
        <v>6210</v>
      </c>
      <c r="DI284">
        <f t="shared" si="588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>IF(DG284&gt;0,SUM(DG284:DK284),0)</f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589"/>
        <v>200</v>
      </c>
      <c r="DP284">
        <f t="shared" si="590"/>
        <v>42650</v>
      </c>
      <c r="DQ284">
        <f>_xlfn.XLOOKUP(B284,'[12]february-2026'!$A:$A,'[12]february-2026'!$C:$C,0,0)</f>
        <v>34500</v>
      </c>
      <c r="DR284">
        <f t="shared" si="591"/>
        <v>6210</v>
      </c>
      <c r="DS284">
        <f t="shared" si="592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>IF(DQ284&gt;0,SUM(DQ284:DU284),0)</f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593"/>
        <v>200</v>
      </c>
      <c r="DZ284">
        <f t="shared" si="594"/>
        <v>42650</v>
      </c>
      <c r="EA284">
        <f>_xlfn.XLOOKUP(B284,'[1]march-2025'!$A:$A,'[1]march-2025'!$J:$J,0,0)</f>
        <v>0</v>
      </c>
      <c r="EB284">
        <f>_xlfn.XLOOKUP(B284,'[2]april-2025'!$A:$A,'[2]april-2025'!$J:$J,0,0)</f>
        <v>0</v>
      </c>
      <c r="EC284">
        <f>_xlfn.XLOOKUP(B284,'[3]may-2025'!$A:$A,'[3]may-2025'!$J:$J,0,0)</f>
        <v>0</v>
      </c>
      <c r="ED284">
        <f>_xlfn.XLOOKUP(B284,'[4]june-2025'!$A:$A,'[4]june-2025'!$J:$J,0,0)</f>
        <v>0</v>
      </c>
      <c r="EE284">
        <f>_xlfn.XLOOKUP(B284,'[5]july-2025'!$A:$A,'[5]july-2025'!$J:$J,0,0)</f>
        <v>0</v>
      </c>
      <c r="EF284">
        <f>_xlfn.XLOOKUP(B284,'[6]august-2025'!$A:$A,'[6]august-2025'!$J:$J,0,0)</f>
        <v>0</v>
      </c>
      <c r="EG284">
        <f>_xlfn.XLOOKUP(B284,'[7]september-2025'!$A:$A,'[7]september-2025'!$J:$J,0,0)</f>
        <v>0</v>
      </c>
      <c r="EH284">
        <f>_xlfn.XLOOKUP(B284,'[8]october-2025'!$A:$A,'[8]october-2025'!$J:$J,0,0)</f>
        <v>0</v>
      </c>
      <c r="EI284">
        <f>_xlfn.XLOOKUP(C284,'[9]november-2025'!$A:$A,'[9]november-2025'!$J:$J,0,0)</f>
        <v>0</v>
      </c>
      <c r="EJ284">
        <f>_xlfn.XLOOKUP(B284,'[10]december-2025'!$A:$A,'[10]december-2025'!$J:$J,0,0)</f>
        <v>0</v>
      </c>
      <c r="EK284">
        <f>_xlfn.XLOOKUP(B284,'[11]january-2026'!$A:$A,'[11]january-2026'!$J:$J,0,0)</f>
        <v>0</v>
      </c>
      <c r="EL284">
        <f>_xlfn.XLOOKUP(B284,'[12]february-2026'!$A:$A,'[12]february-2026'!$J:$J,0,0)</f>
        <v>0</v>
      </c>
      <c r="EM284">
        <f t="shared" si="548"/>
        <v>0</v>
      </c>
      <c r="EN284">
        <f>DV284+DL284+DB284+CR284+CH284+BX284+BN284+BD284+AS284+AI284+Y284+O284+H284+I284</f>
        <v>544460</v>
      </c>
      <c r="EO284">
        <f>DY284+DO284+DE284+CU284+CK284+CA284+BQ284+BG284+AV284+AL284+AB284+R284</f>
        <v>2400</v>
      </c>
      <c r="EP284">
        <f t="shared" si="595"/>
        <v>50000</v>
      </c>
      <c r="EQ284">
        <v>0</v>
      </c>
      <c r="ER284">
        <f t="shared" si="549"/>
        <v>492060</v>
      </c>
      <c r="ES284">
        <f>DW284+DM284+DC284+CS284+CI284+BY284+BO284+BE284+AT284+AJ284+Z284+P284</f>
        <v>30000</v>
      </c>
      <c r="ET284">
        <f>DX284+DN284+DD284+CT284+CJ284+BZ284+BP284+BF284+AU284+AK284+AA284+Q284</f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596"/>
        <v>30000</v>
      </c>
      <c r="FF284">
        <f t="shared" si="597"/>
        <v>30000</v>
      </c>
      <c r="FG284">
        <f t="shared" si="598"/>
        <v>462060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>SUM(FH284:FN284)+(IF(F284="YES",50000,0))</f>
        <v>0</v>
      </c>
      <c r="FP284">
        <f t="shared" si="599"/>
        <v>462060</v>
      </c>
      <c r="FQ284">
        <f t="shared" si="600"/>
        <v>10603</v>
      </c>
      <c r="FR284">
        <f t="shared" si="601"/>
        <v>0</v>
      </c>
      <c r="FS284">
        <f t="shared" si="602"/>
        <v>10603</v>
      </c>
      <c r="FT284">
        <f t="shared" si="603"/>
        <v>0</v>
      </c>
      <c r="FU284">
        <f t="shared" si="604"/>
        <v>0</v>
      </c>
      <c r="FV284">
        <f t="shared" si="605"/>
        <v>0</v>
      </c>
      <c r="FW284">
        <v>0</v>
      </c>
      <c r="FX284">
        <f t="shared" si="606"/>
        <v>0</v>
      </c>
      <c r="FY284" t="b">
        <f t="shared" si="607"/>
        <v>1</v>
      </c>
      <c r="FZ284">
        <f t="shared" ca="1" si="608"/>
        <v>614</v>
      </c>
      <c r="GA284">
        <f t="shared" ca="1" si="609"/>
        <v>545074</v>
      </c>
      <c r="GB284">
        <f t="shared" si="610"/>
        <v>75000</v>
      </c>
      <c r="GC284">
        <f t="shared" ca="1" si="611"/>
        <v>470074</v>
      </c>
      <c r="GD284">
        <f t="shared" ca="1" si="612"/>
        <v>0</v>
      </c>
      <c r="GE284">
        <f t="shared" ca="1" si="613"/>
        <v>0</v>
      </c>
      <c r="GF284">
        <f t="shared" ca="1" si="614"/>
        <v>0</v>
      </c>
      <c r="GG284">
        <f t="shared" ca="1" si="615"/>
        <v>0</v>
      </c>
      <c r="GH284">
        <f t="shared" ca="1" si="616"/>
        <v>0</v>
      </c>
      <c r="GI284">
        <f t="shared" ca="1" si="617"/>
        <v>0</v>
      </c>
      <c r="GJ284">
        <f ca="1">IF(GC284&gt;1200000,GC284-1200000-IF(F284="YES",50000,0)-GH284,0)</f>
        <v>0</v>
      </c>
      <c r="GK284">
        <f t="shared" ca="1" si="618"/>
        <v>0</v>
      </c>
      <c r="GL284">
        <f t="shared" ca="1" si="619"/>
        <v>0</v>
      </c>
      <c r="GM284">
        <f t="shared" ca="1" si="620"/>
        <v>0</v>
      </c>
      <c r="GN284">
        <f t="shared" ca="1" si="621"/>
        <v>70074</v>
      </c>
      <c r="GO284">
        <f t="shared" ca="1" si="622"/>
        <v>3503.7000000000003</v>
      </c>
      <c r="GP284">
        <f t="shared" ca="1" si="623"/>
        <v>3504</v>
      </c>
      <c r="GQ284">
        <f t="shared" ca="1" si="624"/>
        <v>0</v>
      </c>
      <c r="GR284">
        <f t="shared" ca="1" si="625"/>
        <v>0</v>
      </c>
      <c r="GS284">
        <f t="shared" ca="1" si="626"/>
        <v>3504</v>
      </c>
      <c r="GT284">
        <f t="shared" ca="1" si="627"/>
        <v>0</v>
      </c>
      <c r="GU284" t="b">
        <f t="shared" ca="1" si="628"/>
        <v>0</v>
      </c>
      <c r="GV284">
        <f t="shared" ca="1" si="629"/>
        <v>0</v>
      </c>
      <c r="GW284">
        <f t="shared" ca="1" si="630"/>
        <v>3504</v>
      </c>
      <c r="GX284">
        <f t="shared" ca="1" si="631"/>
        <v>0</v>
      </c>
      <c r="GY284">
        <f t="shared" ca="1" si="632"/>
        <v>0</v>
      </c>
      <c r="GZ284">
        <f t="shared" ca="1" si="633"/>
        <v>0</v>
      </c>
    </row>
    <row r="285" spans="1:208" x14ac:dyDescent="0.25">
      <c r="A285">
        <f>_xlfn.AGGREGATE(3,5,$B$2:B285)</f>
        <v>284</v>
      </c>
      <c r="B285" t="s">
        <v>669</v>
      </c>
      <c r="C285" t="s">
        <v>670</v>
      </c>
      <c r="D285" t="s">
        <v>824</v>
      </c>
      <c r="E285" t="s">
        <v>831</v>
      </c>
      <c r="F285" t="s">
        <v>957</v>
      </c>
      <c r="G285" t="s">
        <v>924</v>
      </c>
      <c r="H285">
        <f t="shared" si="635"/>
        <v>6800</v>
      </c>
      <c r="I285">
        <f>_xlfn.XLOOKUP(B285,'[1]march-2025'!$A:$A,'[1]march-2025'!$J:$J,0,0)</f>
        <v>0</v>
      </c>
      <c r="J285">
        <f>_xlfn.XLOOKUP(B285,'[1]march-2025'!$A:$A,'[1]march-2025'!$C:$C,0,0)</f>
        <v>33500</v>
      </c>
      <c r="K285">
        <f t="shared" si="550"/>
        <v>4690</v>
      </c>
      <c r="L285">
        <f t="shared" si="551"/>
        <v>4020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>IF(J285&gt;0,SUM(J285:N285),0)</f>
        <v>42210</v>
      </c>
      <c r="P285">
        <f>_xlfn.XLOOKUP(B285,'[1]march-2025'!$A:$A,'[1]march-2025'!$H:$H,0,0)</f>
        <v>5000</v>
      </c>
      <c r="Q285">
        <f>_xlfn.XLOOKUP(B285,'[1]march-2025'!$A:$A,'[1]march-2025'!$I:$I,0,0)</f>
        <v>0</v>
      </c>
      <c r="R285">
        <f t="shared" si="634"/>
        <v>200</v>
      </c>
      <c r="S285">
        <f t="shared" si="544"/>
        <v>37010</v>
      </c>
      <c r="T285">
        <f>_xlfn.XLOOKUP(B285,'[2]april-2025'!$A:$A,'[2]april-2025'!$C:$C,0,0)</f>
        <v>33500</v>
      </c>
      <c r="U285">
        <f t="shared" si="552"/>
        <v>6030</v>
      </c>
      <c r="V285">
        <f t="shared" si="553"/>
        <v>4020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545"/>
        <v>43550</v>
      </c>
      <c r="Z285">
        <f>_xlfn.XLOOKUP(B285,'[2]april-2025'!$A:$A,'[2]april-2025'!$H:$H,0,0)</f>
        <v>5000</v>
      </c>
      <c r="AA285">
        <f>_xlfn.XLOOKUP(B285,'[2]april-2025'!$A:$A,'[2]april-2025'!$I:$I,0,0)</f>
        <v>0</v>
      </c>
      <c r="AB285">
        <f t="shared" si="554"/>
        <v>200</v>
      </c>
      <c r="AC285">
        <f t="shared" si="555"/>
        <v>38350</v>
      </c>
      <c r="AD285">
        <f>_xlfn.XLOOKUP(B285,'[3]may-2025'!$A:$A,'[3]may-2025'!$C:$C,0,0)</f>
        <v>33500</v>
      </c>
      <c r="AE285">
        <f t="shared" si="556"/>
        <v>6030</v>
      </c>
      <c r="AF285">
        <f t="shared" si="557"/>
        <v>4020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546"/>
        <v>43550</v>
      </c>
      <c r="AJ285">
        <f>_xlfn.XLOOKUP(B285,'[3]may-2025'!$A:$A,'[3]may-2025'!$H:$H,0,0)</f>
        <v>5000</v>
      </c>
      <c r="AK285">
        <f>_xlfn.XLOOKUP(B285,'[3]may-2025'!$A:$A,'[3]may-2025'!$I:$I,0,0)</f>
        <v>0</v>
      </c>
      <c r="AL285">
        <f t="shared" si="558"/>
        <v>200</v>
      </c>
      <c r="AM285">
        <f t="shared" si="559"/>
        <v>38350</v>
      </c>
      <c r="AN285">
        <f>_xlfn.XLOOKUP(B285,'[4]june-2025'!$A:$A,'[4]june-2025'!$C:$C,0,0)</f>
        <v>33500</v>
      </c>
      <c r="AO285">
        <f t="shared" si="560"/>
        <v>6030</v>
      </c>
      <c r="AP285">
        <f t="shared" si="561"/>
        <v>4020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547"/>
        <v>43550</v>
      </c>
      <c r="AT285">
        <f>_xlfn.XLOOKUP(B285,'[4]june-2025'!$A:$A,'[4]june-2025'!$H:$H,0,0)</f>
        <v>5000</v>
      </c>
      <c r="AU285">
        <f>_xlfn.XLOOKUP(B285,'[4]june-2025'!$A:$A,'[4]june-2025'!$I:$I,0,0)</f>
        <v>0</v>
      </c>
      <c r="AV285">
        <f t="shared" si="562"/>
        <v>200</v>
      </c>
      <c r="AW285">
        <f t="shared" si="563"/>
        <v>38350</v>
      </c>
      <c r="AX285">
        <f>_xlfn.XLOOKUP(B285,'[5]july-2025'!$A:$A,'[5]july-2025'!$C:$C,0,0)</f>
        <v>34500</v>
      </c>
      <c r="AY285">
        <f t="shared" si="564"/>
        <v>6210</v>
      </c>
      <c r="AZ285">
        <v>0</v>
      </c>
      <c r="BA285">
        <f t="shared" si="565"/>
        <v>4140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>IF(AX285&gt;0,SUM(AX285:BC285),0)</f>
        <v>44850</v>
      </c>
      <c r="BE285">
        <f>_xlfn.XLOOKUP(B285,'[5]july-2025'!$A:$A,'[5]july-2025'!$H:$H,0,0)</f>
        <v>5000</v>
      </c>
      <c r="BF285">
        <f>_xlfn.XLOOKUP(B285,'[5]july-2025'!$A:$A,'[5]july-2025'!$I:$I,0,0)</f>
        <v>0</v>
      </c>
      <c r="BG285">
        <f t="shared" si="566"/>
        <v>200</v>
      </c>
      <c r="BH285">
        <f t="shared" si="567"/>
        <v>39650</v>
      </c>
      <c r="BI285">
        <f>_xlfn.XLOOKUP(B285,'[6]august-2025'!$A:$A,'[6]august-2025'!$C:$C,0,0)</f>
        <v>34500</v>
      </c>
      <c r="BJ285">
        <f t="shared" si="568"/>
        <v>6210</v>
      </c>
      <c r="BK285">
        <f t="shared" si="569"/>
        <v>4140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570"/>
        <v>44850</v>
      </c>
      <c r="BO285">
        <f>_xlfn.XLOOKUP(B285,'[6]august-2025'!$A:$A,'[6]august-2025'!$H:$H,0,0)</f>
        <v>5000</v>
      </c>
      <c r="BP285">
        <f>_xlfn.XLOOKUP(B285,'[6]august-2025'!$A:$A,'[6]august-2025'!$I:$I,0,0)</f>
        <v>0</v>
      </c>
      <c r="BQ285">
        <f>IF($F285="YES",0,IF(BN285&gt;40000,200,IF(BN285&gt;25000,150,IF(BN285&gt;15000,130,IF(BN285&gt;10000,110,0)))))</f>
        <v>200</v>
      </c>
      <c r="BR285">
        <f>BN285-BO285-BP285-BQ285</f>
        <v>39650</v>
      </c>
      <c r="BS285">
        <f>_xlfn.XLOOKUP(B285,'[7]september-2025'!$A:$A,'[7]september-2025'!$C:$C,0,0)</f>
        <v>34500</v>
      </c>
      <c r="BT285">
        <f t="shared" si="571"/>
        <v>6210</v>
      </c>
      <c r="BU285">
        <f t="shared" si="572"/>
        <v>4140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>IF(BS285&gt;0,SUM(BS285:BW285),0)</f>
        <v>44850</v>
      </c>
      <c r="BY285">
        <f>_xlfn.XLOOKUP(B285,'[7]september-2025'!$A:$A,'[7]september-2025'!$H:$H,0,0)</f>
        <v>5000</v>
      </c>
      <c r="BZ285">
        <f>_xlfn.XLOOKUP(B285,'[7]september-2025'!$A:$A,'[7]september-2025'!$I:$I,0,0)</f>
        <v>0</v>
      </c>
      <c r="CA285">
        <f t="shared" si="573"/>
        <v>200</v>
      </c>
      <c r="CB285">
        <f t="shared" si="574"/>
        <v>39650</v>
      </c>
      <c r="CC285">
        <f>_xlfn.XLOOKUP(B285,'[8]october-2025'!$A:$A,'[8]october-2025'!$C:$C,0,0)</f>
        <v>34500</v>
      </c>
      <c r="CD285">
        <f t="shared" si="575"/>
        <v>6210</v>
      </c>
      <c r="CE285">
        <f t="shared" si="576"/>
        <v>4140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>IF(CC285&gt;0,SUM(CC285:CG285),0)</f>
        <v>44850</v>
      </c>
      <c r="CI285">
        <f>_xlfn.XLOOKUP(B285,'[8]october-2025'!$A:$A,'[8]october-2025'!$H:$H,0,0)</f>
        <v>5000</v>
      </c>
      <c r="CJ285">
        <f>_xlfn.XLOOKUP(B285,'[8]october-2025'!$A:$A,'[8]october-2025'!$I:$I,0,0)</f>
        <v>0</v>
      </c>
      <c r="CK285">
        <f t="shared" si="577"/>
        <v>200</v>
      </c>
      <c r="CL285">
        <f t="shared" si="578"/>
        <v>39650</v>
      </c>
      <c r="CM285">
        <f>_xlfn.XLOOKUP(B285,'[9]november-2025'!$A:$A,'[9]november-2025'!$C:$C,0,0)</f>
        <v>34500</v>
      </c>
      <c r="CN285">
        <f t="shared" si="579"/>
        <v>6210</v>
      </c>
      <c r="CO285">
        <f t="shared" si="580"/>
        <v>4140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>IF(CM285&gt;0,SUM(CM285:CQ285),0)</f>
        <v>44850</v>
      </c>
      <c r="CS285">
        <f>_xlfn.XLOOKUP(B285,'[9]november-2025'!$A:$A,'[9]november-2025'!$H:$H,0,0)</f>
        <v>5000</v>
      </c>
      <c r="CT285">
        <f>_xlfn.XLOOKUP(B285,'[9]november-2025'!$A:$A,'[9]november-2025'!$I:$I,0,0)</f>
        <v>0</v>
      </c>
      <c r="CU285">
        <f t="shared" si="581"/>
        <v>200</v>
      </c>
      <c r="CV285">
        <f t="shared" si="582"/>
        <v>39650</v>
      </c>
      <c r="CW285">
        <f>_xlfn.XLOOKUP(B285,'[10]december-2025'!$A:$A,'[10]december-2025'!$C:$C,0,0)</f>
        <v>34500</v>
      </c>
      <c r="CX285">
        <f t="shared" si="583"/>
        <v>6210</v>
      </c>
      <c r="CY285">
        <f t="shared" si="584"/>
        <v>4140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>IF(CW285&gt;0,SUM(CW285:DA285),0)</f>
        <v>44850</v>
      </c>
      <c r="DC285">
        <f>_xlfn.XLOOKUP(B285,'[10]december-2025'!$A:$A,'[10]december-2025'!$H:$H,0,0)</f>
        <v>5000</v>
      </c>
      <c r="DD285">
        <f>_xlfn.XLOOKUP(B285,'[10]december-2025'!$A:$A,'[10]december-2025'!$I:$I,0,0)</f>
        <v>0</v>
      </c>
      <c r="DE285">
        <f t="shared" si="585"/>
        <v>200</v>
      </c>
      <c r="DF285">
        <f t="shared" si="586"/>
        <v>39650</v>
      </c>
      <c r="DG285">
        <f>_xlfn.XLOOKUP(B285,'[11]january-2026'!$A:$A,'[11]january-2026'!$C:$C,0,0)</f>
        <v>34500</v>
      </c>
      <c r="DH285">
        <f t="shared" si="587"/>
        <v>6210</v>
      </c>
      <c r="DI285">
        <f t="shared" si="588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>IF(DG285&gt;0,SUM(DG285:DK285),0)</f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589"/>
        <v>200</v>
      </c>
      <c r="DP285">
        <f t="shared" si="590"/>
        <v>39650</v>
      </c>
      <c r="DQ285">
        <f>_xlfn.XLOOKUP(B285,'[12]february-2026'!$A:$A,'[12]february-2026'!$C:$C,0,0)</f>
        <v>34500</v>
      </c>
      <c r="DR285">
        <f t="shared" si="591"/>
        <v>6210</v>
      </c>
      <c r="DS285">
        <f t="shared" si="592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>IF(DQ285&gt;0,SUM(DQ285:DU285),0)</f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593"/>
        <v>200</v>
      </c>
      <c r="DZ285">
        <f t="shared" si="594"/>
        <v>39650</v>
      </c>
      <c r="EA285">
        <f>_xlfn.XLOOKUP(B285,'[1]march-2025'!$A:$A,'[1]march-2025'!$J:$J,0,0)</f>
        <v>0</v>
      </c>
      <c r="EB285">
        <f>_xlfn.XLOOKUP(B285,'[2]april-2025'!$A:$A,'[2]april-2025'!$J:$J,0,0)</f>
        <v>0</v>
      </c>
      <c r="EC285">
        <f>_xlfn.XLOOKUP(B285,'[3]may-2025'!$A:$A,'[3]may-2025'!$J:$J,0,0)</f>
        <v>0</v>
      </c>
      <c r="ED285">
        <f>_xlfn.XLOOKUP(B285,'[4]june-2025'!$A:$A,'[4]june-2025'!$J:$J,0,0)</f>
        <v>0</v>
      </c>
      <c r="EE285">
        <f>_xlfn.XLOOKUP(B285,'[5]july-2025'!$A:$A,'[5]july-2025'!$J:$J,0,0)</f>
        <v>0</v>
      </c>
      <c r="EF285">
        <f>_xlfn.XLOOKUP(B285,'[6]august-2025'!$A:$A,'[6]august-2025'!$J:$J,0,0)</f>
        <v>0</v>
      </c>
      <c r="EG285">
        <f>_xlfn.XLOOKUP(B285,'[7]september-2025'!$A:$A,'[7]september-2025'!$J:$J,0,0)</f>
        <v>0</v>
      </c>
      <c r="EH285">
        <f>_xlfn.XLOOKUP(B285,'[8]october-2025'!$A:$A,'[8]october-2025'!$J:$J,0,0)</f>
        <v>0</v>
      </c>
      <c r="EI285">
        <f>_xlfn.XLOOKUP(C285,'[9]november-2025'!$A:$A,'[9]november-2025'!$J:$J,0,0)</f>
        <v>0</v>
      </c>
      <c r="EJ285">
        <f>_xlfn.XLOOKUP(B285,'[10]december-2025'!$A:$A,'[10]december-2025'!$J:$J,0,0)</f>
        <v>0</v>
      </c>
      <c r="EK285">
        <f>_xlfn.XLOOKUP(B285,'[11]january-2026'!$A:$A,'[11]january-2026'!$J:$J,0,0)</f>
        <v>0</v>
      </c>
      <c r="EL285">
        <f>_xlfn.XLOOKUP(B285,'[12]february-2026'!$A:$A,'[12]february-2026'!$J:$J,0,0)</f>
        <v>0</v>
      </c>
      <c r="EM285">
        <f t="shared" si="548"/>
        <v>0</v>
      </c>
      <c r="EN285">
        <f>DV285+DL285+DB285+CR285+CH285+BX285+BN285+BD285+AS285+AI285+Y285+O285+H285+I285</f>
        <v>538460</v>
      </c>
      <c r="EO285">
        <f>DY285+DO285+DE285+CU285+CK285+CA285+BQ285+BG285+AV285+AL285+AB285+R285</f>
        <v>2400</v>
      </c>
      <c r="EP285">
        <f t="shared" si="595"/>
        <v>50000</v>
      </c>
      <c r="EQ285">
        <v>0</v>
      </c>
      <c r="ER285">
        <f t="shared" si="549"/>
        <v>486060</v>
      </c>
      <c r="ES285">
        <f>DW285+DM285+DC285+CS285+CI285+BY285+BO285+BE285+AT285+AJ285+Z285+P285</f>
        <v>60000</v>
      </c>
      <c r="ET285">
        <f>DX285+DN285+DD285+CT285+CJ285+BZ285+BP285+BF285+AU285+AK285+AA285+Q285</f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596"/>
        <v>60000</v>
      </c>
      <c r="FF285">
        <f t="shared" si="597"/>
        <v>60000</v>
      </c>
      <c r="FG285">
        <f t="shared" si="598"/>
        <v>426060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>SUM(FH285:FN285)+(IF(F285="YES",50000,0))</f>
        <v>0</v>
      </c>
      <c r="FP285">
        <f t="shared" si="599"/>
        <v>426060</v>
      </c>
      <c r="FQ285">
        <f t="shared" si="600"/>
        <v>8803</v>
      </c>
      <c r="FR285">
        <f t="shared" si="601"/>
        <v>0</v>
      </c>
      <c r="FS285">
        <f t="shared" si="602"/>
        <v>8803</v>
      </c>
      <c r="FT285">
        <f t="shared" si="603"/>
        <v>0</v>
      </c>
      <c r="FU285">
        <f t="shared" si="604"/>
        <v>0</v>
      </c>
      <c r="FV285">
        <f t="shared" si="605"/>
        <v>0</v>
      </c>
      <c r="FW285">
        <v>0</v>
      </c>
      <c r="FX285">
        <f t="shared" si="606"/>
        <v>0</v>
      </c>
      <c r="FY285" t="b">
        <f t="shared" si="607"/>
        <v>1</v>
      </c>
      <c r="FZ285">
        <f t="shared" ca="1" si="608"/>
        <v>846</v>
      </c>
      <c r="GA285">
        <f t="shared" ca="1" si="609"/>
        <v>539306</v>
      </c>
      <c r="GB285">
        <f t="shared" si="610"/>
        <v>75000</v>
      </c>
      <c r="GC285">
        <f t="shared" ca="1" si="611"/>
        <v>464306</v>
      </c>
      <c r="GD285">
        <f t="shared" ca="1" si="612"/>
        <v>0</v>
      </c>
      <c r="GE285">
        <f t="shared" ca="1" si="613"/>
        <v>0</v>
      </c>
      <c r="GF285">
        <f t="shared" ca="1" si="614"/>
        <v>0</v>
      </c>
      <c r="GG285">
        <f t="shared" ca="1" si="615"/>
        <v>0</v>
      </c>
      <c r="GH285">
        <f t="shared" ca="1" si="616"/>
        <v>0</v>
      </c>
      <c r="GI285">
        <f t="shared" ca="1" si="617"/>
        <v>0</v>
      </c>
      <c r="GJ285">
        <f ca="1">IF(GC285&gt;1200000,GC285-1200000-IF(F285="YES",50000,0)-GH285,0)</f>
        <v>0</v>
      </c>
      <c r="GK285">
        <f t="shared" ca="1" si="618"/>
        <v>0</v>
      </c>
      <c r="GL285">
        <f t="shared" ca="1" si="619"/>
        <v>0</v>
      </c>
      <c r="GM285">
        <f t="shared" ca="1" si="620"/>
        <v>0</v>
      </c>
      <c r="GN285">
        <f t="shared" ca="1" si="621"/>
        <v>64306</v>
      </c>
      <c r="GO285">
        <f t="shared" ca="1" si="622"/>
        <v>3215.3</v>
      </c>
      <c r="GP285">
        <f t="shared" ca="1" si="623"/>
        <v>3215</v>
      </c>
      <c r="GQ285">
        <f t="shared" ca="1" si="624"/>
        <v>0</v>
      </c>
      <c r="GR285">
        <f t="shared" ca="1" si="625"/>
        <v>0</v>
      </c>
      <c r="GS285">
        <f t="shared" ca="1" si="626"/>
        <v>3215</v>
      </c>
      <c r="GT285">
        <f t="shared" ca="1" si="627"/>
        <v>0</v>
      </c>
      <c r="GU285" t="b">
        <f t="shared" ca="1" si="628"/>
        <v>0</v>
      </c>
      <c r="GV285">
        <f t="shared" ca="1" si="629"/>
        <v>0</v>
      </c>
      <c r="GW285">
        <f t="shared" ca="1" si="630"/>
        <v>3215</v>
      </c>
      <c r="GX285">
        <f t="shared" ca="1" si="631"/>
        <v>0</v>
      </c>
      <c r="GY285">
        <f t="shared" ca="1" si="632"/>
        <v>0</v>
      </c>
      <c r="GZ285">
        <f t="shared" ca="1" si="633"/>
        <v>0</v>
      </c>
    </row>
    <row r="286" spans="1:208" x14ac:dyDescent="0.25">
      <c r="A286">
        <f>_xlfn.AGGREGATE(3,5,$B$2:B286)</f>
        <v>285</v>
      </c>
      <c r="B286" t="s">
        <v>671</v>
      </c>
      <c r="C286" t="s">
        <v>672</v>
      </c>
      <c r="D286" t="s">
        <v>824</v>
      </c>
      <c r="E286" t="s">
        <v>831</v>
      </c>
      <c r="F286" t="s">
        <v>957</v>
      </c>
      <c r="G286" t="s">
        <v>883</v>
      </c>
      <c r="H286">
        <f t="shared" si="635"/>
        <v>6800</v>
      </c>
      <c r="I286">
        <f>_xlfn.XLOOKUP(B286,'[1]march-2025'!$A:$A,'[1]march-2025'!$J:$J,0,0)</f>
        <v>0</v>
      </c>
      <c r="J286">
        <f>_xlfn.XLOOKUP(B286,'[1]march-2025'!$A:$A,'[1]march-2025'!$C:$C,0,0)</f>
        <v>28900</v>
      </c>
      <c r="K286">
        <f t="shared" si="550"/>
        <v>4046.0000000000005</v>
      </c>
      <c r="L286">
        <f t="shared" si="551"/>
        <v>3468</v>
      </c>
      <c r="M286">
        <f>_xlfn.XLOOKUP(B286,'[1]march-2025'!$A:$A,'[1]march-2025'!$D:$D,0,0)</f>
        <v>0</v>
      </c>
      <c r="N286">
        <f>_xlfn.XLOOKUP(B286,'[1]march-2025'!$A:$A,'[1]march-2025'!$G:$G,0,0)</f>
        <v>0</v>
      </c>
      <c r="O286">
        <f>IF(J286&gt;0,SUM(J286:N286),0)</f>
        <v>36414</v>
      </c>
      <c r="P286">
        <f>_xlfn.XLOOKUP(B286,'[1]march-2025'!$A:$A,'[1]march-2025'!$H:$H,0,0)</f>
        <v>0</v>
      </c>
      <c r="Q286">
        <f>_xlfn.XLOOKUP(B286,'[1]march-2025'!$A:$A,'[1]march-2025'!$I:$I,0,0)</f>
        <v>0</v>
      </c>
      <c r="R286">
        <f t="shared" si="634"/>
        <v>150</v>
      </c>
      <c r="S286">
        <f t="shared" si="544"/>
        <v>36264</v>
      </c>
      <c r="T286">
        <f>_xlfn.XLOOKUP(B286,'[2]april-2025'!$A:$A,'[2]april-2025'!$C:$C,0,0)</f>
        <v>28900</v>
      </c>
      <c r="U286">
        <f t="shared" si="552"/>
        <v>5202</v>
      </c>
      <c r="V286">
        <f t="shared" si="553"/>
        <v>3468</v>
      </c>
      <c r="W286">
        <f>_xlfn.XLOOKUP(B286,'[2]april-2025'!$A:$A,'[2]april-2025'!$D:$D,0,0)</f>
        <v>0</v>
      </c>
      <c r="X286">
        <f>_xlfn.XLOOKUP(B286,'[2]april-2025'!$A:$A,'[2]april-2025'!$G:$G,0,0)</f>
        <v>0</v>
      </c>
      <c r="Y286">
        <f t="shared" si="545"/>
        <v>37570</v>
      </c>
      <c r="Z286">
        <f>_xlfn.XLOOKUP(B286,'[2]april-2025'!$A:$A,'[2]april-2025'!$H:$H,0,0)</f>
        <v>0</v>
      </c>
      <c r="AA286">
        <f>_xlfn.XLOOKUP(B286,'[2]april-2025'!$A:$A,'[2]april-2025'!$I:$I,0,0)</f>
        <v>0</v>
      </c>
      <c r="AB286">
        <f t="shared" si="554"/>
        <v>150</v>
      </c>
      <c r="AC286">
        <f t="shared" si="555"/>
        <v>37420</v>
      </c>
      <c r="AD286">
        <f>_xlfn.XLOOKUP(B286,'[3]may-2025'!$A:$A,'[3]may-2025'!$C:$C,0,0)</f>
        <v>28900</v>
      </c>
      <c r="AE286">
        <f t="shared" si="556"/>
        <v>5202</v>
      </c>
      <c r="AF286">
        <f t="shared" si="557"/>
        <v>3468</v>
      </c>
      <c r="AG286">
        <f>_xlfn.XLOOKUP(B286,'[3]may-2025'!$A:$A,'[3]may-2025'!$D:$D,0,0)</f>
        <v>0</v>
      </c>
      <c r="AH286">
        <f>_xlfn.XLOOKUP(B286,'[3]may-2025'!$A:$A,'[3]may-2025'!$G:$G,0,0)</f>
        <v>0</v>
      </c>
      <c r="AI286">
        <f t="shared" si="546"/>
        <v>37570</v>
      </c>
      <c r="AJ286">
        <f>_xlfn.XLOOKUP(B286,'[3]may-2025'!$A:$A,'[3]may-2025'!$H:$H,0,0)</f>
        <v>0</v>
      </c>
      <c r="AK286">
        <f>_xlfn.XLOOKUP(B286,'[3]may-2025'!$A:$A,'[3]may-2025'!$I:$I,0,0)</f>
        <v>0</v>
      </c>
      <c r="AL286">
        <f t="shared" si="558"/>
        <v>150</v>
      </c>
      <c r="AM286">
        <f t="shared" si="559"/>
        <v>37420</v>
      </c>
      <c r="AN286">
        <f>_xlfn.XLOOKUP(B286,'[4]june-2025'!$A:$A,'[4]june-2025'!$C:$C,0,0)</f>
        <v>28900</v>
      </c>
      <c r="AO286">
        <f t="shared" si="560"/>
        <v>5202</v>
      </c>
      <c r="AP286">
        <f t="shared" si="561"/>
        <v>3468</v>
      </c>
      <c r="AQ286">
        <f>_xlfn.XLOOKUP(B286,'[4]june-2025'!$A:$A,'[4]june-2025'!$D:$D,0,0)</f>
        <v>0</v>
      </c>
      <c r="AR286">
        <f>_xlfn.XLOOKUP(B286,'[4]june-2025'!$A:$A,'[4]june-2025'!$G:$G,0,0)</f>
        <v>0</v>
      </c>
      <c r="AS286">
        <f t="shared" si="547"/>
        <v>37570</v>
      </c>
      <c r="AT286">
        <f>_xlfn.XLOOKUP(B286,'[4]june-2025'!$A:$A,'[4]june-2025'!$H:$H,0,0)</f>
        <v>0</v>
      </c>
      <c r="AU286">
        <f>_xlfn.XLOOKUP(B286,'[4]june-2025'!$A:$A,'[4]june-2025'!$I:$I,0,0)</f>
        <v>0</v>
      </c>
      <c r="AV286">
        <f t="shared" si="562"/>
        <v>150</v>
      </c>
      <c r="AW286">
        <f t="shared" si="563"/>
        <v>37420</v>
      </c>
      <c r="AX286">
        <f>_xlfn.XLOOKUP(B286,'[5]july-2025'!$A:$A,'[5]july-2025'!$C:$C,0,0)</f>
        <v>29800</v>
      </c>
      <c r="AY286">
        <f t="shared" si="564"/>
        <v>5364</v>
      </c>
      <c r="AZ286">
        <v>0</v>
      </c>
      <c r="BA286">
        <f t="shared" si="565"/>
        <v>3576</v>
      </c>
      <c r="BB286">
        <f>_xlfn.XLOOKUP(B286,'[5]july-2025'!$A:$A,'[5]july-2025'!$D:$D,0,0)</f>
        <v>0</v>
      </c>
      <c r="BC286">
        <f>_xlfn.XLOOKUP(B286,'[5]july-2025'!$A:$A,'[5]july-2025'!$G:$G,0,0)</f>
        <v>0</v>
      </c>
      <c r="BD286">
        <f>IF(AX286&gt;0,SUM(AX286:BC286),0)</f>
        <v>38740</v>
      </c>
      <c r="BE286">
        <f>_xlfn.XLOOKUP(B286,'[5]july-2025'!$A:$A,'[5]july-2025'!$H:$H,0,0)</f>
        <v>0</v>
      </c>
      <c r="BF286">
        <f>_xlfn.XLOOKUP(B286,'[5]july-2025'!$A:$A,'[5]july-2025'!$I:$I,0,0)</f>
        <v>0</v>
      </c>
      <c r="BG286">
        <f t="shared" si="566"/>
        <v>150</v>
      </c>
      <c r="BH286">
        <f t="shared" si="567"/>
        <v>38590</v>
      </c>
      <c r="BI286">
        <f>_xlfn.XLOOKUP(B286,'[6]august-2025'!$A:$A,'[6]august-2025'!$C:$C,0,0)</f>
        <v>29800</v>
      </c>
      <c r="BJ286">
        <f t="shared" si="568"/>
        <v>5364</v>
      </c>
      <c r="BK286">
        <f t="shared" si="569"/>
        <v>3576</v>
      </c>
      <c r="BL286">
        <f>_xlfn.XLOOKUP(B286,'[6]august-2025'!$A:$A,'[6]august-2025'!$D:$D,0,0)</f>
        <v>0</v>
      </c>
      <c r="BM286">
        <f>_xlfn.XLOOKUP(B286,'[6]august-2025'!$A:$A,'[6]august-2025'!$G:$G,0,0)</f>
        <v>0</v>
      </c>
      <c r="BN286">
        <f t="shared" si="570"/>
        <v>38740</v>
      </c>
      <c r="BO286">
        <f>_xlfn.XLOOKUP(B286,'[6]august-2025'!$A:$A,'[6]august-2025'!$H:$H,0,0)</f>
        <v>0</v>
      </c>
      <c r="BP286">
        <f>_xlfn.XLOOKUP(B286,'[6]august-2025'!$A:$A,'[6]august-2025'!$I:$I,0,0)</f>
        <v>0</v>
      </c>
      <c r="BQ286">
        <f>IF($F286="YES",0,IF(BN286&gt;40000,200,IF(BN286&gt;25000,150,IF(BN286&gt;15000,130,IF(BN286&gt;10000,110,0)))))</f>
        <v>150</v>
      </c>
      <c r="BR286">
        <f>BN286-BO286-BP286-BQ286</f>
        <v>38590</v>
      </c>
      <c r="BS286">
        <f>_xlfn.XLOOKUP(B286,'[7]september-2025'!$A:$A,'[7]september-2025'!$C:$C,0,0)</f>
        <v>29800</v>
      </c>
      <c r="BT286">
        <f t="shared" si="571"/>
        <v>5364</v>
      </c>
      <c r="BU286">
        <f t="shared" si="572"/>
        <v>3576</v>
      </c>
      <c r="BV286">
        <f>_xlfn.XLOOKUP(B286,'[7]september-2025'!$A:$A,'[7]september-2025'!$D:$D,0,0)</f>
        <v>0</v>
      </c>
      <c r="BW286">
        <f>_xlfn.XLOOKUP(B286,'[7]september-2025'!$A:$A,'[7]september-2025'!$G:$G,0,0)</f>
        <v>0</v>
      </c>
      <c r="BX286">
        <f>IF(BS286&gt;0,SUM(BS286:BW286),0)</f>
        <v>38740</v>
      </c>
      <c r="BY286">
        <f>_xlfn.XLOOKUP(B286,'[7]september-2025'!$A:$A,'[7]september-2025'!$H:$H,0,0)</f>
        <v>2000</v>
      </c>
      <c r="BZ286">
        <f>_xlfn.XLOOKUP(B286,'[7]september-2025'!$A:$A,'[7]september-2025'!$I:$I,0,0)</f>
        <v>0</v>
      </c>
      <c r="CA286">
        <f t="shared" si="573"/>
        <v>150</v>
      </c>
      <c r="CB286">
        <f t="shared" si="574"/>
        <v>36590</v>
      </c>
      <c r="CC286">
        <f>_xlfn.XLOOKUP(B286,'[8]october-2025'!$A:$A,'[8]october-2025'!$C:$C,0,0)</f>
        <v>29800</v>
      </c>
      <c r="CD286">
        <f t="shared" si="575"/>
        <v>5364</v>
      </c>
      <c r="CE286">
        <f t="shared" si="576"/>
        <v>3576</v>
      </c>
      <c r="CF286">
        <f>_xlfn.XLOOKUP(B286,'[8]october-2025'!$A:$A,'[8]october-2025'!$D:$D,0,0)</f>
        <v>0</v>
      </c>
      <c r="CG286">
        <f>_xlfn.XLOOKUP(B286,'[8]october-2025'!$A:$A,'[8]october-2025'!$G:$G,0,0)</f>
        <v>0</v>
      </c>
      <c r="CH286">
        <f>IF(CC286&gt;0,SUM(CC286:CG286),0)</f>
        <v>38740</v>
      </c>
      <c r="CI286">
        <f>_xlfn.XLOOKUP(B286,'[8]october-2025'!$A:$A,'[8]october-2025'!$H:$H,0,0)</f>
        <v>2000</v>
      </c>
      <c r="CJ286">
        <f>_xlfn.XLOOKUP(B286,'[8]october-2025'!$A:$A,'[8]october-2025'!$I:$I,0,0)</f>
        <v>0</v>
      </c>
      <c r="CK286">
        <f t="shared" si="577"/>
        <v>150</v>
      </c>
      <c r="CL286">
        <f t="shared" si="578"/>
        <v>36590</v>
      </c>
      <c r="CM286">
        <f>_xlfn.XLOOKUP(B286,'[9]november-2025'!$A:$A,'[9]november-2025'!$C:$C,0,0)</f>
        <v>29800</v>
      </c>
      <c r="CN286">
        <f t="shared" si="579"/>
        <v>5364</v>
      </c>
      <c r="CO286">
        <f t="shared" si="580"/>
        <v>3576</v>
      </c>
      <c r="CP286">
        <f>_xlfn.XLOOKUP(B286,'[9]november-2025'!$A:$A,'[9]november-2025'!$D:$D,0,0)</f>
        <v>0</v>
      </c>
      <c r="CQ286">
        <f>_xlfn.XLOOKUP(B286,'[9]november-2025'!$A:$A,'[9]november-2025'!$G:$G,0,0)</f>
        <v>0</v>
      </c>
      <c r="CR286">
        <f>IF(CM286&gt;0,SUM(CM286:CQ286),0)</f>
        <v>38740</v>
      </c>
      <c r="CS286">
        <f>_xlfn.XLOOKUP(B286,'[9]november-2025'!$A:$A,'[9]november-2025'!$H:$H,0,0)</f>
        <v>2000</v>
      </c>
      <c r="CT286">
        <f>_xlfn.XLOOKUP(B286,'[9]november-2025'!$A:$A,'[9]november-2025'!$I:$I,0,0)</f>
        <v>0</v>
      </c>
      <c r="CU286">
        <f t="shared" si="581"/>
        <v>150</v>
      </c>
      <c r="CV286">
        <f t="shared" si="582"/>
        <v>36590</v>
      </c>
      <c r="CW286">
        <f>_xlfn.XLOOKUP(B286,'[10]december-2025'!$A:$A,'[10]december-2025'!$C:$C,0,0)</f>
        <v>29800</v>
      </c>
      <c r="CX286">
        <f t="shared" si="583"/>
        <v>5364</v>
      </c>
      <c r="CY286">
        <f t="shared" si="584"/>
        <v>3576</v>
      </c>
      <c r="CZ286">
        <f>_xlfn.XLOOKUP(B286,'[10]december-2025'!$A:$A,'[10]december-2025'!$D:$D,0,0)</f>
        <v>0</v>
      </c>
      <c r="DA286">
        <f>_xlfn.XLOOKUP(B286,'[10]december-2025'!$A:$A,'[10]december-2025'!$G:$G,0,0)</f>
        <v>0</v>
      </c>
      <c r="DB286">
        <f>IF(CW286&gt;0,SUM(CW286:DA286),0)</f>
        <v>38740</v>
      </c>
      <c r="DC286">
        <f>_xlfn.XLOOKUP(B286,'[10]december-2025'!$A:$A,'[10]december-2025'!$H:$H,0,0)</f>
        <v>2000</v>
      </c>
      <c r="DD286">
        <f>_xlfn.XLOOKUP(B286,'[10]december-2025'!$A:$A,'[10]december-2025'!$I:$I,0,0)</f>
        <v>0</v>
      </c>
      <c r="DE286">
        <f t="shared" si="585"/>
        <v>150</v>
      </c>
      <c r="DF286">
        <f t="shared" si="586"/>
        <v>36590</v>
      </c>
      <c r="DG286">
        <f>_xlfn.XLOOKUP(B286,'[11]january-2026'!$A:$A,'[11]january-2026'!$C:$C,0,0)</f>
        <v>29800</v>
      </c>
      <c r="DH286">
        <f t="shared" si="587"/>
        <v>5364</v>
      </c>
      <c r="DI286">
        <f t="shared" si="588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>IF(DG286&gt;0,SUM(DG286:DK286),0)</f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589"/>
        <v>150</v>
      </c>
      <c r="DP286">
        <f t="shared" si="590"/>
        <v>36590</v>
      </c>
      <c r="DQ286">
        <f>_xlfn.XLOOKUP(B286,'[12]february-2026'!$A:$A,'[12]february-2026'!$C:$C,0,0)</f>
        <v>29800</v>
      </c>
      <c r="DR286">
        <f t="shared" si="591"/>
        <v>5364</v>
      </c>
      <c r="DS286">
        <f t="shared" si="592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>IF(DQ286&gt;0,SUM(DQ286:DU286),0)</f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593"/>
        <v>150</v>
      </c>
      <c r="DZ286">
        <f t="shared" si="594"/>
        <v>36590</v>
      </c>
      <c r="EA286">
        <f>_xlfn.XLOOKUP(B286,'[1]march-2025'!$A:$A,'[1]march-2025'!$J:$J,0,0)</f>
        <v>0</v>
      </c>
      <c r="EB286">
        <f>_xlfn.XLOOKUP(B286,'[2]april-2025'!$A:$A,'[2]april-2025'!$J:$J,0,0)</f>
        <v>0</v>
      </c>
      <c r="EC286">
        <f>_xlfn.XLOOKUP(B286,'[3]may-2025'!$A:$A,'[3]may-2025'!$J:$J,0,0)</f>
        <v>70100</v>
      </c>
      <c r="ED286">
        <f>_xlfn.XLOOKUP(B286,'[4]june-2025'!$A:$A,'[4]june-2025'!$J:$J,0,0)</f>
        <v>0</v>
      </c>
      <c r="EE286">
        <f>_xlfn.XLOOKUP(B286,'[5]july-2025'!$A:$A,'[5]july-2025'!$J:$J,0,0)</f>
        <v>0</v>
      </c>
      <c r="EF286">
        <f>_xlfn.XLOOKUP(B286,'[6]august-2025'!$A:$A,'[6]august-2025'!$J:$J,0,0)</f>
        <v>0</v>
      </c>
      <c r="EG286">
        <f>_xlfn.XLOOKUP(B286,'[7]september-2025'!$A:$A,'[7]september-2025'!$J:$J,0,0)</f>
        <v>0</v>
      </c>
      <c r="EH286">
        <f>_xlfn.XLOOKUP(B286,'[8]october-2025'!$A:$A,'[8]october-2025'!$J:$J,0,0)</f>
        <v>0</v>
      </c>
      <c r="EI286">
        <f>_xlfn.XLOOKUP(C286,'[9]november-2025'!$A:$A,'[9]november-2025'!$J:$J,0,0)</f>
        <v>0</v>
      </c>
      <c r="EJ286">
        <f>_xlfn.XLOOKUP(B286,'[10]december-2025'!$A:$A,'[10]december-2025'!$J:$J,0,0)</f>
        <v>0</v>
      </c>
      <c r="EK286">
        <f>_xlfn.XLOOKUP(B286,'[11]january-2026'!$A:$A,'[11]january-2026'!$J:$J,0,0)</f>
        <v>0</v>
      </c>
      <c r="EL286">
        <f>_xlfn.XLOOKUP(B286,'[12]february-2026'!$A:$A,'[12]february-2026'!$J:$J,0,0)</f>
        <v>0</v>
      </c>
      <c r="EM286">
        <f t="shared" si="548"/>
        <v>70100</v>
      </c>
      <c r="EN286">
        <f>DV286+DL286+DB286+CR286+CH286+BX286+BN286+BD286+AS286+AI286+Y286+O286+H286+I286</f>
        <v>465844</v>
      </c>
      <c r="EO286">
        <f>DY286+DO286+DE286+CU286+CK286+CA286+BQ286+BG286+AV286+AL286+AB286+R286</f>
        <v>1800</v>
      </c>
      <c r="EP286">
        <f t="shared" si="595"/>
        <v>50000</v>
      </c>
      <c r="EQ286">
        <v>0</v>
      </c>
      <c r="ER286">
        <f t="shared" si="549"/>
        <v>484144</v>
      </c>
      <c r="ES286">
        <f>DW286+DM286+DC286+CS286+CI286+BY286+BO286+BE286+AT286+AJ286+Z286+P286</f>
        <v>12000</v>
      </c>
      <c r="ET286">
        <f>DX286+DN286+DD286+CT286+CJ286+BZ286+BP286+BF286+AU286+AK286+AA286+Q286</f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596"/>
        <v>12000</v>
      </c>
      <c r="FF286">
        <f t="shared" si="597"/>
        <v>12000</v>
      </c>
      <c r="FG286">
        <f t="shared" si="598"/>
        <v>472144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>SUM(FH286:FN286)+(IF(F286="YES",50000,0))</f>
        <v>0</v>
      </c>
      <c r="FP286">
        <f t="shared" si="599"/>
        <v>472144</v>
      </c>
      <c r="FQ286">
        <f t="shared" si="600"/>
        <v>11107</v>
      </c>
      <c r="FR286">
        <f t="shared" si="601"/>
        <v>0</v>
      </c>
      <c r="FS286">
        <f t="shared" si="602"/>
        <v>11107</v>
      </c>
      <c r="FT286">
        <f t="shared" si="603"/>
        <v>0</v>
      </c>
      <c r="FU286">
        <f t="shared" si="604"/>
        <v>0</v>
      </c>
      <c r="FV286">
        <f t="shared" si="605"/>
        <v>0</v>
      </c>
      <c r="FW286">
        <v>0</v>
      </c>
      <c r="FX286">
        <f t="shared" si="606"/>
        <v>0</v>
      </c>
      <c r="FY286" t="b">
        <f t="shared" si="607"/>
        <v>0</v>
      </c>
      <c r="FZ286">
        <f t="shared" ca="1" si="608"/>
        <v>1926</v>
      </c>
      <c r="GA286">
        <f t="shared" ca="1" si="609"/>
        <v>467770</v>
      </c>
      <c r="GB286">
        <f t="shared" si="610"/>
        <v>75000</v>
      </c>
      <c r="GC286">
        <f t="shared" ca="1" si="611"/>
        <v>392770</v>
      </c>
      <c r="GD286">
        <f t="shared" ca="1" si="612"/>
        <v>0</v>
      </c>
      <c r="GE286">
        <f t="shared" ca="1" si="613"/>
        <v>0</v>
      </c>
      <c r="GF286">
        <f t="shared" ca="1" si="614"/>
        <v>0</v>
      </c>
      <c r="GG286">
        <f t="shared" ca="1" si="615"/>
        <v>0</v>
      </c>
      <c r="GH286">
        <f t="shared" ca="1" si="616"/>
        <v>0</v>
      </c>
      <c r="GI286">
        <f t="shared" ca="1" si="617"/>
        <v>0</v>
      </c>
      <c r="GJ286">
        <f ca="1">IF(GC286&gt;1200000,GC286-1200000-IF(F286="YES",50000,0)-GH286,0)</f>
        <v>0</v>
      </c>
      <c r="GK286">
        <f t="shared" ca="1" si="618"/>
        <v>0</v>
      </c>
      <c r="GL286">
        <f t="shared" ca="1" si="619"/>
        <v>0</v>
      </c>
      <c r="GM286">
        <f t="shared" ca="1" si="620"/>
        <v>0</v>
      </c>
      <c r="GN286">
        <f t="shared" ca="1" si="621"/>
        <v>0</v>
      </c>
      <c r="GO286">
        <f t="shared" ca="1" si="622"/>
        <v>0</v>
      </c>
      <c r="GP286">
        <f t="shared" ca="1" si="623"/>
        <v>0</v>
      </c>
      <c r="GQ286">
        <f t="shared" ca="1" si="624"/>
        <v>0</v>
      </c>
      <c r="GR286">
        <f t="shared" ca="1" si="625"/>
        <v>0</v>
      </c>
      <c r="GS286">
        <f t="shared" ca="1" si="626"/>
        <v>0</v>
      </c>
      <c r="GT286">
        <f t="shared" ca="1" si="627"/>
        <v>0</v>
      </c>
      <c r="GU286" t="b">
        <f t="shared" ca="1" si="628"/>
        <v>0</v>
      </c>
      <c r="GV286">
        <f t="shared" ca="1" si="629"/>
        <v>0</v>
      </c>
      <c r="GW286">
        <f t="shared" ca="1" si="630"/>
        <v>0</v>
      </c>
      <c r="GX286">
        <f t="shared" ca="1" si="631"/>
        <v>0</v>
      </c>
      <c r="GY286">
        <f t="shared" ca="1" si="632"/>
        <v>0</v>
      </c>
      <c r="GZ286">
        <f t="shared" ca="1" si="633"/>
        <v>0</v>
      </c>
    </row>
    <row r="287" spans="1:208" x14ac:dyDescent="0.25">
      <c r="A287">
        <f>_xlfn.AGGREGATE(3,5,$B$2:B287)</f>
        <v>286</v>
      </c>
      <c r="B287" t="s">
        <v>673</v>
      </c>
      <c r="C287" t="s">
        <v>674</v>
      </c>
      <c r="D287" t="s">
        <v>825</v>
      </c>
      <c r="E287" t="s">
        <v>831</v>
      </c>
      <c r="F287" t="s">
        <v>957</v>
      </c>
      <c r="G287" t="s">
        <v>885</v>
      </c>
      <c r="H287">
        <f t="shared" si="635"/>
        <v>6800</v>
      </c>
      <c r="I287">
        <f>_xlfn.XLOOKUP(B287,'[1]march-2025'!$A:$A,'[1]march-2025'!$J:$J,0,0)</f>
        <v>0</v>
      </c>
      <c r="J287">
        <f>_xlfn.XLOOKUP(B287,'[1]march-2025'!$A:$A,'[1]march-2025'!$C:$C,0,0)</f>
        <v>51700</v>
      </c>
      <c r="K287">
        <f t="shared" si="550"/>
        <v>7238.0000000000009</v>
      </c>
      <c r="L287">
        <f t="shared" si="551"/>
        <v>6204</v>
      </c>
      <c r="M287">
        <f>_xlfn.XLOOKUP(B287,'[1]march-2025'!$A:$A,'[1]march-2025'!$D:$D,0,0)</f>
        <v>400</v>
      </c>
      <c r="N287">
        <f>_xlfn.XLOOKUP(B287,'[1]march-2025'!$A:$A,'[1]march-2025'!$G:$G,0,0)</f>
        <v>0</v>
      </c>
      <c r="O287">
        <f>IF(J287&gt;0,SUM(J287:N287),0)</f>
        <v>65542</v>
      </c>
      <c r="P287">
        <f>_xlfn.XLOOKUP(B287,'[1]march-2025'!$A:$A,'[1]march-2025'!$H:$H,0,0)</f>
        <v>4000</v>
      </c>
      <c r="Q287">
        <f>_xlfn.XLOOKUP(B287,'[1]march-2025'!$A:$A,'[1]march-2025'!$I:$I,0,0)</f>
        <v>0</v>
      </c>
      <c r="R287">
        <f t="shared" si="634"/>
        <v>200</v>
      </c>
      <c r="S287">
        <f t="shared" si="544"/>
        <v>61342</v>
      </c>
      <c r="T287">
        <f>_xlfn.XLOOKUP(B287,'[2]april-2025'!$A:$A,'[2]april-2025'!$C:$C,0,0)</f>
        <v>51700</v>
      </c>
      <c r="U287">
        <f t="shared" si="552"/>
        <v>9306</v>
      </c>
      <c r="V287">
        <f t="shared" si="553"/>
        <v>6204</v>
      </c>
      <c r="W287">
        <f>_xlfn.XLOOKUP(B287,'[2]april-2025'!$A:$A,'[2]april-2025'!$D:$D,0,0)</f>
        <v>400</v>
      </c>
      <c r="X287">
        <f>_xlfn.XLOOKUP(B287,'[2]april-2025'!$A:$A,'[2]april-2025'!$G:$G,0,0)</f>
        <v>0</v>
      </c>
      <c r="Y287">
        <f t="shared" si="545"/>
        <v>67610</v>
      </c>
      <c r="Z287">
        <f>_xlfn.XLOOKUP(B287,'[2]april-2025'!$A:$A,'[2]april-2025'!$H:$H,0,0)</f>
        <v>4000</v>
      </c>
      <c r="AA287">
        <f>_xlfn.XLOOKUP(B287,'[2]april-2025'!$A:$A,'[2]april-2025'!$I:$I,0,0)</f>
        <v>0</v>
      </c>
      <c r="AB287">
        <f t="shared" si="554"/>
        <v>200</v>
      </c>
      <c r="AC287">
        <f t="shared" si="555"/>
        <v>63410</v>
      </c>
      <c r="AD287">
        <f>_xlfn.XLOOKUP(B287,'[3]may-2025'!$A:$A,'[3]may-2025'!$C:$C,0,0)</f>
        <v>51700</v>
      </c>
      <c r="AE287">
        <f t="shared" si="556"/>
        <v>9306</v>
      </c>
      <c r="AF287">
        <f t="shared" si="557"/>
        <v>6204</v>
      </c>
      <c r="AG287">
        <f>_xlfn.XLOOKUP(B287,'[3]may-2025'!$A:$A,'[3]may-2025'!$D:$D,0,0)</f>
        <v>400</v>
      </c>
      <c r="AH287">
        <f>_xlfn.XLOOKUP(B287,'[3]may-2025'!$A:$A,'[3]may-2025'!$G:$G,0,0)</f>
        <v>0</v>
      </c>
      <c r="AI287">
        <f t="shared" si="546"/>
        <v>67610</v>
      </c>
      <c r="AJ287">
        <f>_xlfn.XLOOKUP(B287,'[3]may-2025'!$A:$A,'[3]may-2025'!$H:$H,0,0)</f>
        <v>4000</v>
      </c>
      <c r="AK287">
        <f>_xlfn.XLOOKUP(B287,'[3]may-2025'!$A:$A,'[3]may-2025'!$I:$I,0,0)</f>
        <v>0</v>
      </c>
      <c r="AL287">
        <f t="shared" si="558"/>
        <v>200</v>
      </c>
      <c r="AM287">
        <f t="shared" si="559"/>
        <v>63410</v>
      </c>
      <c r="AN287">
        <f>_xlfn.XLOOKUP(B287,'[4]june-2025'!$A:$A,'[4]june-2025'!$C:$C,0,0)</f>
        <v>51700</v>
      </c>
      <c r="AO287">
        <f t="shared" si="560"/>
        <v>9306</v>
      </c>
      <c r="AP287">
        <f t="shared" si="561"/>
        <v>6204</v>
      </c>
      <c r="AQ287">
        <f>_xlfn.XLOOKUP(B287,'[4]june-2025'!$A:$A,'[4]june-2025'!$D:$D,0,0)</f>
        <v>400</v>
      </c>
      <c r="AR287">
        <f>_xlfn.XLOOKUP(B287,'[4]june-2025'!$A:$A,'[4]june-2025'!$G:$G,0,0)</f>
        <v>0</v>
      </c>
      <c r="AS287">
        <f t="shared" si="547"/>
        <v>67610</v>
      </c>
      <c r="AT287">
        <f>_xlfn.XLOOKUP(B287,'[4]june-2025'!$A:$A,'[4]june-2025'!$H:$H,0,0)</f>
        <v>4000</v>
      </c>
      <c r="AU287">
        <f>_xlfn.XLOOKUP(B287,'[4]june-2025'!$A:$A,'[4]june-2025'!$I:$I,0,0)</f>
        <v>0</v>
      </c>
      <c r="AV287">
        <f t="shared" si="562"/>
        <v>200</v>
      </c>
      <c r="AW287">
        <f t="shared" si="563"/>
        <v>63410</v>
      </c>
      <c r="AX287">
        <f>_xlfn.XLOOKUP(B287,'[5]july-2025'!$A:$A,'[5]july-2025'!$C:$C,0,0)</f>
        <v>53300</v>
      </c>
      <c r="AY287">
        <f t="shared" si="564"/>
        <v>9594</v>
      </c>
      <c r="AZ287">
        <v>0</v>
      </c>
      <c r="BA287">
        <f t="shared" si="565"/>
        <v>6396</v>
      </c>
      <c r="BB287">
        <f>_xlfn.XLOOKUP(B287,'[5]july-2025'!$A:$A,'[5]july-2025'!$D:$D,0,0)</f>
        <v>400</v>
      </c>
      <c r="BC287">
        <f>_xlfn.XLOOKUP(B287,'[5]july-2025'!$A:$A,'[5]july-2025'!$G:$G,0,0)</f>
        <v>0</v>
      </c>
      <c r="BD287">
        <f>IF(AX287&gt;0,SUM(AX287:BC287),0)</f>
        <v>69690</v>
      </c>
      <c r="BE287">
        <f>_xlfn.XLOOKUP(B287,'[5]july-2025'!$A:$A,'[5]july-2025'!$H:$H,0,0)</f>
        <v>4000</v>
      </c>
      <c r="BF287">
        <f>_xlfn.XLOOKUP(B287,'[5]july-2025'!$A:$A,'[5]july-2025'!$I:$I,0,0)</f>
        <v>0</v>
      </c>
      <c r="BG287">
        <f t="shared" si="566"/>
        <v>200</v>
      </c>
      <c r="BH287">
        <f t="shared" si="567"/>
        <v>65490</v>
      </c>
      <c r="BI287">
        <f>_xlfn.XLOOKUP(B287,'[6]august-2025'!$A:$A,'[6]august-2025'!$C:$C,0,0)</f>
        <v>53300</v>
      </c>
      <c r="BJ287">
        <f t="shared" si="568"/>
        <v>9594</v>
      </c>
      <c r="BK287">
        <f t="shared" si="569"/>
        <v>6396</v>
      </c>
      <c r="BL287">
        <f>_xlfn.XLOOKUP(B287,'[6]august-2025'!$A:$A,'[6]august-2025'!$D:$D,0,0)</f>
        <v>400</v>
      </c>
      <c r="BM287">
        <f>_xlfn.XLOOKUP(B287,'[6]august-2025'!$A:$A,'[6]august-2025'!$G:$G,0,0)</f>
        <v>0</v>
      </c>
      <c r="BN287">
        <f t="shared" si="570"/>
        <v>69690</v>
      </c>
      <c r="BO287">
        <f>_xlfn.XLOOKUP(B287,'[6]august-2025'!$A:$A,'[6]august-2025'!$H:$H,0,0)</f>
        <v>4000</v>
      </c>
      <c r="BP287">
        <f>_xlfn.XLOOKUP(B287,'[6]august-2025'!$A:$A,'[6]august-2025'!$I:$I,0,0)</f>
        <v>0</v>
      </c>
      <c r="BQ287">
        <f>IF($F287="YES",0,IF(BN287&gt;40000,200,IF(BN287&gt;25000,150,IF(BN287&gt;15000,130,IF(BN287&gt;10000,110,0)))))</f>
        <v>200</v>
      </c>
      <c r="BR287">
        <f>BN287-BO287-BP287-BQ287</f>
        <v>65490</v>
      </c>
      <c r="BS287">
        <f>_xlfn.XLOOKUP(B287,'[7]september-2025'!$A:$A,'[7]september-2025'!$C:$C,0,0)</f>
        <v>53300</v>
      </c>
      <c r="BT287">
        <f t="shared" si="571"/>
        <v>9594</v>
      </c>
      <c r="BU287">
        <f t="shared" si="572"/>
        <v>6396</v>
      </c>
      <c r="BV287">
        <f>_xlfn.XLOOKUP(B287,'[7]september-2025'!$A:$A,'[7]september-2025'!$D:$D,0,0)</f>
        <v>400</v>
      </c>
      <c r="BW287">
        <f>_xlfn.XLOOKUP(B287,'[7]september-2025'!$A:$A,'[7]september-2025'!$G:$G,0,0)</f>
        <v>0</v>
      </c>
      <c r="BX287">
        <f>IF(BS287&gt;0,SUM(BS287:BW287),0)</f>
        <v>69690</v>
      </c>
      <c r="BY287">
        <f>_xlfn.XLOOKUP(B287,'[7]september-2025'!$A:$A,'[7]september-2025'!$H:$H,0,0)</f>
        <v>4000</v>
      </c>
      <c r="BZ287">
        <f>_xlfn.XLOOKUP(B287,'[7]september-2025'!$A:$A,'[7]september-2025'!$I:$I,0,0)</f>
        <v>0</v>
      </c>
      <c r="CA287">
        <f t="shared" si="573"/>
        <v>200</v>
      </c>
      <c r="CB287">
        <f t="shared" si="574"/>
        <v>65490</v>
      </c>
      <c r="CC287">
        <f>_xlfn.XLOOKUP(B287,'[8]october-2025'!$A:$A,'[8]october-2025'!$C:$C,0,0)</f>
        <v>53300</v>
      </c>
      <c r="CD287">
        <f t="shared" si="575"/>
        <v>9594</v>
      </c>
      <c r="CE287">
        <f t="shared" si="576"/>
        <v>6396</v>
      </c>
      <c r="CF287">
        <f>_xlfn.XLOOKUP(B287,'[8]october-2025'!$A:$A,'[8]october-2025'!$D:$D,0,0)</f>
        <v>400</v>
      </c>
      <c r="CG287">
        <f>_xlfn.XLOOKUP(B287,'[8]october-2025'!$A:$A,'[8]october-2025'!$G:$G,0,0)</f>
        <v>0</v>
      </c>
      <c r="CH287">
        <f>IF(CC287&gt;0,SUM(CC287:CG287),0)</f>
        <v>69690</v>
      </c>
      <c r="CI287">
        <f>_xlfn.XLOOKUP(B287,'[8]october-2025'!$A:$A,'[8]october-2025'!$H:$H,0,0)</f>
        <v>4000</v>
      </c>
      <c r="CJ287">
        <f>_xlfn.XLOOKUP(B287,'[8]october-2025'!$A:$A,'[8]october-2025'!$I:$I,0,0)</f>
        <v>0</v>
      </c>
      <c r="CK287">
        <f t="shared" si="577"/>
        <v>200</v>
      </c>
      <c r="CL287">
        <f t="shared" si="578"/>
        <v>65490</v>
      </c>
      <c r="CM287">
        <f>_xlfn.XLOOKUP(B287,'[9]november-2025'!$A:$A,'[9]november-2025'!$C:$C,0,0)</f>
        <v>53300</v>
      </c>
      <c r="CN287">
        <f t="shared" si="579"/>
        <v>9594</v>
      </c>
      <c r="CO287">
        <f t="shared" si="580"/>
        <v>6396</v>
      </c>
      <c r="CP287">
        <f>_xlfn.XLOOKUP(B287,'[9]november-2025'!$A:$A,'[9]november-2025'!$D:$D,0,0)</f>
        <v>400</v>
      </c>
      <c r="CQ287">
        <f>_xlfn.XLOOKUP(B287,'[9]november-2025'!$A:$A,'[9]november-2025'!$G:$G,0,0)</f>
        <v>0</v>
      </c>
      <c r="CR287">
        <f>IF(CM287&gt;0,SUM(CM287:CQ287),0)</f>
        <v>69690</v>
      </c>
      <c r="CS287">
        <f>_xlfn.XLOOKUP(B287,'[9]november-2025'!$A:$A,'[9]november-2025'!$H:$H,0,0)</f>
        <v>4000</v>
      </c>
      <c r="CT287">
        <f>_xlfn.XLOOKUP(B287,'[9]november-2025'!$A:$A,'[9]november-2025'!$I:$I,0,0)</f>
        <v>0</v>
      </c>
      <c r="CU287">
        <f t="shared" si="581"/>
        <v>200</v>
      </c>
      <c r="CV287">
        <f t="shared" si="582"/>
        <v>65490</v>
      </c>
      <c r="CW287">
        <f>_xlfn.XLOOKUP(B287,'[10]december-2025'!$A:$A,'[10]december-2025'!$C:$C,0,0)</f>
        <v>53300</v>
      </c>
      <c r="CX287">
        <f t="shared" si="583"/>
        <v>9594</v>
      </c>
      <c r="CY287">
        <f t="shared" si="584"/>
        <v>6396</v>
      </c>
      <c r="CZ287">
        <f>_xlfn.XLOOKUP(B287,'[10]december-2025'!$A:$A,'[10]december-2025'!$D:$D,0,0)</f>
        <v>400</v>
      </c>
      <c r="DA287">
        <f>_xlfn.XLOOKUP(B287,'[10]december-2025'!$A:$A,'[10]december-2025'!$G:$G,0,0)</f>
        <v>0</v>
      </c>
      <c r="DB287">
        <f>IF(CW287&gt;0,SUM(CW287:DA287),0)</f>
        <v>69690</v>
      </c>
      <c r="DC287">
        <f>_xlfn.XLOOKUP(B287,'[10]december-2025'!$A:$A,'[10]december-2025'!$H:$H,0,0)</f>
        <v>4000</v>
      </c>
      <c r="DD287">
        <f>_xlfn.XLOOKUP(B287,'[10]december-2025'!$A:$A,'[10]december-2025'!$I:$I,0,0)</f>
        <v>0</v>
      </c>
      <c r="DE287">
        <f t="shared" si="585"/>
        <v>200</v>
      </c>
      <c r="DF287">
        <f t="shared" si="586"/>
        <v>65490</v>
      </c>
      <c r="DG287">
        <f>_xlfn.XLOOKUP(B287,'[11]january-2026'!$A:$A,'[11]january-2026'!$C:$C,0,0)</f>
        <v>53300</v>
      </c>
      <c r="DH287">
        <f t="shared" si="587"/>
        <v>9594</v>
      </c>
      <c r="DI287">
        <f t="shared" si="588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>IF(DG287&gt;0,SUM(DG287:DK287),0)</f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589"/>
        <v>200</v>
      </c>
      <c r="DP287">
        <f t="shared" si="590"/>
        <v>65490</v>
      </c>
      <c r="DQ287">
        <f>_xlfn.XLOOKUP(B287,'[12]february-2026'!$A:$A,'[12]february-2026'!$C:$C,0,0)</f>
        <v>53300</v>
      </c>
      <c r="DR287">
        <f t="shared" si="591"/>
        <v>9594</v>
      </c>
      <c r="DS287">
        <f t="shared" si="592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>IF(DQ287&gt;0,SUM(DQ287:DU287),0)</f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593"/>
        <v>200</v>
      </c>
      <c r="DZ287">
        <f t="shared" si="594"/>
        <v>65490</v>
      </c>
      <c r="EA287">
        <f>_xlfn.XLOOKUP(B287,'[1]march-2025'!$A:$A,'[1]march-2025'!$J:$J,0,0)</f>
        <v>0</v>
      </c>
      <c r="EB287">
        <f>_xlfn.XLOOKUP(B287,'[2]april-2025'!$A:$A,'[2]april-2025'!$J:$J,0,0)</f>
        <v>0</v>
      </c>
      <c r="EC287">
        <f>_xlfn.XLOOKUP(B287,'[3]may-2025'!$A:$A,'[3]may-2025'!$J:$J,0,0)</f>
        <v>0</v>
      </c>
      <c r="ED287">
        <f>_xlfn.XLOOKUP(B287,'[4]june-2025'!$A:$A,'[4]june-2025'!$J:$J,0,0)</f>
        <v>0</v>
      </c>
      <c r="EE287">
        <f>_xlfn.XLOOKUP(B287,'[5]july-2025'!$A:$A,'[5]july-2025'!$J:$J,0,0)</f>
        <v>0</v>
      </c>
      <c r="EF287">
        <f>_xlfn.XLOOKUP(B287,'[6]august-2025'!$A:$A,'[6]august-2025'!$J:$J,0,0)</f>
        <v>0</v>
      </c>
      <c r="EG287">
        <f>_xlfn.XLOOKUP(B287,'[7]september-2025'!$A:$A,'[7]september-2025'!$J:$J,0,0)</f>
        <v>0</v>
      </c>
      <c r="EH287">
        <f>_xlfn.XLOOKUP(B287,'[8]october-2025'!$A:$A,'[8]october-2025'!$J:$J,0,0)</f>
        <v>0</v>
      </c>
      <c r="EI287">
        <f>_xlfn.XLOOKUP(C287,'[9]november-2025'!$A:$A,'[9]november-2025'!$J:$J,0,0)</f>
        <v>0</v>
      </c>
      <c r="EJ287">
        <f>_xlfn.XLOOKUP(B287,'[10]december-2025'!$A:$A,'[10]december-2025'!$J:$J,0,0)</f>
        <v>0</v>
      </c>
      <c r="EK287">
        <f>_xlfn.XLOOKUP(B287,'[11]january-2026'!$A:$A,'[11]january-2026'!$J:$J,0,0)</f>
        <v>0</v>
      </c>
      <c r="EL287">
        <f>_xlfn.XLOOKUP(B287,'[12]february-2026'!$A:$A,'[12]february-2026'!$J:$J,0,0)</f>
        <v>0</v>
      </c>
      <c r="EM287">
        <f t="shared" si="548"/>
        <v>0</v>
      </c>
      <c r="EN287">
        <f>DV287+DL287+DB287+CR287+CH287+BX287+BN287+BD287+AS287+AI287+Y287+O287+H287+I287</f>
        <v>832692</v>
      </c>
      <c r="EO287">
        <f>DY287+DO287+DE287+CU287+CK287+CA287+BQ287+BG287+AV287+AL287+AB287+R287</f>
        <v>2400</v>
      </c>
      <c r="EP287">
        <f t="shared" si="595"/>
        <v>50000</v>
      </c>
      <c r="EQ287">
        <v>0</v>
      </c>
      <c r="ER287">
        <f t="shared" si="549"/>
        <v>780292</v>
      </c>
      <c r="ES287">
        <f>DW287+DM287+DC287+CS287+CI287+BY287+BO287+BE287+AT287+AJ287+Z287+P287</f>
        <v>48000</v>
      </c>
      <c r="ET287">
        <f>DX287+DN287+DD287+CT287+CJ287+BZ287+BP287+BF287+AU287+AK287+AA287+Q287</f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596"/>
        <v>48000</v>
      </c>
      <c r="FF287">
        <f t="shared" si="597"/>
        <v>48000</v>
      </c>
      <c r="FG287">
        <f t="shared" si="598"/>
        <v>732292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>SUM(FH287:FN287)+(IF(F287="YES",50000,0))</f>
        <v>0</v>
      </c>
      <c r="FP287">
        <f t="shared" si="599"/>
        <v>732292</v>
      </c>
      <c r="FQ287">
        <f t="shared" si="600"/>
        <v>12500</v>
      </c>
      <c r="FR287">
        <f t="shared" si="601"/>
        <v>46458</v>
      </c>
      <c r="FS287">
        <f t="shared" si="602"/>
        <v>58958</v>
      </c>
      <c r="FT287">
        <f t="shared" si="603"/>
        <v>58958</v>
      </c>
      <c r="FU287">
        <f t="shared" si="604"/>
        <v>2358.3200000000002</v>
      </c>
      <c r="FV287">
        <f t="shared" si="605"/>
        <v>61316</v>
      </c>
      <c r="FW287">
        <v>0</v>
      </c>
      <c r="FX287">
        <f t="shared" si="606"/>
        <v>61316</v>
      </c>
      <c r="FY287" t="b">
        <f t="shared" si="607"/>
        <v>1</v>
      </c>
      <c r="FZ287">
        <f t="shared" ca="1" si="608"/>
        <v>793</v>
      </c>
      <c r="GA287">
        <f t="shared" ca="1" si="609"/>
        <v>833485</v>
      </c>
      <c r="GB287">
        <f t="shared" si="610"/>
        <v>75000</v>
      </c>
      <c r="GC287">
        <f t="shared" ca="1" si="611"/>
        <v>758485</v>
      </c>
      <c r="GD287">
        <f t="shared" ca="1" si="612"/>
        <v>0</v>
      </c>
      <c r="GE287">
        <f t="shared" ca="1" si="613"/>
        <v>0</v>
      </c>
      <c r="GF287">
        <f t="shared" ca="1" si="614"/>
        <v>0</v>
      </c>
      <c r="GG287">
        <f t="shared" ca="1" si="615"/>
        <v>0</v>
      </c>
      <c r="GH287">
        <f t="shared" ca="1" si="616"/>
        <v>0</v>
      </c>
      <c r="GI287">
        <f t="shared" ca="1" si="617"/>
        <v>0</v>
      </c>
      <c r="GJ287">
        <f ca="1">IF(GC287&gt;1200000,GC287-1200000-IF(F287="YES",50000,0)-GH287,0)</f>
        <v>0</v>
      </c>
      <c r="GK287">
        <f t="shared" ca="1" si="618"/>
        <v>0</v>
      </c>
      <c r="GL287">
        <f t="shared" ca="1" si="619"/>
        <v>0</v>
      </c>
      <c r="GM287">
        <f t="shared" ca="1" si="620"/>
        <v>0</v>
      </c>
      <c r="GN287">
        <f t="shared" ca="1" si="621"/>
        <v>358485</v>
      </c>
      <c r="GO287">
        <f t="shared" ca="1" si="622"/>
        <v>17924.25</v>
      </c>
      <c r="GP287">
        <f t="shared" ca="1" si="623"/>
        <v>17924</v>
      </c>
      <c r="GQ287">
        <f t="shared" ca="1" si="624"/>
        <v>0</v>
      </c>
      <c r="GR287">
        <f t="shared" ca="1" si="625"/>
        <v>0</v>
      </c>
      <c r="GS287">
        <f t="shared" ca="1" si="626"/>
        <v>17924</v>
      </c>
      <c r="GT287">
        <f t="shared" ca="1" si="627"/>
        <v>0</v>
      </c>
      <c r="GU287" t="b">
        <f t="shared" ca="1" si="628"/>
        <v>0</v>
      </c>
      <c r="GV287">
        <f t="shared" ca="1" si="629"/>
        <v>0</v>
      </c>
      <c r="GW287">
        <f t="shared" ca="1" si="630"/>
        <v>17924</v>
      </c>
      <c r="GX287">
        <f t="shared" ca="1" si="631"/>
        <v>0</v>
      </c>
      <c r="GY287">
        <f t="shared" ca="1" si="632"/>
        <v>0</v>
      </c>
      <c r="GZ287">
        <f t="shared" ca="1" si="633"/>
        <v>0</v>
      </c>
    </row>
    <row r="288" spans="1:208" x14ac:dyDescent="0.25">
      <c r="A288">
        <f>_xlfn.AGGREGATE(3,5,$B$2:B288)</f>
        <v>287</v>
      </c>
      <c r="B288" t="s">
        <v>675</v>
      </c>
      <c r="C288" t="s">
        <v>676</v>
      </c>
      <c r="D288" t="s">
        <v>825</v>
      </c>
      <c r="E288" t="s">
        <v>831</v>
      </c>
      <c r="F288" t="s">
        <v>957</v>
      </c>
      <c r="G288" t="s">
        <v>878</v>
      </c>
      <c r="H288">
        <f t="shared" si="635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550"/>
        <v>4830.0000000000009</v>
      </c>
      <c r="L288">
        <f t="shared" si="551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>IF(J288&gt;0,SUM(J288:N288),0)</f>
        <v>43970</v>
      </c>
      <c r="P288">
        <f>_xlfn.XLOOKUP(B288,'[1]march-2025'!$A:$A,'[1]march-2025'!$H:$H,0,0)</f>
        <v>3000</v>
      </c>
      <c r="Q288">
        <f>_xlfn.XLOOKUP(B288,'[1]march-2025'!$A:$A,'[1]march-2025'!$I:$I,0,0)</f>
        <v>0</v>
      </c>
      <c r="R288">
        <f t="shared" si="634"/>
        <v>200</v>
      </c>
      <c r="S288">
        <f t="shared" si="544"/>
        <v>40770</v>
      </c>
      <c r="T288">
        <f>_xlfn.XLOOKUP(B288,'[2]april-2025'!$A:$A,'[2]april-2025'!$C:$C,0,0)</f>
        <v>34500</v>
      </c>
      <c r="U288">
        <f t="shared" si="552"/>
        <v>6210</v>
      </c>
      <c r="V288">
        <f t="shared" si="553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545"/>
        <v>45350</v>
      </c>
      <c r="Z288">
        <f>_xlfn.XLOOKUP(B288,'[2]april-2025'!$A:$A,'[2]april-2025'!$H:$H,0,0)</f>
        <v>3000</v>
      </c>
      <c r="AA288">
        <f>_xlfn.XLOOKUP(B288,'[2]april-2025'!$A:$A,'[2]april-2025'!$I:$I,0,0)</f>
        <v>0</v>
      </c>
      <c r="AB288">
        <f t="shared" si="554"/>
        <v>200</v>
      </c>
      <c r="AC288">
        <f t="shared" si="555"/>
        <v>42150</v>
      </c>
      <c r="AD288">
        <f>_xlfn.XLOOKUP(B288,'[3]may-2025'!$A:$A,'[3]may-2025'!$C:$C,0,0)</f>
        <v>34500</v>
      </c>
      <c r="AE288">
        <f t="shared" si="556"/>
        <v>6210</v>
      </c>
      <c r="AF288">
        <f t="shared" si="557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546"/>
        <v>45350</v>
      </c>
      <c r="AJ288">
        <f>_xlfn.XLOOKUP(B288,'[3]may-2025'!$A:$A,'[3]may-2025'!$H:$H,0,0)</f>
        <v>3000</v>
      </c>
      <c r="AK288">
        <f>_xlfn.XLOOKUP(B288,'[3]may-2025'!$A:$A,'[3]may-2025'!$I:$I,0,0)</f>
        <v>0</v>
      </c>
      <c r="AL288">
        <f t="shared" si="558"/>
        <v>200</v>
      </c>
      <c r="AM288">
        <f t="shared" si="559"/>
        <v>42150</v>
      </c>
      <c r="AN288">
        <f>_xlfn.XLOOKUP(B288,'[4]june-2025'!$A:$A,'[4]june-2025'!$C:$C,0,0)</f>
        <v>34500</v>
      </c>
      <c r="AO288">
        <f t="shared" si="560"/>
        <v>6210</v>
      </c>
      <c r="AP288">
        <f t="shared" si="561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547"/>
        <v>45350</v>
      </c>
      <c r="AT288">
        <f>_xlfn.XLOOKUP(B288,'[4]june-2025'!$A:$A,'[4]june-2025'!$H:$H,0,0)</f>
        <v>3000</v>
      </c>
      <c r="AU288">
        <f>_xlfn.XLOOKUP(B288,'[4]june-2025'!$A:$A,'[4]june-2025'!$I:$I,0,0)</f>
        <v>0</v>
      </c>
      <c r="AV288">
        <f t="shared" si="562"/>
        <v>200</v>
      </c>
      <c r="AW288">
        <f t="shared" si="563"/>
        <v>42150</v>
      </c>
      <c r="AX288">
        <f>_xlfn.XLOOKUP(B288,'[5]july-2025'!$A:$A,'[5]july-2025'!$C:$C,0,0)</f>
        <v>35500</v>
      </c>
      <c r="AY288">
        <f t="shared" si="564"/>
        <v>6390</v>
      </c>
      <c r="AZ288">
        <v>0</v>
      </c>
      <c r="BA288">
        <f t="shared" si="565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>IF(AX288&gt;0,SUM(AX288:BC288),0)</f>
        <v>46650</v>
      </c>
      <c r="BE288">
        <f>_xlfn.XLOOKUP(B288,'[5]july-2025'!$A:$A,'[5]july-2025'!$H:$H,0,0)</f>
        <v>3000</v>
      </c>
      <c r="BF288">
        <f>_xlfn.XLOOKUP(B288,'[5]july-2025'!$A:$A,'[5]july-2025'!$I:$I,0,0)</f>
        <v>0</v>
      </c>
      <c r="BG288">
        <f t="shared" si="566"/>
        <v>200</v>
      </c>
      <c r="BH288">
        <f t="shared" si="567"/>
        <v>43450</v>
      </c>
      <c r="BI288">
        <f>_xlfn.XLOOKUP(B288,'[6]august-2025'!$A:$A,'[6]august-2025'!$C:$C,0,0)</f>
        <v>35500</v>
      </c>
      <c r="BJ288">
        <f t="shared" si="568"/>
        <v>6390</v>
      </c>
      <c r="BK288">
        <f t="shared" si="569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570"/>
        <v>46650</v>
      </c>
      <c r="BO288">
        <f>_xlfn.XLOOKUP(B288,'[6]august-2025'!$A:$A,'[6]august-2025'!$H:$H,0,0)</f>
        <v>3000</v>
      </c>
      <c r="BP288">
        <f>_xlfn.XLOOKUP(B288,'[6]august-2025'!$A:$A,'[6]august-2025'!$I:$I,0,0)</f>
        <v>0</v>
      </c>
      <c r="BQ288">
        <f>IF($F288="YES",0,IF(BN288&gt;40000,200,IF(BN288&gt;25000,150,IF(BN288&gt;15000,130,IF(BN288&gt;10000,110,0)))))</f>
        <v>200</v>
      </c>
      <c r="BR288">
        <f>BN288-BO288-BP288-BQ288</f>
        <v>43450</v>
      </c>
      <c r="BS288">
        <f>_xlfn.XLOOKUP(B288,'[7]september-2025'!$A:$A,'[7]september-2025'!$C:$C,0,0)</f>
        <v>35500</v>
      </c>
      <c r="BT288">
        <f t="shared" si="571"/>
        <v>6390</v>
      </c>
      <c r="BU288">
        <f t="shared" si="572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>IF(BS288&gt;0,SUM(BS288:BW288),0)</f>
        <v>46650</v>
      </c>
      <c r="BY288">
        <f>_xlfn.XLOOKUP(B288,'[7]september-2025'!$A:$A,'[7]september-2025'!$H:$H,0,0)</f>
        <v>3000</v>
      </c>
      <c r="BZ288">
        <f>_xlfn.XLOOKUP(B288,'[7]september-2025'!$A:$A,'[7]september-2025'!$I:$I,0,0)</f>
        <v>0</v>
      </c>
      <c r="CA288">
        <f t="shared" si="573"/>
        <v>200</v>
      </c>
      <c r="CB288">
        <f t="shared" si="574"/>
        <v>43450</v>
      </c>
      <c r="CC288">
        <f>_xlfn.XLOOKUP(B288,'[8]october-2025'!$A:$A,'[8]october-2025'!$C:$C,0,0)</f>
        <v>35500</v>
      </c>
      <c r="CD288">
        <f t="shared" si="575"/>
        <v>6390</v>
      </c>
      <c r="CE288">
        <f t="shared" si="576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>IF(CC288&gt;0,SUM(CC288:CG288),0)</f>
        <v>46650</v>
      </c>
      <c r="CI288">
        <f>_xlfn.XLOOKUP(B288,'[8]october-2025'!$A:$A,'[8]october-2025'!$H:$H,0,0)</f>
        <v>3000</v>
      </c>
      <c r="CJ288">
        <f>_xlfn.XLOOKUP(B288,'[8]october-2025'!$A:$A,'[8]october-2025'!$I:$I,0,0)</f>
        <v>0</v>
      </c>
      <c r="CK288">
        <f t="shared" si="577"/>
        <v>200</v>
      </c>
      <c r="CL288">
        <f t="shared" si="578"/>
        <v>43450</v>
      </c>
      <c r="CM288">
        <f>_xlfn.XLOOKUP(B288,'[9]november-2025'!$A:$A,'[9]november-2025'!$C:$C,0,0)</f>
        <v>35500</v>
      </c>
      <c r="CN288">
        <f t="shared" si="579"/>
        <v>6390</v>
      </c>
      <c r="CO288">
        <f t="shared" si="580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>IF(CM288&gt;0,SUM(CM288:CQ288),0)</f>
        <v>46650</v>
      </c>
      <c r="CS288">
        <f>_xlfn.XLOOKUP(B288,'[9]november-2025'!$A:$A,'[9]november-2025'!$H:$H,0,0)</f>
        <v>3000</v>
      </c>
      <c r="CT288">
        <f>_xlfn.XLOOKUP(B288,'[9]november-2025'!$A:$A,'[9]november-2025'!$I:$I,0,0)</f>
        <v>0</v>
      </c>
      <c r="CU288">
        <f t="shared" si="581"/>
        <v>200</v>
      </c>
      <c r="CV288">
        <f t="shared" si="582"/>
        <v>43450</v>
      </c>
      <c r="CW288">
        <f>_xlfn.XLOOKUP(B288,'[10]december-2025'!$A:$A,'[10]december-2025'!$C:$C,0,0)</f>
        <v>35500</v>
      </c>
      <c r="CX288">
        <f t="shared" si="583"/>
        <v>6390</v>
      </c>
      <c r="CY288">
        <f t="shared" si="584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>IF(CW288&gt;0,SUM(CW288:DA288),0)</f>
        <v>46650</v>
      </c>
      <c r="DC288">
        <f>_xlfn.XLOOKUP(B288,'[10]december-2025'!$A:$A,'[10]december-2025'!$H:$H,0,0)</f>
        <v>3000</v>
      </c>
      <c r="DD288">
        <f>_xlfn.XLOOKUP(B288,'[10]december-2025'!$A:$A,'[10]december-2025'!$I:$I,0,0)</f>
        <v>0</v>
      </c>
      <c r="DE288">
        <f t="shared" si="585"/>
        <v>200</v>
      </c>
      <c r="DF288">
        <f t="shared" si="586"/>
        <v>43450</v>
      </c>
      <c r="DG288">
        <f>_xlfn.XLOOKUP(B288,'[11]january-2026'!$A:$A,'[11]january-2026'!$C:$C,0,0)</f>
        <v>35500</v>
      </c>
      <c r="DH288">
        <f t="shared" si="587"/>
        <v>6390</v>
      </c>
      <c r="DI288">
        <f t="shared" si="588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>IF(DG288&gt;0,SUM(DG288:DK288),0)</f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589"/>
        <v>200</v>
      </c>
      <c r="DP288">
        <f t="shared" si="590"/>
        <v>43450</v>
      </c>
      <c r="DQ288">
        <f>_xlfn.XLOOKUP(B288,'[12]february-2026'!$A:$A,'[12]february-2026'!$C:$C,0,0)</f>
        <v>35500</v>
      </c>
      <c r="DR288">
        <f t="shared" si="591"/>
        <v>6390</v>
      </c>
      <c r="DS288">
        <f t="shared" si="592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>IF(DQ288&gt;0,SUM(DQ288:DU288),0)</f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593"/>
        <v>200</v>
      </c>
      <c r="DZ288">
        <f t="shared" si="594"/>
        <v>43450</v>
      </c>
      <c r="EA288">
        <f>_xlfn.XLOOKUP(B288,'[1]march-2025'!$A:$A,'[1]march-2025'!$J:$J,0,0)</f>
        <v>0</v>
      </c>
      <c r="EB288">
        <f>_xlfn.XLOOKUP(B288,'[2]april-2025'!$A:$A,'[2]april-2025'!$J:$J,0,0)</f>
        <v>0</v>
      </c>
      <c r="EC288">
        <f>_xlfn.XLOOKUP(B288,'[3]may-2025'!$A:$A,'[3]may-2025'!$J:$J,0,0)</f>
        <v>0</v>
      </c>
      <c r="ED288">
        <f>_xlfn.XLOOKUP(B288,'[4]june-2025'!$A:$A,'[4]june-2025'!$J:$J,0,0)</f>
        <v>0</v>
      </c>
      <c r="EE288">
        <f>_xlfn.XLOOKUP(B288,'[5]july-2025'!$A:$A,'[5]july-2025'!$J:$J,0,0)</f>
        <v>0</v>
      </c>
      <c r="EF288">
        <f>_xlfn.XLOOKUP(B288,'[6]august-2025'!$A:$A,'[6]august-2025'!$J:$J,0,0)</f>
        <v>0</v>
      </c>
      <c r="EG288">
        <f>_xlfn.XLOOKUP(B288,'[7]september-2025'!$A:$A,'[7]september-2025'!$J:$J,0,0)</f>
        <v>0</v>
      </c>
      <c r="EH288">
        <f>_xlfn.XLOOKUP(B288,'[8]october-2025'!$A:$A,'[8]october-2025'!$J:$J,0,0)</f>
        <v>0</v>
      </c>
      <c r="EI288">
        <f>_xlfn.XLOOKUP(C288,'[9]november-2025'!$A:$A,'[9]november-2025'!$J:$J,0,0)</f>
        <v>0</v>
      </c>
      <c r="EJ288">
        <f>_xlfn.XLOOKUP(B288,'[10]december-2025'!$A:$A,'[10]december-2025'!$J:$J,0,0)</f>
        <v>0</v>
      </c>
      <c r="EK288">
        <f>_xlfn.XLOOKUP(B288,'[11]january-2026'!$A:$A,'[11]january-2026'!$J:$J,0,0)</f>
        <v>0</v>
      </c>
      <c r="EL288">
        <f>_xlfn.XLOOKUP(B288,'[12]february-2026'!$A:$A,'[12]february-2026'!$J:$J,0,0)</f>
        <v>0</v>
      </c>
      <c r="EM288">
        <f t="shared" si="548"/>
        <v>0</v>
      </c>
      <c r="EN288">
        <f>DV288+DL288+DB288+CR288+CH288+BX288+BN288+BD288+AS288+AI288+Y288+O288+H288+I288</f>
        <v>560020</v>
      </c>
      <c r="EO288">
        <f>DY288+DO288+DE288+CU288+CK288+CA288+BQ288+BG288+AV288+AL288+AB288+R288</f>
        <v>2400</v>
      </c>
      <c r="EP288">
        <f t="shared" si="595"/>
        <v>50000</v>
      </c>
      <c r="EQ288">
        <v>0</v>
      </c>
      <c r="ER288">
        <f t="shared" si="549"/>
        <v>507620</v>
      </c>
      <c r="ES288">
        <f>DW288+DM288+DC288+CS288+CI288+BY288+BO288+BE288+AT288+AJ288+Z288+P288</f>
        <v>36000</v>
      </c>
      <c r="ET288">
        <f>DX288+DN288+DD288+CT288+CJ288+BZ288+BP288+BF288+AU288+AK288+AA288+Q288</f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596"/>
        <v>36000</v>
      </c>
      <c r="FF288">
        <f t="shared" si="597"/>
        <v>36000</v>
      </c>
      <c r="FG288">
        <f t="shared" si="598"/>
        <v>471620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>SUM(FH288:FN288)+(IF(F288="YES",50000,0))</f>
        <v>0</v>
      </c>
      <c r="FP288">
        <f t="shared" si="599"/>
        <v>471620</v>
      </c>
      <c r="FQ288">
        <f t="shared" si="600"/>
        <v>11081</v>
      </c>
      <c r="FR288">
        <f t="shared" si="601"/>
        <v>0</v>
      </c>
      <c r="FS288">
        <f t="shared" si="602"/>
        <v>11081</v>
      </c>
      <c r="FT288">
        <f t="shared" si="603"/>
        <v>0</v>
      </c>
      <c r="FU288">
        <f t="shared" si="604"/>
        <v>0</v>
      </c>
      <c r="FV288">
        <f t="shared" si="605"/>
        <v>0</v>
      </c>
      <c r="FW288">
        <v>0</v>
      </c>
      <c r="FX288">
        <f t="shared" si="606"/>
        <v>0</v>
      </c>
      <c r="FY288" t="b">
        <f t="shared" si="607"/>
        <v>1</v>
      </c>
      <c r="FZ288">
        <f t="shared" ca="1" si="608"/>
        <v>943</v>
      </c>
      <c r="GA288">
        <f t="shared" ca="1" si="609"/>
        <v>560963</v>
      </c>
      <c r="GB288">
        <f t="shared" si="610"/>
        <v>75000</v>
      </c>
      <c r="GC288">
        <f t="shared" ca="1" si="611"/>
        <v>485963</v>
      </c>
      <c r="GD288">
        <f t="shared" ca="1" si="612"/>
        <v>0</v>
      </c>
      <c r="GE288">
        <f t="shared" ca="1" si="613"/>
        <v>0</v>
      </c>
      <c r="GF288">
        <f t="shared" ca="1" si="614"/>
        <v>0</v>
      </c>
      <c r="GG288">
        <f t="shared" ca="1" si="615"/>
        <v>0</v>
      </c>
      <c r="GH288">
        <f t="shared" ca="1" si="616"/>
        <v>0</v>
      </c>
      <c r="GI288">
        <f t="shared" ca="1" si="617"/>
        <v>0</v>
      </c>
      <c r="GJ288">
        <f ca="1">IF(GC288&gt;1200000,GC288-1200000-IF(F288="YES",50000,0)-GH288,0)</f>
        <v>0</v>
      </c>
      <c r="GK288">
        <f t="shared" ca="1" si="618"/>
        <v>0</v>
      </c>
      <c r="GL288">
        <f t="shared" ca="1" si="619"/>
        <v>0</v>
      </c>
      <c r="GM288">
        <f t="shared" ca="1" si="620"/>
        <v>0</v>
      </c>
      <c r="GN288">
        <f t="shared" ca="1" si="621"/>
        <v>85963</v>
      </c>
      <c r="GO288">
        <f t="shared" ca="1" si="622"/>
        <v>4298.1500000000005</v>
      </c>
      <c r="GP288">
        <f t="shared" ca="1" si="623"/>
        <v>4298</v>
      </c>
      <c r="GQ288">
        <f t="shared" ca="1" si="624"/>
        <v>0</v>
      </c>
      <c r="GR288">
        <f t="shared" ca="1" si="625"/>
        <v>0</v>
      </c>
      <c r="GS288">
        <f t="shared" ca="1" si="626"/>
        <v>4298</v>
      </c>
      <c r="GT288">
        <f t="shared" ca="1" si="627"/>
        <v>0</v>
      </c>
      <c r="GU288" t="b">
        <f t="shared" ca="1" si="628"/>
        <v>0</v>
      </c>
      <c r="GV288">
        <f t="shared" ca="1" si="629"/>
        <v>0</v>
      </c>
      <c r="GW288">
        <f t="shared" ca="1" si="630"/>
        <v>4298</v>
      </c>
      <c r="GX288">
        <f t="shared" ca="1" si="631"/>
        <v>0</v>
      </c>
      <c r="GY288">
        <f t="shared" ca="1" si="632"/>
        <v>0</v>
      </c>
      <c r="GZ288">
        <f t="shared" ca="1" si="633"/>
        <v>0</v>
      </c>
    </row>
    <row r="289" spans="1:208" x14ac:dyDescent="0.25">
      <c r="A289">
        <f>_xlfn.AGGREGATE(3,5,$B$2:B289)</f>
        <v>288</v>
      </c>
      <c r="B289" t="s">
        <v>677</v>
      </c>
      <c r="C289" t="s">
        <v>678</v>
      </c>
      <c r="D289" t="s">
        <v>825</v>
      </c>
      <c r="E289" t="s">
        <v>831</v>
      </c>
      <c r="F289" t="s">
        <v>957</v>
      </c>
      <c r="G289" t="s">
        <v>878</v>
      </c>
      <c r="H289">
        <f t="shared" si="635"/>
        <v>6800</v>
      </c>
      <c r="I289">
        <f>_xlfn.XLOOKUP(B289,'[1]march-2025'!$A:$A,'[1]march-2025'!$J:$J,0,0)</f>
        <v>0</v>
      </c>
      <c r="J289">
        <f>_xlfn.XLOOKUP(B289,'[1]march-2025'!$A:$A,'[1]march-2025'!$C:$C,0,0)</f>
        <v>34500</v>
      </c>
      <c r="K289">
        <f t="shared" si="550"/>
        <v>4830.0000000000009</v>
      </c>
      <c r="L289">
        <f t="shared" si="551"/>
        <v>4140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>IF(J289&gt;0,SUM(J289:N289),0)</f>
        <v>43970</v>
      </c>
      <c r="P289">
        <f>_xlfn.XLOOKUP(B289,'[1]march-2025'!$A:$A,'[1]march-2025'!$H:$H,0,0)</f>
        <v>2500</v>
      </c>
      <c r="Q289">
        <f>_xlfn.XLOOKUP(B289,'[1]march-2025'!$A:$A,'[1]march-2025'!$I:$I,0,0)</f>
        <v>0</v>
      </c>
      <c r="R289">
        <f t="shared" si="634"/>
        <v>200</v>
      </c>
      <c r="S289">
        <f t="shared" si="544"/>
        <v>41270</v>
      </c>
      <c r="T289">
        <f>_xlfn.XLOOKUP(B289,'[2]april-2025'!$A:$A,'[2]april-2025'!$C:$C,0,0)</f>
        <v>34500</v>
      </c>
      <c r="U289">
        <f t="shared" si="552"/>
        <v>6210</v>
      </c>
      <c r="V289">
        <f t="shared" si="553"/>
        <v>4140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545"/>
        <v>45350</v>
      </c>
      <c r="Z289">
        <f>_xlfn.XLOOKUP(B289,'[2]april-2025'!$A:$A,'[2]april-2025'!$H:$H,0,0)</f>
        <v>2500</v>
      </c>
      <c r="AA289">
        <f>_xlfn.XLOOKUP(B289,'[2]april-2025'!$A:$A,'[2]april-2025'!$I:$I,0,0)</f>
        <v>0</v>
      </c>
      <c r="AB289">
        <f t="shared" si="554"/>
        <v>200</v>
      </c>
      <c r="AC289">
        <f t="shared" si="555"/>
        <v>42650</v>
      </c>
      <c r="AD289">
        <f>_xlfn.XLOOKUP(B289,'[3]may-2025'!$A:$A,'[3]may-2025'!$C:$C,0,0)</f>
        <v>34500</v>
      </c>
      <c r="AE289">
        <f t="shared" si="556"/>
        <v>6210</v>
      </c>
      <c r="AF289">
        <f t="shared" si="557"/>
        <v>4140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546"/>
        <v>45350</v>
      </c>
      <c r="AJ289">
        <f>_xlfn.XLOOKUP(B289,'[3]may-2025'!$A:$A,'[3]may-2025'!$H:$H,0,0)</f>
        <v>2500</v>
      </c>
      <c r="AK289">
        <f>_xlfn.XLOOKUP(B289,'[3]may-2025'!$A:$A,'[3]may-2025'!$I:$I,0,0)</f>
        <v>0</v>
      </c>
      <c r="AL289">
        <f t="shared" si="558"/>
        <v>200</v>
      </c>
      <c r="AM289">
        <f t="shared" si="559"/>
        <v>42650</v>
      </c>
      <c r="AN289">
        <f>_xlfn.XLOOKUP(B289,'[4]june-2025'!$A:$A,'[4]june-2025'!$C:$C,0,0)</f>
        <v>34500</v>
      </c>
      <c r="AO289">
        <f t="shared" si="560"/>
        <v>6210</v>
      </c>
      <c r="AP289">
        <f t="shared" si="561"/>
        <v>4140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547"/>
        <v>45350</v>
      </c>
      <c r="AT289">
        <f>_xlfn.XLOOKUP(B289,'[4]june-2025'!$A:$A,'[4]june-2025'!$H:$H,0,0)</f>
        <v>2500</v>
      </c>
      <c r="AU289">
        <f>_xlfn.XLOOKUP(B289,'[4]june-2025'!$A:$A,'[4]june-2025'!$I:$I,0,0)</f>
        <v>0</v>
      </c>
      <c r="AV289">
        <f t="shared" si="562"/>
        <v>200</v>
      </c>
      <c r="AW289">
        <f t="shared" si="563"/>
        <v>42650</v>
      </c>
      <c r="AX289">
        <f>_xlfn.XLOOKUP(B289,'[5]july-2025'!$A:$A,'[5]july-2025'!$C:$C,0,0)</f>
        <v>35500</v>
      </c>
      <c r="AY289">
        <f t="shared" si="564"/>
        <v>6390</v>
      </c>
      <c r="AZ289">
        <v>0</v>
      </c>
      <c r="BA289">
        <f t="shared" si="565"/>
        <v>4260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>IF(AX289&gt;0,SUM(AX289:BC289),0)</f>
        <v>46650</v>
      </c>
      <c r="BE289">
        <f>_xlfn.XLOOKUP(B289,'[5]july-2025'!$A:$A,'[5]july-2025'!$H:$H,0,0)</f>
        <v>2500</v>
      </c>
      <c r="BF289">
        <f>_xlfn.XLOOKUP(B289,'[5]july-2025'!$A:$A,'[5]july-2025'!$I:$I,0,0)</f>
        <v>0</v>
      </c>
      <c r="BG289">
        <f t="shared" si="566"/>
        <v>200</v>
      </c>
      <c r="BH289">
        <f t="shared" si="567"/>
        <v>43950</v>
      </c>
      <c r="BI289">
        <f>_xlfn.XLOOKUP(B289,'[6]august-2025'!$A:$A,'[6]august-2025'!$C:$C,0,0)</f>
        <v>35500</v>
      </c>
      <c r="BJ289">
        <f t="shared" si="568"/>
        <v>6390</v>
      </c>
      <c r="BK289">
        <f t="shared" si="569"/>
        <v>4260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570"/>
        <v>46650</v>
      </c>
      <c r="BO289">
        <f>_xlfn.XLOOKUP(B289,'[6]august-2025'!$A:$A,'[6]august-2025'!$H:$H,0,0)</f>
        <v>2500</v>
      </c>
      <c r="BP289">
        <f>_xlfn.XLOOKUP(B289,'[6]august-2025'!$A:$A,'[6]august-2025'!$I:$I,0,0)</f>
        <v>0</v>
      </c>
      <c r="BQ289">
        <f>IF($F289="YES",0,IF(BN289&gt;40000,200,IF(BN289&gt;25000,150,IF(BN289&gt;15000,130,IF(BN289&gt;10000,110,0)))))</f>
        <v>200</v>
      </c>
      <c r="BR289">
        <f>BN289-BO289-BP289-BQ289</f>
        <v>43950</v>
      </c>
      <c r="BS289">
        <f>_xlfn.XLOOKUP(B289,'[7]september-2025'!$A:$A,'[7]september-2025'!$C:$C,0,0)</f>
        <v>35500</v>
      </c>
      <c r="BT289">
        <f t="shared" si="571"/>
        <v>6390</v>
      </c>
      <c r="BU289">
        <f t="shared" si="572"/>
        <v>4260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>IF(BS289&gt;0,SUM(BS289:BW289),0)</f>
        <v>46650</v>
      </c>
      <c r="BY289">
        <f>_xlfn.XLOOKUP(B289,'[7]september-2025'!$A:$A,'[7]september-2025'!$H:$H,0,0)</f>
        <v>2500</v>
      </c>
      <c r="BZ289">
        <f>_xlfn.XLOOKUP(B289,'[7]september-2025'!$A:$A,'[7]september-2025'!$I:$I,0,0)</f>
        <v>0</v>
      </c>
      <c r="CA289">
        <f t="shared" si="573"/>
        <v>200</v>
      </c>
      <c r="CB289">
        <f t="shared" si="574"/>
        <v>43950</v>
      </c>
      <c r="CC289">
        <f>_xlfn.XLOOKUP(B289,'[8]october-2025'!$A:$A,'[8]october-2025'!$C:$C,0,0)</f>
        <v>35500</v>
      </c>
      <c r="CD289">
        <f t="shared" si="575"/>
        <v>6390</v>
      </c>
      <c r="CE289">
        <f t="shared" si="576"/>
        <v>4260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>IF(CC289&gt;0,SUM(CC289:CG289),0)</f>
        <v>46650</v>
      </c>
      <c r="CI289">
        <f>_xlfn.XLOOKUP(B289,'[8]october-2025'!$A:$A,'[8]october-2025'!$H:$H,0,0)</f>
        <v>2500</v>
      </c>
      <c r="CJ289">
        <f>_xlfn.XLOOKUP(B289,'[8]october-2025'!$A:$A,'[8]october-2025'!$I:$I,0,0)</f>
        <v>0</v>
      </c>
      <c r="CK289">
        <f t="shared" si="577"/>
        <v>200</v>
      </c>
      <c r="CL289">
        <f t="shared" si="578"/>
        <v>43950</v>
      </c>
      <c r="CM289">
        <f>_xlfn.XLOOKUP(B289,'[9]november-2025'!$A:$A,'[9]november-2025'!$C:$C,0,0)</f>
        <v>35500</v>
      </c>
      <c r="CN289">
        <f t="shared" si="579"/>
        <v>6390</v>
      </c>
      <c r="CO289">
        <f t="shared" si="580"/>
        <v>4260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>IF(CM289&gt;0,SUM(CM289:CQ289),0)</f>
        <v>46650</v>
      </c>
      <c r="CS289">
        <f>_xlfn.XLOOKUP(B289,'[9]november-2025'!$A:$A,'[9]november-2025'!$H:$H,0,0)</f>
        <v>2500</v>
      </c>
      <c r="CT289">
        <f>_xlfn.XLOOKUP(B289,'[9]november-2025'!$A:$A,'[9]november-2025'!$I:$I,0,0)</f>
        <v>0</v>
      </c>
      <c r="CU289">
        <f t="shared" si="581"/>
        <v>200</v>
      </c>
      <c r="CV289">
        <f t="shared" si="582"/>
        <v>43950</v>
      </c>
      <c r="CW289">
        <f>_xlfn.XLOOKUP(B289,'[10]december-2025'!$A:$A,'[10]december-2025'!$C:$C,0,0)</f>
        <v>35500</v>
      </c>
      <c r="CX289">
        <f t="shared" si="583"/>
        <v>6390</v>
      </c>
      <c r="CY289">
        <f t="shared" si="584"/>
        <v>4260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>IF(CW289&gt;0,SUM(CW289:DA289),0)</f>
        <v>46650</v>
      </c>
      <c r="DC289">
        <f>_xlfn.XLOOKUP(B289,'[10]december-2025'!$A:$A,'[10]december-2025'!$H:$H,0,0)</f>
        <v>2500</v>
      </c>
      <c r="DD289">
        <f>_xlfn.XLOOKUP(B289,'[10]december-2025'!$A:$A,'[10]december-2025'!$I:$I,0,0)</f>
        <v>0</v>
      </c>
      <c r="DE289">
        <f t="shared" si="585"/>
        <v>200</v>
      </c>
      <c r="DF289">
        <f t="shared" si="586"/>
        <v>43950</v>
      </c>
      <c r="DG289">
        <f>_xlfn.XLOOKUP(B289,'[11]january-2026'!$A:$A,'[11]january-2026'!$C:$C,0,0)</f>
        <v>35500</v>
      </c>
      <c r="DH289">
        <f t="shared" si="587"/>
        <v>6390</v>
      </c>
      <c r="DI289">
        <f t="shared" si="588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>IF(DG289&gt;0,SUM(DG289:DK289),0)</f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589"/>
        <v>200</v>
      </c>
      <c r="DP289">
        <f t="shared" si="590"/>
        <v>43950</v>
      </c>
      <c r="DQ289">
        <f>_xlfn.XLOOKUP(B289,'[12]february-2026'!$A:$A,'[12]february-2026'!$C:$C,0,0)</f>
        <v>35500</v>
      </c>
      <c r="DR289">
        <f t="shared" si="591"/>
        <v>6390</v>
      </c>
      <c r="DS289">
        <f t="shared" si="592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>IF(DQ289&gt;0,SUM(DQ289:DU289),0)</f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593"/>
        <v>200</v>
      </c>
      <c r="DZ289">
        <f t="shared" si="594"/>
        <v>43950</v>
      </c>
      <c r="EA289">
        <f>_xlfn.XLOOKUP(B289,'[1]march-2025'!$A:$A,'[1]march-2025'!$J:$J,0,0)</f>
        <v>0</v>
      </c>
      <c r="EB289">
        <f>_xlfn.XLOOKUP(B289,'[2]april-2025'!$A:$A,'[2]april-2025'!$J:$J,0,0)</f>
        <v>0</v>
      </c>
      <c r="EC289">
        <f>_xlfn.XLOOKUP(B289,'[3]may-2025'!$A:$A,'[3]may-2025'!$J:$J,0,0)</f>
        <v>0</v>
      </c>
      <c r="ED289">
        <f>_xlfn.XLOOKUP(B289,'[4]june-2025'!$A:$A,'[4]june-2025'!$J:$J,0,0)</f>
        <v>0</v>
      </c>
      <c r="EE289">
        <f>_xlfn.XLOOKUP(B289,'[5]july-2025'!$A:$A,'[5]july-2025'!$J:$J,0,0)</f>
        <v>0</v>
      </c>
      <c r="EF289">
        <f>_xlfn.XLOOKUP(B289,'[6]august-2025'!$A:$A,'[6]august-2025'!$J:$J,0,0)</f>
        <v>0</v>
      </c>
      <c r="EG289">
        <f>_xlfn.XLOOKUP(B289,'[7]september-2025'!$A:$A,'[7]september-2025'!$J:$J,0,0)</f>
        <v>0</v>
      </c>
      <c r="EH289">
        <f>_xlfn.XLOOKUP(B289,'[8]october-2025'!$A:$A,'[8]october-2025'!$J:$J,0,0)</f>
        <v>0</v>
      </c>
      <c r="EI289">
        <f>_xlfn.XLOOKUP(C289,'[9]november-2025'!$A:$A,'[9]november-2025'!$J:$J,0,0)</f>
        <v>0</v>
      </c>
      <c r="EJ289">
        <f>_xlfn.XLOOKUP(B289,'[10]december-2025'!$A:$A,'[10]december-2025'!$J:$J,0,0)</f>
        <v>0</v>
      </c>
      <c r="EK289">
        <f>_xlfn.XLOOKUP(B289,'[11]january-2026'!$A:$A,'[11]january-2026'!$J:$J,0,0)</f>
        <v>0</v>
      </c>
      <c r="EL289">
        <f>_xlfn.XLOOKUP(B289,'[12]february-2026'!$A:$A,'[12]february-2026'!$J:$J,0,0)</f>
        <v>0</v>
      </c>
      <c r="EM289">
        <f t="shared" si="548"/>
        <v>0</v>
      </c>
      <c r="EN289">
        <f>DV289+DL289+DB289+CR289+CH289+BX289+BN289+BD289+AS289+AI289+Y289+O289+H289+I289</f>
        <v>560020</v>
      </c>
      <c r="EO289">
        <f>DY289+DO289+DE289+CU289+CK289+CA289+BQ289+BG289+AV289+AL289+AB289+R289</f>
        <v>2400</v>
      </c>
      <c r="EP289">
        <f t="shared" si="595"/>
        <v>50000</v>
      </c>
      <c r="EQ289">
        <v>0</v>
      </c>
      <c r="ER289">
        <f t="shared" si="549"/>
        <v>507620</v>
      </c>
      <c r="ES289">
        <f>DW289+DM289+DC289+CS289+CI289+BY289+BO289+BE289+AT289+AJ289+Z289+P289</f>
        <v>30000</v>
      </c>
      <c r="ET289">
        <f>DX289+DN289+DD289+CT289+CJ289+BZ289+BP289+BF289+AU289+AK289+AA289+Q289</f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596"/>
        <v>30000</v>
      </c>
      <c r="FF289">
        <f t="shared" si="597"/>
        <v>30000</v>
      </c>
      <c r="FG289">
        <f t="shared" si="598"/>
        <v>477620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>SUM(FH289:FN289)+(IF(F289="YES",50000,0))</f>
        <v>0</v>
      </c>
      <c r="FP289">
        <f t="shared" si="599"/>
        <v>477620</v>
      </c>
      <c r="FQ289">
        <f t="shared" si="600"/>
        <v>11381</v>
      </c>
      <c r="FR289">
        <f t="shared" si="601"/>
        <v>0</v>
      </c>
      <c r="FS289">
        <f t="shared" si="602"/>
        <v>11381</v>
      </c>
      <c r="FT289">
        <f t="shared" si="603"/>
        <v>0</v>
      </c>
      <c r="FU289">
        <f t="shared" si="604"/>
        <v>0</v>
      </c>
      <c r="FV289">
        <f t="shared" si="605"/>
        <v>0</v>
      </c>
      <c r="FW289">
        <v>0</v>
      </c>
      <c r="FX289">
        <f t="shared" si="606"/>
        <v>0</v>
      </c>
      <c r="FY289" t="b">
        <f t="shared" si="607"/>
        <v>1</v>
      </c>
      <c r="FZ289">
        <f t="shared" ca="1" si="608"/>
        <v>595</v>
      </c>
      <c r="GA289">
        <f t="shared" ca="1" si="609"/>
        <v>560615</v>
      </c>
      <c r="GB289">
        <f t="shared" si="610"/>
        <v>75000</v>
      </c>
      <c r="GC289">
        <f t="shared" ca="1" si="611"/>
        <v>485615</v>
      </c>
      <c r="GD289">
        <f t="shared" ca="1" si="612"/>
        <v>0</v>
      </c>
      <c r="GE289">
        <f t="shared" ca="1" si="613"/>
        <v>0</v>
      </c>
      <c r="GF289">
        <f t="shared" ca="1" si="614"/>
        <v>0</v>
      </c>
      <c r="GG289">
        <f t="shared" ca="1" si="615"/>
        <v>0</v>
      </c>
      <c r="GH289">
        <f t="shared" ca="1" si="616"/>
        <v>0</v>
      </c>
      <c r="GI289">
        <f t="shared" ca="1" si="617"/>
        <v>0</v>
      </c>
      <c r="GJ289">
        <f ca="1">IF(GC289&gt;1200000,GC289-1200000-IF(F289="YES",50000,0)-GH289,0)</f>
        <v>0</v>
      </c>
      <c r="GK289">
        <f t="shared" ca="1" si="618"/>
        <v>0</v>
      </c>
      <c r="GL289">
        <f t="shared" ca="1" si="619"/>
        <v>0</v>
      </c>
      <c r="GM289">
        <f t="shared" ca="1" si="620"/>
        <v>0</v>
      </c>
      <c r="GN289">
        <f t="shared" ca="1" si="621"/>
        <v>85615</v>
      </c>
      <c r="GO289">
        <f t="shared" ca="1" si="622"/>
        <v>4280.75</v>
      </c>
      <c r="GP289">
        <f t="shared" ca="1" si="623"/>
        <v>4281</v>
      </c>
      <c r="GQ289">
        <f t="shared" ca="1" si="624"/>
        <v>0</v>
      </c>
      <c r="GR289">
        <f t="shared" ca="1" si="625"/>
        <v>0</v>
      </c>
      <c r="GS289">
        <f t="shared" ca="1" si="626"/>
        <v>4281</v>
      </c>
      <c r="GT289">
        <f t="shared" ca="1" si="627"/>
        <v>0</v>
      </c>
      <c r="GU289" t="b">
        <f t="shared" ca="1" si="628"/>
        <v>0</v>
      </c>
      <c r="GV289">
        <f t="shared" ca="1" si="629"/>
        <v>0</v>
      </c>
      <c r="GW289">
        <f t="shared" ca="1" si="630"/>
        <v>4281</v>
      </c>
      <c r="GX289">
        <f t="shared" ca="1" si="631"/>
        <v>0</v>
      </c>
      <c r="GY289">
        <f t="shared" ca="1" si="632"/>
        <v>0</v>
      </c>
      <c r="GZ289">
        <f t="shared" ca="1" si="633"/>
        <v>0</v>
      </c>
    </row>
    <row r="290" spans="1:208" x14ac:dyDescent="0.25">
      <c r="A290">
        <f>_xlfn.AGGREGATE(3,5,$B$2:B290)</f>
        <v>289</v>
      </c>
      <c r="B290" t="s">
        <v>679</v>
      </c>
      <c r="C290" t="s">
        <v>680</v>
      </c>
      <c r="D290" t="s">
        <v>825</v>
      </c>
      <c r="E290" t="s">
        <v>831</v>
      </c>
      <c r="F290" t="s">
        <v>957</v>
      </c>
      <c r="G290" t="s">
        <v>879</v>
      </c>
      <c r="H290">
        <f t="shared" si="635"/>
        <v>6800</v>
      </c>
      <c r="I290">
        <f>_xlfn.XLOOKUP(B290,'[1]march-2025'!$A:$A,'[1]march-2025'!$J:$J,0,0)</f>
        <v>0</v>
      </c>
      <c r="J290">
        <f>_xlfn.XLOOKUP(B290,'[1]march-2025'!$A:$A,'[1]march-2025'!$C:$C,0,0)</f>
        <v>27000</v>
      </c>
      <c r="K290">
        <f t="shared" si="550"/>
        <v>3780.0000000000005</v>
      </c>
      <c r="L290">
        <f t="shared" si="551"/>
        <v>3240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>IF(J290&gt;0,SUM(J290:N290),0)</f>
        <v>34520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634"/>
        <v>150</v>
      </c>
      <c r="S290">
        <f t="shared" si="544"/>
        <v>32370</v>
      </c>
      <c r="T290">
        <f>_xlfn.XLOOKUP(B290,'[2]april-2025'!$A:$A,'[2]april-2025'!$C:$C,0,0)</f>
        <v>27000</v>
      </c>
      <c r="U290">
        <f t="shared" si="552"/>
        <v>4860</v>
      </c>
      <c r="V290">
        <f t="shared" si="553"/>
        <v>3240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545"/>
        <v>35600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554"/>
        <v>150</v>
      </c>
      <c r="AC290">
        <f t="shared" si="555"/>
        <v>33450</v>
      </c>
      <c r="AD290">
        <f>_xlfn.XLOOKUP(B290,'[3]may-2025'!$A:$A,'[3]may-2025'!$C:$C,0,0)</f>
        <v>31600</v>
      </c>
      <c r="AE290">
        <f t="shared" si="556"/>
        <v>5688</v>
      </c>
      <c r="AF290">
        <f t="shared" si="557"/>
        <v>3792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546"/>
        <v>41580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558"/>
        <v>200</v>
      </c>
      <c r="AM290">
        <f t="shared" si="559"/>
        <v>39380</v>
      </c>
      <c r="AN290">
        <f>_xlfn.XLOOKUP(B290,'[4]june-2025'!$A:$A,'[4]june-2025'!$C:$C,0,0)</f>
        <v>27000</v>
      </c>
      <c r="AO290">
        <f t="shared" si="560"/>
        <v>4860</v>
      </c>
      <c r="AP290">
        <f t="shared" si="561"/>
        <v>3240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547"/>
        <v>35600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562"/>
        <v>150</v>
      </c>
      <c r="AW290">
        <f t="shared" si="563"/>
        <v>33450</v>
      </c>
      <c r="AX290">
        <f>_xlfn.XLOOKUP(B290,'[5]july-2025'!$A:$A,'[5]july-2025'!$C:$C,0,0)</f>
        <v>32500</v>
      </c>
      <c r="AY290">
        <f t="shared" si="564"/>
        <v>5850</v>
      </c>
      <c r="AZ290">
        <v>0</v>
      </c>
      <c r="BA290">
        <f t="shared" si="565"/>
        <v>3900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>IF(AX290&gt;0,SUM(AX290:BC290),0)</f>
        <v>42750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566"/>
        <v>200</v>
      </c>
      <c r="BH290">
        <f t="shared" si="567"/>
        <v>40550</v>
      </c>
      <c r="BI290">
        <f>_xlfn.XLOOKUP(B290,'[6]august-2025'!$A:$A,'[6]august-2025'!$C:$C,0,0)</f>
        <v>32500</v>
      </c>
      <c r="BJ290">
        <f t="shared" si="568"/>
        <v>5850</v>
      </c>
      <c r="BK290">
        <f t="shared" si="569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570"/>
        <v>42750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>IF($F290="YES",0,IF(BN290&gt;40000,200,IF(BN290&gt;25000,150,IF(BN290&gt;15000,130,IF(BN290&gt;10000,110,0)))))</f>
        <v>200</v>
      </c>
      <c r="BR290">
        <f>BN290-BO290-BP290-BQ290</f>
        <v>40550</v>
      </c>
      <c r="BS290">
        <f>_xlfn.XLOOKUP(B290,'[7]september-2025'!$A:$A,'[7]september-2025'!$C:$C,0,0)</f>
        <v>32500</v>
      </c>
      <c r="BT290">
        <f t="shared" si="571"/>
        <v>5850</v>
      </c>
      <c r="BU290">
        <f t="shared" si="572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>IF(BS290&gt;0,SUM(BS290:BW290),0)</f>
        <v>42750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573"/>
        <v>200</v>
      </c>
      <c r="CB290">
        <f t="shared" si="574"/>
        <v>40550</v>
      </c>
      <c r="CC290">
        <f>_xlfn.XLOOKUP(B290,'[8]october-2025'!$A:$A,'[8]october-2025'!$C:$C,0,0)</f>
        <v>32500</v>
      </c>
      <c r="CD290">
        <f t="shared" si="575"/>
        <v>5850</v>
      </c>
      <c r="CE290">
        <f t="shared" si="576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>IF(CC290&gt;0,SUM(CC290:CG290),0)</f>
        <v>42750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577"/>
        <v>200</v>
      </c>
      <c r="CL290">
        <f t="shared" si="578"/>
        <v>40550</v>
      </c>
      <c r="CM290">
        <f>_xlfn.XLOOKUP(B290,'[9]november-2025'!$A:$A,'[9]november-2025'!$C:$C,0,0)</f>
        <v>32500</v>
      </c>
      <c r="CN290">
        <f t="shared" si="579"/>
        <v>5850</v>
      </c>
      <c r="CO290">
        <f t="shared" si="580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>IF(CM290&gt;0,SUM(CM290:CQ290),0)</f>
        <v>42750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581"/>
        <v>200</v>
      </c>
      <c r="CV290">
        <f t="shared" si="582"/>
        <v>40550</v>
      </c>
      <c r="CW290">
        <f>_xlfn.XLOOKUP(B290,'[10]december-2025'!$A:$A,'[10]december-2025'!$C:$C,0,0)</f>
        <v>32500</v>
      </c>
      <c r="CX290">
        <f t="shared" si="583"/>
        <v>5850</v>
      </c>
      <c r="CY290">
        <f t="shared" si="584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>IF(CW290&gt;0,SUM(CW290:DA290),0)</f>
        <v>42750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585"/>
        <v>200</v>
      </c>
      <c r="DF290">
        <f t="shared" si="586"/>
        <v>40550</v>
      </c>
      <c r="DG290">
        <f>_xlfn.XLOOKUP(B290,'[11]january-2026'!$A:$A,'[11]january-2026'!$C:$C,0,0)</f>
        <v>32500</v>
      </c>
      <c r="DH290">
        <f t="shared" si="587"/>
        <v>5850</v>
      </c>
      <c r="DI290">
        <f t="shared" si="588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>IF(DG290&gt;0,SUM(DG290:DK290),0)</f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589"/>
        <v>200</v>
      </c>
      <c r="DP290">
        <f t="shared" si="590"/>
        <v>40550</v>
      </c>
      <c r="DQ290">
        <f>_xlfn.XLOOKUP(B290,'[12]february-2026'!$A:$A,'[12]february-2026'!$C:$C,0,0)</f>
        <v>32500</v>
      </c>
      <c r="DR290">
        <f t="shared" si="591"/>
        <v>5850</v>
      </c>
      <c r="DS290">
        <f t="shared" si="592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>IF(DQ290&gt;0,SUM(DQ290:DU290),0)</f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593"/>
        <v>200</v>
      </c>
      <c r="DZ290">
        <f t="shared" si="594"/>
        <v>40550</v>
      </c>
      <c r="EA290">
        <f>_xlfn.XLOOKUP(B290,'[1]march-2025'!$A:$A,'[1]march-2025'!$J:$J,0,0)</f>
        <v>0</v>
      </c>
      <c r="EB290">
        <f>_xlfn.XLOOKUP(B290,'[2]april-2025'!$A:$A,'[2]april-2025'!$J:$J,0,0)</f>
        <v>0</v>
      </c>
      <c r="EC290">
        <f>_xlfn.XLOOKUP(B290,'[3]may-2025'!$A:$A,'[3]may-2025'!$J:$J,0,0)</f>
        <v>0</v>
      </c>
      <c r="ED290">
        <f>_xlfn.XLOOKUP(B290,'[4]june-2025'!$A:$A,'[4]june-2025'!$J:$J,0,0)</f>
        <v>0</v>
      </c>
      <c r="EE290">
        <f>_xlfn.XLOOKUP(B290,'[5]july-2025'!$A:$A,'[5]july-2025'!$J:$J,0,0)</f>
        <v>0</v>
      </c>
      <c r="EF290">
        <f>_xlfn.XLOOKUP(B290,'[6]august-2025'!$A:$A,'[6]august-2025'!$J:$J,0,0)</f>
        <v>0</v>
      </c>
      <c r="EG290">
        <f>_xlfn.XLOOKUP(B290,'[7]september-2025'!$A:$A,'[7]september-2025'!$J:$J,0,0)</f>
        <v>0</v>
      </c>
      <c r="EH290">
        <f>_xlfn.XLOOKUP(B290,'[8]october-2025'!$A:$A,'[8]october-2025'!$J:$J,0,0)</f>
        <v>0</v>
      </c>
      <c r="EI290">
        <f>_xlfn.XLOOKUP(C290,'[9]november-2025'!$A:$A,'[9]november-2025'!$J:$J,0,0)</f>
        <v>0</v>
      </c>
      <c r="EJ290">
        <f>_xlfn.XLOOKUP(B290,'[10]december-2025'!$A:$A,'[10]december-2025'!$J:$J,0,0)</f>
        <v>0</v>
      </c>
      <c r="EK290">
        <f>_xlfn.XLOOKUP(B290,'[11]january-2026'!$A:$A,'[11]january-2026'!$J:$J,0,0)</f>
        <v>0</v>
      </c>
      <c r="EL290">
        <f>_xlfn.XLOOKUP(B290,'[12]february-2026'!$A:$A,'[12]february-2026'!$J:$J,0,0)</f>
        <v>0</v>
      </c>
      <c r="EM290">
        <f t="shared" si="548"/>
        <v>0</v>
      </c>
      <c r="EN290">
        <f>DV290+DL290+DB290+CR290+CH290+BX290+BN290+BD290+AS290+AI290+Y290+O290+H290+I290</f>
        <v>496100</v>
      </c>
      <c r="EO290">
        <f>DY290+DO290+DE290+CU290+CK290+CA290+BQ290+BG290+AV290+AL290+AB290+R290</f>
        <v>2250</v>
      </c>
      <c r="EP290">
        <f t="shared" si="595"/>
        <v>50000</v>
      </c>
      <c r="EQ290">
        <v>0</v>
      </c>
      <c r="ER290">
        <f t="shared" si="549"/>
        <v>443850</v>
      </c>
      <c r="ES290">
        <f>DW290+DM290+DC290+CS290+CI290+BY290+BO290+BE290+AT290+AJ290+Z290+P290</f>
        <v>24000</v>
      </c>
      <c r="ET290">
        <f>DX290+DN290+DD290+CT290+CJ290+BZ290+BP290+BF290+AU290+AK290+AA290+Q290</f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596"/>
        <v>24000</v>
      </c>
      <c r="FF290">
        <f t="shared" si="597"/>
        <v>24000</v>
      </c>
      <c r="FG290">
        <f t="shared" si="598"/>
        <v>419850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>SUM(FH290:FN290)+(IF(F290="YES",50000,0))</f>
        <v>0</v>
      </c>
      <c r="FP290">
        <f t="shared" si="599"/>
        <v>419850</v>
      </c>
      <c r="FQ290">
        <f t="shared" si="600"/>
        <v>8493</v>
      </c>
      <c r="FR290">
        <f t="shared" si="601"/>
        <v>0</v>
      </c>
      <c r="FS290">
        <f t="shared" si="602"/>
        <v>8493</v>
      </c>
      <c r="FT290">
        <f t="shared" si="603"/>
        <v>0</v>
      </c>
      <c r="FU290">
        <f t="shared" si="604"/>
        <v>0</v>
      </c>
      <c r="FV290">
        <f t="shared" si="605"/>
        <v>0</v>
      </c>
      <c r="FW290">
        <v>0</v>
      </c>
      <c r="FX290">
        <f t="shared" si="606"/>
        <v>0</v>
      </c>
      <c r="FY290" t="b">
        <f t="shared" si="607"/>
        <v>0</v>
      </c>
      <c r="FZ290">
        <f t="shared" ca="1" si="608"/>
        <v>1793</v>
      </c>
      <c r="GA290">
        <f t="shared" ca="1" si="609"/>
        <v>497893</v>
      </c>
      <c r="GB290">
        <f t="shared" si="610"/>
        <v>75000</v>
      </c>
      <c r="GC290">
        <f t="shared" ca="1" si="611"/>
        <v>422893</v>
      </c>
      <c r="GD290">
        <f t="shared" ca="1" si="612"/>
        <v>0</v>
      </c>
      <c r="GE290">
        <f t="shared" ca="1" si="613"/>
        <v>0</v>
      </c>
      <c r="GF290">
        <f t="shared" ca="1" si="614"/>
        <v>0</v>
      </c>
      <c r="GG290">
        <f t="shared" ca="1" si="615"/>
        <v>0</v>
      </c>
      <c r="GH290">
        <f t="shared" ca="1" si="616"/>
        <v>0</v>
      </c>
      <c r="GI290">
        <f t="shared" ca="1" si="617"/>
        <v>0</v>
      </c>
      <c r="GJ290">
        <f ca="1">IF(GC290&gt;1200000,GC290-1200000-IF(F290="YES",50000,0)-GH290,0)</f>
        <v>0</v>
      </c>
      <c r="GK290">
        <f t="shared" ca="1" si="618"/>
        <v>0</v>
      </c>
      <c r="GL290">
        <f t="shared" ca="1" si="619"/>
        <v>0</v>
      </c>
      <c r="GM290">
        <f t="shared" ca="1" si="620"/>
        <v>0</v>
      </c>
      <c r="GN290">
        <f t="shared" ca="1" si="621"/>
        <v>22893</v>
      </c>
      <c r="GO290">
        <f t="shared" ca="1" si="622"/>
        <v>1144.6500000000001</v>
      </c>
      <c r="GP290">
        <f t="shared" ca="1" si="623"/>
        <v>1145</v>
      </c>
      <c r="GQ290">
        <f t="shared" ca="1" si="624"/>
        <v>0</v>
      </c>
      <c r="GR290">
        <f t="shared" ca="1" si="625"/>
        <v>0</v>
      </c>
      <c r="GS290">
        <f t="shared" ca="1" si="626"/>
        <v>1145</v>
      </c>
      <c r="GT290">
        <f t="shared" ca="1" si="627"/>
        <v>0</v>
      </c>
      <c r="GU290" t="b">
        <f t="shared" ca="1" si="628"/>
        <v>0</v>
      </c>
      <c r="GV290">
        <f t="shared" ca="1" si="629"/>
        <v>0</v>
      </c>
      <c r="GW290">
        <f t="shared" ca="1" si="630"/>
        <v>1145</v>
      </c>
      <c r="GX290">
        <f t="shared" ca="1" si="631"/>
        <v>0</v>
      </c>
      <c r="GY290">
        <f t="shared" ca="1" si="632"/>
        <v>0</v>
      </c>
      <c r="GZ290">
        <f t="shared" ca="1" si="633"/>
        <v>0</v>
      </c>
    </row>
    <row r="291" spans="1:208" x14ac:dyDescent="0.25">
      <c r="A291">
        <f>_xlfn.AGGREGATE(3,5,$B$2:B291)</f>
        <v>290</v>
      </c>
      <c r="B291" t="s">
        <v>681</v>
      </c>
      <c r="C291" t="s">
        <v>682</v>
      </c>
      <c r="D291" t="s">
        <v>825</v>
      </c>
      <c r="E291" t="s">
        <v>831</v>
      </c>
      <c r="F291" t="s">
        <v>957</v>
      </c>
      <c r="G291" t="s">
        <v>879</v>
      </c>
      <c r="H291">
        <f t="shared" si="635"/>
        <v>6800</v>
      </c>
      <c r="I291">
        <f>_xlfn.XLOOKUP(B291,'[1]march-2025'!$A:$A,'[1]march-2025'!$J:$J,0,0)</f>
        <v>0</v>
      </c>
      <c r="J291">
        <f>_xlfn.XLOOKUP(B291,'[1]march-2025'!$A:$A,'[1]march-2025'!$C:$C,0,0)</f>
        <v>31600</v>
      </c>
      <c r="K291">
        <f t="shared" si="550"/>
        <v>4424</v>
      </c>
      <c r="L291">
        <f t="shared" si="551"/>
        <v>3792</v>
      </c>
      <c r="M291">
        <f>_xlfn.XLOOKUP(B291,'[1]march-2025'!$A:$A,'[1]march-2025'!$D:$D,0,0)</f>
        <v>0</v>
      </c>
      <c r="N291">
        <f>_xlfn.XLOOKUP(B291,'[1]march-2025'!$A:$A,'[1]march-2025'!$G:$G,0,0)</f>
        <v>0</v>
      </c>
      <c r="O291">
        <f>IF(J291&gt;0,SUM(J291:N291),0)</f>
        <v>39816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634"/>
        <v>150</v>
      </c>
      <c r="S291">
        <f t="shared" si="544"/>
        <v>37666</v>
      </c>
      <c r="T291">
        <f>_xlfn.XLOOKUP(B291,'[2]april-2025'!$A:$A,'[2]april-2025'!$C:$C,0,0)</f>
        <v>31600</v>
      </c>
      <c r="U291">
        <f t="shared" si="552"/>
        <v>5688</v>
      </c>
      <c r="V291">
        <f t="shared" si="553"/>
        <v>3792</v>
      </c>
      <c r="W291">
        <f>_xlfn.XLOOKUP(B291,'[2]april-2025'!$A:$A,'[2]april-2025'!$D:$D,0,0)</f>
        <v>0</v>
      </c>
      <c r="X291">
        <f>_xlfn.XLOOKUP(B291,'[2]april-2025'!$A:$A,'[2]april-2025'!$G:$G,0,0)</f>
        <v>0</v>
      </c>
      <c r="Y291">
        <f t="shared" si="545"/>
        <v>41080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554"/>
        <v>200</v>
      </c>
      <c r="AC291">
        <f t="shared" si="555"/>
        <v>38880</v>
      </c>
      <c r="AD291">
        <f>_xlfn.XLOOKUP(B291,'[3]may-2025'!$A:$A,'[3]may-2025'!$C:$C,0,0)</f>
        <v>31600</v>
      </c>
      <c r="AE291">
        <f t="shared" si="556"/>
        <v>5688</v>
      </c>
      <c r="AF291">
        <f t="shared" si="557"/>
        <v>3792</v>
      </c>
      <c r="AG291">
        <f>_xlfn.XLOOKUP(B291,'[3]may-2025'!$A:$A,'[3]may-2025'!$D:$D,0,0)</f>
        <v>0</v>
      </c>
      <c r="AH291">
        <f>_xlfn.XLOOKUP(B291,'[3]may-2025'!$A:$A,'[3]may-2025'!$G:$G,0,0)</f>
        <v>0</v>
      </c>
      <c r="AI291">
        <f t="shared" si="546"/>
        <v>41080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558"/>
        <v>200</v>
      </c>
      <c r="AM291">
        <f t="shared" si="559"/>
        <v>38880</v>
      </c>
      <c r="AN291">
        <f>_xlfn.XLOOKUP(B291,'[4]june-2025'!$A:$A,'[4]june-2025'!$C:$C,0,0)</f>
        <v>31600</v>
      </c>
      <c r="AO291">
        <f t="shared" si="560"/>
        <v>5688</v>
      </c>
      <c r="AP291">
        <f t="shared" si="561"/>
        <v>3792</v>
      </c>
      <c r="AQ291">
        <f>_xlfn.XLOOKUP(B291,'[4]june-2025'!$A:$A,'[4]june-2025'!$D:$D,0,0)</f>
        <v>0</v>
      </c>
      <c r="AR291">
        <f>_xlfn.XLOOKUP(B291,'[4]june-2025'!$A:$A,'[4]june-2025'!$G:$G,0,0)</f>
        <v>0</v>
      </c>
      <c r="AS291">
        <f t="shared" si="547"/>
        <v>41080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562"/>
        <v>200</v>
      </c>
      <c r="AW291">
        <f t="shared" si="563"/>
        <v>38880</v>
      </c>
      <c r="AX291">
        <f>_xlfn.XLOOKUP(B291,'[5]july-2025'!$A:$A,'[5]july-2025'!$C:$C,0,0)</f>
        <v>32500</v>
      </c>
      <c r="AY291">
        <f t="shared" si="564"/>
        <v>5850</v>
      </c>
      <c r="AZ291">
        <v>0</v>
      </c>
      <c r="BA291">
        <f t="shared" si="565"/>
        <v>3900</v>
      </c>
      <c r="BB291">
        <f>_xlfn.XLOOKUP(B291,'[5]july-2025'!$A:$A,'[5]july-2025'!$D:$D,0,0)</f>
        <v>0</v>
      </c>
      <c r="BC291">
        <f>_xlfn.XLOOKUP(B291,'[5]july-2025'!$A:$A,'[5]july-2025'!$G:$G,0,0)</f>
        <v>0</v>
      </c>
      <c r="BD291">
        <f>IF(AX291&gt;0,SUM(AX291:BC291),0)</f>
        <v>42250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566"/>
        <v>200</v>
      </c>
      <c r="BH291">
        <f t="shared" si="567"/>
        <v>40050</v>
      </c>
      <c r="BI291">
        <f>_xlfn.XLOOKUP(B291,'[6]august-2025'!$A:$A,'[6]august-2025'!$C:$C,0,0)</f>
        <v>32500</v>
      </c>
      <c r="BJ291">
        <f t="shared" si="568"/>
        <v>5850</v>
      </c>
      <c r="BK291">
        <f t="shared" si="569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0</v>
      </c>
      <c r="BN291">
        <f t="shared" si="570"/>
        <v>42250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>IF($F291="YES",0,IF(BN291&gt;40000,200,IF(BN291&gt;25000,150,IF(BN291&gt;15000,130,IF(BN291&gt;10000,110,0)))))</f>
        <v>200</v>
      </c>
      <c r="BR291">
        <f>BN291-BO291-BP291-BQ291</f>
        <v>40050</v>
      </c>
      <c r="BS291">
        <f>_xlfn.XLOOKUP(B291,'[7]september-2025'!$A:$A,'[7]september-2025'!$C:$C,0,0)</f>
        <v>32500</v>
      </c>
      <c r="BT291">
        <f t="shared" si="571"/>
        <v>5850</v>
      </c>
      <c r="BU291">
        <f t="shared" si="572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0</v>
      </c>
      <c r="BX291">
        <f>IF(BS291&gt;0,SUM(BS291:BW291),0)</f>
        <v>42250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573"/>
        <v>200</v>
      </c>
      <c r="CB291">
        <f t="shared" si="574"/>
        <v>40050</v>
      </c>
      <c r="CC291">
        <f>_xlfn.XLOOKUP(B291,'[8]october-2025'!$A:$A,'[8]october-2025'!$C:$C,0,0)</f>
        <v>32500</v>
      </c>
      <c r="CD291">
        <f t="shared" si="575"/>
        <v>5850</v>
      </c>
      <c r="CE291">
        <f t="shared" si="576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0</v>
      </c>
      <c r="CH291">
        <f>IF(CC291&gt;0,SUM(CC291:CG291),0)</f>
        <v>42250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577"/>
        <v>200</v>
      </c>
      <c r="CL291">
        <f t="shared" si="578"/>
        <v>40050</v>
      </c>
      <c r="CM291">
        <f>_xlfn.XLOOKUP(B291,'[9]november-2025'!$A:$A,'[9]november-2025'!$C:$C,0,0)</f>
        <v>32500</v>
      </c>
      <c r="CN291">
        <f t="shared" si="579"/>
        <v>5850</v>
      </c>
      <c r="CO291">
        <f t="shared" si="580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0</v>
      </c>
      <c r="CR291">
        <f>IF(CM291&gt;0,SUM(CM291:CQ291),0)</f>
        <v>42250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581"/>
        <v>200</v>
      </c>
      <c r="CV291">
        <f t="shared" si="582"/>
        <v>40050</v>
      </c>
      <c r="CW291">
        <f>_xlfn.XLOOKUP(B291,'[10]december-2025'!$A:$A,'[10]december-2025'!$C:$C,0,0)</f>
        <v>32500</v>
      </c>
      <c r="CX291">
        <f t="shared" si="583"/>
        <v>5850</v>
      </c>
      <c r="CY291">
        <f t="shared" si="584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0</v>
      </c>
      <c r="DB291">
        <f>IF(CW291&gt;0,SUM(CW291:DA291),0)</f>
        <v>42250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585"/>
        <v>200</v>
      </c>
      <c r="DF291">
        <f t="shared" si="586"/>
        <v>40050</v>
      </c>
      <c r="DG291">
        <f>_xlfn.XLOOKUP(B291,'[11]january-2026'!$A:$A,'[11]january-2026'!$C:$C,0,0)</f>
        <v>32500</v>
      </c>
      <c r="DH291">
        <f t="shared" si="587"/>
        <v>5850</v>
      </c>
      <c r="DI291">
        <f t="shared" si="588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>IF(DG291&gt;0,SUM(DG291:DK291),0)</f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589"/>
        <v>200</v>
      </c>
      <c r="DP291">
        <f t="shared" si="590"/>
        <v>40050</v>
      </c>
      <c r="DQ291">
        <f>_xlfn.XLOOKUP(B291,'[12]february-2026'!$A:$A,'[12]february-2026'!$C:$C,0,0)</f>
        <v>32500</v>
      </c>
      <c r="DR291">
        <f t="shared" si="591"/>
        <v>5850</v>
      </c>
      <c r="DS291">
        <f t="shared" si="592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>IF(DQ291&gt;0,SUM(DQ291:DU291),0)</f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593"/>
        <v>200</v>
      </c>
      <c r="DZ291">
        <f t="shared" si="594"/>
        <v>40050</v>
      </c>
      <c r="EA291">
        <f>_xlfn.XLOOKUP(B291,'[1]march-2025'!$A:$A,'[1]march-2025'!$J:$J,0,0)</f>
        <v>0</v>
      </c>
      <c r="EB291">
        <f>_xlfn.XLOOKUP(B291,'[2]april-2025'!$A:$A,'[2]april-2025'!$J:$J,0,0)</f>
        <v>0</v>
      </c>
      <c r="EC291">
        <f>_xlfn.XLOOKUP(B291,'[3]may-2025'!$A:$A,'[3]may-2025'!$J:$J,0,0)</f>
        <v>0</v>
      </c>
      <c r="ED291">
        <f>_xlfn.XLOOKUP(B291,'[4]june-2025'!$A:$A,'[4]june-2025'!$J:$J,0,0)</f>
        <v>0</v>
      </c>
      <c r="EE291">
        <f>_xlfn.XLOOKUP(B291,'[5]july-2025'!$A:$A,'[5]july-2025'!$J:$J,0,0)</f>
        <v>0</v>
      </c>
      <c r="EF291">
        <f>_xlfn.XLOOKUP(B291,'[6]august-2025'!$A:$A,'[6]august-2025'!$J:$J,0,0)</f>
        <v>0</v>
      </c>
      <c r="EG291">
        <f>_xlfn.XLOOKUP(B291,'[7]september-2025'!$A:$A,'[7]september-2025'!$J:$J,0,0)</f>
        <v>0</v>
      </c>
      <c r="EH291">
        <f>_xlfn.XLOOKUP(B291,'[8]october-2025'!$A:$A,'[8]october-2025'!$J:$J,0,0)</f>
        <v>0</v>
      </c>
      <c r="EI291">
        <f>_xlfn.XLOOKUP(C291,'[9]november-2025'!$A:$A,'[9]november-2025'!$J:$J,0,0)</f>
        <v>0</v>
      </c>
      <c r="EJ291">
        <f>_xlfn.XLOOKUP(B291,'[10]december-2025'!$A:$A,'[10]december-2025'!$J:$J,0,0)</f>
        <v>0</v>
      </c>
      <c r="EK291">
        <f>_xlfn.XLOOKUP(B291,'[11]january-2026'!$A:$A,'[11]january-2026'!$J:$J,0,0)</f>
        <v>0</v>
      </c>
      <c r="EL291">
        <f>_xlfn.XLOOKUP(B291,'[12]february-2026'!$A:$A,'[12]february-2026'!$J:$J,0,0)</f>
        <v>0</v>
      </c>
      <c r="EM291">
        <f t="shared" si="548"/>
        <v>0</v>
      </c>
      <c r="EN291">
        <f>DV291+DL291+DB291+CR291+CH291+BX291+BN291+BD291+AS291+AI291+Y291+O291+H291+I291</f>
        <v>507856</v>
      </c>
      <c r="EO291">
        <f>DY291+DO291+DE291+CU291+CK291+CA291+BQ291+BG291+AV291+AL291+AB291+R291</f>
        <v>2350</v>
      </c>
      <c r="EP291">
        <f t="shared" si="595"/>
        <v>50000</v>
      </c>
      <c r="EQ291">
        <v>0</v>
      </c>
      <c r="ER291">
        <f t="shared" si="549"/>
        <v>455506</v>
      </c>
      <c r="ES291">
        <f>DW291+DM291+DC291+CS291+CI291+BY291+BO291+BE291+AT291+AJ291+Z291+P291</f>
        <v>24000</v>
      </c>
      <c r="ET291">
        <f>DX291+DN291+DD291+CT291+CJ291+BZ291+BP291+BF291+AU291+AK291+AA291+Q291</f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596"/>
        <v>24000</v>
      </c>
      <c r="FF291">
        <f t="shared" si="597"/>
        <v>24000</v>
      </c>
      <c r="FG291">
        <f t="shared" si="598"/>
        <v>431506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>SUM(FH291:FN291)+(IF(F291="YES",50000,0))</f>
        <v>0</v>
      </c>
      <c r="FP291">
        <f t="shared" si="599"/>
        <v>431506</v>
      </c>
      <c r="FQ291">
        <f t="shared" si="600"/>
        <v>9075</v>
      </c>
      <c r="FR291">
        <f t="shared" si="601"/>
        <v>0</v>
      </c>
      <c r="FS291">
        <f t="shared" si="602"/>
        <v>9075</v>
      </c>
      <c r="FT291">
        <f t="shared" si="603"/>
        <v>0</v>
      </c>
      <c r="FU291">
        <f t="shared" si="604"/>
        <v>0</v>
      </c>
      <c r="FV291">
        <f t="shared" si="605"/>
        <v>0</v>
      </c>
      <c r="FW291">
        <v>0</v>
      </c>
      <c r="FX291">
        <f t="shared" si="606"/>
        <v>0</v>
      </c>
      <c r="FY291" t="b">
        <f t="shared" si="607"/>
        <v>1</v>
      </c>
      <c r="FZ291">
        <f t="shared" ca="1" si="608"/>
        <v>553</v>
      </c>
      <c r="GA291">
        <f t="shared" ca="1" si="609"/>
        <v>508409</v>
      </c>
      <c r="GB291">
        <f t="shared" si="610"/>
        <v>75000</v>
      </c>
      <c r="GC291">
        <f t="shared" ca="1" si="611"/>
        <v>433409</v>
      </c>
      <c r="GD291">
        <f t="shared" ca="1" si="612"/>
        <v>0</v>
      </c>
      <c r="GE291">
        <f t="shared" ca="1" si="613"/>
        <v>0</v>
      </c>
      <c r="GF291">
        <f t="shared" ca="1" si="614"/>
        <v>0</v>
      </c>
      <c r="GG291">
        <f t="shared" ca="1" si="615"/>
        <v>0</v>
      </c>
      <c r="GH291">
        <f t="shared" ca="1" si="616"/>
        <v>0</v>
      </c>
      <c r="GI291">
        <f t="shared" ca="1" si="617"/>
        <v>0</v>
      </c>
      <c r="GJ291">
        <f ca="1">IF(GC291&gt;1200000,GC291-1200000-IF(F291="YES",50000,0)-GH291,0)</f>
        <v>0</v>
      </c>
      <c r="GK291">
        <f t="shared" ca="1" si="618"/>
        <v>0</v>
      </c>
      <c r="GL291">
        <f t="shared" ca="1" si="619"/>
        <v>0</v>
      </c>
      <c r="GM291">
        <f t="shared" ca="1" si="620"/>
        <v>0</v>
      </c>
      <c r="GN291">
        <f t="shared" ca="1" si="621"/>
        <v>33409</v>
      </c>
      <c r="GO291">
        <f t="shared" ca="1" si="622"/>
        <v>1670.45</v>
      </c>
      <c r="GP291">
        <f t="shared" ca="1" si="623"/>
        <v>1670</v>
      </c>
      <c r="GQ291">
        <f t="shared" ca="1" si="624"/>
        <v>0</v>
      </c>
      <c r="GR291">
        <f t="shared" ca="1" si="625"/>
        <v>0</v>
      </c>
      <c r="GS291">
        <f t="shared" ca="1" si="626"/>
        <v>1670</v>
      </c>
      <c r="GT291">
        <f t="shared" ca="1" si="627"/>
        <v>0</v>
      </c>
      <c r="GU291" t="b">
        <f t="shared" ca="1" si="628"/>
        <v>0</v>
      </c>
      <c r="GV291">
        <f t="shared" ca="1" si="629"/>
        <v>0</v>
      </c>
      <c r="GW291">
        <f t="shared" ca="1" si="630"/>
        <v>1670</v>
      </c>
      <c r="GX291">
        <f t="shared" ca="1" si="631"/>
        <v>0</v>
      </c>
      <c r="GY291">
        <f t="shared" ca="1" si="632"/>
        <v>0</v>
      </c>
      <c r="GZ291">
        <f t="shared" ca="1" si="633"/>
        <v>0</v>
      </c>
    </row>
    <row r="292" spans="1:208" x14ac:dyDescent="0.25">
      <c r="A292">
        <f>_xlfn.AGGREGATE(3,5,$B$2:B292)</f>
        <v>291</v>
      </c>
      <c r="B292" t="s">
        <v>683</v>
      </c>
      <c r="C292" t="s">
        <v>684</v>
      </c>
      <c r="D292" t="s">
        <v>826</v>
      </c>
      <c r="E292" t="s">
        <v>832</v>
      </c>
      <c r="F292" t="s">
        <v>957</v>
      </c>
      <c r="G292" t="s">
        <v>880</v>
      </c>
      <c r="H292">
        <f t="shared" si="635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550"/>
        <v>7238.0000000000009</v>
      </c>
      <c r="L292">
        <f t="shared" si="551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500</v>
      </c>
      <c r="O292">
        <f>IF(J292&gt;0,SUM(J292:N292),0)</f>
        <v>66042</v>
      </c>
      <c r="P292">
        <f>_xlfn.XLOOKUP(B292,'[1]march-2025'!$A:$A,'[1]march-2025'!$H:$H,0,0)</f>
        <v>10000</v>
      </c>
      <c r="Q292">
        <f>_xlfn.XLOOKUP(B292,'[1]march-2025'!$A:$A,'[1]march-2025'!$I:$I,0,0)</f>
        <v>0</v>
      </c>
      <c r="R292">
        <f t="shared" si="634"/>
        <v>200</v>
      </c>
      <c r="S292">
        <f t="shared" si="544"/>
        <v>55842</v>
      </c>
      <c r="T292">
        <f>_xlfn.XLOOKUP(B292,'[2]april-2025'!$A:$A,'[2]april-2025'!$C:$C,0,0)</f>
        <v>51700</v>
      </c>
      <c r="U292">
        <f t="shared" si="552"/>
        <v>9306</v>
      </c>
      <c r="V292">
        <f t="shared" si="553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500</v>
      </c>
      <c r="Y292">
        <f t="shared" si="545"/>
        <v>68110</v>
      </c>
      <c r="Z292">
        <f>_xlfn.XLOOKUP(B292,'[2]april-2025'!$A:$A,'[2]april-2025'!$H:$H,0,0)</f>
        <v>10000</v>
      </c>
      <c r="AA292">
        <f>_xlfn.XLOOKUP(B292,'[2]april-2025'!$A:$A,'[2]april-2025'!$I:$I,0,0)</f>
        <v>0</v>
      </c>
      <c r="AB292">
        <f t="shared" si="554"/>
        <v>200</v>
      </c>
      <c r="AC292">
        <f t="shared" si="555"/>
        <v>57910</v>
      </c>
      <c r="AD292">
        <f>_xlfn.XLOOKUP(B292,'[3]may-2025'!$A:$A,'[3]may-2025'!$C:$C,0,0)</f>
        <v>51700</v>
      </c>
      <c r="AE292">
        <f t="shared" si="556"/>
        <v>9306</v>
      </c>
      <c r="AF292">
        <f t="shared" si="557"/>
        <v>6204</v>
      </c>
      <c r="AG292">
        <f>_xlfn.XLOOKUP(B292,'[3]may-2025'!$A:$A,'[3]may-2025'!$D:$D,0,0)</f>
        <v>400</v>
      </c>
      <c r="AH292">
        <f>_xlfn.XLOOKUP(B292,'[3]may-2025'!$A:$A,'[3]may-2025'!$G:$G,0,0)</f>
        <v>500</v>
      </c>
      <c r="AI292">
        <f t="shared" si="546"/>
        <v>68110</v>
      </c>
      <c r="AJ292">
        <f>_xlfn.XLOOKUP(B292,'[3]may-2025'!$A:$A,'[3]may-2025'!$H:$H,0,0)</f>
        <v>10000</v>
      </c>
      <c r="AK292">
        <f>_xlfn.XLOOKUP(B292,'[3]may-2025'!$A:$A,'[3]may-2025'!$I:$I,0,0)</f>
        <v>0</v>
      </c>
      <c r="AL292">
        <f t="shared" si="558"/>
        <v>200</v>
      </c>
      <c r="AM292">
        <f t="shared" si="559"/>
        <v>57910</v>
      </c>
      <c r="AN292">
        <f>_xlfn.XLOOKUP(B292,'[4]june-2025'!$A:$A,'[4]june-2025'!$C:$C,0,0)</f>
        <v>51700</v>
      </c>
      <c r="AO292">
        <f t="shared" si="560"/>
        <v>9306</v>
      </c>
      <c r="AP292">
        <f t="shared" si="561"/>
        <v>6204</v>
      </c>
      <c r="AQ292">
        <f>_xlfn.XLOOKUP(B292,'[4]june-2025'!$A:$A,'[4]june-2025'!$D:$D,0,0)</f>
        <v>400</v>
      </c>
      <c r="AR292">
        <f>_xlfn.XLOOKUP(B292,'[4]june-2025'!$A:$A,'[4]june-2025'!$G:$G,0,0)</f>
        <v>500</v>
      </c>
      <c r="AS292">
        <f t="shared" si="547"/>
        <v>68110</v>
      </c>
      <c r="AT292">
        <f>_xlfn.XLOOKUP(B292,'[4]june-2025'!$A:$A,'[4]june-2025'!$H:$H,0,0)</f>
        <v>10000</v>
      </c>
      <c r="AU292">
        <f>_xlfn.XLOOKUP(B292,'[4]june-2025'!$A:$A,'[4]june-2025'!$I:$I,0,0)</f>
        <v>0</v>
      </c>
      <c r="AV292">
        <f t="shared" si="562"/>
        <v>200</v>
      </c>
      <c r="AW292">
        <f t="shared" si="563"/>
        <v>57910</v>
      </c>
      <c r="AX292">
        <f>_xlfn.XLOOKUP(B292,'[5]july-2025'!$A:$A,'[5]july-2025'!$C:$C,0,0)</f>
        <v>53300</v>
      </c>
      <c r="AY292">
        <f t="shared" si="564"/>
        <v>9594</v>
      </c>
      <c r="AZ292">
        <v>0</v>
      </c>
      <c r="BA292">
        <f t="shared" si="565"/>
        <v>6396</v>
      </c>
      <c r="BB292">
        <f>_xlfn.XLOOKUP(B292,'[5]july-2025'!$A:$A,'[5]july-2025'!$D:$D,0,0)</f>
        <v>400</v>
      </c>
      <c r="BC292">
        <f>_xlfn.XLOOKUP(B292,'[5]july-2025'!$A:$A,'[5]july-2025'!$G:$G,0,0)</f>
        <v>500</v>
      </c>
      <c r="BD292">
        <f>IF(AX292&gt;0,SUM(AX292:BC292),0)</f>
        <v>70190</v>
      </c>
      <c r="BE292">
        <f>_xlfn.XLOOKUP(B292,'[5]july-2025'!$A:$A,'[5]july-2025'!$H:$H,0,0)</f>
        <v>10000</v>
      </c>
      <c r="BF292">
        <f>_xlfn.XLOOKUP(B292,'[5]july-2025'!$A:$A,'[5]july-2025'!$I:$I,0,0)</f>
        <v>0</v>
      </c>
      <c r="BG292">
        <f t="shared" si="566"/>
        <v>200</v>
      </c>
      <c r="BH292">
        <f t="shared" si="567"/>
        <v>59990</v>
      </c>
      <c r="BI292">
        <f>_xlfn.XLOOKUP(B292,'[6]august-2025'!$A:$A,'[6]august-2025'!$C:$C,0,0)</f>
        <v>53300</v>
      </c>
      <c r="BJ292">
        <f t="shared" si="568"/>
        <v>9594</v>
      </c>
      <c r="BK292">
        <f t="shared" si="569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500</v>
      </c>
      <c r="BN292">
        <f t="shared" si="570"/>
        <v>70190</v>
      </c>
      <c r="BO292">
        <f>_xlfn.XLOOKUP(B292,'[6]august-2025'!$A:$A,'[6]august-2025'!$H:$H,0,0)</f>
        <v>10000</v>
      </c>
      <c r="BP292">
        <f>_xlfn.XLOOKUP(B292,'[6]august-2025'!$A:$A,'[6]august-2025'!$I:$I,0,0)</f>
        <v>0</v>
      </c>
      <c r="BQ292">
        <f>IF($F292="YES",0,IF(BN292&gt;40000,200,IF(BN292&gt;25000,150,IF(BN292&gt;15000,130,IF(BN292&gt;10000,110,0)))))</f>
        <v>200</v>
      </c>
      <c r="BR292">
        <f>BN292-BO292-BP292-BQ292</f>
        <v>59990</v>
      </c>
      <c r="BS292">
        <f>_xlfn.XLOOKUP(B292,'[7]september-2025'!$A:$A,'[7]september-2025'!$C:$C,0,0)</f>
        <v>53300</v>
      </c>
      <c r="BT292">
        <f t="shared" si="571"/>
        <v>9594</v>
      </c>
      <c r="BU292">
        <f t="shared" si="572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500</v>
      </c>
      <c r="BX292">
        <f>IF(BS292&gt;0,SUM(BS292:BW292),0)</f>
        <v>70190</v>
      </c>
      <c r="BY292">
        <f>_xlfn.XLOOKUP(B292,'[7]september-2025'!$A:$A,'[7]september-2025'!$H:$H,0,0)</f>
        <v>10000</v>
      </c>
      <c r="BZ292">
        <f>_xlfn.XLOOKUP(B292,'[7]september-2025'!$A:$A,'[7]september-2025'!$I:$I,0,0)</f>
        <v>0</v>
      </c>
      <c r="CA292">
        <f t="shared" si="573"/>
        <v>200</v>
      </c>
      <c r="CB292">
        <f t="shared" si="574"/>
        <v>59990</v>
      </c>
      <c r="CC292">
        <f>_xlfn.XLOOKUP(B292,'[8]october-2025'!$A:$A,'[8]october-2025'!$C:$C,0,0)</f>
        <v>53300</v>
      </c>
      <c r="CD292">
        <f t="shared" si="575"/>
        <v>9594</v>
      </c>
      <c r="CE292">
        <f t="shared" si="576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500</v>
      </c>
      <c r="CH292">
        <f>IF(CC292&gt;0,SUM(CC292:CG292),0)</f>
        <v>70190</v>
      </c>
      <c r="CI292">
        <f>_xlfn.XLOOKUP(B292,'[8]october-2025'!$A:$A,'[8]october-2025'!$H:$H,0,0)</f>
        <v>10000</v>
      </c>
      <c r="CJ292">
        <f>_xlfn.XLOOKUP(B292,'[8]october-2025'!$A:$A,'[8]october-2025'!$I:$I,0,0)</f>
        <v>0</v>
      </c>
      <c r="CK292">
        <f t="shared" si="577"/>
        <v>200</v>
      </c>
      <c r="CL292">
        <f t="shared" si="578"/>
        <v>59990</v>
      </c>
      <c r="CM292">
        <f>_xlfn.XLOOKUP(B292,'[9]november-2025'!$A:$A,'[9]november-2025'!$C:$C,0,0)</f>
        <v>53300</v>
      </c>
      <c r="CN292">
        <f t="shared" si="579"/>
        <v>9594</v>
      </c>
      <c r="CO292">
        <f t="shared" si="580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500</v>
      </c>
      <c r="CR292">
        <f>IF(CM292&gt;0,SUM(CM292:CQ292),0)</f>
        <v>70190</v>
      </c>
      <c r="CS292">
        <f>_xlfn.XLOOKUP(B292,'[9]november-2025'!$A:$A,'[9]november-2025'!$H:$H,0,0)</f>
        <v>10000</v>
      </c>
      <c r="CT292">
        <f>_xlfn.XLOOKUP(B292,'[9]november-2025'!$A:$A,'[9]november-2025'!$I:$I,0,0)</f>
        <v>0</v>
      </c>
      <c r="CU292">
        <f t="shared" si="581"/>
        <v>200</v>
      </c>
      <c r="CV292">
        <f t="shared" si="582"/>
        <v>59990</v>
      </c>
      <c r="CW292">
        <f>_xlfn.XLOOKUP(B292,'[10]december-2025'!$A:$A,'[10]december-2025'!$C:$C,0,0)</f>
        <v>53300</v>
      </c>
      <c r="CX292">
        <f t="shared" si="583"/>
        <v>9594</v>
      </c>
      <c r="CY292">
        <f t="shared" si="584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500</v>
      </c>
      <c r="DB292">
        <f>IF(CW292&gt;0,SUM(CW292:DA292),0)</f>
        <v>70190</v>
      </c>
      <c r="DC292">
        <f>_xlfn.XLOOKUP(B292,'[10]december-2025'!$A:$A,'[10]december-2025'!$H:$H,0,0)</f>
        <v>10000</v>
      </c>
      <c r="DD292">
        <f>_xlfn.XLOOKUP(B292,'[10]december-2025'!$A:$A,'[10]december-2025'!$I:$I,0,0)</f>
        <v>0</v>
      </c>
      <c r="DE292">
        <f t="shared" si="585"/>
        <v>200</v>
      </c>
      <c r="DF292">
        <f t="shared" si="586"/>
        <v>59990</v>
      </c>
      <c r="DG292">
        <f>_xlfn.XLOOKUP(B292,'[11]january-2026'!$A:$A,'[11]january-2026'!$C:$C,0,0)</f>
        <v>53300</v>
      </c>
      <c r="DH292">
        <f t="shared" si="587"/>
        <v>9594</v>
      </c>
      <c r="DI292">
        <f t="shared" si="588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>IF(DG292&gt;0,SUM(DG292:DK292),0)</f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589"/>
        <v>200</v>
      </c>
      <c r="DP292">
        <f t="shared" si="590"/>
        <v>59990</v>
      </c>
      <c r="DQ292">
        <f>_xlfn.XLOOKUP(B292,'[12]february-2026'!$A:$A,'[12]february-2026'!$C:$C,0,0)</f>
        <v>53300</v>
      </c>
      <c r="DR292">
        <f t="shared" si="591"/>
        <v>9594</v>
      </c>
      <c r="DS292">
        <f t="shared" si="592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>IF(DQ292&gt;0,SUM(DQ292:DU292),0)</f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593"/>
        <v>200</v>
      </c>
      <c r="DZ292">
        <f t="shared" si="594"/>
        <v>59990</v>
      </c>
      <c r="EA292">
        <f>_xlfn.XLOOKUP(B292,'[1]march-2025'!$A:$A,'[1]march-2025'!$J:$J,0,0)</f>
        <v>0</v>
      </c>
      <c r="EB292">
        <f>_xlfn.XLOOKUP(B292,'[2]april-2025'!$A:$A,'[2]april-2025'!$J:$J,0,0)</f>
        <v>0</v>
      </c>
      <c r="EC292">
        <f>_xlfn.XLOOKUP(B292,'[3]may-2025'!$A:$A,'[3]may-2025'!$J:$J,0,0)</f>
        <v>0</v>
      </c>
      <c r="ED292">
        <f>_xlfn.XLOOKUP(B292,'[4]june-2025'!$A:$A,'[4]june-2025'!$J:$J,0,0)</f>
        <v>0</v>
      </c>
      <c r="EE292">
        <f>_xlfn.XLOOKUP(B292,'[5]july-2025'!$A:$A,'[5]july-2025'!$J:$J,0,0)</f>
        <v>0</v>
      </c>
      <c r="EF292">
        <f>_xlfn.XLOOKUP(B292,'[6]august-2025'!$A:$A,'[6]august-2025'!$J:$J,0,0)</f>
        <v>0</v>
      </c>
      <c r="EG292">
        <f>_xlfn.XLOOKUP(B292,'[7]september-2025'!$A:$A,'[7]september-2025'!$J:$J,0,0)</f>
        <v>0</v>
      </c>
      <c r="EH292">
        <f>_xlfn.XLOOKUP(B292,'[8]october-2025'!$A:$A,'[8]october-2025'!$J:$J,0,0)</f>
        <v>0</v>
      </c>
      <c r="EI292">
        <f>_xlfn.XLOOKUP(C292,'[9]november-2025'!$A:$A,'[9]november-2025'!$J:$J,0,0)</f>
        <v>0</v>
      </c>
      <c r="EJ292">
        <f>_xlfn.XLOOKUP(B292,'[10]december-2025'!$A:$A,'[10]december-2025'!$J:$J,0,0)</f>
        <v>0</v>
      </c>
      <c r="EK292">
        <f>_xlfn.XLOOKUP(B292,'[11]january-2026'!$A:$A,'[11]january-2026'!$J:$J,0,0)</f>
        <v>0</v>
      </c>
      <c r="EL292">
        <f>_xlfn.XLOOKUP(B292,'[12]february-2026'!$A:$A,'[12]february-2026'!$J:$J,0,0)</f>
        <v>0</v>
      </c>
      <c r="EM292">
        <f t="shared" si="548"/>
        <v>0</v>
      </c>
      <c r="EN292">
        <f>DV292+DL292+DB292+CR292+CH292+BX292+BN292+BD292+AS292+AI292+Y292+O292+H292+I292</f>
        <v>838692</v>
      </c>
      <c r="EO292">
        <f>DY292+DO292+DE292+CU292+CK292+CA292+BQ292+BG292+AV292+AL292+AB292+R292</f>
        <v>2400</v>
      </c>
      <c r="EP292">
        <f t="shared" si="595"/>
        <v>50000</v>
      </c>
      <c r="EQ292">
        <v>0</v>
      </c>
      <c r="ER292">
        <f t="shared" si="549"/>
        <v>786292</v>
      </c>
      <c r="ES292">
        <f>DW292+DM292+DC292+CS292+CI292+BY292+BO292+BE292+AT292+AJ292+Z292+P292</f>
        <v>120000</v>
      </c>
      <c r="ET292">
        <f>DX292+DN292+DD292+CT292+CJ292+BZ292+BP292+BF292+AU292+AK292+AA292+Q292</f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596"/>
        <v>120000</v>
      </c>
      <c r="FF292">
        <f t="shared" si="597"/>
        <v>120000</v>
      </c>
      <c r="FG292">
        <f t="shared" si="598"/>
        <v>666292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>SUM(FH292:FN292)+(IF(F292="YES",50000,0))</f>
        <v>0</v>
      </c>
      <c r="FP292">
        <f t="shared" si="599"/>
        <v>666292</v>
      </c>
      <c r="FQ292">
        <f t="shared" si="600"/>
        <v>12500</v>
      </c>
      <c r="FR292">
        <f t="shared" si="601"/>
        <v>33258</v>
      </c>
      <c r="FS292">
        <f t="shared" si="602"/>
        <v>45758</v>
      </c>
      <c r="FT292">
        <f t="shared" si="603"/>
        <v>45758</v>
      </c>
      <c r="FU292">
        <f t="shared" si="604"/>
        <v>1830.32</v>
      </c>
      <c r="FV292">
        <f t="shared" si="605"/>
        <v>47588</v>
      </c>
      <c r="FW292">
        <v>0</v>
      </c>
      <c r="FX292">
        <f t="shared" si="606"/>
        <v>47588</v>
      </c>
      <c r="FY292" t="b">
        <f t="shared" si="607"/>
        <v>1</v>
      </c>
      <c r="FZ292">
        <f t="shared" ca="1" si="608"/>
        <v>603</v>
      </c>
      <c r="GA292">
        <f t="shared" ca="1" si="609"/>
        <v>839295</v>
      </c>
      <c r="GB292">
        <f t="shared" si="610"/>
        <v>75000</v>
      </c>
      <c r="GC292">
        <f t="shared" ca="1" si="611"/>
        <v>764295</v>
      </c>
      <c r="GD292">
        <f t="shared" ca="1" si="612"/>
        <v>0</v>
      </c>
      <c r="GE292">
        <f t="shared" ca="1" si="613"/>
        <v>0</v>
      </c>
      <c r="GF292">
        <f t="shared" ca="1" si="614"/>
        <v>0</v>
      </c>
      <c r="GG292">
        <f t="shared" ca="1" si="615"/>
        <v>0</v>
      </c>
      <c r="GH292">
        <f t="shared" ca="1" si="616"/>
        <v>0</v>
      </c>
      <c r="GI292">
        <f t="shared" ca="1" si="617"/>
        <v>0</v>
      </c>
      <c r="GJ292">
        <f ca="1">IF(GC292&gt;1200000,GC292-1200000-IF(F292="YES",50000,0)-GH292,0)</f>
        <v>0</v>
      </c>
      <c r="GK292">
        <f t="shared" ca="1" si="618"/>
        <v>0</v>
      </c>
      <c r="GL292">
        <f t="shared" ca="1" si="619"/>
        <v>0</v>
      </c>
      <c r="GM292">
        <f t="shared" ca="1" si="620"/>
        <v>0</v>
      </c>
      <c r="GN292">
        <f t="shared" ca="1" si="621"/>
        <v>364295</v>
      </c>
      <c r="GO292">
        <f t="shared" ca="1" si="622"/>
        <v>18214.75</v>
      </c>
      <c r="GP292">
        <f t="shared" ca="1" si="623"/>
        <v>18215</v>
      </c>
      <c r="GQ292">
        <f t="shared" ca="1" si="624"/>
        <v>0</v>
      </c>
      <c r="GR292">
        <f t="shared" ca="1" si="625"/>
        <v>0</v>
      </c>
      <c r="GS292">
        <f t="shared" ca="1" si="626"/>
        <v>18215</v>
      </c>
      <c r="GT292">
        <f t="shared" ca="1" si="627"/>
        <v>0</v>
      </c>
      <c r="GU292" t="b">
        <f t="shared" ca="1" si="628"/>
        <v>0</v>
      </c>
      <c r="GV292">
        <f t="shared" ca="1" si="629"/>
        <v>0</v>
      </c>
      <c r="GW292">
        <f t="shared" ca="1" si="630"/>
        <v>18215</v>
      </c>
      <c r="GX292">
        <f t="shared" ca="1" si="631"/>
        <v>0</v>
      </c>
      <c r="GY292">
        <f t="shared" ca="1" si="632"/>
        <v>0</v>
      </c>
      <c r="GZ292">
        <f t="shared" ca="1" si="633"/>
        <v>0</v>
      </c>
    </row>
    <row r="293" spans="1:208" x14ac:dyDescent="0.25">
      <c r="A293">
        <f>_xlfn.AGGREGATE(3,5,$B$2:B293)</f>
        <v>292</v>
      </c>
      <c r="B293" t="s">
        <v>685</v>
      </c>
      <c r="C293" t="s">
        <v>686</v>
      </c>
      <c r="D293" t="s">
        <v>826</v>
      </c>
      <c r="E293" t="s">
        <v>832</v>
      </c>
      <c r="F293" t="s">
        <v>957</v>
      </c>
      <c r="G293" t="s">
        <v>888</v>
      </c>
      <c r="H293">
        <f t="shared" si="635"/>
        <v>6800</v>
      </c>
      <c r="I293">
        <f>_xlfn.XLOOKUP(B293,'[1]march-2025'!$A:$A,'[1]march-2025'!$J:$J,0,0)</f>
        <v>0</v>
      </c>
      <c r="J293">
        <f>_xlfn.XLOOKUP(B293,'[1]march-2025'!$A:$A,'[1]march-2025'!$C:$C,0,0)</f>
        <v>37700</v>
      </c>
      <c r="K293">
        <f t="shared" si="550"/>
        <v>5278.0000000000009</v>
      </c>
      <c r="L293">
        <f t="shared" si="551"/>
        <v>4524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>IF(J293&gt;0,SUM(J293:N293),0)</f>
        <v>48002</v>
      </c>
      <c r="P293">
        <f>_xlfn.XLOOKUP(B293,'[1]march-2025'!$A:$A,'[1]march-2025'!$H:$H,0,0)</f>
        <v>5000</v>
      </c>
      <c r="Q293">
        <f>_xlfn.XLOOKUP(B293,'[1]march-2025'!$A:$A,'[1]march-2025'!$I:$I,0,0)</f>
        <v>0</v>
      </c>
      <c r="R293">
        <f t="shared" si="634"/>
        <v>200</v>
      </c>
      <c r="S293">
        <f t="shared" si="544"/>
        <v>42802</v>
      </c>
      <c r="T293">
        <f>_xlfn.XLOOKUP(B293,'[2]april-2025'!$A:$A,'[2]april-2025'!$C:$C,0,0)</f>
        <v>37700</v>
      </c>
      <c r="U293">
        <f t="shared" si="552"/>
        <v>6786</v>
      </c>
      <c r="V293">
        <f t="shared" si="553"/>
        <v>4524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545"/>
        <v>49510</v>
      </c>
      <c r="Z293">
        <f>_xlfn.XLOOKUP(B293,'[2]april-2025'!$A:$A,'[2]april-2025'!$H:$H,0,0)</f>
        <v>5000</v>
      </c>
      <c r="AA293">
        <f>_xlfn.XLOOKUP(B293,'[2]april-2025'!$A:$A,'[2]april-2025'!$I:$I,0,0)</f>
        <v>0</v>
      </c>
      <c r="AB293">
        <f t="shared" si="554"/>
        <v>200</v>
      </c>
      <c r="AC293">
        <f t="shared" si="555"/>
        <v>44310</v>
      </c>
      <c r="AD293">
        <f>_xlfn.XLOOKUP(B293,'[3]may-2025'!$A:$A,'[3]may-2025'!$C:$C,0,0)</f>
        <v>37700</v>
      </c>
      <c r="AE293">
        <f t="shared" si="556"/>
        <v>6786</v>
      </c>
      <c r="AF293">
        <f t="shared" si="557"/>
        <v>4524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546"/>
        <v>49510</v>
      </c>
      <c r="AJ293">
        <f>_xlfn.XLOOKUP(B293,'[3]may-2025'!$A:$A,'[3]may-2025'!$H:$H,0,0)</f>
        <v>5000</v>
      </c>
      <c r="AK293">
        <f>_xlfn.XLOOKUP(B293,'[3]may-2025'!$A:$A,'[3]may-2025'!$I:$I,0,0)</f>
        <v>0</v>
      </c>
      <c r="AL293">
        <f t="shared" si="558"/>
        <v>200</v>
      </c>
      <c r="AM293">
        <f t="shared" si="559"/>
        <v>44310</v>
      </c>
      <c r="AN293">
        <f>_xlfn.XLOOKUP(B293,'[4]june-2025'!$A:$A,'[4]june-2025'!$C:$C,0,0)</f>
        <v>37700</v>
      </c>
      <c r="AO293">
        <f t="shared" si="560"/>
        <v>6786</v>
      </c>
      <c r="AP293">
        <f t="shared" si="561"/>
        <v>4524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547"/>
        <v>49510</v>
      </c>
      <c r="AT293">
        <f>_xlfn.XLOOKUP(B293,'[4]june-2025'!$A:$A,'[4]june-2025'!$H:$H,0,0)</f>
        <v>5000</v>
      </c>
      <c r="AU293">
        <f>_xlfn.XLOOKUP(B293,'[4]june-2025'!$A:$A,'[4]june-2025'!$I:$I,0,0)</f>
        <v>0</v>
      </c>
      <c r="AV293">
        <f t="shared" si="562"/>
        <v>200</v>
      </c>
      <c r="AW293">
        <f t="shared" si="563"/>
        <v>44310</v>
      </c>
      <c r="AX293">
        <f>_xlfn.XLOOKUP(B293,'[5]july-2025'!$A:$A,'[5]july-2025'!$C:$C,0,0)</f>
        <v>38800</v>
      </c>
      <c r="AY293">
        <f t="shared" si="564"/>
        <v>6984</v>
      </c>
      <c r="AZ293">
        <v>0</v>
      </c>
      <c r="BA293">
        <f t="shared" si="565"/>
        <v>4656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>IF(AX293&gt;0,SUM(AX293:BC293),0)</f>
        <v>50940</v>
      </c>
      <c r="BE293">
        <f>_xlfn.XLOOKUP(B293,'[5]july-2025'!$A:$A,'[5]july-2025'!$H:$H,0,0)</f>
        <v>5000</v>
      </c>
      <c r="BF293">
        <f>_xlfn.XLOOKUP(B293,'[5]july-2025'!$A:$A,'[5]july-2025'!$I:$I,0,0)</f>
        <v>0</v>
      </c>
      <c r="BG293">
        <f t="shared" si="566"/>
        <v>200</v>
      </c>
      <c r="BH293">
        <f t="shared" si="567"/>
        <v>45740</v>
      </c>
      <c r="BI293">
        <f>_xlfn.XLOOKUP(B293,'[6]august-2025'!$A:$A,'[6]august-2025'!$C:$C,0,0)</f>
        <v>38800</v>
      </c>
      <c r="BJ293">
        <f t="shared" si="568"/>
        <v>6984</v>
      </c>
      <c r="BK293">
        <f t="shared" si="569"/>
        <v>4656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570"/>
        <v>50940</v>
      </c>
      <c r="BO293">
        <f>_xlfn.XLOOKUP(B293,'[6]august-2025'!$A:$A,'[6]august-2025'!$H:$H,0,0)</f>
        <v>5000</v>
      </c>
      <c r="BP293">
        <f>_xlfn.XLOOKUP(B293,'[6]august-2025'!$A:$A,'[6]august-2025'!$I:$I,0,0)</f>
        <v>0</v>
      </c>
      <c r="BQ293">
        <f>IF($F293="YES",0,IF(BN293&gt;40000,200,IF(BN293&gt;25000,150,IF(BN293&gt;15000,130,IF(BN293&gt;10000,110,0)))))</f>
        <v>200</v>
      </c>
      <c r="BR293">
        <f>BN293-BO293-BP293-BQ293</f>
        <v>45740</v>
      </c>
      <c r="BS293">
        <f>_xlfn.XLOOKUP(B293,'[7]september-2025'!$A:$A,'[7]september-2025'!$C:$C,0,0)</f>
        <v>38800</v>
      </c>
      <c r="BT293">
        <f t="shared" si="571"/>
        <v>6984</v>
      </c>
      <c r="BU293">
        <f t="shared" si="572"/>
        <v>4656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>IF(BS293&gt;0,SUM(BS293:BW293),0)</f>
        <v>50940</v>
      </c>
      <c r="BY293">
        <f>_xlfn.XLOOKUP(B293,'[7]september-2025'!$A:$A,'[7]september-2025'!$H:$H,0,0)</f>
        <v>5000</v>
      </c>
      <c r="BZ293">
        <f>_xlfn.XLOOKUP(B293,'[7]september-2025'!$A:$A,'[7]september-2025'!$I:$I,0,0)</f>
        <v>0</v>
      </c>
      <c r="CA293">
        <f t="shared" si="573"/>
        <v>200</v>
      </c>
      <c r="CB293">
        <f t="shared" si="574"/>
        <v>45740</v>
      </c>
      <c r="CC293">
        <f>_xlfn.XLOOKUP(B293,'[8]october-2025'!$A:$A,'[8]october-2025'!$C:$C,0,0)</f>
        <v>38800</v>
      </c>
      <c r="CD293">
        <f t="shared" si="575"/>
        <v>6984</v>
      </c>
      <c r="CE293">
        <f t="shared" si="576"/>
        <v>4656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>IF(CC293&gt;0,SUM(CC293:CG293),0)</f>
        <v>50940</v>
      </c>
      <c r="CI293">
        <f>_xlfn.XLOOKUP(B293,'[8]october-2025'!$A:$A,'[8]october-2025'!$H:$H,0,0)</f>
        <v>5000</v>
      </c>
      <c r="CJ293">
        <f>_xlfn.XLOOKUP(B293,'[8]october-2025'!$A:$A,'[8]october-2025'!$I:$I,0,0)</f>
        <v>0</v>
      </c>
      <c r="CK293">
        <f t="shared" si="577"/>
        <v>200</v>
      </c>
      <c r="CL293">
        <f t="shared" si="578"/>
        <v>45740</v>
      </c>
      <c r="CM293">
        <f>_xlfn.XLOOKUP(B293,'[9]november-2025'!$A:$A,'[9]november-2025'!$C:$C,0,0)</f>
        <v>38800</v>
      </c>
      <c r="CN293">
        <f t="shared" si="579"/>
        <v>6984</v>
      </c>
      <c r="CO293">
        <f t="shared" si="580"/>
        <v>4656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>IF(CM293&gt;0,SUM(CM293:CQ293),0)</f>
        <v>50940</v>
      </c>
      <c r="CS293">
        <f>_xlfn.XLOOKUP(B293,'[9]november-2025'!$A:$A,'[9]november-2025'!$H:$H,0,0)</f>
        <v>5000</v>
      </c>
      <c r="CT293">
        <f>_xlfn.XLOOKUP(B293,'[9]november-2025'!$A:$A,'[9]november-2025'!$I:$I,0,0)</f>
        <v>0</v>
      </c>
      <c r="CU293">
        <f t="shared" si="581"/>
        <v>200</v>
      </c>
      <c r="CV293">
        <f t="shared" si="582"/>
        <v>45740</v>
      </c>
      <c r="CW293">
        <f>_xlfn.XLOOKUP(B293,'[10]december-2025'!$A:$A,'[10]december-2025'!$C:$C,0,0)</f>
        <v>38800</v>
      </c>
      <c r="CX293">
        <f t="shared" si="583"/>
        <v>6984</v>
      </c>
      <c r="CY293">
        <f t="shared" si="584"/>
        <v>4656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>IF(CW293&gt;0,SUM(CW293:DA293),0)</f>
        <v>50940</v>
      </c>
      <c r="DC293">
        <f>_xlfn.XLOOKUP(B293,'[10]december-2025'!$A:$A,'[10]december-2025'!$H:$H,0,0)</f>
        <v>5000</v>
      </c>
      <c r="DD293">
        <f>_xlfn.XLOOKUP(B293,'[10]december-2025'!$A:$A,'[10]december-2025'!$I:$I,0,0)</f>
        <v>0</v>
      </c>
      <c r="DE293">
        <f t="shared" si="585"/>
        <v>200</v>
      </c>
      <c r="DF293">
        <f t="shared" si="586"/>
        <v>45740</v>
      </c>
      <c r="DG293">
        <f>_xlfn.XLOOKUP(B293,'[11]january-2026'!$A:$A,'[11]january-2026'!$C:$C,0,0)</f>
        <v>38800</v>
      </c>
      <c r="DH293">
        <f t="shared" si="587"/>
        <v>6984</v>
      </c>
      <c r="DI293">
        <f t="shared" si="588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>IF(DG293&gt;0,SUM(DG293:DK293),0)</f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589"/>
        <v>200</v>
      </c>
      <c r="DP293">
        <f t="shared" si="590"/>
        <v>45740</v>
      </c>
      <c r="DQ293">
        <f>_xlfn.XLOOKUP(B293,'[12]february-2026'!$A:$A,'[12]february-2026'!$C:$C,0,0)</f>
        <v>38800</v>
      </c>
      <c r="DR293">
        <f t="shared" si="591"/>
        <v>6984</v>
      </c>
      <c r="DS293">
        <f t="shared" si="592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>IF(DQ293&gt;0,SUM(DQ293:DU293),0)</f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593"/>
        <v>200</v>
      </c>
      <c r="DZ293">
        <f t="shared" si="594"/>
        <v>45740</v>
      </c>
      <c r="EA293">
        <f>_xlfn.XLOOKUP(B293,'[1]march-2025'!$A:$A,'[1]march-2025'!$J:$J,0,0)</f>
        <v>0</v>
      </c>
      <c r="EB293">
        <f>_xlfn.XLOOKUP(B293,'[2]april-2025'!$A:$A,'[2]april-2025'!$J:$J,0,0)</f>
        <v>0</v>
      </c>
      <c r="EC293">
        <f>_xlfn.XLOOKUP(B293,'[3]may-2025'!$A:$A,'[3]may-2025'!$J:$J,0,0)</f>
        <v>0</v>
      </c>
      <c r="ED293">
        <f>_xlfn.XLOOKUP(B293,'[4]june-2025'!$A:$A,'[4]june-2025'!$J:$J,0,0)</f>
        <v>0</v>
      </c>
      <c r="EE293">
        <f>_xlfn.XLOOKUP(B293,'[5]july-2025'!$A:$A,'[5]july-2025'!$J:$J,0,0)</f>
        <v>0</v>
      </c>
      <c r="EF293">
        <f>_xlfn.XLOOKUP(B293,'[6]august-2025'!$A:$A,'[6]august-2025'!$J:$J,0,0)</f>
        <v>0</v>
      </c>
      <c r="EG293">
        <f>_xlfn.XLOOKUP(B293,'[7]september-2025'!$A:$A,'[7]september-2025'!$J:$J,0,0)</f>
        <v>0</v>
      </c>
      <c r="EH293">
        <f>_xlfn.XLOOKUP(B293,'[8]october-2025'!$A:$A,'[8]october-2025'!$J:$J,0,0)</f>
        <v>0</v>
      </c>
      <c r="EI293">
        <f>_xlfn.XLOOKUP(C293,'[9]november-2025'!$A:$A,'[9]november-2025'!$J:$J,0,0)</f>
        <v>0</v>
      </c>
      <c r="EJ293">
        <f>_xlfn.XLOOKUP(B293,'[10]december-2025'!$A:$A,'[10]december-2025'!$J:$J,0,0)</f>
        <v>0</v>
      </c>
      <c r="EK293">
        <f>_xlfn.XLOOKUP(B293,'[11]january-2026'!$A:$A,'[11]january-2026'!$J:$J,0,0)</f>
        <v>0</v>
      </c>
      <c r="EL293">
        <f>_xlfn.XLOOKUP(B293,'[12]february-2026'!$A:$A,'[12]february-2026'!$J:$J,0,0)</f>
        <v>0</v>
      </c>
      <c r="EM293">
        <f t="shared" si="548"/>
        <v>0</v>
      </c>
      <c r="EN293">
        <f>DV293+DL293+DB293+CR293+CH293+BX293+BN293+BD293+AS293+AI293+Y293+O293+H293+I293</f>
        <v>610852</v>
      </c>
      <c r="EO293">
        <f>DY293+DO293+DE293+CU293+CK293+CA293+BQ293+BG293+AV293+AL293+AB293+R293</f>
        <v>2400</v>
      </c>
      <c r="EP293">
        <f t="shared" si="595"/>
        <v>50000</v>
      </c>
      <c r="EQ293">
        <v>0</v>
      </c>
      <c r="ER293">
        <f t="shared" si="549"/>
        <v>558452</v>
      </c>
      <c r="ES293">
        <f>DW293+DM293+DC293+CS293+CI293+BY293+BO293+BE293+AT293+AJ293+Z293+P293</f>
        <v>60000</v>
      </c>
      <c r="ET293">
        <f>DX293+DN293+DD293+CT293+CJ293+BZ293+BP293+BF293+AU293+AK293+AA293+Q293</f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596"/>
        <v>60000</v>
      </c>
      <c r="FF293">
        <f t="shared" si="597"/>
        <v>60000</v>
      </c>
      <c r="FG293">
        <f t="shared" si="598"/>
        <v>498452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>SUM(FH293:FN293)+(IF(F293="YES",50000,0))</f>
        <v>0</v>
      </c>
      <c r="FP293">
        <f t="shared" si="599"/>
        <v>498452</v>
      </c>
      <c r="FQ293">
        <f t="shared" si="600"/>
        <v>12423</v>
      </c>
      <c r="FR293">
        <f t="shared" si="601"/>
        <v>0</v>
      </c>
      <c r="FS293">
        <f t="shared" si="602"/>
        <v>12423</v>
      </c>
      <c r="FT293">
        <f t="shared" si="603"/>
        <v>0</v>
      </c>
      <c r="FU293">
        <f t="shared" si="604"/>
        <v>0</v>
      </c>
      <c r="FV293">
        <f t="shared" si="605"/>
        <v>0</v>
      </c>
      <c r="FW293">
        <v>0</v>
      </c>
      <c r="FX293">
        <f t="shared" si="606"/>
        <v>0</v>
      </c>
      <c r="FY293" t="b">
        <f t="shared" si="607"/>
        <v>1</v>
      </c>
      <c r="FZ293">
        <f t="shared" ca="1" si="608"/>
        <v>954</v>
      </c>
      <c r="GA293">
        <f t="shared" ca="1" si="609"/>
        <v>611806</v>
      </c>
      <c r="GB293">
        <f t="shared" si="610"/>
        <v>75000</v>
      </c>
      <c r="GC293">
        <f t="shared" ca="1" si="611"/>
        <v>536806</v>
      </c>
      <c r="GD293">
        <f t="shared" ca="1" si="612"/>
        <v>0</v>
      </c>
      <c r="GE293">
        <f t="shared" ca="1" si="613"/>
        <v>0</v>
      </c>
      <c r="GF293">
        <f t="shared" ca="1" si="614"/>
        <v>0</v>
      </c>
      <c r="GG293">
        <f t="shared" ca="1" si="615"/>
        <v>0</v>
      </c>
      <c r="GH293">
        <f t="shared" ca="1" si="616"/>
        <v>0</v>
      </c>
      <c r="GI293">
        <f t="shared" ca="1" si="617"/>
        <v>0</v>
      </c>
      <c r="GJ293">
        <f ca="1">IF(GC293&gt;1200000,GC293-1200000-IF(F293="YES",50000,0)-GH293,0)</f>
        <v>0</v>
      </c>
      <c r="GK293">
        <f t="shared" ca="1" si="618"/>
        <v>0</v>
      </c>
      <c r="GL293">
        <f t="shared" ca="1" si="619"/>
        <v>0</v>
      </c>
      <c r="GM293">
        <f t="shared" ca="1" si="620"/>
        <v>0</v>
      </c>
      <c r="GN293">
        <f t="shared" ca="1" si="621"/>
        <v>136806</v>
      </c>
      <c r="GO293">
        <f t="shared" ca="1" si="622"/>
        <v>6840.3</v>
      </c>
      <c r="GP293">
        <f t="shared" ca="1" si="623"/>
        <v>6840</v>
      </c>
      <c r="GQ293">
        <f t="shared" ca="1" si="624"/>
        <v>0</v>
      </c>
      <c r="GR293">
        <f t="shared" ca="1" si="625"/>
        <v>0</v>
      </c>
      <c r="GS293">
        <f t="shared" ca="1" si="626"/>
        <v>6840</v>
      </c>
      <c r="GT293">
        <f t="shared" ca="1" si="627"/>
        <v>0</v>
      </c>
      <c r="GU293" t="b">
        <f t="shared" ca="1" si="628"/>
        <v>0</v>
      </c>
      <c r="GV293">
        <f t="shared" ca="1" si="629"/>
        <v>0</v>
      </c>
      <c r="GW293">
        <f t="shared" ca="1" si="630"/>
        <v>6840</v>
      </c>
      <c r="GX293">
        <f t="shared" ca="1" si="631"/>
        <v>0</v>
      </c>
      <c r="GY293">
        <f t="shared" ca="1" si="632"/>
        <v>0</v>
      </c>
      <c r="GZ293">
        <f t="shared" ca="1" si="633"/>
        <v>0</v>
      </c>
    </row>
    <row r="294" spans="1:208" x14ac:dyDescent="0.25">
      <c r="A294">
        <f>_xlfn.AGGREGATE(3,5,$B$2:B294)</f>
        <v>293</v>
      </c>
      <c r="B294" t="s">
        <v>687</v>
      </c>
      <c r="C294" t="s">
        <v>688</v>
      </c>
      <c r="D294" t="s">
        <v>826</v>
      </c>
      <c r="E294" t="s">
        <v>831</v>
      </c>
      <c r="F294" t="s">
        <v>957</v>
      </c>
      <c r="G294" t="s">
        <v>879</v>
      </c>
      <c r="H294">
        <f t="shared" si="635"/>
        <v>6800</v>
      </c>
      <c r="I294">
        <f>_xlfn.XLOOKUP(B294,'[1]march-2025'!$A:$A,'[1]march-2025'!$J:$J,0,0)</f>
        <v>0</v>
      </c>
      <c r="J294">
        <f>_xlfn.XLOOKUP(B294,'[1]march-2025'!$A:$A,'[1]march-2025'!$C:$C,0,0)</f>
        <v>27000</v>
      </c>
      <c r="K294">
        <f t="shared" si="550"/>
        <v>3780.0000000000005</v>
      </c>
      <c r="L294">
        <f t="shared" si="551"/>
        <v>3240</v>
      </c>
      <c r="M294">
        <f>_xlfn.XLOOKUP(B294,'[1]march-2025'!$A:$A,'[1]march-2025'!$D:$D,0,0)</f>
        <v>0</v>
      </c>
      <c r="N294">
        <f>_xlfn.XLOOKUP(B294,'[1]march-2025'!$A:$A,'[1]march-2025'!$G:$G,0,0)</f>
        <v>500</v>
      </c>
      <c r="O294">
        <f>IF(J294&gt;0,SUM(J294:N294),0)</f>
        <v>34520</v>
      </c>
      <c r="P294">
        <f>_xlfn.XLOOKUP(B294,'[1]march-2025'!$A:$A,'[1]march-2025'!$H:$H,0,0)</f>
        <v>2000</v>
      </c>
      <c r="Q294">
        <f>_xlfn.XLOOKUP(B294,'[1]march-2025'!$A:$A,'[1]march-2025'!$I:$I,0,0)</f>
        <v>0</v>
      </c>
      <c r="R294">
        <f t="shared" si="634"/>
        <v>150</v>
      </c>
      <c r="S294">
        <f t="shared" si="544"/>
        <v>32370</v>
      </c>
      <c r="T294">
        <f>_xlfn.XLOOKUP(B294,'[2]april-2025'!$A:$A,'[2]april-2025'!$C:$C,0,0)</f>
        <v>27000</v>
      </c>
      <c r="U294">
        <f t="shared" si="552"/>
        <v>4860</v>
      </c>
      <c r="V294">
        <f t="shared" si="553"/>
        <v>3240</v>
      </c>
      <c r="W294">
        <f>_xlfn.XLOOKUP(B294,'[2]april-2025'!$A:$A,'[2]april-2025'!$D:$D,0,0)</f>
        <v>0</v>
      </c>
      <c r="X294">
        <f>_xlfn.XLOOKUP(B294,'[2]april-2025'!$A:$A,'[2]april-2025'!$G:$G,0,0)</f>
        <v>500</v>
      </c>
      <c r="Y294">
        <f t="shared" si="545"/>
        <v>35600</v>
      </c>
      <c r="Z294">
        <f>_xlfn.XLOOKUP(B294,'[2]april-2025'!$A:$A,'[2]april-2025'!$H:$H,0,0)</f>
        <v>2000</v>
      </c>
      <c r="AA294">
        <f>_xlfn.XLOOKUP(B294,'[2]april-2025'!$A:$A,'[2]april-2025'!$I:$I,0,0)</f>
        <v>0</v>
      </c>
      <c r="AB294">
        <f t="shared" si="554"/>
        <v>150</v>
      </c>
      <c r="AC294">
        <f t="shared" si="555"/>
        <v>33450</v>
      </c>
      <c r="AD294">
        <f>_xlfn.XLOOKUP(B294,'[3]may-2025'!$A:$A,'[3]may-2025'!$C:$C,0,0)</f>
        <v>31600</v>
      </c>
      <c r="AE294">
        <f t="shared" si="556"/>
        <v>5688</v>
      </c>
      <c r="AF294">
        <f t="shared" si="557"/>
        <v>3792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546"/>
        <v>41580</v>
      </c>
      <c r="AJ294">
        <f>_xlfn.XLOOKUP(B294,'[3]may-2025'!$A:$A,'[3]may-2025'!$H:$H,0,0)</f>
        <v>2000</v>
      </c>
      <c r="AK294">
        <f>_xlfn.XLOOKUP(B294,'[3]may-2025'!$A:$A,'[3]may-2025'!$I:$I,0,0)</f>
        <v>0</v>
      </c>
      <c r="AL294">
        <f t="shared" si="558"/>
        <v>200</v>
      </c>
      <c r="AM294">
        <f t="shared" si="559"/>
        <v>39380</v>
      </c>
      <c r="AN294">
        <f>_xlfn.XLOOKUP(B294,'[4]june-2025'!$A:$A,'[4]june-2025'!$C:$C,0,0)</f>
        <v>31600</v>
      </c>
      <c r="AO294">
        <f t="shared" si="560"/>
        <v>5688</v>
      </c>
      <c r="AP294">
        <f t="shared" si="561"/>
        <v>3792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547"/>
        <v>41580</v>
      </c>
      <c r="AT294">
        <f>_xlfn.XLOOKUP(B294,'[4]june-2025'!$A:$A,'[4]june-2025'!$H:$H,0,0)</f>
        <v>2000</v>
      </c>
      <c r="AU294">
        <f>_xlfn.XLOOKUP(B294,'[4]june-2025'!$A:$A,'[4]june-2025'!$I:$I,0,0)</f>
        <v>0</v>
      </c>
      <c r="AV294">
        <f t="shared" si="562"/>
        <v>200</v>
      </c>
      <c r="AW294">
        <f t="shared" si="563"/>
        <v>39380</v>
      </c>
      <c r="AX294">
        <f>_xlfn.XLOOKUP(B294,'[5]july-2025'!$A:$A,'[5]july-2025'!$C:$C,0,0)</f>
        <v>32500</v>
      </c>
      <c r="AY294">
        <f t="shared" si="564"/>
        <v>5850</v>
      </c>
      <c r="AZ294">
        <v>0</v>
      </c>
      <c r="BA294">
        <f t="shared" si="565"/>
        <v>3900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>IF(AX294&gt;0,SUM(AX294:BC294),0)</f>
        <v>42750</v>
      </c>
      <c r="BE294">
        <f>_xlfn.XLOOKUP(B294,'[5]july-2025'!$A:$A,'[5]july-2025'!$H:$H,0,0)</f>
        <v>2000</v>
      </c>
      <c r="BF294">
        <f>_xlfn.XLOOKUP(B294,'[5]july-2025'!$A:$A,'[5]july-2025'!$I:$I,0,0)</f>
        <v>0</v>
      </c>
      <c r="BG294">
        <f t="shared" si="566"/>
        <v>200</v>
      </c>
      <c r="BH294">
        <f t="shared" si="567"/>
        <v>40550</v>
      </c>
      <c r="BI294">
        <f>_xlfn.XLOOKUP(B294,'[6]august-2025'!$A:$A,'[6]august-2025'!$C:$C,0,0)</f>
        <v>32500</v>
      </c>
      <c r="BJ294">
        <f t="shared" si="568"/>
        <v>5850</v>
      </c>
      <c r="BK294">
        <f t="shared" si="569"/>
        <v>3900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570"/>
        <v>42750</v>
      </c>
      <c r="BO294">
        <f>_xlfn.XLOOKUP(B294,'[6]august-2025'!$A:$A,'[6]august-2025'!$H:$H,0,0)</f>
        <v>2000</v>
      </c>
      <c r="BP294">
        <f>_xlfn.XLOOKUP(B294,'[6]august-2025'!$A:$A,'[6]august-2025'!$I:$I,0,0)</f>
        <v>0</v>
      </c>
      <c r="BQ294">
        <f>IF($F294="YES",0,IF(BN294&gt;40000,200,IF(BN294&gt;25000,150,IF(BN294&gt;15000,130,IF(BN294&gt;10000,110,0)))))</f>
        <v>200</v>
      </c>
      <c r="BR294">
        <f>BN294-BO294-BP294-BQ294</f>
        <v>40550</v>
      </c>
      <c r="BS294">
        <f>_xlfn.XLOOKUP(B294,'[7]september-2025'!$A:$A,'[7]september-2025'!$C:$C,0,0)</f>
        <v>32500</v>
      </c>
      <c r="BT294">
        <f t="shared" si="571"/>
        <v>5850</v>
      </c>
      <c r="BU294">
        <f t="shared" si="572"/>
        <v>3900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>IF(BS294&gt;0,SUM(BS294:BW294),0)</f>
        <v>42750</v>
      </c>
      <c r="BY294">
        <f>_xlfn.XLOOKUP(B294,'[7]september-2025'!$A:$A,'[7]september-2025'!$H:$H,0,0)</f>
        <v>2000</v>
      </c>
      <c r="BZ294">
        <f>_xlfn.XLOOKUP(B294,'[7]september-2025'!$A:$A,'[7]september-2025'!$I:$I,0,0)</f>
        <v>0</v>
      </c>
      <c r="CA294">
        <f t="shared" si="573"/>
        <v>200</v>
      </c>
      <c r="CB294">
        <f t="shared" si="574"/>
        <v>40550</v>
      </c>
      <c r="CC294">
        <f>_xlfn.XLOOKUP(B294,'[8]october-2025'!$A:$A,'[8]october-2025'!$C:$C,0,0)</f>
        <v>32500</v>
      </c>
      <c r="CD294">
        <f t="shared" si="575"/>
        <v>5850</v>
      </c>
      <c r="CE294">
        <f t="shared" si="576"/>
        <v>3900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>IF(CC294&gt;0,SUM(CC294:CG294),0)</f>
        <v>42750</v>
      </c>
      <c r="CI294">
        <f>_xlfn.XLOOKUP(B294,'[8]october-2025'!$A:$A,'[8]october-2025'!$H:$H,0,0)</f>
        <v>2000</v>
      </c>
      <c r="CJ294">
        <f>_xlfn.XLOOKUP(B294,'[8]october-2025'!$A:$A,'[8]october-2025'!$I:$I,0,0)</f>
        <v>0</v>
      </c>
      <c r="CK294">
        <f t="shared" si="577"/>
        <v>200</v>
      </c>
      <c r="CL294">
        <f t="shared" si="578"/>
        <v>40550</v>
      </c>
      <c r="CM294">
        <f>_xlfn.XLOOKUP(B294,'[9]november-2025'!$A:$A,'[9]november-2025'!$C:$C,0,0)</f>
        <v>32500</v>
      </c>
      <c r="CN294">
        <f t="shared" si="579"/>
        <v>5850</v>
      </c>
      <c r="CO294">
        <f t="shared" si="580"/>
        <v>3900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>IF(CM294&gt;0,SUM(CM294:CQ294),0)</f>
        <v>42750</v>
      </c>
      <c r="CS294">
        <f>_xlfn.XLOOKUP(B294,'[9]november-2025'!$A:$A,'[9]november-2025'!$H:$H,0,0)</f>
        <v>2000</v>
      </c>
      <c r="CT294">
        <f>_xlfn.XLOOKUP(B294,'[9]november-2025'!$A:$A,'[9]november-2025'!$I:$I,0,0)</f>
        <v>0</v>
      </c>
      <c r="CU294">
        <f t="shared" si="581"/>
        <v>200</v>
      </c>
      <c r="CV294">
        <f t="shared" si="582"/>
        <v>40550</v>
      </c>
      <c r="CW294">
        <f>_xlfn.XLOOKUP(B294,'[10]december-2025'!$A:$A,'[10]december-2025'!$C:$C,0,0)</f>
        <v>32500</v>
      </c>
      <c r="CX294">
        <f t="shared" si="583"/>
        <v>5850</v>
      </c>
      <c r="CY294">
        <f t="shared" si="584"/>
        <v>3900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>IF(CW294&gt;0,SUM(CW294:DA294),0)</f>
        <v>42750</v>
      </c>
      <c r="DC294">
        <f>_xlfn.XLOOKUP(B294,'[10]december-2025'!$A:$A,'[10]december-2025'!$H:$H,0,0)</f>
        <v>2000</v>
      </c>
      <c r="DD294">
        <f>_xlfn.XLOOKUP(B294,'[10]december-2025'!$A:$A,'[10]december-2025'!$I:$I,0,0)</f>
        <v>0</v>
      </c>
      <c r="DE294">
        <f t="shared" si="585"/>
        <v>200</v>
      </c>
      <c r="DF294">
        <f t="shared" si="586"/>
        <v>40550</v>
      </c>
      <c r="DG294">
        <f>_xlfn.XLOOKUP(B294,'[11]january-2026'!$A:$A,'[11]january-2026'!$C:$C,0,0)</f>
        <v>32500</v>
      </c>
      <c r="DH294">
        <f t="shared" si="587"/>
        <v>5850</v>
      </c>
      <c r="DI294">
        <f t="shared" si="588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>IF(DG294&gt;0,SUM(DG294:DK294),0)</f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589"/>
        <v>200</v>
      </c>
      <c r="DP294">
        <f t="shared" si="590"/>
        <v>40550</v>
      </c>
      <c r="DQ294">
        <f>_xlfn.XLOOKUP(B294,'[12]february-2026'!$A:$A,'[12]february-2026'!$C:$C,0,0)</f>
        <v>32500</v>
      </c>
      <c r="DR294">
        <f t="shared" si="591"/>
        <v>5850</v>
      </c>
      <c r="DS294">
        <f t="shared" si="592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>IF(DQ294&gt;0,SUM(DQ294:DU294),0)</f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593"/>
        <v>200</v>
      </c>
      <c r="DZ294">
        <f t="shared" si="594"/>
        <v>40550</v>
      </c>
      <c r="EA294">
        <f>_xlfn.XLOOKUP(B294,'[1]march-2025'!$A:$A,'[1]march-2025'!$J:$J,0,0)</f>
        <v>0</v>
      </c>
      <c r="EB294">
        <f>_xlfn.XLOOKUP(B294,'[2]april-2025'!$A:$A,'[2]april-2025'!$J:$J,0,0)</f>
        <v>0</v>
      </c>
      <c r="EC294">
        <f>_xlfn.XLOOKUP(B294,'[3]may-2025'!$A:$A,'[3]may-2025'!$J:$J,0,0)</f>
        <v>0</v>
      </c>
      <c r="ED294">
        <f>_xlfn.XLOOKUP(B294,'[4]june-2025'!$A:$A,'[4]june-2025'!$J:$J,0,0)</f>
        <v>0</v>
      </c>
      <c r="EE294">
        <f>_xlfn.XLOOKUP(B294,'[5]july-2025'!$A:$A,'[5]july-2025'!$J:$J,0,0)</f>
        <v>0</v>
      </c>
      <c r="EF294">
        <f>_xlfn.XLOOKUP(B294,'[6]august-2025'!$A:$A,'[6]august-2025'!$J:$J,0,0)</f>
        <v>0</v>
      </c>
      <c r="EG294">
        <f>_xlfn.XLOOKUP(B294,'[7]september-2025'!$A:$A,'[7]september-2025'!$J:$J,0,0)</f>
        <v>0</v>
      </c>
      <c r="EH294">
        <f>_xlfn.XLOOKUP(B294,'[8]october-2025'!$A:$A,'[8]october-2025'!$J:$J,0,0)</f>
        <v>0</v>
      </c>
      <c r="EI294">
        <f>_xlfn.XLOOKUP(C294,'[9]november-2025'!$A:$A,'[9]november-2025'!$J:$J,0,0)</f>
        <v>0</v>
      </c>
      <c r="EJ294">
        <f>_xlfn.XLOOKUP(B294,'[10]december-2025'!$A:$A,'[10]december-2025'!$J:$J,0,0)</f>
        <v>0</v>
      </c>
      <c r="EK294">
        <f>_xlfn.XLOOKUP(B294,'[11]january-2026'!$A:$A,'[11]january-2026'!$J:$J,0,0)</f>
        <v>0</v>
      </c>
      <c r="EL294">
        <f>_xlfn.XLOOKUP(B294,'[12]february-2026'!$A:$A,'[12]february-2026'!$J:$J,0,0)</f>
        <v>0</v>
      </c>
      <c r="EM294">
        <f t="shared" si="548"/>
        <v>0</v>
      </c>
      <c r="EN294">
        <f>DV294+DL294+DB294+CR294+CH294+BX294+BN294+BD294+AS294+AI294+Y294+O294+H294+I294</f>
        <v>502080</v>
      </c>
      <c r="EO294">
        <f>DY294+DO294+DE294+CU294+CK294+CA294+BQ294+BG294+AV294+AL294+AB294+R294</f>
        <v>2300</v>
      </c>
      <c r="EP294">
        <f t="shared" si="595"/>
        <v>50000</v>
      </c>
      <c r="EQ294">
        <v>0</v>
      </c>
      <c r="ER294">
        <f t="shared" si="549"/>
        <v>449780</v>
      </c>
      <c r="ES294">
        <f>DW294+DM294+DC294+CS294+CI294+BY294+BO294+BE294+AT294+AJ294+Z294+P294</f>
        <v>24000</v>
      </c>
      <c r="ET294">
        <f>DX294+DN294+DD294+CT294+CJ294+BZ294+BP294+BF294+AU294+AK294+AA294+Q294</f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596"/>
        <v>24000</v>
      </c>
      <c r="FF294">
        <f t="shared" si="597"/>
        <v>24000</v>
      </c>
      <c r="FG294">
        <f t="shared" si="598"/>
        <v>425780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>SUM(FH294:FN294)+(IF(F294="YES",50000,0))</f>
        <v>0</v>
      </c>
      <c r="FP294">
        <f t="shared" si="599"/>
        <v>425780</v>
      </c>
      <c r="FQ294">
        <f t="shared" si="600"/>
        <v>8789</v>
      </c>
      <c r="FR294">
        <f t="shared" si="601"/>
        <v>0</v>
      </c>
      <c r="FS294">
        <f t="shared" si="602"/>
        <v>8789</v>
      </c>
      <c r="FT294">
        <f t="shared" si="603"/>
        <v>0</v>
      </c>
      <c r="FU294">
        <f t="shared" si="604"/>
        <v>0</v>
      </c>
      <c r="FV294">
        <f t="shared" si="605"/>
        <v>0</v>
      </c>
      <c r="FW294">
        <v>0</v>
      </c>
      <c r="FX294">
        <f t="shared" si="606"/>
        <v>0</v>
      </c>
      <c r="FY294" t="b">
        <f t="shared" si="607"/>
        <v>1</v>
      </c>
      <c r="FZ294">
        <f t="shared" ca="1" si="608"/>
        <v>597</v>
      </c>
      <c r="GA294">
        <f t="shared" ca="1" si="609"/>
        <v>502677</v>
      </c>
      <c r="GB294">
        <f t="shared" si="610"/>
        <v>75000</v>
      </c>
      <c r="GC294">
        <f t="shared" ca="1" si="611"/>
        <v>427677</v>
      </c>
      <c r="GD294">
        <f t="shared" ca="1" si="612"/>
        <v>0</v>
      </c>
      <c r="GE294">
        <f t="shared" ca="1" si="613"/>
        <v>0</v>
      </c>
      <c r="GF294">
        <f t="shared" ca="1" si="614"/>
        <v>0</v>
      </c>
      <c r="GG294">
        <f t="shared" ca="1" si="615"/>
        <v>0</v>
      </c>
      <c r="GH294">
        <f t="shared" ca="1" si="616"/>
        <v>0</v>
      </c>
      <c r="GI294">
        <f t="shared" ca="1" si="617"/>
        <v>0</v>
      </c>
      <c r="GJ294">
        <f ca="1">IF(GC294&gt;1200000,GC294-1200000-IF(F294="YES",50000,0)-GH294,0)</f>
        <v>0</v>
      </c>
      <c r="GK294">
        <f t="shared" ca="1" si="618"/>
        <v>0</v>
      </c>
      <c r="GL294">
        <f t="shared" ca="1" si="619"/>
        <v>0</v>
      </c>
      <c r="GM294">
        <f t="shared" ca="1" si="620"/>
        <v>0</v>
      </c>
      <c r="GN294">
        <f t="shared" ca="1" si="621"/>
        <v>27677</v>
      </c>
      <c r="GO294">
        <f t="shared" ca="1" si="622"/>
        <v>1383.8500000000001</v>
      </c>
      <c r="GP294">
        <f t="shared" ca="1" si="623"/>
        <v>1384</v>
      </c>
      <c r="GQ294">
        <f t="shared" ca="1" si="624"/>
        <v>0</v>
      </c>
      <c r="GR294">
        <f t="shared" ca="1" si="625"/>
        <v>0</v>
      </c>
      <c r="GS294">
        <f t="shared" ca="1" si="626"/>
        <v>1384</v>
      </c>
      <c r="GT294">
        <f t="shared" ca="1" si="627"/>
        <v>0</v>
      </c>
      <c r="GU294" t="b">
        <f t="shared" ca="1" si="628"/>
        <v>0</v>
      </c>
      <c r="GV294">
        <f t="shared" ca="1" si="629"/>
        <v>0</v>
      </c>
      <c r="GW294">
        <f t="shared" ca="1" si="630"/>
        <v>1384</v>
      </c>
      <c r="GX294">
        <f t="shared" ca="1" si="631"/>
        <v>0</v>
      </c>
      <c r="GY294">
        <f t="shared" ca="1" si="632"/>
        <v>0</v>
      </c>
      <c r="GZ294">
        <f t="shared" ca="1" si="633"/>
        <v>0</v>
      </c>
    </row>
    <row r="295" spans="1:208" x14ac:dyDescent="0.25">
      <c r="A295">
        <f>_xlfn.AGGREGATE(3,5,$B$2:B295)</f>
        <v>294</v>
      </c>
      <c r="B295" t="s">
        <v>689</v>
      </c>
      <c r="C295" t="s">
        <v>690</v>
      </c>
      <c r="D295" t="s">
        <v>827</v>
      </c>
      <c r="E295" t="s">
        <v>832</v>
      </c>
      <c r="F295" t="s">
        <v>957</v>
      </c>
      <c r="G295" t="s">
        <v>885</v>
      </c>
      <c r="H295">
        <f t="shared" ref="H295:H305" si="636">IF(_xlfn.DAYS("31-03-2025",G295)&gt;=180,6800,0)</f>
        <v>6800</v>
      </c>
      <c r="I295">
        <f>_xlfn.XLOOKUP(B295,'[1]march-2025'!$A:$A,'[1]march-2025'!$J:$J,0,0)</f>
        <v>0</v>
      </c>
      <c r="J295">
        <f>_xlfn.XLOOKUP(B295,'[1]march-2025'!$A:$A,'[1]march-2025'!$C:$C,0,0)</f>
        <v>51700</v>
      </c>
      <c r="K295">
        <f t="shared" si="550"/>
        <v>7238.0000000000009</v>
      </c>
      <c r="L295">
        <f t="shared" si="551"/>
        <v>6204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>IF(J295&gt;0,SUM(J295:N295),0)</f>
        <v>65542</v>
      </c>
      <c r="P295">
        <f>_xlfn.XLOOKUP(B295,'[1]march-2025'!$A:$A,'[1]march-2025'!$H:$H,0,0)</f>
        <v>8000</v>
      </c>
      <c r="Q295">
        <f>_xlfn.XLOOKUP(B295,'[1]march-2025'!$A:$A,'[1]march-2025'!$I:$I,0,0)</f>
        <v>60</v>
      </c>
      <c r="R295">
        <f t="shared" si="634"/>
        <v>200</v>
      </c>
      <c r="S295">
        <f t="shared" si="544"/>
        <v>57282</v>
      </c>
      <c r="T295">
        <f>_xlfn.XLOOKUP(B295,'[2]april-2025'!$A:$A,'[2]april-2025'!$C:$C,0,0)</f>
        <v>51700</v>
      </c>
      <c r="U295">
        <f t="shared" si="552"/>
        <v>9306</v>
      </c>
      <c r="V295">
        <f t="shared" si="553"/>
        <v>6204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545"/>
        <v>67610</v>
      </c>
      <c r="Z295">
        <f>_xlfn.XLOOKUP(B295,'[2]april-2025'!$A:$A,'[2]april-2025'!$H:$H,0,0)</f>
        <v>8000</v>
      </c>
      <c r="AA295">
        <f>_xlfn.XLOOKUP(B295,'[2]april-2025'!$A:$A,'[2]april-2025'!$I:$I,0,0)</f>
        <v>60</v>
      </c>
      <c r="AB295">
        <f t="shared" si="554"/>
        <v>200</v>
      </c>
      <c r="AC295">
        <f t="shared" si="555"/>
        <v>59350</v>
      </c>
      <c r="AD295">
        <f>_xlfn.XLOOKUP(B295,'[3]may-2025'!$A:$A,'[3]may-2025'!$C:$C,0,0)</f>
        <v>51700</v>
      </c>
      <c r="AE295">
        <f t="shared" si="556"/>
        <v>9306</v>
      </c>
      <c r="AF295">
        <f t="shared" si="557"/>
        <v>6204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546"/>
        <v>67610</v>
      </c>
      <c r="AJ295">
        <f>_xlfn.XLOOKUP(B295,'[3]may-2025'!$A:$A,'[3]may-2025'!$H:$H,0,0)</f>
        <v>8000</v>
      </c>
      <c r="AK295">
        <f>_xlfn.XLOOKUP(B295,'[3]may-2025'!$A:$A,'[3]may-2025'!$I:$I,0,0)</f>
        <v>60</v>
      </c>
      <c r="AL295">
        <f t="shared" si="558"/>
        <v>200</v>
      </c>
      <c r="AM295">
        <f t="shared" si="559"/>
        <v>59350</v>
      </c>
      <c r="AN295">
        <f>_xlfn.XLOOKUP(B295,'[4]june-2025'!$A:$A,'[4]june-2025'!$C:$C,0,0)</f>
        <v>51700</v>
      </c>
      <c r="AO295">
        <f t="shared" si="560"/>
        <v>9306</v>
      </c>
      <c r="AP295">
        <f t="shared" si="561"/>
        <v>6204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547"/>
        <v>67610</v>
      </c>
      <c r="AT295">
        <f>_xlfn.XLOOKUP(B295,'[4]june-2025'!$A:$A,'[4]june-2025'!$H:$H,0,0)</f>
        <v>8000</v>
      </c>
      <c r="AU295">
        <f>_xlfn.XLOOKUP(B295,'[4]june-2025'!$A:$A,'[4]june-2025'!$I:$I,0,0)</f>
        <v>60</v>
      </c>
      <c r="AV295">
        <f t="shared" si="562"/>
        <v>200</v>
      </c>
      <c r="AW295">
        <f t="shared" si="563"/>
        <v>59350</v>
      </c>
      <c r="AX295">
        <f>_xlfn.XLOOKUP(B295,'[5]july-2025'!$A:$A,'[5]july-2025'!$C:$C,0,0)</f>
        <v>53300</v>
      </c>
      <c r="AY295">
        <f t="shared" si="564"/>
        <v>9594</v>
      </c>
      <c r="AZ295">
        <v>0</v>
      </c>
      <c r="BA295">
        <f t="shared" si="565"/>
        <v>6396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>IF(AX295&gt;0,SUM(AX295:BC295),0)</f>
        <v>69690</v>
      </c>
      <c r="BE295">
        <f>_xlfn.XLOOKUP(B295,'[5]july-2025'!$A:$A,'[5]july-2025'!$H:$H,0,0)</f>
        <v>8000</v>
      </c>
      <c r="BF295">
        <f>_xlfn.XLOOKUP(B295,'[5]july-2025'!$A:$A,'[5]july-2025'!$I:$I,0,0)</f>
        <v>60</v>
      </c>
      <c r="BG295">
        <f t="shared" si="566"/>
        <v>200</v>
      </c>
      <c r="BH295">
        <f t="shared" si="567"/>
        <v>61430</v>
      </c>
      <c r="BI295">
        <f>_xlfn.XLOOKUP(B295,'[6]august-2025'!$A:$A,'[6]august-2025'!$C:$C,0,0)</f>
        <v>53300</v>
      </c>
      <c r="BJ295">
        <f t="shared" si="568"/>
        <v>9594</v>
      </c>
      <c r="BK295">
        <f t="shared" si="569"/>
        <v>6396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570"/>
        <v>69690</v>
      </c>
      <c r="BO295">
        <f>_xlfn.XLOOKUP(B295,'[6]august-2025'!$A:$A,'[6]august-2025'!$H:$H,0,0)</f>
        <v>8000</v>
      </c>
      <c r="BP295">
        <f>_xlfn.XLOOKUP(B295,'[6]august-2025'!$A:$A,'[6]august-2025'!$I:$I,0,0)</f>
        <v>60</v>
      </c>
      <c r="BQ295">
        <f>IF($F295="YES",0,IF(BN295&gt;40000,200,IF(BN295&gt;25000,150,IF(BN295&gt;15000,130,IF(BN295&gt;10000,110,0)))))</f>
        <v>200</v>
      </c>
      <c r="BR295">
        <f>BN295-BO295-BP295-BQ295</f>
        <v>61430</v>
      </c>
      <c r="BS295">
        <f>_xlfn.XLOOKUP(B295,'[7]september-2025'!$A:$A,'[7]september-2025'!$C:$C,0,0)</f>
        <v>53300</v>
      </c>
      <c r="BT295">
        <f t="shared" si="571"/>
        <v>9594</v>
      </c>
      <c r="BU295">
        <f t="shared" si="572"/>
        <v>6396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>IF(BS295&gt;0,SUM(BS295:BW295),0)</f>
        <v>69690</v>
      </c>
      <c r="BY295">
        <f>_xlfn.XLOOKUP(B295,'[7]september-2025'!$A:$A,'[7]september-2025'!$H:$H,0,0)</f>
        <v>8000</v>
      </c>
      <c r="BZ295">
        <f>_xlfn.XLOOKUP(B295,'[7]september-2025'!$A:$A,'[7]september-2025'!$I:$I,0,0)</f>
        <v>60</v>
      </c>
      <c r="CA295">
        <f t="shared" si="573"/>
        <v>200</v>
      </c>
      <c r="CB295">
        <f t="shared" si="574"/>
        <v>61430</v>
      </c>
      <c r="CC295">
        <f>_xlfn.XLOOKUP(B295,'[8]october-2025'!$A:$A,'[8]october-2025'!$C:$C,0,0)</f>
        <v>53300</v>
      </c>
      <c r="CD295">
        <f t="shared" si="575"/>
        <v>9594</v>
      </c>
      <c r="CE295">
        <f t="shared" si="576"/>
        <v>6396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>IF(CC295&gt;0,SUM(CC295:CG295),0)</f>
        <v>69690</v>
      </c>
      <c r="CI295">
        <f>_xlfn.XLOOKUP(B295,'[8]october-2025'!$A:$A,'[8]october-2025'!$H:$H,0,0)</f>
        <v>8000</v>
      </c>
      <c r="CJ295">
        <f>_xlfn.XLOOKUP(B295,'[8]october-2025'!$A:$A,'[8]october-2025'!$I:$I,0,0)</f>
        <v>60</v>
      </c>
      <c r="CK295">
        <f t="shared" si="577"/>
        <v>200</v>
      </c>
      <c r="CL295">
        <f t="shared" si="578"/>
        <v>61430</v>
      </c>
      <c r="CM295">
        <f>_xlfn.XLOOKUP(B295,'[9]november-2025'!$A:$A,'[9]november-2025'!$C:$C,0,0)</f>
        <v>53300</v>
      </c>
      <c r="CN295">
        <f t="shared" si="579"/>
        <v>9594</v>
      </c>
      <c r="CO295">
        <f t="shared" si="580"/>
        <v>6396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>IF(CM295&gt;0,SUM(CM295:CQ295),0)</f>
        <v>69690</v>
      </c>
      <c r="CS295">
        <f>_xlfn.XLOOKUP(B295,'[9]november-2025'!$A:$A,'[9]november-2025'!$H:$H,0,0)</f>
        <v>8000</v>
      </c>
      <c r="CT295">
        <f>_xlfn.XLOOKUP(B295,'[9]november-2025'!$A:$A,'[9]november-2025'!$I:$I,0,0)</f>
        <v>60</v>
      </c>
      <c r="CU295">
        <f t="shared" si="581"/>
        <v>200</v>
      </c>
      <c r="CV295">
        <f t="shared" si="582"/>
        <v>61430</v>
      </c>
      <c r="CW295">
        <f>_xlfn.XLOOKUP(B295,'[10]december-2025'!$A:$A,'[10]december-2025'!$C:$C,0,0)</f>
        <v>53300</v>
      </c>
      <c r="CX295">
        <f t="shared" si="583"/>
        <v>9594</v>
      </c>
      <c r="CY295">
        <f t="shared" si="584"/>
        <v>6396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>IF(CW295&gt;0,SUM(CW295:DA295),0)</f>
        <v>69690</v>
      </c>
      <c r="DC295">
        <f>_xlfn.XLOOKUP(B295,'[10]december-2025'!$A:$A,'[10]december-2025'!$H:$H,0,0)</f>
        <v>8000</v>
      </c>
      <c r="DD295">
        <f>_xlfn.XLOOKUP(B295,'[10]december-2025'!$A:$A,'[10]december-2025'!$I:$I,0,0)</f>
        <v>60</v>
      </c>
      <c r="DE295">
        <f t="shared" si="585"/>
        <v>200</v>
      </c>
      <c r="DF295">
        <f t="shared" si="586"/>
        <v>61430</v>
      </c>
      <c r="DG295">
        <f>_xlfn.XLOOKUP(B295,'[11]january-2026'!$A:$A,'[11]january-2026'!$C:$C,0,0)</f>
        <v>53300</v>
      </c>
      <c r="DH295">
        <f t="shared" si="587"/>
        <v>9594</v>
      </c>
      <c r="DI295">
        <f t="shared" si="588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>IF(DG295&gt;0,SUM(DG295:DK295),0)</f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589"/>
        <v>200</v>
      </c>
      <c r="DP295">
        <f t="shared" si="590"/>
        <v>61430</v>
      </c>
      <c r="DQ295">
        <f>_xlfn.XLOOKUP(B295,'[12]february-2026'!$A:$A,'[12]february-2026'!$C:$C,0,0)</f>
        <v>53300</v>
      </c>
      <c r="DR295">
        <f t="shared" si="591"/>
        <v>9594</v>
      </c>
      <c r="DS295">
        <f t="shared" si="592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>IF(DQ295&gt;0,SUM(DQ295:DU295),0)</f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593"/>
        <v>200</v>
      </c>
      <c r="DZ295">
        <f t="shared" si="594"/>
        <v>61430</v>
      </c>
      <c r="EA295">
        <f>_xlfn.XLOOKUP(B295,'[1]march-2025'!$A:$A,'[1]march-2025'!$J:$J,0,0)</f>
        <v>0</v>
      </c>
      <c r="EB295">
        <f>_xlfn.XLOOKUP(B295,'[2]april-2025'!$A:$A,'[2]april-2025'!$J:$J,0,0)</f>
        <v>0</v>
      </c>
      <c r="EC295">
        <f>_xlfn.XLOOKUP(B295,'[3]may-2025'!$A:$A,'[3]may-2025'!$J:$J,0,0)</f>
        <v>0</v>
      </c>
      <c r="ED295">
        <f>_xlfn.XLOOKUP(B295,'[4]june-2025'!$A:$A,'[4]june-2025'!$J:$J,0,0)</f>
        <v>0</v>
      </c>
      <c r="EE295">
        <f>_xlfn.XLOOKUP(B295,'[5]july-2025'!$A:$A,'[5]july-2025'!$J:$J,0,0)</f>
        <v>0</v>
      </c>
      <c r="EF295">
        <f>_xlfn.XLOOKUP(B295,'[6]august-2025'!$A:$A,'[6]august-2025'!$J:$J,0,0)</f>
        <v>0</v>
      </c>
      <c r="EG295">
        <f>_xlfn.XLOOKUP(B295,'[7]september-2025'!$A:$A,'[7]september-2025'!$J:$J,0,0)</f>
        <v>0</v>
      </c>
      <c r="EH295">
        <f>_xlfn.XLOOKUP(B295,'[8]october-2025'!$A:$A,'[8]october-2025'!$J:$J,0,0)</f>
        <v>0</v>
      </c>
      <c r="EI295">
        <f>_xlfn.XLOOKUP(C295,'[9]november-2025'!$A:$A,'[9]november-2025'!$J:$J,0,0)</f>
        <v>0</v>
      </c>
      <c r="EJ295">
        <f>_xlfn.XLOOKUP(B295,'[10]december-2025'!$A:$A,'[10]december-2025'!$J:$J,0,0)</f>
        <v>0</v>
      </c>
      <c r="EK295">
        <f>_xlfn.XLOOKUP(B295,'[11]january-2026'!$A:$A,'[11]january-2026'!$J:$J,0,0)</f>
        <v>0</v>
      </c>
      <c r="EL295">
        <f>_xlfn.XLOOKUP(B295,'[12]february-2026'!$A:$A,'[12]february-2026'!$J:$J,0,0)</f>
        <v>0</v>
      </c>
      <c r="EM295">
        <f t="shared" si="548"/>
        <v>0</v>
      </c>
      <c r="EN295">
        <f>DV295+DL295+DB295+CR295+CH295+BX295+BN295+BD295+AS295+AI295+Y295+O295+H295+I295</f>
        <v>832692</v>
      </c>
      <c r="EO295">
        <f>DY295+DO295+DE295+CU295+CK295+CA295+BQ295+BG295+AV295+AL295+AB295+R295</f>
        <v>2400</v>
      </c>
      <c r="EP295">
        <f t="shared" si="595"/>
        <v>50000</v>
      </c>
      <c r="EQ295">
        <v>0</v>
      </c>
      <c r="ER295">
        <f t="shared" si="549"/>
        <v>780292</v>
      </c>
      <c r="ES295">
        <f>DW295+DM295+DC295+CS295+CI295+BY295+BO295+BE295+AT295+AJ295+Z295+P295</f>
        <v>96000</v>
      </c>
      <c r="ET295">
        <f>DX295+DN295+DD295+CT295+CJ295+BZ295+BP295+BF295+AU295+AK295+AA295+Q295</f>
        <v>720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596"/>
        <v>96720</v>
      </c>
      <c r="FF295">
        <f t="shared" si="597"/>
        <v>96720</v>
      </c>
      <c r="FG295">
        <f t="shared" si="598"/>
        <v>683572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>SUM(FH295:FN295)+(IF(F295="YES",50000,0))</f>
        <v>0</v>
      </c>
      <c r="FP295">
        <f t="shared" si="599"/>
        <v>683572</v>
      </c>
      <c r="FQ295">
        <f t="shared" si="600"/>
        <v>12500</v>
      </c>
      <c r="FR295">
        <f t="shared" si="601"/>
        <v>36714</v>
      </c>
      <c r="FS295">
        <f t="shared" si="602"/>
        <v>49214</v>
      </c>
      <c r="FT295">
        <f t="shared" si="603"/>
        <v>49214</v>
      </c>
      <c r="FU295">
        <f t="shared" si="604"/>
        <v>1968.56</v>
      </c>
      <c r="FV295">
        <f t="shared" si="605"/>
        <v>51183</v>
      </c>
      <c r="FW295">
        <v>0</v>
      </c>
      <c r="FX295">
        <f t="shared" si="606"/>
        <v>51183</v>
      </c>
      <c r="FY295" t="b">
        <f t="shared" si="607"/>
        <v>1</v>
      </c>
      <c r="FZ295">
        <f t="shared" ca="1" si="608"/>
        <v>722</v>
      </c>
      <c r="GA295">
        <f t="shared" ca="1" si="609"/>
        <v>833414</v>
      </c>
      <c r="GB295">
        <f t="shared" si="610"/>
        <v>75000</v>
      </c>
      <c r="GC295">
        <f t="shared" ca="1" si="611"/>
        <v>758414</v>
      </c>
      <c r="GD295">
        <f t="shared" ca="1" si="612"/>
        <v>0</v>
      </c>
      <c r="GE295">
        <f t="shared" ca="1" si="613"/>
        <v>0</v>
      </c>
      <c r="GF295">
        <f t="shared" ca="1" si="614"/>
        <v>0</v>
      </c>
      <c r="GG295">
        <f t="shared" ca="1" si="615"/>
        <v>0</v>
      </c>
      <c r="GH295">
        <f t="shared" ca="1" si="616"/>
        <v>0</v>
      </c>
      <c r="GI295">
        <f t="shared" ca="1" si="617"/>
        <v>0</v>
      </c>
      <c r="GJ295">
        <f ca="1">IF(GC295&gt;1200000,GC295-1200000-IF(F295="YES",50000,0)-GH295,0)</f>
        <v>0</v>
      </c>
      <c r="GK295">
        <f t="shared" ca="1" si="618"/>
        <v>0</v>
      </c>
      <c r="GL295">
        <f t="shared" ca="1" si="619"/>
        <v>0</v>
      </c>
      <c r="GM295">
        <f t="shared" ca="1" si="620"/>
        <v>0</v>
      </c>
      <c r="GN295">
        <f t="shared" ca="1" si="621"/>
        <v>358414</v>
      </c>
      <c r="GO295">
        <f t="shared" ca="1" si="622"/>
        <v>17920.7</v>
      </c>
      <c r="GP295">
        <f t="shared" ca="1" si="623"/>
        <v>17921</v>
      </c>
      <c r="GQ295">
        <f t="shared" ca="1" si="624"/>
        <v>0</v>
      </c>
      <c r="GR295">
        <f t="shared" ca="1" si="625"/>
        <v>0</v>
      </c>
      <c r="GS295">
        <f t="shared" ca="1" si="626"/>
        <v>17921</v>
      </c>
      <c r="GT295">
        <f t="shared" ca="1" si="627"/>
        <v>0</v>
      </c>
      <c r="GU295" t="b">
        <f t="shared" ca="1" si="628"/>
        <v>0</v>
      </c>
      <c r="GV295">
        <f t="shared" ca="1" si="629"/>
        <v>0</v>
      </c>
      <c r="GW295">
        <f t="shared" ca="1" si="630"/>
        <v>17921</v>
      </c>
      <c r="GX295">
        <f t="shared" ca="1" si="631"/>
        <v>0</v>
      </c>
      <c r="GY295">
        <f t="shared" ca="1" si="632"/>
        <v>0</v>
      </c>
      <c r="GZ295">
        <f t="shared" ca="1" si="633"/>
        <v>0</v>
      </c>
    </row>
    <row r="296" spans="1:208" x14ac:dyDescent="0.25">
      <c r="A296">
        <f>_xlfn.AGGREGATE(3,5,$B$2:B296)</f>
        <v>295</v>
      </c>
      <c r="B296" t="s">
        <v>691</v>
      </c>
      <c r="C296" t="s">
        <v>692</v>
      </c>
      <c r="D296" t="s">
        <v>827</v>
      </c>
      <c r="E296" t="s">
        <v>831</v>
      </c>
      <c r="F296" t="s">
        <v>957</v>
      </c>
      <c r="G296" t="s">
        <v>910</v>
      </c>
      <c r="H296">
        <f t="shared" si="636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550"/>
        <v>4690</v>
      </c>
      <c r="L296">
        <f t="shared" si="551"/>
        <v>4020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>IF(J296&gt;0,SUM(J296:N296),0)</f>
        <v>42210</v>
      </c>
      <c r="P296">
        <f>_xlfn.XLOOKUP(B296,'[1]march-2025'!$A:$A,'[1]march-2025'!$H:$H,0,0)</f>
        <v>2500</v>
      </c>
      <c r="Q296">
        <f>_xlfn.XLOOKUP(B296,'[1]march-2025'!$A:$A,'[1]march-2025'!$I:$I,0,0)</f>
        <v>0</v>
      </c>
      <c r="R296">
        <f t="shared" si="634"/>
        <v>200</v>
      </c>
      <c r="S296">
        <f t="shared" si="544"/>
        <v>39510</v>
      </c>
      <c r="T296">
        <f>_xlfn.XLOOKUP(B296,'[2]april-2025'!$A:$A,'[2]april-2025'!$C:$C,0,0)</f>
        <v>33500</v>
      </c>
      <c r="U296">
        <f t="shared" si="552"/>
        <v>6030</v>
      </c>
      <c r="V296">
        <f t="shared" si="553"/>
        <v>4020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545"/>
        <v>43550</v>
      </c>
      <c r="Z296">
        <f>_xlfn.XLOOKUP(B296,'[2]april-2025'!$A:$A,'[2]april-2025'!$H:$H,0,0)</f>
        <v>2500</v>
      </c>
      <c r="AA296">
        <f>_xlfn.XLOOKUP(B296,'[2]april-2025'!$A:$A,'[2]april-2025'!$I:$I,0,0)</f>
        <v>0</v>
      </c>
      <c r="AB296">
        <f t="shared" si="554"/>
        <v>200</v>
      </c>
      <c r="AC296">
        <f t="shared" si="555"/>
        <v>40850</v>
      </c>
      <c r="AD296">
        <f>_xlfn.XLOOKUP(B296,'[3]may-2025'!$A:$A,'[3]may-2025'!$C:$C,0,0)</f>
        <v>33500</v>
      </c>
      <c r="AE296">
        <f t="shared" si="556"/>
        <v>6030</v>
      </c>
      <c r="AF296">
        <f t="shared" si="557"/>
        <v>4020</v>
      </c>
      <c r="AG296">
        <f>_xlfn.XLOOKUP(B296,'[3]may-2025'!$A:$A,'[3]may-2025'!$D:$D,0,0)</f>
        <v>0</v>
      </c>
      <c r="AH296">
        <f>_xlfn.XLOOKUP(B296,'[3]may-2025'!$A:$A,'[3]may-2025'!$G:$G,0,0)</f>
        <v>0</v>
      </c>
      <c r="AI296">
        <f t="shared" si="546"/>
        <v>43550</v>
      </c>
      <c r="AJ296">
        <f>_xlfn.XLOOKUP(B296,'[3]may-2025'!$A:$A,'[3]may-2025'!$H:$H,0,0)</f>
        <v>2500</v>
      </c>
      <c r="AK296">
        <f>_xlfn.XLOOKUP(B296,'[3]may-2025'!$A:$A,'[3]may-2025'!$I:$I,0,0)</f>
        <v>0</v>
      </c>
      <c r="AL296">
        <f t="shared" si="558"/>
        <v>200</v>
      </c>
      <c r="AM296">
        <f t="shared" si="559"/>
        <v>40850</v>
      </c>
      <c r="AN296">
        <f>_xlfn.XLOOKUP(B296,'[4]june-2025'!$A:$A,'[4]june-2025'!$C:$C,0,0)</f>
        <v>33500</v>
      </c>
      <c r="AO296">
        <f t="shared" si="560"/>
        <v>6030</v>
      </c>
      <c r="AP296">
        <f t="shared" si="561"/>
        <v>4020</v>
      </c>
      <c r="AQ296">
        <f>_xlfn.XLOOKUP(B296,'[4]june-2025'!$A:$A,'[4]june-2025'!$D:$D,0,0)</f>
        <v>0</v>
      </c>
      <c r="AR296">
        <f>_xlfn.XLOOKUP(B296,'[4]june-2025'!$A:$A,'[4]june-2025'!$G:$G,0,0)</f>
        <v>0</v>
      </c>
      <c r="AS296">
        <f t="shared" si="547"/>
        <v>43550</v>
      </c>
      <c r="AT296">
        <f>_xlfn.XLOOKUP(B296,'[4]june-2025'!$A:$A,'[4]june-2025'!$H:$H,0,0)</f>
        <v>2500</v>
      </c>
      <c r="AU296">
        <f>_xlfn.XLOOKUP(B296,'[4]june-2025'!$A:$A,'[4]june-2025'!$I:$I,0,0)</f>
        <v>0</v>
      </c>
      <c r="AV296">
        <f t="shared" si="562"/>
        <v>200</v>
      </c>
      <c r="AW296">
        <f t="shared" si="563"/>
        <v>40850</v>
      </c>
      <c r="AX296">
        <f>_xlfn.XLOOKUP(B296,'[5]july-2025'!$A:$A,'[5]july-2025'!$C:$C,0,0)</f>
        <v>34500</v>
      </c>
      <c r="AY296">
        <f t="shared" si="564"/>
        <v>6210</v>
      </c>
      <c r="AZ296">
        <v>0</v>
      </c>
      <c r="BA296">
        <f t="shared" si="565"/>
        <v>4140</v>
      </c>
      <c r="BB296">
        <f>_xlfn.XLOOKUP(B296,'[5]july-2025'!$A:$A,'[5]july-2025'!$D:$D,0,0)</f>
        <v>0</v>
      </c>
      <c r="BC296">
        <f>_xlfn.XLOOKUP(B296,'[5]july-2025'!$A:$A,'[5]july-2025'!$G:$G,0,0)</f>
        <v>0</v>
      </c>
      <c r="BD296">
        <f>IF(AX296&gt;0,SUM(AX296:BC296),0)</f>
        <v>44850</v>
      </c>
      <c r="BE296">
        <f>_xlfn.XLOOKUP(B296,'[5]july-2025'!$A:$A,'[5]july-2025'!$H:$H,0,0)</f>
        <v>2500</v>
      </c>
      <c r="BF296">
        <f>_xlfn.XLOOKUP(B296,'[5]july-2025'!$A:$A,'[5]july-2025'!$I:$I,0,0)</f>
        <v>0</v>
      </c>
      <c r="BG296">
        <f t="shared" si="566"/>
        <v>200</v>
      </c>
      <c r="BH296">
        <f t="shared" si="567"/>
        <v>42150</v>
      </c>
      <c r="BI296">
        <f>_xlfn.XLOOKUP(B296,'[6]august-2025'!$A:$A,'[6]august-2025'!$C:$C,0,0)</f>
        <v>34500</v>
      </c>
      <c r="BJ296">
        <f t="shared" si="568"/>
        <v>6210</v>
      </c>
      <c r="BK296">
        <f t="shared" si="569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0</v>
      </c>
      <c r="BN296">
        <f t="shared" si="570"/>
        <v>44850</v>
      </c>
      <c r="BO296">
        <f>_xlfn.XLOOKUP(B296,'[6]august-2025'!$A:$A,'[6]august-2025'!$H:$H,0,0)</f>
        <v>2500</v>
      </c>
      <c r="BP296">
        <f>_xlfn.XLOOKUP(B296,'[6]august-2025'!$A:$A,'[6]august-2025'!$I:$I,0,0)</f>
        <v>0</v>
      </c>
      <c r="BQ296">
        <f>IF($F296="YES",0,IF(BN296&gt;40000,200,IF(BN296&gt;25000,150,IF(BN296&gt;15000,130,IF(BN296&gt;10000,110,0)))))</f>
        <v>200</v>
      </c>
      <c r="BR296">
        <f>BN296-BO296-BP296-BQ296</f>
        <v>42150</v>
      </c>
      <c r="BS296">
        <f>_xlfn.XLOOKUP(B296,'[7]september-2025'!$A:$A,'[7]september-2025'!$C:$C,0,0)</f>
        <v>34500</v>
      </c>
      <c r="BT296">
        <f t="shared" si="571"/>
        <v>6210</v>
      </c>
      <c r="BU296">
        <f t="shared" si="572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0</v>
      </c>
      <c r="BX296">
        <f>IF(BS296&gt;0,SUM(BS296:BW296),0)</f>
        <v>44850</v>
      </c>
      <c r="BY296">
        <f>_xlfn.XLOOKUP(B296,'[7]september-2025'!$A:$A,'[7]september-2025'!$H:$H,0,0)</f>
        <v>2500</v>
      </c>
      <c r="BZ296">
        <f>_xlfn.XLOOKUP(B296,'[7]september-2025'!$A:$A,'[7]september-2025'!$I:$I,0,0)</f>
        <v>0</v>
      </c>
      <c r="CA296">
        <f t="shared" si="573"/>
        <v>200</v>
      </c>
      <c r="CB296">
        <f t="shared" si="574"/>
        <v>42150</v>
      </c>
      <c r="CC296">
        <f>_xlfn.XLOOKUP(B296,'[8]october-2025'!$A:$A,'[8]october-2025'!$C:$C,0,0)</f>
        <v>34500</v>
      </c>
      <c r="CD296">
        <f t="shared" si="575"/>
        <v>6210</v>
      </c>
      <c r="CE296">
        <f t="shared" si="576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0</v>
      </c>
      <c r="CH296">
        <f>IF(CC296&gt;0,SUM(CC296:CG296),0)</f>
        <v>44850</v>
      </c>
      <c r="CI296">
        <f>_xlfn.XLOOKUP(B296,'[8]october-2025'!$A:$A,'[8]october-2025'!$H:$H,0,0)</f>
        <v>2500</v>
      </c>
      <c r="CJ296">
        <f>_xlfn.XLOOKUP(B296,'[8]october-2025'!$A:$A,'[8]october-2025'!$I:$I,0,0)</f>
        <v>0</v>
      </c>
      <c r="CK296">
        <f t="shared" si="577"/>
        <v>200</v>
      </c>
      <c r="CL296">
        <f t="shared" si="578"/>
        <v>42150</v>
      </c>
      <c r="CM296">
        <f>_xlfn.XLOOKUP(B296,'[9]november-2025'!$A:$A,'[9]november-2025'!$C:$C,0,0)</f>
        <v>34500</v>
      </c>
      <c r="CN296">
        <f t="shared" si="579"/>
        <v>6210</v>
      </c>
      <c r="CO296">
        <f t="shared" si="580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0</v>
      </c>
      <c r="CR296">
        <f>IF(CM296&gt;0,SUM(CM296:CQ296),0)</f>
        <v>44850</v>
      </c>
      <c r="CS296">
        <f>_xlfn.XLOOKUP(B296,'[9]november-2025'!$A:$A,'[9]november-2025'!$H:$H,0,0)</f>
        <v>2500</v>
      </c>
      <c r="CT296">
        <f>_xlfn.XLOOKUP(B296,'[9]november-2025'!$A:$A,'[9]november-2025'!$I:$I,0,0)</f>
        <v>0</v>
      </c>
      <c r="CU296">
        <f t="shared" si="581"/>
        <v>200</v>
      </c>
      <c r="CV296">
        <f t="shared" si="582"/>
        <v>42150</v>
      </c>
      <c r="CW296">
        <f>_xlfn.XLOOKUP(B296,'[10]december-2025'!$A:$A,'[10]december-2025'!$C:$C,0,0)</f>
        <v>34500</v>
      </c>
      <c r="CX296">
        <f t="shared" si="583"/>
        <v>6210</v>
      </c>
      <c r="CY296">
        <f t="shared" si="584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0</v>
      </c>
      <c r="DB296">
        <f>IF(CW296&gt;0,SUM(CW296:DA296),0)</f>
        <v>44850</v>
      </c>
      <c r="DC296">
        <f>_xlfn.XLOOKUP(B296,'[10]december-2025'!$A:$A,'[10]december-2025'!$H:$H,0,0)</f>
        <v>2500</v>
      </c>
      <c r="DD296">
        <f>_xlfn.XLOOKUP(B296,'[10]december-2025'!$A:$A,'[10]december-2025'!$I:$I,0,0)</f>
        <v>0</v>
      </c>
      <c r="DE296">
        <f t="shared" si="585"/>
        <v>200</v>
      </c>
      <c r="DF296">
        <f t="shared" si="586"/>
        <v>42150</v>
      </c>
      <c r="DG296">
        <f>_xlfn.XLOOKUP(B296,'[11]january-2026'!$A:$A,'[11]january-2026'!$C:$C,0,0)</f>
        <v>34500</v>
      </c>
      <c r="DH296">
        <f t="shared" si="587"/>
        <v>6210</v>
      </c>
      <c r="DI296">
        <f t="shared" si="588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>IF(DG296&gt;0,SUM(DG296:DK296),0)</f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589"/>
        <v>200</v>
      </c>
      <c r="DP296">
        <f t="shared" si="590"/>
        <v>42150</v>
      </c>
      <c r="DQ296">
        <f>_xlfn.XLOOKUP(B296,'[12]february-2026'!$A:$A,'[12]february-2026'!$C:$C,0,0)</f>
        <v>34500</v>
      </c>
      <c r="DR296">
        <f t="shared" si="591"/>
        <v>6210</v>
      </c>
      <c r="DS296">
        <f t="shared" si="592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>IF(DQ296&gt;0,SUM(DQ296:DU296),0)</f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593"/>
        <v>200</v>
      </c>
      <c r="DZ296">
        <f t="shared" si="594"/>
        <v>42150</v>
      </c>
      <c r="EA296">
        <f>_xlfn.XLOOKUP(B296,'[1]march-2025'!$A:$A,'[1]march-2025'!$J:$J,0,0)</f>
        <v>0</v>
      </c>
      <c r="EB296">
        <f>_xlfn.XLOOKUP(B296,'[2]april-2025'!$A:$A,'[2]april-2025'!$J:$J,0,0)</f>
        <v>0</v>
      </c>
      <c r="EC296">
        <f>_xlfn.XLOOKUP(B296,'[3]may-2025'!$A:$A,'[3]may-2025'!$J:$J,0,0)</f>
        <v>0</v>
      </c>
      <c r="ED296">
        <f>_xlfn.XLOOKUP(B296,'[4]june-2025'!$A:$A,'[4]june-2025'!$J:$J,0,0)</f>
        <v>0</v>
      </c>
      <c r="EE296">
        <f>_xlfn.XLOOKUP(B296,'[5]july-2025'!$A:$A,'[5]july-2025'!$J:$J,0,0)</f>
        <v>0</v>
      </c>
      <c r="EF296">
        <f>_xlfn.XLOOKUP(B296,'[6]august-2025'!$A:$A,'[6]august-2025'!$J:$J,0,0)</f>
        <v>0</v>
      </c>
      <c r="EG296">
        <f>_xlfn.XLOOKUP(B296,'[7]september-2025'!$A:$A,'[7]september-2025'!$J:$J,0,0)</f>
        <v>0</v>
      </c>
      <c r="EH296">
        <f>_xlfn.XLOOKUP(B296,'[8]october-2025'!$A:$A,'[8]october-2025'!$J:$J,0,0)</f>
        <v>0</v>
      </c>
      <c r="EI296">
        <f>_xlfn.XLOOKUP(C296,'[9]november-2025'!$A:$A,'[9]november-2025'!$J:$J,0,0)</f>
        <v>0</v>
      </c>
      <c r="EJ296">
        <f>_xlfn.XLOOKUP(B296,'[10]december-2025'!$A:$A,'[10]december-2025'!$J:$J,0,0)</f>
        <v>0</v>
      </c>
      <c r="EK296">
        <f>_xlfn.XLOOKUP(B296,'[11]january-2026'!$A:$A,'[11]january-2026'!$J:$J,0,0)</f>
        <v>0</v>
      </c>
      <c r="EL296">
        <f>_xlfn.XLOOKUP(B296,'[12]february-2026'!$A:$A,'[12]february-2026'!$J:$J,0,0)</f>
        <v>0</v>
      </c>
      <c r="EM296">
        <f t="shared" si="548"/>
        <v>0</v>
      </c>
      <c r="EN296">
        <f>DV296+DL296+DB296+CR296+CH296+BX296+BN296+BD296+AS296+AI296+Y296+O296+H296+I296</f>
        <v>538460</v>
      </c>
      <c r="EO296">
        <f>DY296+DO296+DE296+CU296+CK296+CA296+BQ296+BG296+AV296+AL296+AB296+R296</f>
        <v>2400</v>
      </c>
      <c r="EP296">
        <f t="shared" si="595"/>
        <v>50000</v>
      </c>
      <c r="EQ296">
        <v>0</v>
      </c>
      <c r="ER296">
        <f t="shared" si="549"/>
        <v>486060</v>
      </c>
      <c r="ES296">
        <f>DW296+DM296+DC296+CS296+CI296+BY296+BO296+BE296+AT296+AJ296+Z296+P296</f>
        <v>30000</v>
      </c>
      <c r="ET296">
        <f>DX296+DN296+DD296+CT296+CJ296+BZ296+BP296+BF296+AU296+AK296+AA296+Q296</f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596"/>
        <v>30000</v>
      </c>
      <c r="FF296">
        <f t="shared" si="597"/>
        <v>30000</v>
      </c>
      <c r="FG296">
        <f t="shared" si="598"/>
        <v>456060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>SUM(FH296:FN296)+(IF(F296="YES",50000,0))</f>
        <v>0</v>
      </c>
      <c r="FP296">
        <f t="shared" si="599"/>
        <v>456060</v>
      </c>
      <c r="FQ296">
        <f t="shared" si="600"/>
        <v>10303</v>
      </c>
      <c r="FR296">
        <f t="shared" si="601"/>
        <v>0</v>
      </c>
      <c r="FS296">
        <f t="shared" si="602"/>
        <v>10303</v>
      </c>
      <c r="FT296">
        <f t="shared" si="603"/>
        <v>0</v>
      </c>
      <c r="FU296">
        <f t="shared" si="604"/>
        <v>0</v>
      </c>
      <c r="FV296">
        <f t="shared" si="605"/>
        <v>0</v>
      </c>
      <c r="FW296">
        <v>0</v>
      </c>
      <c r="FX296">
        <f t="shared" si="606"/>
        <v>0</v>
      </c>
      <c r="FY296" t="b">
        <f t="shared" si="607"/>
        <v>1</v>
      </c>
      <c r="FZ296">
        <f t="shared" ca="1" si="608"/>
        <v>654</v>
      </c>
      <c r="GA296">
        <f t="shared" ca="1" si="609"/>
        <v>539114</v>
      </c>
      <c r="GB296">
        <f t="shared" si="610"/>
        <v>75000</v>
      </c>
      <c r="GC296">
        <f t="shared" ca="1" si="611"/>
        <v>464114</v>
      </c>
      <c r="GD296">
        <f t="shared" ca="1" si="612"/>
        <v>0</v>
      </c>
      <c r="GE296">
        <f t="shared" ca="1" si="613"/>
        <v>0</v>
      </c>
      <c r="GF296">
        <f t="shared" ca="1" si="614"/>
        <v>0</v>
      </c>
      <c r="GG296">
        <f t="shared" ca="1" si="615"/>
        <v>0</v>
      </c>
      <c r="GH296">
        <f t="shared" ca="1" si="616"/>
        <v>0</v>
      </c>
      <c r="GI296">
        <f t="shared" ca="1" si="617"/>
        <v>0</v>
      </c>
      <c r="GJ296">
        <f ca="1">IF(GC296&gt;1200000,GC296-1200000-IF(F296="YES",50000,0)-GH296,0)</f>
        <v>0</v>
      </c>
      <c r="GK296">
        <f t="shared" ca="1" si="618"/>
        <v>0</v>
      </c>
      <c r="GL296">
        <f t="shared" ca="1" si="619"/>
        <v>0</v>
      </c>
      <c r="GM296">
        <f t="shared" ca="1" si="620"/>
        <v>0</v>
      </c>
      <c r="GN296">
        <f t="shared" ca="1" si="621"/>
        <v>64114</v>
      </c>
      <c r="GO296">
        <f t="shared" ca="1" si="622"/>
        <v>3205.7000000000003</v>
      </c>
      <c r="GP296">
        <f t="shared" ca="1" si="623"/>
        <v>3206</v>
      </c>
      <c r="GQ296">
        <f t="shared" ca="1" si="624"/>
        <v>0</v>
      </c>
      <c r="GR296">
        <f t="shared" ca="1" si="625"/>
        <v>0</v>
      </c>
      <c r="GS296">
        <f t="shared" ca="1" si="626"/>
        <v>3206</v>
      </c>
      <c r="GT296">
        <f t="shared" ca="1" si="627"/>
        <v>0</v>
      </c>
      <c r="GU296" t="b">
        <f t="shared" ca="1" si="628"/>
        <v>0</v>
      </c>
      <c r="GV296">
        <f t="shared" ca="1" si="629"/>
        <v>0</v>
      </c>
      <c r="GW296">
        <f t="shared" ca="1" si="630"/>
        <v>3206</v>
      </c>
      <c r="GX296">
        <f t="shared" ca="1" si="631"/>
        <v>0</v>
      </c>
      <c r="GY296">
        <f t="shared" ca="1" si="632"/>
        <v>0</v>
      </c>
      <c r="GZ296">
        <f t="shared" ca="1" si="633"/>
        <v>0</v>
      </c>
    </row>
    <row r="297" spans="1:208" x14ac:dyDescent="0.25">
      <c r="A297">
        <f>_xlfn.AGGREGATE(3,5,$B$2:B297)</f>
        <v>296</v>
      </c>
      <c r="B297" t="s">
        <v>871</v>
      </c>
      <c r="C297" t="s">
        <v>872</v>
      </c>
      <c r="D297" t="s">
        <v>827</v>
      </c>
      <c r="E297" t="s">
        <v>831</v>
      </c>
      <c r="F297" t="s">
        <v>959</v>
      </c>
      <c r="G297" t="s">
        <v>890</v>
      </c>
      <c r="H297">
        <f t="shared" si="636"/>
        <v>0</v>
      </c>
      <c r="I297">
        <f>_xlfn.XLOOKUP(B297,'[1]march-2025'!$A:$A,'[1]march-2025'!$J:$J,0,0)</f>
        <v>0</v>
      </c>
      <c r="J297">
        <f>_xlfn.XLOOKUP(B297,'[1]march-2025'!$A:$A,'[1]march-2025'!$C:$C,0,0)</f>
        <v>0</v>
      </c>
      <c r="K297">
        <f t="shared" si="550"/>
        <v>0</v>
      </c>
      <c r="L297">
        <f t="shared" si="551"/>
        <v>0</v>
      </c>
      <c r="M297">
        <f>_xlfn.XLOOKUP(B297,'[1]march-2025'!$A:$A,'[1]march-2025'!$D:$D,0,0)</f>
        <v>0</v>
      </c>
      <c r="N297">
        <f>_xlfn.XLOOKUP(B297,'[1]march-2025'!$A:$A,'[1]march-2025'!$G:$G,0,0)</f>
        <v>0</v>
      </c>
      <c r="O297">
        <f>IF(J297&gt;0,SUM(J297:N297),0)</f>
        <v>0</v>
      </c>
      <c r="P297">
        <f>_xlfn.XLOOKUP(B297,'[1]march-2025'!$A:$A,'[1]march-2025'!$H:$H,0,0)</f>
        <v>0</v>
      </c>
      <c r="Q297">
        <f>_xlfn.XLOOKUP(B297,'[1]march-2025'!$A:$A,'[1]march-2025'!$I:$I,0,0)</f>
        <v>0</v>
      </c>
      <c r="R297">
        <f t="shared" si="634"/>
        <v>0</v>
      </c>
      <c r="S297">
        <f t="shared" si="544"/>
        <v>0</v>
      </c>
      <c r="T297">
        <f>_xlfn.XLOOKUP(B297,'[2]april-2025'!$A:$A,'[2]april-2025'!$C:$C,0,0)</f>
        <v>0</v>
      </c>
      <c r="U297">
        <f t="shared" si="552"/>
        <v>0</v>
      </c>
      <c r="V297">
        <f t="shared" si="553"/>
        <v>0</v>
      </c>
      <c r="W297">
        <f>_xlfn.XLOOKUP(B297,'[2]april-2025'!$A:$A,'[2]april-2025'!$D:$D,0,0)</f>
        <v>0</v>
      </c>
      <c r="X297">
        <f>_xlfn.XLOOKUP(B297,'[2]april-2025'!$A:$A,'[2]april-2025'!$G:$G,0,0)</f>
        <v>0</v>
      </c>
      <c r="Y297">
        <f t="shared" si="545"/>
        <v>0</v>
      </c>
      <c r="Z297">
        <f>_xlfn.XLOOKUP(B297,'[2]april-2025'!$A:$A,'[2]april-2025'!$H:$H,0,0)</f>
        <v>0</v>
      </c>
      <c r="AA297">
        <f>_xlfn.XLOOKUP(B297,'[2]april-2025'!$A:$A,'[2]april-2025'!$I:$I,0,0)</f>
        <v>0</v>
      </c>
      <c r="AB297">
        <f t="shared" si="554"/>
        <v>0</v>
      </c>
      <c r="AC297">
        <f t="shared" si="555"/>
        <v>0</v>
      </c>
      <c r="AD297">
        <f>_xlfn.XLOOKUP(B297,'[3]may-2025'!$A:$A,'[3]may-2025'!$C:$C,0,0)</f>
        <v>24700</v>
      </c>
      <c r="AE297">
        <f t="shared" si="556"/>
        <v>4446</v>
      </c>
      <c r="AF297">
        <f t="shared" si="557"/>
        <v>2964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546"/>
        <v>32610</v>
      </c>
      <c r="AJ297">
        <f>_xlfn.XLOOKUP(B297,'[3]may-2025'!$A:$A,'[3]may-2025'!$H:$H,0,0)</f>
        <v>0</v>
      </c>
      <c r="AK297">
        <f>_xlfn.XLOOKUP(B297,'[3]may-2025'!$A:$A,'[3]may-2025'!$I:$I,0,0)</f>
        <v>0</v>
      </c>
      <c r="AL297">
        <f t="shared" si="558"/>
        <v>150</v>
      </c>
      <c r="AM297">
        <f t="shared" si="559"/>
        <v>32460</v>
      </c>
      <c r="AN297">
        <f>_xlfn.XLOOKUP(B297,'[4]june-2025'!$A:$A,'[4]june-2025'!$C:$C,0,0)</f>
        <v>24700</v>
      </c>
      <c r="AO297">
        <f t="shared" si="560"/>
        <v>4446</v>
      </c>
      <c r="AP297">
        <f t="shared" si="561"/>
        <v>2964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547"/>
        <v>32610</v>
      </c>
      <c r="AT297">
        <f>_xlfn.XLOOKUP(B297,'[4]june-2025'!$A:$A,'[4]june-2025'!$H:$H,0,0)</f>
        <v>0</v>
      </c>
      <c r="AU297">
        <f>_xlfn.XLOOKUP(B297,'[4]june-2025'!$A:$A,'[4]june-2025'!$I:$I,0,0)</f>
        <v>0</v>
      </c>
      <c r="AV297">
        <f t="shared" si="562"/>
        <v>150</v>
      </c>
      <c r="AW297">
        <f t="shared" si="563"/>
        <v>32460</v>
      </c>
      <c r="AX297">
        <f>_xlfn.XLOOKUP(B297,'[5]july-2025'!$A:$A,'[5]july-2025'!$C:$C,0,0)</f>
        <v>24700</v>
      </c>
      <c r="AY297">
        <f t="shared" si="564"/>
        <v>4446</v>
      </c>
      <c r="AZ297">
        <v>0</v>
      </c>
      <c r="BA297">
        <f t="shared" si="565"/>
        <v>2964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>IF(AX297&gt;0,SUM(AX297:BC297),0)</f>
        <v>32610</v>
      </c>
      <c r="BE297">
        <f>_xlfn.XLOOKUP(B297,'[5]july-2025'!$A:$A,'[5]july-2025'!$H:$H,0,0)</f>
        <v>0</v>
      </c>
      <c r="BF297">
        <f>_xlfn.XLOOKUP(B297,'[5]july-2025'!$A:$A,'[5]july-2025'!$I:$I,0,0)</f>
        <v>0</v>
      </c>
      <c r="BG297">
        <f t="shared" si="566"/>
        <v>150</v>
      </c>
      <c r="BH297">
        <f t="shared" si="567"/>
        <v>32460</v>
      </c>
      <c r="BI297">
        <f>_xlfn.XLOOKUP(B297,'[6]august-2025'!$A:$A,'[6]august-2025'!$C:$C,0,0)</f>
        <v>28900</v>
      </c>
      <c r="BJ297">
        <f t="shared" si="568"/>
        <v>5202</v>
      </c>
      <c r="BK297">
        <f t="shared" si="569"/>
        <v>3468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570"/>
        <v>38070</v>
      </c>
      <c r="BO297">
        <f>_xlfn.XLOOKUP(B297,'[6]august-2025'!$A:$A,'[6]august-2025'!$H:$H,0,0)</f>
        <v>0</v>
      </c>
      <c r="BP297">
        <f>_xlfn.XLOOKUP(B297,'[6]august-2025'!$A:$A,'[6]august-2025'!$I:$I,0,0)</f>
        <v>0</v>
      </c>
      <c r="BQ297">
        <f>IF($F297="YES",0,IF(BN297&gt;40000,200,IF(BN297&gt;25000,150,IF(BN297&gt;15000,130,IF(BN297&gt;10000,110,0)))))</f>
        <v>150</v>
      </c>
      <c r="BR297">
        <f>BN297-BO297-BP297-BQ297</f>
        <v>37920</v>
      </c>
      <c r="BS297">
        <f>_xlfn.XLOOKUP(B297,'[7]september-2025'!$A:$A,'[7]september-2025'!$C:$C,0,0)</f>
        <v>28900</v>
      </c>
      <c r="BT297">
        <f t="shared" si="571"/>
        <v>5202</v>
      </c>
      <c r="BU297">
        <f t="shared" si="572"/>
        <v>3468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>IF(BS297&gt;0,SUM(BS297:BW297),0)</f>
        <v>38070</v>
      </c>
      <c r="BY297">
        <f>_xlfn.XLOOKUP(B297,'[7]september-2025'!$A:$A,'[7]september-2025'!$H:$H,0,0)</f>
        <v>0</v>
      </c>
      <c r="BZ297">
        <f>_xlfn.XLOOKUP(B297,'[7]september-2025'!$A:$A,'[7]september-2025'!$I:$I,0,0)</f>
        <v>0</v>
      </c>
      <c r="CA297">
        <f t="shared" si="573"/>
        <v>150</v>
      </c>
      <c r="CB297">
        <f t="shared" si="574"/>
        <v>37920</v>
      </c>
      <c r="CC297">
        <f>_xlfn.XLOOKUP(B297,'[8]october-2025'!$A:$A,'[8]october-2025'!$C:$C,0,0)</f>
        <v>28900</v>
      </c>
      <c r="CD297">
        <f t="shared" si="575"/>
        <v>5202</v>
      </c>
      <c r="CE297">
        <f t="shared" si="576"/>
        <v>3468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>IF(CC297&gt;0,SUM(CC297:CG297),0)</f>
        <v>38070</v>
      </c>
      <c r="CI297">
        <f>_xlfn.XLOOKUP(B297,'[8]october-2025'!$A:$A,'[8]october-2025'!$H:$H,0,0)</f>
        <v>0</v>
      </c>
      <c r="CJ297">
        <f>_xlfn.XLOOKUP(B297,'[8]october-2025'!$A:$A,'[8]october-2025'!$I:$I,0,0)</f>
        <v>0</v>
      </c>
      <c r="CK297">
        <f t="shared" si="577"/>
        <v>150</v>
      </c>
      <c r="CL297">
        <f t="shared" si="578"/>
        <v>37920</v>
      </c>
      <c r="CM297">
        <f>_xlfn.XLOOKUP(B297,'[9]november-2025'!$A:$A,'[9]november-2025'!$C:$C,0,0)</f>
        <v>28900</v>
      </c>
      <c r="CN297">
        <f t="shared" si="579"/>
        <v>5202</v>
      </c>
      <c r="CO297">
        <f t="shared" si="580"/>
        <v>3468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>IF(CM297&gt;0,SUM(CM297:CQ297),0)</f>
        <v>38070</v>
      </c>
      <c r="CS297">
        <f>_xlfn.XLOOKUP(B297,'[9]november-2025'!$A:$A,'[9]november-2025'!$H:$H,0,0)</f>
        <v>0</v>
      </c>
      <c r="CT297">
        <f>_xlfn.XLOOKUP(B297,'[9]november-2025'!$A:$A,'[9]november-2025'!$I:$I,0,0)</f>
        <v>0</v>
      </c>
      <c r="CU297">
        <f t="shared" si="581"/>
        <v>150</v>
      </c>
      <c r="CV297">
        <f t="shared" si="582"/>
        <v>37920</v>
      </c>
      <c r="CW297">
        <f>_xlfn.XLOOKUP(B297,'[10]december-2025'!$A:$A,'[10]december-2025'!$C:$C,0,0)</f>
        <v>28900</v>
      </c>
      <c r="CX297">
        <f t="shared" si="583"/>
        <v>5202</v>
      </c>
      <c r="CY297">
        <f t="shared" si="584"/>
        <v>3468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>IF(CW297&gt;0,SUM(CW297:DA297),0)</f>
        <v>38070</v>
      </c>
      <c r="DC297">
        <f>_xlfn.XLOOKUP(B297,'[10]december-2025'!$A:$A,'[10]december-2025'!$H:$H,0,0)</f>
        <v>0</v>
      </c>
      <c r="DD297">
        <f>_xlfn.XLOOKUP(B297,'[10]december-2025'!$A:$A,'[10]december-2025'!$I:$I,0,0)</f>
        <v>0</v>
      </c>
      <c r="DE297">
        <f t="shared" si="585"/>
        <v>150</v>
      </c>
      <c r="DF297">
        <f t="shared" si="586"/>
        <v>37920</v>
      </c>
      <c r="DG297">
        <f>_xlfn.XLOOKUP(B297,'[11]january-2026'!$A:$A,'[11]january-2026'!$C:$C,0,0)</f>
        <v>28900</v>
      </c>
      <c r="DH297">
        <f t="shared" si="587"/>
        <v>5202</v>
      </c>
      <c r="DI297">
        <f t="shared" si="588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>IF(DG297&gt;0,SUM(DG297:DK297),0)</f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589"/>
        <v>150</v>
      </c>
      <c r="DP297">
        <f t="shared" si="590"/>
        <v>35920</v>
      </c>
      <c r="DQ297">
        <f>_xlfn.XLOOKUP(B297,'[12]february-2026'!$A:$A,'[12]february-2026'!$C:$C,0,0)</f>
        <v>28900</v>
      </c>
      <c r="DR297">
        <f t="shared" si="591"/>
        <v>5202</v>
      </c>
      <c r="DS297">
        <f t="shared" si="592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>IF(DQ297&gt;0,SUM(DQ297:DU297),0)</f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593"/>
        <v>150</v>
      </c>
      <c r="DZ297">
        <f t="shared" si="594"/>
        <v>35920</v>
      </c>
      <c r="EA297">
        <f>_xlfn.XLOOKUP(B297,'[1]march-2025'!$A:$A,'[1]march-2025'!$J:$J,0,0)</f>
        <v>0</v>
      </c>
      <c r="EB297">
        <f>_xlfn.XLOOKUP(B297,'[2]april-2025'!$A:$A,'[2]april-2025'!$J:$J,0,0)</f>
        <v>0</v>
      </c>
      <c r="EC297">
        <f>_xlfn.XLOOKUP(B297,'[3]may-2025'!$A:$A,'[3]may-2025'!$J:$J,0,0)</f>
        <v>0</v>
      </c>
      <c r="ED297">
        <f>_xlfn.XLOOKUP(B297,'[4]june-2025'!$A:$A,'[4]june-2025'!$J:$J,0,0)</f>
        <v>0</v>
      </c>
      <c r="EE297">
        <f>_xlfn.XLOOKUP(B297,'[5]july-2025'!$A:$A,'[5]july-2025'!$J:$J,0,0)</f>
        <v>0</v>
      </c>
      <c r="EF297">
        <f>_xlfn.XLOOKUP(B297,'[6]august-2025'!$A:$A,'[6]august-2025'!$J:$J,0,0)</f>
        <v>0</v>
      </c>
      <c r="EG297">
        <f>_xlfn.XLOOKUP(B297,'[7]september-2025'!$A:$A,'[7]september-2025'!$J:$J,0,0)</f>
        <v>0</v>
      </c>
      <c r="EH297">
        <f>_xlfn.XLOOKUP(B297,'[8]october-2025'!$A:$A,'[8]october-2025'!$J:$J,0,0)</f>
        <v>0</v>
      </c>
      <c r="EI297">
        <f>_xlfn.XLOOKUP(C297,'[9]november-2025'!$A:$A,'[9]november-2025'!$J:$J,0,0)</f>
        <v>0</v>
      </c>
      <c r="EJ297">
        <f>_xlfn.XLOOKUP(B297,'[10]december-2025'!$A:$A,'[10]december-2025'!$J:$J,0,0)</f>
        <v>0</v>
      </c>
      <c r="EK297">
        <f>_xlfn.XLOOKUP(B297,'[11]january-2026'!$A:$A,'[11]january-2026'!$J:$J,0,0)</f>
        <v>0</v>
      </c>
      <c r="EL297">
        <f>_xlfn.XLOOKUP(B297,'[12]february-2026'!$A:$A,'[12]february-2026'!$J:$J,0,0)</f>
        <v>0</v>
      </c>
      <c r="EM297">
        <f t="shared" si="548"/>
        <v>0</v>
      </c>
      <c r="EN297">
        <f>DV297+DL297+DB297+CR297+CH297+BX297+BN297+BD297+AS297+AI297+Y297+O297+H297+I297</f>
        <v>364320</v>
      </c>
      <c r="EO297">
        <f>DY297+DO297+DE297+CU297+CK297+CA297+BQ297+BG297+AV297+AL297+AB297+R297</f>
        <v>1500</v>
      </c>
      <c r="EP297">
        <f t="shared" si="595"/>
        <v>50000</v>
      </c>
      <c r="EQ297">
        <v>0</v>
      </c>
      <c r="ER297">
        <f t="shared" si="549"/>
        <v>312820</v>
      </c>
      <c r="ES297">
        <f>DW297+DM297+DC297+CS297+CI297+BY297+BO297+BE297+AT297+AJ297+Z297+P297</f>
        <v>4000</v>
      </c>
      <c r="ET297">
        <f>DX297+DN297+DD297+CT297+CJ297+BZ297+BP297+BF297+AU297+AK297+AA297+Q297</f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596"/>
        <v>4000</v>
      </c>
      <c r="FF297">
        <f t="shared" si="597"/>
        <v>4000</v>
      </c>
      <c r="FG297">
        <f t="shared" si="598"/>
        <v>308820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>SUM(FH297:FN297)+(IF(F297="YES",50000,0))</f>
        <v>0</v>
      </c>
      <c r="FP297">
        <f t="shared" si="599"/>
        <v>308820</v>
      </c>
      <c r="FQ297">
        <f t="shared" si="600"/>
        <v>2941</v>
      </c>
      <c r="FR297">
        <f t="shared" si="601"/>
        <v>0</v>
      </c>
      <c r="FS297">
        <f t="shared" si="602"/>
        <v>2941</v>
      </c>
      <c r="FT297">
        <f t="shared" si="603"/>
        <v>0</v>
      </c>
      <c r="FU297">
        <f t="shared" si="604"/>
        <v>0</v>
      </c>
      <c r="FV297">
        <f t="shared" si="605"/>
        <v>0</v>
      </c>
      <c r="FW297">
        <v>0</v>
      </c>
      <c r="FX297">
        <f t="shared" si="606"/>
        <v>0</v>
      </c>
      <c r="FY297" t="b">
        <f t="shared" si="607"/>
        <v>0</v>
      </c>
      <c r="FZ297">
        <f t="shared" ca="1" si="608"/>
        <v>1116</v>
      </c>
      <c r="GA297">
        <f t="shared" ca="1" si="609"/>
        <v>365436</v>
      </c>
      <c r="GB297">
        <f t="shared" si="610"/>
        <v>75000</v>
      </c>
      <c r="GC297">
        <f t="shared" ca="1" si="611"/>
        <v>290436</v>
      </c>
      <c r="GD297">
        <f t="shared" ca="1" si="612"/>
        <v>0</v>
      </c>
      <c r="GE297">
        <f t="shared" ca="1" si="613"/>
        <v>0</v>
      </c>
      <c r="GF297">
        <f t="shared" ca="1" si="614"/>
        <v>0</v>
      </c>
      <c r="GG297">
        <f t="shared" ca="1" si="615"/>
        <v>0</v>
      </c>
      <c r="GH297">
        <f t="shared" ca="1" si="616"/>
        <v>0</v>
      </c>
      <c r="GI297">
        <f t="shared" ca="1" si="617"/>
        <v>0</v>
      </c>
      <c r="GJ297">
        <f ca="1">IF(GC297&gt;1200000,GC297-1200000-IF(F297="YES",50000,0)-GH297,0)</f>
        <v>0</v>
      </c>
      <c r="GK297">
        <f t="shared" ca="1" si="618"/>
        <v>0</v>
      </c>
      <c r="GL297">
        <f t="shared" ca="1" si="619"/>
        <v>0</v>
      </c>
      <c r="GM297">
        <f t="shared" ca="1" si="620"/>
        <v>0</v>
      </c>
      <c r="GN297">
        <f t="shared" ca="1" si="621"/>
        <v>0</v>
      </c>
      <c r="GO297">
        <f t="shared" ca="1" si="622"/>
        <v>0</v>
      </c>
      <c r="GP297">
        <f t="shared" ca="1" si="623"/>
        <v>0</v>
      </c>
      <c r="GQ297">
        <f t="shared" ca="1" si="624"/>
        <v>0</v>
      </c>
      <c r="GR297">
        <f t="shared" ca="1" si="625"/>
        <v>0</v>
      </c>
      <c r="GS297">
        <f t="shared" ca="1" si="626"/>
        <v>0</v>
      </c>
      <c r="GT297">
        <f t="shared" ca="1" si="627"/>
        <v>0</v>
      </c>
      <c r="GU297" t="b">
        <f t="shared" ca="1" si="628"/>
        <v>0</v>
      </c>
      <c r="GV297">
        <f t="shared" ca="1" si="629"/>
        <v>0</v>
      </c>
      <c r="GW297">
        <f t="shared" ca="1" si="630"/>
        <v>0</v>
      </c>
      <c r="GX297">
        <f t="shared" ca="1" si="631"/>
        <v>0</v>
      </c>
      <c r="GY297">
        <f t="shared" ca="1" si="632"/>
        <v>0</v>
      </c>
      <c r="GZ297">
        <f t="shared" ca="1" si="633"/>
        <v>0</v>
      </c>
    </row>
    <row r="298" spans="1:208" x14ac:dyDescent="0.25">
      <c r="A298">
        <f>_xlfn.AGGREGATE(3,5,$B$2:B298)</f>
        <v>297</v>
      </c>
      <c r="B298" t="s">
        <v>693</v>
      </c>
      <c r="C298" t="s">
        <v>694</v>
      </c>
      <c r="D298" t="s">
        <v>828</v>
      </c>
      <c r="E298" t="s">
        <v>831</v>
      </c>
      <c r="F298" t="s">
        <v>957</v>
      </c>
      <c r="G298" t="s">
        <v>950</v>
      </c>
      <c r="H298">
        <f t="shared" si="636"/>
        <v>6800</v>
      </c>
      <c r="I298">
        <f>_xlfn.XLOOKUP(B298,'[1]march-2025'!$A:$A,'[1]march-2025'!$J:$J,0,0)</f>
        <v>0</v>
      </c>
      <c r="J298">
        <f>_xlfn.XLOOKUP(B298,'[1]march-2025'!$A:$A,'[1]march-2025'!$C:$C,0,0)</f>
        <v>48700</v>
      </c>
      <c r="K298">
        <f t="shared" si="550"/>
        <v>6818.0000000000009</v>
      </c>
      <c r="L298">
        <f t="shared" si="551"/>
        <v>5844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>IF(J298&gt;0,SUM(J298:N298),0)</f>
        <v>61762</v>
      </c>
      <c r="P298">
        <f>_xlfn.XLOOKUP(B298,'[1]march-2025'!$A:$A,'[1]march-2025'!$H:$H,0,0)</f>
        <v>12000</v>
      </c>
      <c r="Q298">
        <f>_xlfn.XLOOKUP(B298,'[1]march-2025'!$A:$A,'[1]march-2025'!$I:$I,0,0)</f>
        <v>0</v>
      </c>
      <c r="R298">
        <f t="shared" si="634"/>
        <v>200</v>
      </c>
      <c r="S298">
        <f t="shared" si="544"/>
        <v>49562</v>
      </c>
      <c r="T298">
        <f>_xlfn.XLOOKUP(B298,'[2]april-2025'!$A:$A,'[2]april-2025'!$C:$C,0,0)</f>
        <v>48700</v>
      </c>
      <c r="U298">
        <f t="shared" si="552"/>
        <v>8766</v>
      </c>
      <c r="V298">
        <f t="shared" si="553"/>
        <v>5844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545"/>
        <v>63710</v>
      </c>
      <c r="Z298">
        <f>_xlfn.XLOOKUP(B298,'[2]april-2025'!$A:$A,'[2]april-2025'!$H:$H,0,0)</f>
        <v>12000</v>
      </c>
      <c r="AA298">
        <f>_xlfn.XLOOKUP(B298,'[2]april-2025'!$A:$A,'[2]april-2025'!$I:$I,0,0)</f>
        <v>0</v>
      </c>
      <c r="AB298">
        <f t="shared" si="554"/>
        <v>200</v>
      </c>
      <c r="AC298">
        <f t="shared" si="555"/>
        <v>51510</v>
      </c>
      <c r="AD298">
        <f>_xlfn.XLOOKUP(B298,'[3]may-2025'!$A:$A,'[3]may-2025'!$C:$C,0,0)</f>
        <v>48700</v>
      </c>
      <c r="AE298">
        <f t="shared" si="556"/>
        <v>8766</v>
      </c>
      <c r="AF298">
        <f t="shared" si="557"/>
        <v>5844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546"/>
        <v>63710</v>
      </c>
      <c r="AJ298">
        <f>_xlfn.XLOOKUP(B298,'[3]may-2025'!$A:$A,'[3]may-2025'!$H:$H,0,0)</f>
        <v>12000</v>
      </c>
      <c r="AK298">
        <f>_xlfn.XLOOKUP(B298,'[3]may-2025'!$A:$A,'[3]may-2025'!$I:$I,0,0)</f>
        <v>0</v>
      </c>
      <c r="AL298">
        <f t="shared" si="558"/>
        <v>200</v>
      </c>
      <c r="AM298">
        <f t="shared" si="559"/>
        <v>51510</v>
      </c>
      <c r="AN298">
        <f>_xlfn.XLOOKUP(B298,'[4]june-2025'!$A:$A,'[4]june-2025'!$C:$C,0,0)</f>
        <v>48700</v>
      </c>
      <c r="AO298">
        <f t="shared" si="560"/>
        <v>8766</v>
      </c>
      <c r="AP298">
        <f t="shared" si="561"/>
        <v>5844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547"/>
        <v>63710</v>
      </c>
      <c r="AT298">
        <f>_xlfn.XLOOKUP(B298,'[4]june-2025'!$A:$A,'[4]june-2025'!$H:$H,0,0)</f>
        <v>12000</v>
      </c>
      <c r="AU298">
        <f>_xlfn.XLOOKUP(B298,'[4]june-2025'!$A:$A,'[4]june-2025'!$I:$I,0,0)</f>
        <v>0</v>
      </c>
      <c r="AV298">
        <f t="shared" si="562"/>
        <v>200</v>
      </c>
      <c r="AW298">
        <f t="shared" si="563"/>
        <v>51510</v>
      </c>
      <c r="AX298">
        <f>_xlfn.XLOOKUP(B298,'[5]july-2025'!$A:$A,'[5]july-2025'!$C:$C,0,0)</f>
        <v>50200</v>
      </c>
      <c r="AY298">
        <f t="shared" si="564"/>
        <v>9036</v>
      </c>
      <c r="AZ298">
        <v>0</v>
      </c>
      <c r="BA298">
        <f t="shared" si="565"/>
        <v>6024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>IF(AX298&gt;0,SUM(AX298:BC298),0)</f>
        <v>65660</v>
      </c>
      <c r="BE298">
        <f>_xlfn.XLOOKUP(B298,'[5]july-2025'!$A:$A,'[5]july-2025'!$H:$H,0,0)</f>
        <v>12000</v>
      </c>
      <c r="BF298">
        <f>_xlfn.XLOOKUP(B298,'[5]july-2025'!$A:$A,'[5]july-2025'!$I:$I,0,0)</f>
        <v>0</v>
      </c>
      <c r="BG298">
        <f t="shared" si="566"/>
        <v>200</v>
      </c>
      <c r="BH298">
        <f t="shared" si="567"/>
        <v>53460</v>
      </c>
      <c r="BI298">
        <f>_xlfn.XLOOKUP(B298,'[6]august-2025'!$A:$A,'[6]august-2025'!$C:$C,0,0)</f>
        <v>50200</v>
      </c>
      <c r="BJ298">
        <f t="shared" si="568"/>
        <v>9036</v>
      </c>
      <c r="BK298">
        <f t="shared" si="569"/>
        <v>6024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570"/>
        <v>65660</v>
      </c>
      <c r="BO298">
        <f>_xlfn.XLOOKUP(B298,'[6]august-2025'!$A:$A,'[6]august-2025'!$H:$H,0,0)</f>
        <v>12000</v>
      </c>
      <c r="BP298">
        <f>_xlfn.XLOOKUP(B298,'[6]august-2025'!$A:$A,'[6]august-2025'!$I:$I,0,0)</f>
        <v>0</v>
      </c>
      <c r="BQ298">
        <f>IF($F298="YES",0,IF(BN298&gt;40000,200,IF(BN298&gt;25000,150,IF(BN298&gt;15000,130,IF(BN298&gt;10000,110,0)))))</f>
        <v>200</v>
      </c>
      <c r="BR298">
        <f>BN298-BO298-BP298-BQ298</f>
        <v>53460</v>
      </c>
      <c r="BS298">
        <f>_xlfn.XLOOKUP(B298,'[7]september-2025'!$A:$A,'[7]september-2025'!$C:$C,0,0)</f>
        <v>50200</v>
      </c>
      <c r="BT298">
        <f t="shared" si="571"/>
        <v>9036</v>
      </c>
      <c r="BU298">
        <f t="shared" si="572"/>
        <v>6024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>IF(BS298&gt;0,SUM(BS298:BW298),0)</f>
        <v>65660</v>
      </c>
      <c r="BY298">
        <f>_xlfn.XLOOKUP(B298,'[7]september-2025'!$A:$A,'[7]september-2025'!$H:$H,0,0)</f>
        <v>12000</v>
      </c>
      <c r="BZ298">
        <f>_xlfn.XLOOKUP(B298,'[7]september-2025'!$A:$A,'[7]september-2025'!$I:$I,0,0)</f>
        <v>0</v>
      </c>
      <c r="CA298">
        <f t="shared" si="573"/>
        <v>200</v>
      </c>
      <c r="CB298">
        <f t="shared" si="574"/>
        <v>53460</v>
      </c>
      <c r="CC298">
        <f>_xlfn.XLOOKUP(B298,'[8]october-2025'!$A:$A,'[8]october-2025'!$C:$C,0,0)</f>
        <v>50200</v>
      </c>
      <c r="CD298">
        <f t="shared" si="575"/>
        <v>9036</v>
      </c>
      <c r="CE298">
        <f t="shared" si="576"/>
        <v>6024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>IF(CC298&gt;0,SUM(CC298:CG298),0)</f>
        <v>65660</v>
      </c>
      <c r="CI298">
        <f>_xlfn.XLOOKUP(B298,'[8]october-2025'!$A:$A,'[8]october-2025'!$H:$H,0,0)</f>
        <v>12000</v>
      </c>
      <c r="CJ298">
        <f>_xlfn.XLOOKUP(B298,'[8]october-2025'!$A:$A,'[8]october-2025'!$I:$I,0,0)</f>
        <v>0</v>
      </c>
      <c r="CK298">
        <f t="shared" si="577"/>
        <v>200</v>
      </c>
      <c r="CL298">
        <f t="shared" si="578"/>
        <v>53460</v>
      </c>
      <c r="CM298">
        <f>_xlfn.XLOOKUP(B298,'[9]november-2025'!$A:$A,'[9]november-2025'!$C:$C,0,0)</f>
        <v>50200</v>
      </c>
      <c r="CN298">
        <f t="shared" si="579"/>
        <v>9036</v>
      </c>
      <c r="CO298">
        <f t="shared" si="580"/>
        <v>6024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>IF(CM298&gt;0,SUM(CM298:CQ298),0)</f>
        <v>65660</v>
      </c>
      <c r="CS298">
        <f>_xlfn.XLOOKUP(B298,'[9]november-2025'!$A:$A,'[9]november-2025'!$H:$H,0,0)</f>
        <v>12000</v>
      </c>
      <c r="CT298">
        <f>_xlfn.XLOOKUP(B298,'[9]november-2025'!$A:$A,'[9]november-2025'!$I:$I,0,0)</f>
        <v>0</v>
      </c>
      <c r="CU298">
        <f t="shared" si="581"/>
        <v>200</v>
      </c>
      <c r="CV298">
        <f t="shared" si="582"/>
        <v>53460</v>
      </c>
      <c r="CW298">
        <f>_xlfn.XLOOKUP(B298,'[10]december-2025'!$A:$A,'[10]december-2025'!$C:$C,0,0)</f>
        <v>50200</v>
      </c>
      <c r="CX298">
        <f t="shared" si="583"/>
        <v>9036</v>
      </c>
      <c r="CY298">
        <f t="shared" si="584"/>
        <v>6024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>IF(CW298&gt;0,SUM(CW298:DA298),0)</f>
        <v>65660</v>
      </c>
      <c r="DC298">
        <f>_xlfn.XLOOKUP(B298,'[10]december-2025'!$A:$A,'[10]december-2025'!$H:$H,0,0)</f>
        <v>12000</v>
      </c>
      <c r="DD298">
        <f>_xlfn.XLOOKUP(B298,'[10]december-2025'!$A:$A,'[10]december-2025'!$I:$I,0,0)</f>
        <v>0</v>
      </c>
      <c r="DE298">
        <f t="shared" si="585"/>
        <v>200</v>
      </c>
      <c r="DF298">
        <f t="shared" si="586"/>
        <v>53460</v>
      </c>
      <c r="DG298">
        <f>_xlfn.XLOOKUP(B298,'[11]january-2026'!$A:$A,'[11]january-2026'!$C:$C,0,0)</f>
        <v>50200</v>
      </c>
      <c r="DH298">
        <f t="shared" si="587"/>
        <v>9036</v>
      </c>
      <c r="DI298">
        <f t="shared" si="588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>IF(DG298&gt;0,SUM(DG298:DK298),0)</f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589"/>
        <v>200</v>
      </c>
      <c r="DP298">
        <f t="shared" si="590"/>
        <v>53460</v>
      </c>
      <c r="DQ298">
        <f>_xlfn.XLOOKUP(B298,'[12]february-2026'!$A:$A,'[12]february-2026'!$C:$C,0,0)</f>
        <v>50200</v>
      </c>
      <c r="DR298">
        <f t="shared" si="591"/>
        <v>9036</v>
      </c>
      <c r="DS298">
        <f t="shared" si="592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>IF(DQ298&gt;0,SUM(DQ298:DU298),0)</f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593"/>
        <v>200</v>
      </c>
      <c r="DZ298">
        <f t="shared" si="594"/>
        <v>53460</v>
      </c>
      <c r="EA298">
        <f>_xlfn.XLOOKUP(B298,'[1]march-2025'!$A:$A,'[1]march-2025'!$J:$J,0,0)</f>
        <v>0</v>
      </c>
      <c r="EB298">
        <f>_xlfn.XLOOKUP(B298,'[2]april-2025'!$A:$A,'[2]april-2025'!$J:$J,0,0)</f>
        <v>0</v>
      </c>
      <c r="EC298">
        <f>_xlfn.XLOOKUP(B298,'[3]may-2025'!$A:$A,'[3]may-2025'!$J:$J,0,0)</f>
        <v>0</v>
      </c>
      <c r="ED298">
        <f>_xlfn.XLOOKUP(B298,'[4]june-2025'!$A:$A,'[4]june-2025'!$J:$J,0,0)</f>
        <v>0</v>
      </c>
      <c r="EE298">
        <f>_xlfn.XLOOKUP(B298,'[5]july-2025'!$A:$A,'[5]july-2025'!$J:$J,0,0)</f>
        <v>0</v>
      </c>
      <c r="EF298">
        <f>_xlfn.XLOOKUP(B298,'[6]august-2025'!$A:$A,'[6]august-2025'!$J:$J,0,0)</f>
        <v>0</v>
      </c>
      <c r="EG298">
        <f>_xlfn.XLOOKUP(B298,'[7]september-2025'!$A:$A,'[7]september-2025'!$J:$J,0,0)</f>
        <v>0</v>
      </c>
      <c r="EH298">
        <f>_xlfn.XLOOKUP(B298,'[8]october-2025'!$A:$A,'[8]october-2025'!$J:$J,0,0)</f>
        <v>0</v>
      </c>
      <c r="EI298">
        <f>_xlfn.XLOOKUP(C298,'[9]november-2025'!$A:$A,'[9]november-2025'!$J:$J,0,0)</f>
        <v>0</v>
      </c>
      <c r="EJ298">
        <f>_xlfn.XLOOKUP(B298,'[10]december-2025'!$A:$A,'[10]december-2025'!$J:$J,0,0)</f>
        <v>0</v>
      </c>
      <c r="EK298">
        <f>_xlfn.XLOOKUP(B298,'[11]january-2026'!$A:$A,'[11]january-2026'!$J:$J,0,0)</f>
        <v>0</v>
      </c>
      <c r="EL298">
        <f>_xlfn.XLOOKUP(B298,'[12]february-2026'!$A:$A,'[12]february-2026'!$J:$J,0,0)</f>
        <v>0</v>
      </c>
      <c r="EM298">
        <f t="shared" si="548"/>
        <v>0</v>
      </c>
      <c r="EN298">
        <f>DV298+DL298+DB298+CR298+CH298+BX298+BN298+BD298+AS298+AI298+Y298+O298+H298+I298</f>
        <v>784972</v>
      </c>
      <c r="EO298">
        <f>DY298+DO298+DE298+CU298+CK298+CA298+BQ298+BG298+AV298+AL298+AB298+R298</f>
        <v>2400</v>
      </c>
      <c r="EP298">
        <f t="shared" si="595"/>
        <v>50000</v>
      </c>
      <c r="EQ298">
        <v>0</v>
      </c>
      <c r="ER298">
        <f t="shared" si="549"/>
        <v>732572</v>
      </c>
      <c r="ES298">
        <f>DW298+DM298+DC298+CS298+CI298+BY298+BO298+BE298+AT298+AJ298+Z298+P298</f>
        <v>144000</v>
      </c>
      <c r="ET298">
        <f>DX298+DN298+DD298+CT298+CJ298+BZ298+BP298+BF298+AU298+AK298+AA298+Q298</f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596"/>
        <v>144000</v>
      </c>
      <c r="FF298">
        <f t="shared" si="597"/>
        <v>144000</v>
      </c>
      <c r="FG298">
        <f t="shared" si="598"/>
        <v>588572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>SUM(FH298:FN298)+(IF(F298="YES",50000,0))</f>
        <v>0</v>
      </c>
      <c r="FP298">
        <f t="shared" si="599"/>
        <v>588572</v>
      </c>
      <c r="FQ298">
        <f t="shared" si="600"/>
        <v>12500</v>
      </c>
      <c r="FR298">
        <f t="shared" si="601"/>
        <v>17714</v>
      </c>
      <c r="FS298">
        <f t="shared" si="602"/>
        <v>30214</v>
      </c>
      <c r="FT298">
        <f t="shared" si="603"/>
        <v>30214</v>
      </c>
      <c r="FU298">
        <f t="shared" si="604"/>
        <v>1208.56</v>
      </c>
      <c r="FV298">
        <f t="shared" si="605"/>
        <v>31423</v>
      </c>
      <c r="FW298">
        <v>0</v>
      </c>
      <c r="FX298">
        <f t="shared" si="606"/>
        <v>31423</v>
      </c>
      <c r="FY298" t="b">
        <f t="shared" si="607"/>
        <v>1</v>
      </c>
      <c r="FZ298">
        <f t="shared" ca="1" si="608"/>
        <v>822</v>
      </c>
      <c r="GA298">
        <f t="shared" ca="1" si="609"/>
        <v>785794</v>
      </c>
      <c r="GB298">
        <f t="shared" si="610"/>
        <v>75000</v>
      </c>
      <c r="GC298">
        <f t="shared" ca="1" si="611"/>
        <v>710794</v>
      </c>
      <c r="GD298">
        <f t="shared" ca="1" si="612"/>
        <v>0</v>
      </c>
      <c r="GE298">
        <f t="shared" ca="1" si="613"/>
        <v>0</v>
      </c>
      <c r="GF298">
        <f t="shared" ca="1" si="614"/>
        <v>0</v>
      </c>
      <c r="GG298">
        <f t="shared" ca="1" si="615"/>
        <v>0</v>
      </c>
      <c r="GH298">
        <f t="shared" ca="1" si="616"/>
        <v>0</v>
      </c>
      <c r="GI298">
        <f t="shared" ca="1" si="617"/>
        <v>0</v>
      </c>
      <c r="GJ298">
        <f ca="1">IF(GC298&gt;1200000,GC298-1200000-IF(F298="YES",50000,0)-GH298,0)</f>
        <v>0</v>
      </c>
      <c r="GK298">
        <f t="shared" ca="1" si="618"/>
        <v>0</v>
      </c>
      <c r="GL298">
        <f t="shared" ca="1" si="619"/>
        <v>0</v>
      </c>
      <c r="GM298">
        <f t="shared" ca="1" si="620"/>
        <v>0</v>
      </c>
      <c r="GN298">
        <f t="shared" ca="1" si="621"/>
        <v>310794</v>
      </c>
      <c r="GO298">
        <f t="shared" ca="1" si="622"/>
        <v>15539.7</v>
      </c>
      <c r="GP298">
        <f t="shared" ca="1" si="623"/>
        <v>15540</v>
      </c>
      <c r="GQ298">
        <f t="shared" ca="1" si="624"/>
        <v>0</v>
      </c>
      <c r="GR298">
        <f t="shared" ca="1" si="625"/>
        <v>0</v>
      </c>
      <c r="GS298">
        <f t="shared" ca="1" si="626"/>
        <v>15540</v>
      </c>
      <c r="GT298">
        <f t="shared" ca="1" si="627"/>
        <v>0</v>
      </c>
      <c r="GU298" t="b">
        <f t="shared" ca="1" si="628"/>
        <v>0</v>
      </c>
      <c r="GV298">
        <f t="shared" ca="1" si="629"/>
        <v>0</v>
      </c>
      <c r="GW298">
        <f t="shared" ca="1" si="630"/>
        <v>15540</v>
      </c>
      <c r="GX298">
        <f t="shared" ca="1" si="631"/>
        <v>0</v>
      </c>
      <c r="GY298">
        <f t="shared" ca="1" si="632"/>
        <v>0</v>
      </c>
      <c r="GZ298">
        <f t="shared" ca="1" si="633"/>
        <v>0</v>
      </c>
    </row>
    <row r="299" spans="1:208" x14ac:dyDescent="0.25">
      <c r="A299">
        <f>_xlfn.AGGREGATE(3,5,$B$2:B299)</f>
        <v>298</v>
      </c>
      <c r="B299" t="s">
        <v>695</v>
      </c>
      <c r="C299" t="s">
        <v>696</v>
      </c>
      <c r="D299" t="s">
        <v>828</v>
      </c>
      <c r="E299" t="s">
        <v>831</v>
      </c>
      <c r="F299" t="s">
        <v>957</v>
      </c>
      <c r="G299" t="s">
        <v>933</v>
      </c>
      <c r="H299">
        <f t="shared" si="636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550"/>
        <v>4690</v>
      </c>
      <c r="L299">
        <f t="shared" si="551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>IF(J299&gt;0,SUM(J299:N299),0)</f>
        <v>42710</v>
      </c>
      <c r="P299">
        <f>_xlfn.XLOOKUP(B299,'[1]march-2025'!$A:$A,'[1]march-2025'!$H:$H,0,0)</f>
        <v>3000</v>
      </c>
      <c r="Q299">
        <f>_xlfn.XLOOKUP(B299,'[1]march-2025'!$A:$A,'[1]march-2025'!$I:$I,0,0)</f>
        <v>0</v>
      </c>
      <c r="R299">
        <f t="shared" si="634"/>
        <v>200</v>
      </c>
      <c r="S299">
        <f t="shared" si="544"/>
        <v>39510</v>
      </c>
      <c r="T299">
        <f>_xlfn.XLOOKUP(B299,'[2]april-2025'!$A:$A,'[2]april-2025'!$C:$C,0,0)</f>
        <v>33500</v>
      </c>
      <c r="U299">
        <f t="shared" si="552"/>
        <v>6030</v>
      </c>
      <c r="V299">
        <f t="shared" si="553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545"/>
        <v>44050</v>
      </c>
      <c r="Z299">
        <f>_xlfn.XLOOKUP(B299,'[2]april-2025'!$A:$A,'[2]april-2025'!$H:$H,0,0)</f>
        <v>3000</v>
      </c>
      <c r="AA299">
        <f>_xlfn.XLOOKUP(B299,'[2]april-2025'!$A:$A,'[2]april-2025'!$I:$I,0,0)</f>
        <v>0</v>
      </c>
      <c r="AB299">
        <f t="shared" si="554"/>
        <v>200</v>
      </c>
      <c r="AC299">
        <f t="shared" si="555"/>
        <v>40850</v>
      </c>
      <c r="AD299">
        <f>_xlfn.XLOOKUP(B299,'[3]may-2025'!$A:$A,'[3]may-2025'!$C:$C,0,0)</f>
        <v>33500</v>
      </c>
      <c r="AE299">
        <f t="shared" si="556"/>
        <v>6030</v>
      </c>
      <c r="AF299">
        <f t="shared" si="557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546"/>
        <v>44050</v>
      </c>
      <c r="AJ299">
        <f>_xlfn.XLOOKUP(B299,'[3]may-2025'!$A:$A,'[3]may-2025'!$H:$H,0,0)</f>
        <v>3000</v>
      </c>
      <c r="AK299">
        <f>_xlfn.XLOOKUP(B299,'[3]may-2025'!$A:$A,'[3]may-2025'!$I:$I,0,0)</f>
        <v>0</v>
      </c>
      <c r="AL299">
        <f t="shared" si="558"/>
        <v>200</v>
      </c>
      <c r="AM299">
        <f t="shared" si="559"/>
        <v>40850</v>
      </c>
      <c r="AN299">
        <f>_xlfn.XLOOKUP(B299,'[4]june-2025'!$A:$A,'[4]june-2025'!$C:$C,0,0)</f>
        <v>33500</v>
      </c>
      <c r="AO299">
        <f t="shared" si="560"/>
        <v>6030</v>
      </c>
      <c r="AP299">
        <f t="shared" si="561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547"/>
        <v>44050</v>
      </c>
      <c r="AT299">
        <f>_xlfn.XLOOKUP(B299,'[4]june-2025'!$A:$A,'[4]june-2025'!$H:$H,0,0)</f>
        <v>3000</v>
      </c>
      <c r="AU299">
        <f>_xlfn.XLOOKUP(B299,'[4]june-2025'!$A:$A,'[4]june-2025'!$I:$I,0,0)</f>
        <v>0</v>
      </c>
      <c r="AV299">
        <f t="shared" si="562"/>
        <v>200</v>
      </c>
      <c r="AW299">
        <f t="shared" si="563"/>
        <v>40850</v>
      </c>
      <c r="AX299">
        <f>_xlfn.XLOOKUP(B299,'[5]july-2025'!$A:$A,'[5]july-2025'!$C:$C,0,0)</f>
        <v>34500</v>
      </c>
      <c r="AY299">
        <f t="shared" si="564"/>
        <v>6210</v>
      </c>
      <c r="AZ299">
        <v>0</v>
      </c>
      <c r="BA299">
        <f t="shared" si="565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>IF(AX299&gt;0,SUM(AX299:BC299),0)</f>
        <v>45350</v>
      </c>
      <c r="BE299">
        <f>_xlfn.XLOOKUP(B299,'[5]july-2025'!$A:$A,'[5]july-2025'!$H:$H,0,0)</f>
        <v>3000</v>
      </c>
      <c r="BF299">
        <f>_xlfn.XLOOKUP(B299,'[5]july-2025'!$A:$A,'[5]july-2025'!$I:$I,0,0)</f>
        <v>0</v>
      </c>
      <c r="BG299">
        <f t="shared" si="566"/>
        <v>200</v>
      </c>
      <c r="BH299">
        <f t="shared" si="567"/>
        <v>42150</v>
      </c>
      <c r="BI299">
        <f>_xlfn.XLOOKUP(B299,'[6]august-2025'!$A:$A,'[6]august-2025'!$C:$C,0,0)</f>
        <v>34500</v>
      </c>
      <c r="BJ299">
        <f t="shared" si="568"/>
        <v>6210</v>
      </c>
      <c r="BK299">
        <f t="shared" si="569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570"/>
        <v>45350</v>
      </c>
      <c r="BO299">
        <f>_xlfn.XLOOKUP(B299,'[6]august-2025'!$A:$A,'[6]august-2025'!$H:$H,0,0)</f>
        <v>3000</v>
      </c>
      <c r="BP299">
        <f>_xlfn.XLOOKUP(B299,'[6]august-2025'!$A:$A,'[6]august-2025'!$I:$I,0,0)</f>
        <v>0</v>
      </c>
      <c r="BQ299">
        <f>IF($F299="YES",0,IF(BN299&gt;40000,200,IF(BN299&gt;25000,150,IF(BN299&gt;15000,130,IF(BN299&gt;10000,110,0)))))</f>
        <v>200</v>
      </c>
      <c r="BR299">
        <f>BN299-BO299-BP299-BQ299</f>
        <v>42150</v>
      </c>
      <c r="BS299">
        <f>_xlfn.XLOOKUP(B299,'[7]september-2025'!$A:$A,'[7]september-2025'!$C:$C,0,0)</f>
        <v>34500</v>
      </c>
      <c r="BT299">
        <f t="shared" si="571"/>
        <v>6210</v>
      </c>
      <c r="BU299">
        <f t="shared" si="572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>IF(BS299&gt;0,SUM(BS299:BW299),0)</f>
        <v>45350</v>
      </c>
      <c r="BY299">
        <f>_xlfn.XLOOKUP(B299,'[7]september-2025'!$A:$A,'[7]september-2025'!$H:$H,0,0)</f>
        <v>3000</v>
      </c>
      <c r="BZ299">
        <f>_xlfn.XLOOKUP(B299,'[7]september-2025'!$A:$A,'[7]september-2025'!$I:$I,0,0)</f>
        <v>0</v>
      </c>
      <c r="CA299">
        <f t="shared" si="573"/>
        <v>200</v>
      </c>
      <c r="CB299">
        <f t="shared" si="574"/>
        <v>42150</v>
      </c>
      <c r="CC299">
        <f>_xlfn.XLOOKUP(B299,'[8]october-2025'!$A:$A,'[8]october-2025'!$C:$C,0,0)</f>
        <v>34500</v>
      </c>
      <c r="CD299">
        <f t="shared" si="575"/>
        <v>6210</v>
      </c>
      <c r="CE299">
        <f t="shared" si="576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>IF(CC299&gt;0,SUM(CC299:CG299),0)</f>
        <v>45350</v>
      </c>
      <c r="CI299">
        <f>_xlfn.XLOOKUP(B299,'[8]october-2025'!$A:$A,'[8]october-2025'!$H:$H,0,0)</f>
        <v>3000</v>
      </c>
      <c r="CJ299">
        <f>_xlfn.XLOOKUP(B299,'[8]october-2025'!$A:$A,'[8]october-2025'!$I:$I,0,0)</f>
        <v>0</v>
      </c>
      <c r="CK299">
        <f t="shared" si="577"/>
        <v>200</v>
      </c>
      <c r="CL299">
        <f t="shared" si="578"/>
        <v>42150</v>
      </c>
      <c r="CM299">
        <f>_xlfn.XLOOKUP(B299,'[9]november-2025'!$A:$A,'[9]november-2025'!$C:$C,0,0)</f>
        <v>34500</v>
      </c>
      <c r="CN299">
        <f t="shared" si="579"/>
        <v>6210</v>
      </c>
      <c r="CO299">
        <f t="shared" si="580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>IF(CM299&gt;0,SUM(CM299:CQ299),0)</f>
        <v>45350</v>
      </c>
      <c r="CS299">
        <f>_xlfn.XLOOKUP(B299,'[9]november-2025'!$A:$A,'[9]november-2025'!$H:$H,0,0)</f>
        <v>3000</v>
      </c>
      <c r="CT299">
        <f>_xlfn.XLOOKUP(B299,'[9]november-2025'!$A:$A,'[9]november-2025'!$I:$I,0,0)</f>
        <v>0</v>
      </c>
      <c r="CU299">
        <f t="shared" si="581"/>
        <v>200</v>
      </c>
      <c r="CV299">
        <f t="shared" si="582"/>
        <v>42150</v>
      </c>
      <c r="CW299">
        <f>_xlfn.XLOOKUP(B299,'[10]december-2025'!$A:$A,'[10]december-2025'!$C:$C,0,0)</f>
        <v>34500</v>
      </c>
      <c r="CX299">
        <f t="shared" si="583"/>
        <v>6210</v>
      </c>
      <c r="CY299">
        <f t="shared" si="584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>IF(CW299&gt;0,SUM(CW299:DA299),0)</f>
        <v>45350</v>
      </c>
      <c r="DC299">
        <f>_xlfn.XLOOKUP(B299,'[10]december-2025'!$A:$A,'[10]december-2025'!$H:$H,0,0)</f>
        <v>3000</v>
      </c>
      <c r="DD299">
        <f>_xlfn.XLOOKUP(B299,'[10]december-2025'!$A:$A,'[10]december-2025'!$I:$I,0,0)</f>
        <v>0</v>
      </c>
      <c r="DE299">
        <f t="shared" si="585"/>
        <v>200</v>
      </c>
      <c r="DF299">
        <f t="shared" si="586"/>
        <v>42150</v>
      </c>
      <c r="DG299">
        <f>_xlfn.XLOOKUP(B299,'[11]january-2026'!$A:$A,'[11]january-2026'!$C:$C,0,0)</f>
        <v>34500</v>
      </c>
      <c r="DH299">
        <f t="shared" si="587"/>
        <v>6210</v>
      </c>
      <c r="DI299">
        <f t="shared" si="588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>IF(DG299&gt;0,SUM(DG299:DK299),0)</f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589"/>
        <v>200</v>
      </c>
      <c r="DP299">
        <f t="shared" si="590"/>
        <v>42150</v>
      </c>
      <c r="DQ299">
        <f>_xlfn.XLOOKUP(B299,'[12]february-2026'!$A:$A,'[12]february-2026'!$C:$C,0,0)</f>
        <v>34500</v>
      </c>
      <c r="DR299">
        <f t="shared" si="591"/>
        <v>6210</v>
      </c>
      <c r="DS299">
        <f t="shared" si="592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>IF(DQ299&gt;0,SUM(DQ299:DU299),0)</f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593"/>
        <v>200</v>
      </c>
      <c r="DZ299">
        <f t="shared" si="594"/>
        <v>42150</v>
      </c>
      <c r="EA299">
        <f>_xlfn.XLOOKUP(B299,'[1]march-2025'!$A:$A,'[1]march-2025'!$J:$J,0,0)</f>
        <v>0</v>
      </c>
      <c r="EB299">
        <f>_xlfn.XLOOKUP(B299,'[2]april-2025'!$A:$A,'[2]april-2025'!$J:$J,0,0)</f>
        <v>0</v>
      </c>
      <c r="EC299">
        <f>_xlfn.XLOOKUP(B299,'[3]may-2025'!$A:$A,'[3]may-2025'!$J:$J,0,0)</f>
        <v>0</v>
      </c>
      <c r="ED299">
        <f>_xlfn.XLOOKUP(B299,'[4]june-2025'!$A:$A,'[4]june-2025'!$J:$J,0,0)</f>
        <v>0</v>
      </c>
      <c r="EE299">
        <f>_xlfn.XLOOKUP(B299,'[5]july-2025'!$A:$A,'[5]july-2025'!$J:$J,0,0)</f>
        <v>0</v>
      </c>
      <c r="EF299">
        <f>_xlfn.XLOOKUP(B299,'[6]august-2025'!$A:$A,'[6]august-2025'!$J:$J,0,0)</f>
        <v>0</v>
      </c>
      <c r="EG299">
        <f>_xlfn.XLOOKUP(B299,'[7]september-2025'!$A:$A,'[7]september-2025'!$J:$J,0,0)</f>
        <v>0</v>
      </c>
      <c r="EH299">
        <f>_xlfn.XLOOKUP(B299,'[8]october-2025'!$A:$A,'[8]october-2025'!$J:$J,0,0)</f>
        <v>0</v>
      </c>
      <c r="EI299">
        <f>_xlfn.XLOOKUP(C299,'[9]november-2025'!$A:$A,'[9]november-2025'!$J:$J,0,0)</f>
        <v>0</v>
      </c>
      <c r="EJ299">
        <f>_xlfn.XLOOKUP(B299,'[10]december-2025'!$A:$A,'[10]december-2025'!$J:$J,0,0)</f>
        <v>0</v>
      </c>
      <c r="EK299">
        <f>_xlfn.XLOOKUP(B299,'[11]january-2026'!$A:$A,'[11]january-2026'!$J:$J,0,0)</f>
        <v>0</v>
      </c>
      <c r="EL299">
        <f>_xlfn.XLOOKUP(B299,'[12]february-2026'!$A:$A,'[12]february-2026'!$J:$J,0,0)</f>
        <v>0</v>
      </c>
      <c r="EM299">
        <f t="shared" si="548"/>
        <v>0</v>
      </c>
      <c r="EN299">
        <f>DV299+DL299+DB299+CR299+CH299+BX299+BN299+BD299+AS299+AI299+Y299+O299+H299+I299</f>
        <v>544460</v>
      </c>
      <c r="EO299">
        <f>DY299+DO299+DE299+CU299+CK299+CA299+BQ299+BG299+AV299+AL299+AB299+R299</f>
        <v>2400</v>
      </c>
      <c r="EP299">
        <f t="shared" si="595"/>
        <v>50000</v>
      </c>
      <c r="EQ299">
        <v>0</v>
      </c>
      <c r="ER299">
        <f t="shared" si="549"/>
        <v>492060</v>
      </c>
      <c r="ES299">
        <f>DW299+DM299+DC299+CS299+CI299+BY299+BO299+BE299+AT299+AJ299+Z299+P299</f>
        <v>36000</v>
      </c>
      <c r="ET299">
        <f>DX299+DN299+DD299+CT299+CJ299+BZ299+BP299+BF299+AU299+AK299+AA299+Q299</f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596"/>
        <v>36000</v>
      </c>
      <c r="FF299">
        <f t="shared" si="597"/>
        <v>36000</v>
      </c>
      <c r="FG299">
        <f t="shared" si="598"/>
        <v>456060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>SUM(FH299:FN299)+(IF(F299="YES",50000,0))</f>
        <v>0</v>
      </c>
      <c r="FP299">
        <f t="shared" si="599"/>
        <v>456060</v>
      </c>
      <c r="FQ299">
        <f t="shared" si="600"/>
        <v>10303</v>
      </c>
      <c r="FR299">
        <f t="shared" si="601"/>
        <v>0</v>
      </c>
      <c r="FS299">
        <f t="shared" si="602"/>
        <v>10303</v>
      </c>
      <c r="FT299">
        <f t="shared" si="603"/>
        <v>0</v>
      </c>
      <c r="FU299">
        <f t="shared" si="604"/>
        <v>0</v>
      </c>
      <c r="FV299">
        <f t="shared" si="605"/>
        <v>0</v>
      </c>
      <c r="FW299">
        <v>0</v>
      </c>
      <c r="FX299">
        <f t="shared" si="606"/>
        <v>0</v>
      </c>
      <c r="FY299" t="b">
        <f t="shared" si="607"/>
        <v>1</v>
      </c>
      <c r="FZ299">
        <f t="shared" ca="1" si="608"/>
        <v>911</v>
      </c>
      <c r="GA299">
        <f t="shared" ca="1" si="609"/>
        <v>545371</v>
      </c>
      <c r="GB299">
        <f t="shared" si="610"/>
        <v>75000</v>
      </c>
      <c r="GC299">
        <f t="shared" ca="1" si="611"/>
        <v>470371</v>
      </c>
      <c r="GD299">
        <f t="shared" ca="1" si="612"/>
        <v>0</v>
      </c>
      <c r="GE299">
        <f t="shared" ca="1" si="613"/>
        <v>0</v>
      </c>
      <c r="GF299">
        <f t="shared" ca="1" si="614"/>
        <v>0</v>
      </c>
      <c r="GG299">
        <f t="shared" ca="1" si="615"/>
        <v>0</v>
      </c>
      <c r="GH299">
        <f t="shared" ca="1" si="616"/>
        <v>0</v>
      </c>
      <c r="GI299">
        <f t="shared" ca="1" si="617"/>
        <v>0</v>
      </c>
      <c r="GJ299">
        <f ca="1">IF(GC299&gt;1200000,GC299-1200000-IF(F299="YES",50000,0)-GH299,0)</f>
        <v>0</v>
      </c>
      <c r="GK299">
        <f t="shared" ca="1" si="618"/>
        <v>0</v>
      </c>
      <c r="GL299">
        <f t="shared" ca="1" si="619"/>
        <v>0</v>
      </c>
      <c r="GM299">
        <f t="shared" ca="1" si="620"/>
        <v>0</v>
      </c>
      <c r="GN299">
        <f t="shared" ca="1" si="621"/>
        <v>70371</v>
      </c>
      <c r="GO299">
        <f t="shared" ca="1" si="622"/>
        <v>3518.55</v>
      </c>
      <c r="GP299">
        <f t="shared" ca="1" si="623"/>
        <v>3519</v>
      </c>
      <c r="GQ299">
        <f t="shared" ca="1" si="624"/>
        <v>0</v>
      </c>
      <c r="GR299">
        <f t="shared" ca="1" si="625"/>
        <v>0</v>
      </c>
      <c r="GS299">
        <f t="shared" ca="1" si="626"/>
        <v>3519</v>
      </c>
      <c r="GT299">
        <f t="shared" ca="1" si="627"/>
        <v>0</v>
      </c>
      <c r="GU299" t="b">
        <f t="shared" ca="1" si="628"/>
        <v>0</v>
      </c>
      <c r="GV299">
        <f t="shared" ca="1" si="629"/>
        <v>0</v>
      </c>
      <c r="GW299">
        <f t="shared" ca="1" si="630"/>
        <v>3519</v>
      </c>
      <c r="GX299">
        <f t="shared" ca="1" si="631"/>
        <v>0</v>
      </c>
      <c r="GY299">
        <f t="shared" ca="1" si="632"/>
        <v>0</v>
      </c>
      <c r="GZ299">
        <f t="shared" ca="1" si="633"/>
        <v>0</v>
      </c>
    </row>
    <row r="300" spans="1:208" x14ac:dyDescent="0.25">
      <c r="A300">
        <f>_xlfn.AGGREGATE(3,5,$B$2:B300)</f>
        <v>299</v>
      </c>
      <c r="B300" t="s">
        <v>697</v>
      </c>
      <c r="C300" t="s">
        <v>698</v>
      </c>
      <c r="D300" t="s">
        <v>828</v>
      </c>
      <c r="E300" t="s">
        <v>831</v>
      </c>
      <c r="F300" t="s">
        <v>957</v>
      </c>
      <c r="G300" t="s">
        <v>897</v>
      </c>
      <c r="H300">
        <f t="shared" si="636"/>
        <v>6800</v>
      </c>
      <c r="I300">
        <f>_xlfn.XLOOKUP(B300,'[1]march-2025'!$A:$A,'[1]march-2025'!$J:$J,0,0)</f>
        <v>0</v>
      </c>
      <c r="J300">
        <f>_xlfn.XLOOKUP(B300,'[1]march-2025'!$A:$A,'[1]march-2025'!$C:$C,0,0)</f>
        <v>33500</v>
      </c>
      <c r="K300">
        <f t="shared" si="550"/>
        <v>4690</v>
      </c>
      <c r="L300">
        <f t="shared" si="551"/>
        <v>4020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>IF(J300&gt;0,SUM(J300:N300),0)</f>
        <v>42710</v>
      </c>
      <c r="P300">
        <f>_xlfn.XLOOKUP(B300,'[1]march-2025'!$A:$A,'[1]march-2025'!$H:$H,0,0)</f>
        <v>5000</v>
      </c>
      <c r="Q300">
        <f>_xlfn.XLOOKUP(B300,'[1]march-2025'!$A:$A,'[1]march-2025'!$I:$I,0,0)</f>
        <v>0</v>
      </c>
      <c r="R300">
        <f t="shared" si="634"/>
        <v>200</v>
      </c>
      <c r="S300">
        <f t="shared" si="544"/>
        <v>37510</v>
      </c>
      <c r="T300">
        <f>_xlfn.XLOOKUP(B300,'[2]april-2025'!$A:$A,'[2]april-2025'!$C:$C,0,0)</f>
        <v>33500</v>
      </c>
      <c r="U300">
        <f t="shared" si="552"/>
        <v>6030</v>
      </c>
      <c r="V300">
        <f t="shared" si="553"/>
        <v>4020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545"/>
        <v>44050</v>
      </c>
      <c r="Z300">
        <f>_xlfn.XLOOKUP(B300,'[2]april-2025'!$A:$A,'[2]april-2025'!$H:$H,0,0)</f>
        <v>5000</v>
      </c>
      <c r="AA300">
        <f>_xlfn.XLOOKUP(B300,'[2]april-2025'!$A:$A,'[2]april-2025'!$I:$I,0,0)</f>
        <v>0</v>
      </c>
      <c r="AB300">
        <f t="shared" si="554"/>
        <v>200</v>
      </c>
      <c r="AC300">
        <f t="shared" si="555"/>
        <v>38850</v>
      </c>
      <c r="AD300">
        <f>_xlfn.XLOOKUP(B300,'[3]may-2025'!$A:$A,'[3]may-2025'!$C:$C,0,0)</f>
        <v>33500</v>
      </c>
      <c r="AE300">
        <f t="shared" si="556"/>
        <v>6030</v>
      </c>
      <c r="AF300">
        <f t="shared" si="557"/>
        <v>4020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546"/>
        <v>44050</v>
      </c>
      <c r="AJ300">
        <f>_xlfn.XLOOKUP(B300,'[3]may-2025'!$A:$A,'[3]may-2025'!$H:$H,0,0)</f>
        <v>5000</v>
      </c>
      <c r="AK300">
        <f>_xlfn.XLOOKUP(B300,'[3]may-2025'!$A:$A,'[3]may-2025'!$I:$I,0,0)</f>
        <v>0</v>
      </c>
      <c r="AL300">
        <f t="shared" si="558"/>
        <v>200</v>
      </c>
      <c r="AM300">
        <f t="shared" si="559"/>
        <v>38850</v>
      </c>
      <c r="AN300">
        <f>_xlfn.XLOOKUP(B300,'[4]june-2025'!$A:$A,'[4]june-2025'!$C:$C,0,0)</f>
        <v>33500</v>
      </c>
      <c r="AO300">
        <f t="shared" si="560"/>
        <v>6030</v>
      </c>
      <c r="AP300">
        <f t="shared" si="561"/>
        <v>4020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547"/>
        <v>44050</v>
      </c>
      <c r="AT300">
        <f>_xlfn.XLOOKUP(B300,'[4]june-2025'!$A:$A,'[4]june-2025'!$H:$H,0,0)</f>
        <v>5000</v>
      </c>
      <c r="AU300">
        <f>_xlfn.XLOOKUP(B300,'[4]june-2025'!$A:$A,'[4]june-2025'!$I:$I,0,0)</f>
        <v>0</v>
      </c>
      <c r="AV300">
        <f t="shared" si="562"/>
        <v>200</v>
      </c>
      <c r="AW300">
        <f t="shared" si="563"/>
        <v>38850</v>
      </c>
      <c r="AX300">
        <f>_xlfn.XLOOKUP(B300,'[5]july-2025'!$A:$A,'[5]july-2025'!$C:$C,0,0)</f>
        <v>34500</v>
      </c>
      <c r="AY300">
        <f t="shared" si="564"/>
        <v>6210</v>
      </c>
      <c r="AZ300">
        <v>0</v>
      </c>
      <c r="BA300">
        <f t="shared" si="565"/>
        <v>4140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>IF(AX300&gt;0,SUM(AX300:BC300),0)</f>
        <v>45350</v>
      </c>
      <c r="BE300">
        <f>_xlfn.XLOOKUP(B300,'[5]july-2025'!$A:$A,'[5]july-2025'!$H:$H,0,0)</f>
        <v>5000</v>
      </c>
      <c r="BF300">
        <f>_xlfn.XLOOKUP(B300,'[5]july-2025'!$A:$A,'[5]july-2025'!$I:$I,0,0)</f>
        <v>0</v>
      </c>
      <c r="BG300">
        <f t="shared" si="566"/>
        <v>200</v>
      </c>
      <c r="BH300">
        <f t="shared" si="567"/>
        <v>40150</v>
      </c>
      <c r="BI300">
        <f>_xlfn.XLOOKUP(B300,'[6]august-2025'!$A:$A,'[6]august-2025'!$C:$C,0,0)</f>
        <v>34500</v>
      </c>
      <c r="BJ300">
        <f t="shared" si="568"/>
        <v>6210</v>
      </c>
      <c r="BK300">
        <f t="shared" si="569"/>
        <v>4140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570"/>
        <v>45350</v>
      </c>
      <c r="BO300">
        <f>_xlfn.XLOOKUP(B300,'[6]august-2025'!$A:$A,'[6]august-2025'!$H:$H,0,0)</f>
        <v>5000</v>
      </c>
      <c r="BP300">
        <f>_xlfn.XLOOKUP(B300,'[6]august-2025'!$A:$A,'[6]august-2025'!$I:$I,0,0)</f>
        <v>0</v>
      </c>
      <c r="BQ300">
        <f>IF($F300="YES",0,IF(BN300&gt;40000,200,IF(BN300&gt;25000,150,IF(BN300&gt;15000,130,IF(BN300&gt;10000,110,0)))))</f>
        <v>200</v>
      </c>
      <c r="BR300">
        <f>BN300-BO300-BP300-BQ300</f>
        <v>40150</v>
      </c>
      <c r="BS300">
        <f>_xlfn.XLOOKUP(B300,'[7]september-2025'!$A:$A,'[7]september-2025'!$C:$C,0,0)</f>
        <v>34500</v>
      </c>
      <c r="BT300">
        <f t="shared" si="571"/>
        <v>6210</v>
      </c>
      <c r="BU300">
        <f t="shared" si="572"/>
        <v>4140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>IF(BS300&gt;0,SUM(BS300:BW300),0)</f>
        <v>45350</v>
      </c>
      <c r="BY300">
        <f>_xlfn.XLOOKUP(B300,'[7]september-2025'!$A:$A,'[7]september-2025'!$H:$H,0,0)</f>
        <v>5000</v>
      </c>
      <c r="BZ300">
        <f>_xlfn.XLOOKUP(B300,'[7]september-2025'!$A:$A,'[7]september-2025'!$I:$I,0,0)</f>
        <v>0</v>
      </c>
      <c r="CA300">
        <f t="shared" si="573"/>
        <v>200</v>
      </c>
      <c r="CB300">
        <f t="shared" si="574"/>
        <v>40150</v>
      </c>
      <c r="CC300">
        <f>_xlfn.XLOOKUP(B300,'[8]october-2025'!$A:$A,'[8]october-2025'!$C:$C,0,0)</f>
        <v>34500</v>
      </c>
      <c r="CD300">
        <f t="shared" si="575"/>
        <v>6210</v>
      </c>
      <c r="CE300">
        <f t="shared" si="576"/>
        <v>4140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>IF(CC300&gt;0,SUM(CC300:CG300),0)</f>
        <v>45350</v>
      </c>
      <c r="CI300">
        <f>_xlfn.XLOOKUP(B300,'[8]october-2025'!$A:$A,'[8]october-2025'!$H:$H,0,0)</f>
        <v>5000</v>
      </c>
      <c r="CJ300">
        <f>_xlfn.XLOOKUP(B300,'[8]october-2025'!$A:$A,'[8]october-2025'!$I:$I,0,0)</f>
        <v>0</v>
      </c>
      <c r="CK300">
        <f t="shared" si="577"/>
        <v>200</v>
      </c>
      <c r="CL300">
        <f t="shared" si="578"/>
        <v>40150</v>
      </c>
      <c r="CM300">
        <f>_xlfn.XLOOKUP(B300,'[9]november-2025'!$A:$A,'[9]november-2025'!$C:$C,0,0)</f>
        <v>34500</v>
      </c>
      <c r="CN300">
        <f t="shared" si="579"/>
        <v>6210</v>
      </c>
      <c r="CO300">
        <f t="shared" si="580"/>
        <v>4140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>IF(CM300&gt;0,SUM(CM300:CQ300),0)</f>
        <v>45350</v>
      </c>
      <c r="CS300">
        <f>_xlfn.XLOOKUP(B300,'[9]november-2025'!$A:$A,'[9]november-2025'!$H:$H,0,0)</f>
        <v>5000</v>
      </c>
      <c r="CT300">
        <f>_xlfn.XLOOKUP(B300,'[9]november-2025'!$A:$A,'[9]november-2025'!$I:$I,0,0)</f>
        <v>0</v>
      </c>
      <c r="CU300">
        <f t="shared" si="581"/>
        <v>200</v>
      </c>
      <c r="CV300">
        <f t="shared" si="582"/>
        <v>40150</v>
      </c>
      <c r="CW300">
        <f>_xlfn.XLOOKUP(B300,'[10]december-2025'!$A:$A,'[10]december-2025'!$C:$C,0,0)</f>
        <v>34500</v>
      </c>
      <c r="CX300">
        <f t="shared" si="583"/>
        <v>6210</v>
      </c>
      <c r="CY300">
        <f t="shared" si="584"/>
        <v>4140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>IF(CW300&gt;0,SUM(CW300:DA300),0)</f>
        <v>45350</v>
      </c>
      <c r="DC300">
        <f>_xlfn.XLOOKUP(B300,'[10]december-2025'!$A:$A,'[10]december-2025'!$H:$H,0,0)</f>
        <v>5000</v>
      </c>
      <c r="DD300">
        <f>_xlfn.XLOOKUP(B300,'[10]december-2025'!$A:$A,'[10]december-2025'!$I:$I,0,0)</f>
        <v>0</v>
      </c>
      <c r="DE300">
        <f t="shared" si="585"/>
        <v>200</v>
      </c>
      <c r="DF300">
        <f t="shared" si="586"/>
        <v>40150</v>
      </c>
      <c r="DG300">
        <f>_xlfn.XLOOKUP(B300,'[11]january-2026'!$A:$A,'[11]january-2026'!$C:$C,0,0)</f>
        <v>34500</v>
      </c>
      <c r="DH300">
        <f t="shared" si="587"/>
        <v>6210</v>
      </c>
      <c r="DI300">
        <f t="shared" si="588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>IF(DG300&gt;0,SUM(DG300:DK300),0)</f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589"/>
        <v>200</v>
      </c>
      <c r="DP300">
        <f t="shared" si="590"/>
        <v>40150</v>
      </c>
      <c r="DQ300">
        <f>_xlfn.XLOOKUP(B300,'[12]february-2026'!$A:$A,'[12]february-2026'!$C:$C,0,0)</f>
        <v>34500</v>
      </c>
      <c r="DR300">
        <f t="shared" si="591"/>
        <v>6210</v>
      </c>
      <c r="DS300">
        <f t="shared" si="592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>IF(DQ300&gt;0,SUM(DQ300:DU300),0)</f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593"/>
        <v>200</v>
      </c>
      <c r="DZ300">
        <f t="shared" si="594"/>
        <v>40150</v>
      </c>
      <c r="EA300">
        <f>_xlfn.XLOOKUP(B300,'[1]march-2025'!$A:$A,'[1]march-2025'!$J:$J,0,0)</f>
        <v>0</v>
      </c>
      <c r="EB300">
        <f>_xlfn.XLOOKUP(B300,'[2]april-2025'!$A:$A,'[2]april-2025'!$J:$J,0,0)</f>
        <v>0</v>
      </c>
      <c r="EC300">
        <f>_xlfn.XLOOKUP(B300,'[3]may-2025'!$A:$A,'[3]may-2025'!$J:$J,0,0)</f>
        <v>0</v>
      </c>
      <c r="ED300">
        <f>_xlfn.XLOOKUP(B300,'[4]june-2025'!$A:$A,'[4]june-2025'!$J:$J,0,0)</f>
        <v>0</v>
      </c>
      <c r="EE300">
        <f>_xlfn.XLOOKUP(B300,'[5]july-2025'!$A:$A,'[5]july-2025'!$J:$J,0,0)</f>
        <v>0</v>
      </c>
      <c r="EF300">
        <f>_xlfn.XLOOKUP(B300,'[6]august-2025'!$A:$A,'[6]august-2025'!$J:$J,0,0)</f>
        <v>0</v>
      </c>
      <c r="EG300">
        <f>_xlfn.XLOOKUP(B300,'[7]september-2025'!$A:$A,'[7]september-2025'!$J:$J,0,0)</f>
        <v>0</v>
      </c>
      <c r="EH300">
        <f>_xlfn.XLOOKUP(B300,'[8]october-2025'!$A:$A,'[8]october-2025'!$J:$J,0,0)</f>
        <v>0</v>
      </c>
      <c r="EI300">
        <f>_xlfn.XLOOKUP(C300,'[9]november-2025'!$A:$A,'[9]november-2025'!$J:$J,0,0)</f>
        <v>0</v>
      </c>
      <c r="EJ300">
        <f>_xlfn.XLOOKUP(B300,'[10]december-2025'!$A:$A,'[10]december-2025'!$J:$J,0,0)</f>
        <v>0</v>
      </c>
      <c r="EK300">
        <f>_xlfn.XLOOKUP(B300,'[11]january-2026'!$A:$A,'[11]january-2026'!$J:$J,0,0)</f>
        <v>0</v>
      </c>
      <c r="EL300">
        <f>_xlfn.XLOOKUP(B300,'[12]february-2026'!$A:$A,'[12]february-2026'!$J:$J,0,0)</f>
        <v>0</v>
      </c>
      <c r="EM300">
        <f t="shared" si="548"/>
        <v>0</v>
      </c>
      <c r="EN300">
        <f>DV300+DL300+DB300+CR300+CH300+BX300+BN300+BD300+AS300+AI300+Y300+O300+H300+I300</f>
        <v>544460</v>
      </c>
      <c r="EO300">
        <f>DY300+DO300+DE300+CU300+CK300+CA300+BQ300+BG300+AV300+AL300+AB300+R300</f>
        <v>2400</v>
      </c>
      <c r="EP300">
        <f t="shared" si="595"/>
        <v>50000</v>
      </c>
      <c r="EQ300">
        <v>0</v>
      </c>
      <c r="ER300">
        <f t="shared" si="549"/>
        <v>492060</v>
      </c>
      <c r="ES300">
        <f>DW300+DM300+DC300+CS300+CI300+BY300+BO300+BE300+AT300+AJ300+Z300+P300</f>
        <v>60000</v>
      </c>
      <c r="ET300">
        <f>DX300+DN300+DD300+CT300+CJ300+BZ300+BP300+BF300+AU300+AK300+AA300+Q300</f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596"/>
        <v>60000</v>
      </c>
      <c r="FF300">
        <f t="shared" si="597"/>
        <v>60000</v>
      </c>
      <c r="FG300">
        <f t="shared" si="598"/>
        <v>432060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>SUM(FH300:FN300)+(IF(F300="YES",50000,0))</f>
        <v>0</v>
      </c>
      <c r="FP300">
        <f t="shared" si="599"/>
        <v>432060</v>
      </c>
      <c r="FQ300">
        <f t="shared" si="600"/>
        <v>9103</v>
      </c>
      <c r="FR300">
        <f t="shared" si="601"/>
        <v>0</v>
      </c>
      <c r="FS300">
        <f t="shared" si="602"/>
        <v>9103</v>
      </c>
      <c r="FT300">
        <f t="shared" si="603"/>
        <v>0</v>
      </c>
      <c r="FU300">
        <f t="shared" si="604"/>
        <v>0</v>
      </c>
      <c r="FV300">
        <f t="shared" si="605"/>
        <v>0</v>
      </c>
      <c r="FW300">
        <v>0</v>
      </c>
      <c r="FX300">
        <f t="shared" si="606"/>
        <v>0</v>
      </c>
      <c r="FY300" t="b">
        <f t="shared" si="607"/>
        <v>1</v>
      </c>
      <c r="FZ300">
        <f t="shared" ca="1" si="608"/>
        <v>834</v>
      </c>
      <c r="GA300">
        <f t="shared" ca="1" si="609"/>
        <v>545294</v>
      </c>
      <c r="GB300">
        <f t="shared" si="610"/>
        <v>75000</v>
      </c>
      <c r="GC300">
        <f t="shared" ca="1" si="611"/>
        <v>470294</v>
      </c>
      <c r="GD300">
        <f t="shared" ca="1" si="612"/>
        <v>0</v>
      </c>
      <c r="GE300">
        <f t="shared" ca="1" si="613"/>
        <v>0</v>
      </c>
      <c r="GF300">
        <f t="shared" ca="1" si="614"/>
        <v>0</v>
      </c>
      <c r="GG300">
        <f t="shared" ca="1" si="615"/>
        <v>0</v>
      </c>
      <c r="GH300">
        <f t="shared" ca="1" si="616"/>
        <v>0</v>
      </c>
      <c r="GI300">
        <f t="shared" ca="1" si="617"/>
        <v>0</v>
      </c>
      <c r="GJ300">
        <f ca="1">IF(GC300&gt;1200000,GC300-1200000-IF(F300="YES",50000,0)-GH300,0)</f>
        <v>0</v>
      </c>
      <c r="GK300">
        <f t="shared" ca="1" si="618"/>
        <v>0</v>
      </c>
      <c r="GL300">
        <f t="shared" ca="1" si="619"/>
        <v>0</v>
      </c>
      <c r="GM300">
        <f t="shared" ca="1" si="620"/>
        <v>0</v>
      </c>
      <c r="GN300">
        <f t="shared" ca="1" si="621"/>
        <v>70294</v>
      </c>
      <c r="GO300">
        <f t="shared" ca="1" si="622"/>
        <v>3514.7000000000003</v>
      </c>
      <c r="GP300">
        <f t="shared" ca="1" si="623"/>
        <v>3515</v>
      </c>
      <c r="GQ300">
        <f t="shared" ca="1" si="624"/>
        <v>0</v>
      </c>
      <c r="GR300">
        <f t="shared" ca="1" si="625"/>
        <v>0</v>
      </c>
      <c r="GS300">
        <f t="shared" ca="1" si="626"/>
        <v>3515</v>
      </c>
      <c r="GT300">
        <f t="shared" ca="1" si="627"/>
        <v>0</v>
      </c>
      <c r="GU300" t="b">
        <f t="shared" ca="1" si="628"/>
        <v>0</v>
      </c>
      <c r="GV300">
        <f t="shared" ca="1" si="629"/>
        <v>0</v>
      </c>
      <c r="GW300">
        <f t="shared" ca="1" si="630"/>
        <v>3515</v>
      </c>
      <c r="GX300">
        <f t="shared" ca="1" si="631"/>
        <v>0</v>
      </c>
      <c r="GY300">
        <f t="shared" ca="1" si="632"/>
        <v>0</v>
      </c>
      <c r="GZ300">
        <f t="shared" ca="1" si="633"/>
        <v>0</v>
      </c>
    </row>
    <row r="301" spans="1:208" x14ac:dyDescent="0.25">
      <c r="A301">
        <f>_xlfn.AGGREGATE(3,5,$B$2:B301)</f>
        <v>300</v>
      </c>
      <c r="B301" t="s">
        <v>699</v>
      </c>
      <c r="C301" t="s">
        <v>700</v>
      </c>
      <c r="D301" t="s">
        <v>829</v>
      </c>
      <c r="E301" t="s">
        <v>831</v>
      </c>
      <c r="F301" t="s">
        <v>957</v>
      </c>
      <c r="G301" t="s">
        <v>878</v>
      </c>
      <c r="H301">
        <f t="shared" si="636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550"/>
        <v>4830.0000000000009</v>
      </c>
      <c r="L301">
        <f t="shared" si="551"/>
        <v>4140</v>
      </c>
      <c r="M301">
        <f>_xlfn.XLOOKUP(B301,'[1]march-2025'!$A:$A,'[1]march-2025'!$D:$D,0,0)</f>
        <v>400</v>
      </c>
      <c r="N301">
        <f>_xlfn.XLOOKUP(B301,'[1]march-2025'!$A:$A,'[1]march-2025'!$G:$G,0,0)</f>
        <v>0</v>
      </c>
      <c r="O301">
        <f>IF(J301&gt;0,SUM(J301:N301),0)</f>
        <v>43870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634"/>
        <v>200</v>
      </c>
      <c r="S301">
        <f t="shared" si="544"/>
        <v>41170</v>
      </c>
      <c r="T301">
        <f>_xlfn.XLOOKUP(B301,'[2]april-2025'!$A:$A,'[2]april-2025'!$C:$C,0,0)</f>
        <v>34500</v>
      </c>
      <c r="U301">
        <f t="shared" si="552"/>
        <v>6210</v>
      </c>
      <c r="V301">
        <f t="shared" si="553"/>
        <v>4140</v>
      </c>
      <c r="W301">
        <f>_xlfn.XLOOKUP(B301,'[2]april-2025'!$A:$A,'[2]april-2025'!$D:$D,0,0)</f>
        <v>400</v>
      </c>
      <c r="X301">
        <f>_xlfn.XLOOKUP(B301,'[2]april-2025'!$A:$A,'[2]april-2025'!$G:$G,0,0)</f>
        <v>0</v>
      </c>
      <c r="Y301">
        <f t="shared" si="545"/>
        <v>45250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554"/>
        <v>200</v>
      </c>
      <c r="AC301">
        <f t="shared" si="555"/>
        <v>42550</v>
      </c>
      <c r="AD301">
        <f>_xlfn.XLOOKUP(B301,'[3]may-2025'!$A:$A,'[3]may-2025'!$C:$C,0,0)</f>
        <v>34500</v>
      </c>
      <c r="AE301">
        <f t="shared" si="556"/>
        <v>6210</v>
      </c>
      <c r="AF301">
        <f t="shared" si="557"/>
        <v>4140</v>
      </c>
      <c r="AG301">
        <f>_xlfn.XLOOKUP(B301,'[3]may-2025'!$A:$A,'[3]may-2025'!$D:$D,0,0)</f>
        <v>400</v>
      </c>
      <c r="AH301">
        <f>_xlfn.XLOOKUP(B301,'[3]may-2025'!$A:$A,'[3]may-2025'!$G:$G,0,0)</f>
        <v>0</v>
      </c>
      <c r="AI301">
        <f t="shared" si="546"/>
        <v>45250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558"/>
        <v>200</v>
      </c>
      <c r="AM301">
        <f t="shared" si="559"/>
        <v>42550</v>
      </c>
      <c r="AN301">
        <f>_xlfn.XLOOKUP(B301,'[4]june-2025'!$A:$A,'[4]june-2025'!$C:$C,0,0)</f>
        <v>34500</v>
      </c>
      <c r="AO301">
        <f t="shared" si="560"/>
        <v>6210</v>
      </c>
      <c r="AP301">
        <f t="shared" si="561"/>
        <v>4140</v>
      </c>
      <c r="AQ301">
        <f>_xlfn.XLOOKUP(B301,'[4]june-2025'!$A:$A,'[4]june-2025'!$D:$D,0,0)</f>
        <v>400</v>
      </c>
      <c r="AR301">
        <f>_xlfn.XLOOKUP(B301,'[4]june-2025'!$A:$A,'[4]june-2025'!$G:$G,0,0)</f>
        <v>0</v>
      </c>
      <c r="AS301">
        <f t="shared" si="547"/>
        <v>45250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562"/>
        <v>200</v>
      </c>
      <c r="AW301">
        <f t="shared" si="563"/>
        <v>42550</v>
      </c>
      <c r="AX301">
        <f>_xlfn.XLOOKUP(B301,'[5]july-2025'!$A:$A,'[5]july-2025'!$C:$C,0,0)</f>
        <v>35500</v>
      </c>
      <c r="AY301">
        <f t="shared" si="564"/>
        <v>6390</v>
      </c>
      <c r="AZ301">
        <v>0</v>
      </c>
      <c r="BA301">
        <f t="shared" si="565"/>
        <v>4260</v>
      </c>
      <c r="BB301">
        <f>_xlfn.XLOOKUP(B301,'[5]july-2025'!$A:$A,'[5]july-2025'!$D:$D,0,0)</f>
        <v>400</v>
      </c>
      <c r="BC301">
        <f>_xlfn.XLOOKUP(B301,'[5]july-2025'!$A:$A,'[5]july-2025'!$G:$G,0,0)</f>
        <v>0</v>
      </c>
      <c r="BD301">
        <f>IF(AX301&gt;0,SUM(AX301:BC301),0)</f>
        <v>46550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566"/>
        <v>200</v>
      </c>
      <c r="BH301">
        <f t="shared" si="567"/>
        <v>43850</v>
      </c>
      <c r="BI301">
        <f>_xlfn.XLOOKUP(B301,'[6]august-2025'!$A:$A,'[6]august-2025'!$C:$C,0,0)</f>
        <v>35500</v>
      </c>
      <c r="BJ301">
        <f t="shared" si="568"/>
        <v>6390</v>
      </c>
      <c r="BK301">
        <f t="shared" si="569"/>
        <v>4260</v>
      </c>
      <c r="BL301">
        <f>_xlfn.XLOOKUP(B301,'[6]august-2025'!$A:$A,'[6]august-2025'!$D:$D,0,0)</f>
        <v>400</v>
      </c>
      <c r="BM301">
        <f>_xlfn.XLOOKUP(B301,'[6]august-2025'!$A:$A,'[6]august-2025'!$G:$G,0,0)</f>
        <v>0</v>
      </c>
      <c r="BN301">
        <f t="shared" si="570"/>
        <v>46550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>IF($F301="YES",0,IF(BN301&gt;40000,200,IF(BN301&gt;25000,150,IF(BN301&gt;15000,130,IF(BN301&gt;10000,110,0)))))</f>
        <v>200</v>
      </c>
      <c r="BR301">
        <f>BN301-BO301-BP301-BQ301</f>
        <v>43850</v>
      </c>
      <c r="BS301">
        <f>_xlfn.XLOOKUP(B301,'[7]september-2025'!$A:$A,'[7]september-2025'!$C:$C,0,0)</f>
        <v>35500</v>
      </c>
      <c r="BT301">
        <f t="shared" si="571"/>
        <v>6390</v>
      </c>
      <c r="BU301">
        <f t="shared" si="572"/>
        <v>4260</v>
      </c>
      <c r="BV301">
        <f>_xlfn.XLOOKUP(B301,'[7]september-2025'!$A:$A,'[7]september-2025'!$D:$D,0,0)</f>
        <v>400</v>
      </c>
      <c r="BW301">
        <f>_xlfn.XLOOKUP(B301,'[7]september-2025'!$A:$A,'[7]september-2025'!$G:$G,0,0)</f>
        <v>0</v>
      </c>
      <c r="BX301">
        <f>IF(BS301&gt;0,SUM(BS301:BW301),0)</f>
        <v>46550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573"/>
        <v>200</v>
      </c>
      <c r="CB301">
        <f t="shared" si="574"/>
        <v>43850</v>
      </c>
      <c r="CC301">
        <f>_xlfn.XLOOKUP(B301,'[8]october-2025'!$A:$A,'[8]october-2025'!$C:$C,0,0)</f>
        <v>35500</v>
      </c>
      <c r="CD301">
        <f t="shared" si="575"/>
        <v>6390</v>
      </c>
      <c r="CE301">
        <f t="shared" si="576"/>
        <v>4260</v>
      </c>
      <c r="CF301">
        <f>_xlfn.XLOOKUP(B301,'[8]october-2025'!$A:$A,'[8]october-2025'!$D:$D,0,0)</f>
        <v>400</v>
      </c>
      <c r="CG301">
        <f>_xlfn.XLOOKUP(B301,'[8]october-2025'!$A:$A,'[8]october-2025'!$G:$G,0,0)</f>
        <v>0</v>
      </c>
      <c r="CH301">
        <f>IF(CC301&gt;0,SUM(CC301:CG301),0)</f>
        <v>46550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577"/>
        <v>200</v>
      </c>
      <c r="CL301">
        <f t="shared" si="578"/>
        <v>43850</v>
      </c>
      <c r="CM301">
        <f>_xlfn.XLOOKUP(B301,'[9]november-2025'!$A:$A,'[9]november-2025'!$C:$C,0,0)</f>
        <v>35500</v>
      </c>
      <c r="CN301">
        <f t="shared" si="579"/>
        <v>6390</v>
      </c>
      <c r="CO301">
        <f t="shared" si="580"/>
        <v>4260</v>
      </c>
      <c r="CP301">
        <f>_xlfn.XLOOKUP(B301,'[9]november-2025'!$A:$A,'[9]november-2025'!$D:$D,0,0)</f>
        <v>400</v>
      </c>
      <c r="CQ301">
        <f>_xlfn.XLOOKUP(B301,'[9]november-2025'!$A:$A,'[9]november-2025'!$G:$G,0,0)</f>
        <v>0</v>
      </c>
      <c r="CR301">
        <f>IF(CM301&gt;0,SUM(CM301:CQ301),0)</f>
        <v>46550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581"/>
        <v>200</v>
      </c>
      <c r="CV301">
        <f t="shared" si="582"/>
        <v>43850</v>
      </c>
      <c r="CW301">
        <f>_xlfn.XLOOKUP(B301,'[10]december-2025'!$A:$A,'[10]december-2025'!$C:$C,0,0)</f>
        <v>35500</v>
      </c>
      <c r="CX301">
        <f t="shared" si="583"/>
        <v>6390</v>
      </c>
      <c r="CY301">
        <f t="shared" si="584"/>
        <v>4260</v>
      </c>
      <c r="CZ301">
        <f>_xlfn.XLOOKUP(B301,'[10]december-2025'!$A:$A,'[10]december-2025'!$D:$D,0,0)</f>
        <v>400</v>
      </c>
      <c r="DA301">
        <f>_xlfn.XLOOKUP(B301,'[10]december-2025'!$A:$A,'[10]december-2025'!$G:$G,0,0)</f>
        <v>0</v>
      </c>
      <c r="DB301">
        <f>IF(CW301&gt;0,SUM(CW301:DA301),0)</f>
        <v>46550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585"/>
        <v>200</v>
      </c>
      <c r="DF301">
        <f t="shared" si="586"/>
        <v>43850</v>
      </c>
      <c r="DG301">
        <f>_xlfn.XLOOKUP(B301,'[11]january-2026'!$A:$A,'[11]january-2026'!$C:$C,0,0)</f>
        <v>35500</v>
      </c>
      <c r="DH301">
        <f t="shared" si="587"/>
        <v>6390</v>
      </c>
      <c r="DI301">
        <f t="shared" si="588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>IF(DG301&gt;0,SUM(DG301:DK301),0)</f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589"/>
        <v>200</v>
      </c>
      <c r="DP301">
        <f t="shared" si="590"/>
        <v>43850</v>
      </c>
      <c r="DQ301">
        <f>_xlfn.XLOOKUP(B301,'[12]february-2026'!$A:$A,'[12]february-2026'!$C:$C,0,0)</f>
        <v>35500</v>
      </c>
      <c r="DR301">
        <f t="shared" si="591"/>
        <v>6390</v>
      </c>
      <c r="DS301">
        <f t="shared" si="592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>IF(DQ301&gt;0,SUM(DQ301:DU301),0)</f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593"/>
        <v>200</v>
      </c>
      <c r="DZ301">
        <f t="shared" si="594"/>
        <v>43850</v>
      </c>
      <c r="EA301">
        <f>_xlfn.XLOOKUP(B301,'[1]march-2025'!$A:$A,'[1]march-2025'!$J:$J,0,0)</f>
        <v>0</v>
      </c>
      <c r="EB301">
        <f>_xlfn.XLOOKUP(B301,'[2]april-2025'!$A:$A,'[2]april-2025'!$J:$J,0,0)</f>
        <v>0</v>
      </c>
      <c r="EC301">
        <f>_xlfn.XLOOKUP(B301,'[3]may-2025'!$A:$A,'[3]may-2025'!$J:$J,0,0)</f>
        <v>0</v>
      </c>
      <c r="ED301">
        <f>_xlfn.XLOOKUP(B301,'[4]june-2025'!$A:$A,'[4]june-2025'!$J:$J,0,0)</f>
        <v>0</v>
      </c>
      <c r="EE301">
        <f>_xlfn.XLOOKUP(B301,'[5]july-2025'!$A:$A,'[5]july-2025'!$J:$J,0,0)</f>
        <v>0</v>
      </c>
      <c r="EF301">
        <f>_xlfn.XLOOKUP(B301,'[6]august-2025'!$A:$A,'[6]august-2025'!$J:$J,0,0)</f>
        <v>0</v>
      </c>
      <c r="EG301">
        <f>_xlfn.XLOOKUP(B301,'[7]september-2025'!$A:$A,'[7]september-2025'!$J:$J,0,0)</f>
        <v>0</v>
      </c>
      <c r="EH301">
        <f>_xlfn.XLOOKUP(B301,'[8]october-2025'!$A:$A,'[8]october-2025'!$J:$J,0,0)</f>
        <v>0</v>
      </c>
      <c r="EI301">
        <f>_xlfn.XLOOKUP(C301,'[9]november-2025'!$A:$A,'[9]november-2025'!$J:$J,0,0)</f>
        <v>0</v>
      </c>
      <c r="EJ301">
        <f>_xlfn.XLOOKUP(B301,'[10]december-2025'!$A:$A,'[10]december-2025'!$J:$J,0,0)</f>
        <v>0</v>
      </c>
      <c r="EK301">
        <f>_xlfn.XLOOKUP(B301,'[11]january-2026'!$A:$A,'[11]january-2026'!$J:$J,0,0)</f>
        <v>0</v>
      </c>
      <c r="EL301">
        <f>_xlfn.XLOOKUP(B301,'[12]february-2026'!$A:$A,'[12]february-2026'!$J:$J,0,0)</f>
        <v>0</v>
      </c>
      <c r="EM301">
        <f t="shared" si="548"/>
        <v>0</v>
      </c>
      <c r="EN301">
        <f>DV301+DL301+DB301+CR301+CH301+BX301+BN301+BD301+AS301+AI301+Y301+O301+H301+I301</f>
        <v>558820</v>
      </c>
      <c r="EO301">
        <f>DY301+DO301+DE301+CU301+CK301+CA301+BQ301+BG301+AV301+AL301+AB301+R301</f>
        <v>2400</v>
      </c>
      <c r="EP301">
        <f t="shared" si="595"/>
        <v>50000</v>
      </c>
      <c r="EQ301">
        <v>0</v>
      </c>
      <c r="ER301">
        <f t="shared" si="549"/>
        <v>506420</v>
      </c>
      <c r="ES301">
        <f>DW301+DM301+DC301+CS301+CI301+BY301+BO301+BE301+AT301+AJ301+Z301+P301</f>
        <v>30000</v>
      </c>
      <c r="ET301">
        <f>DX301+DN301+DD301+CT301+CJ301+BZ301+BP301+BF301+AU301+AK301+AA301+Q301</f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596"/>
        <v>30000</v>
      </c>
      <c r="FF301">
        <f t="shared" si="597"/>
        <v>30000</v>
      </c>
      <c r="FG301">
        <f t="shared" si="598"/>
        <v>476420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>SUM(FH301:FN301)+(IF(F301="YES",50000,0))</f>
        <v>0</v>
      </c>
      <c r="FP301">
        <f t="shared" si="599"/>
        <v>476420</v>
      </c>
      <c r="FQ301">
        <f t="shared" si="600"/>
        <v>11321</v>
      </c>
      <c r="FR301">
        <f t="shared" si="601"/>
        <v>0</v>
      </c>
      <c r="FS301">
        <f t="shared" si="602"/>
        <v>11321</v>
      </c>
      <c r="FT301">
        <f t="shared" si="603"/>
        <v>0</v>
      </c>
      <c r="FU301">
        <f t="shared" si="604"/>
        <v>0</v>
      </c>
      <c r="FV301">
        <f t="shared" si="605"/>
        <v>0</v>
      </c>
      <c r="FW301">
        <v>0</v>
      </c>
      <c r="FX301">
        <f t="shared" si="606"/>
        <v>0</v>
      </c>
      <c r="FY301" t="b">
        <f t="shared" si="607"/>
        <v>1</v>
      </c>
      <c r="FZ301">
        <f t="shared" ca="1" si="608"/>
        <v>663</v>
      </c>
      <c r="GA301">
        <f t="shared" ca="1" si="609"/>
        <v>559483</v>
      </c>
      <c r="GB301">
        <f t="shared" si="610"/>
        <v>75000</v>
      </c>
      <c r="GC301">
        <f t="shared" ca="1" si="611"/>
        <v>484483</v>
      </c>
      <c r="GD301">
        <f t="shared" ca="1" si="612"/>
        <v>0</v>
      </c>
      <c r="GE301">
        <f t="shared" ca="1" si="613"/>
        <v>0</v>
      </c>
      <c r="GF301">
        <f t="shared" ca="1" si="614"/>
        <v>0</v>
      </c>
      <c r="GG301">
        <f t="shared" ca="1" si="615"/>
        <v>0</v>
      </c>
      <c r="GH301">
        <f t="shared" ca="1" si="616"/>
        <v>0</v>
      </c>
      <c r="GI301">
        <f t="shared" ca="1" si="617"/>
        <v>0</v>
      </c>
      <c r="GJ301">
        <f ca="1">IF(GC301&gt;1200000,GC301-1200000-IF(F301="YES",50000,0)-GH301,0)</f>
        <v>0</v>
      </c>
      <c r="GK301">
        <f t="shared" ca="1" si="618"/>
        <v>0</v>
      </c>
      <c r="GL301">
        <f t="shared" ca="1" si="619"/>
        <v>0</v>
      </c>
      <c r="GM301">
        <f t="shared" ca="1" si="620"/>
        <v>0</v>
      </c>
      <c r="GN301">
        <f t="shared" ca="1" si="621"/>
        <v>84483</v>
      </c>
      <c r="GO301">
        <f t="shared" ca="1" si="622"/>
        <v>4224.1500000000005</v>
      </c>
      <c r="GP301">
        <f t="shared" ca="1" si="623"/>
        <v>4224</v>
      </c>
      <c r="GQ301">
        <f t="shared" ca="1" si="624"/>
        <v>0</v>
      </c>
      <c r="GR301">
        <f t="shared" ca="1" si="625"/>
        <v>0</v>
      </c>
      <c r="GS301">
        <f t="shared" ca="1" si="626"/>
        <v>4224</v>
      </c>
      <c r="GT301">
        <f t="shared" ca="1" si="627"/>
        <v>0</v>
      </c>
      <c r="GU301" t="b">
        <f t="shared" ca="1" si="628"/>
        <v>0</v>
      </c>
      <c r="GV301">
        <f t="shared" ca="1" si="629"/>
        <v>0</v>
      </c>
      <c r="GW301">
        <f t="shared" ca="1" si="630"/>
        <v>4224</v>
      </c>
      <c r="GX301">
        <f t="shared" ca="1" si="631"/>
        <v>0</v>
      </c>
      <c r="GY301">
        <f t="shared" ca="1" si="632"/>
        <v>0</v>
      </c>
      <c r="GZ301">
        <f t="shared" ca="1" si="633"/>
        <v>0</v>
      </c>
    </row>
    <row r="302" spans="1:208" x14ac:dyDescent="0.25">
      <c r="A302">
        <f>_xlfn.AGGREGATE(3,5,$B$2:B302)</f>
        <v>301</v>
      </c>
      <c r="B302" t="s">
        <v>701</v>
      </c>
      <c r="C302" t="s">
        <v>702</v>
      </c>
      <c r="D302" t="s">
        <v>829</v>
      </c>
      <c r="E302" t="s">
        <v>831</v>
      </c>
      <c r="F302" t="s">
        <v>957</v>
      </c>
      <c r="G302" t="s">
        <v>878</v>
      </c>
      <c r="H302">
        <f t="shared" si="636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550"/>
        <v>4830.0000000000009</v>
      </c>
      <c r="L302">
        <f t="shared" si="551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>IF(J302&gt;0,SUM(J302:N302),0)</f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634"/>
        <v>200</v>
      </c>
      <c r="S302">
        <f t="shared" si="544"/>
        <v>41270</v>
      </c>
      <c r="T302">
        <f>_xlfn.XLOOKUP(B302,'[2]april-2025'!$A:$A,'[2]april-2025'!$C:$C,0,0)</f>
        <v>34500</v>
      </c>
      <c r="U302">
        <f t="shared" si="552"/>
        <v>6210</v>
      </c>
      <c r="V302">
        <f t="shared" si="553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545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554"/>
        <v>200</v>
      </c>
      <c r="AC302">
        <f t="shared" si="555"/>
        <v>42650</v>
      </c>
      <c r="AD302">
        <f>_xlfn.XLOOKUP(B302,'[3]may-2025'!$A:$A,'[3]may-2025'!$C:$C,0,0)</f>
        <v>34500</v>
      </c>
      <c r="AE302">
        <f t="shared" si="556"/>
        <v>6210</v>
      </c>
      <c r="AF302">
        <f t="shared" si="557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546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558"/>
        <v>200</v>
      </c>
      <c r="AM302">
        <f t="shared" si="559"/>
        <v>42650</v>
      </c>
      <c r="AN302">
        <f>_xlfn.XLOOKUP(B302,'[4]june-2025'!$A:$A,'[4]june-2025'!$C:$C,0,0)</f>
        <v>34500</v>
      </c>
      <c r="AO302">
        <f t="shared" si="560"/>
        <v>6210</v>
      </c>
      <c r="AP302">
        <f t="shared" si="561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547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562"/>
        <v>200</v>
      </c>
      <c r="AW302">
        <f t="shared" si="563"/>
        <v>42650</v>
      </c>
      <c r="AX302">
        <f>_xlfn.XLOOKUP(B302,'[5]july-2025'!$A:$A,'[5]july-2025'!$C:$C,0,0)</f>
        <v>35500</v>
      </c>
      <c r="AY302">
        <f t="shared" si="564"/>
        <v>6390</v>
      </c>
      <c r="AZ302">
        <v>0</v>
      </c>
      <c r="BA302">
        <f t="shared" si="565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>IF(AX302&gt;0,SUM(AX302:BC302),0)</f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566"/>
        <v>200</v>
      </c>
      <c r="BH302">
        <f t="shared" si="567"/>
        <v>43950</v>
      </c>
      <c r="BI302">
        <f>_xlfn.XLOOKUP(B302,'[6]august-2025'!$A:$A,'[6]august-2025'!$C:$C,0,0)</f>
        <v>35500</v>
      </c>
      <c r="BJ302">
        <f t="shared" si="568"/>
        <v>6390</v>
      </c>
      <c r="BK302">
        <f t="shared" si="569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570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>IF($F302="YES",0,IF(BN302&gt;40000,200,IF(BN302&gt;25000,150,IF(BN302&gt;15000,130,IF(BN302&gt;10000,110,0)))))</f>
        <v>200</v>
      </c>
      <c r="BR302">
        <f>BN302-BO302-BP302-BQ302</f>
        <v>43950</v>
      </c>
      <c r="BS302">
        <f>_xlfn.XLOOKUP(B302,'[7]september-2025'!$A:$A,'[7]september-2025'!$C:$C,0,0)</f>
        <v>35500</v>
      </c>
      <c r="BT302">
        <f t="shared" si="571"/>
        <v>6390</v>
      </c>
      <c r="BU302">
        <f t="shared" si="572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>IF(BS302&gt;0,SUM(BS302:BW302),0)</f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573"/>
        <v>200</v>
      </c>
      <c r="CB302">
        <f t="shared" si="574"/>
        <v>43950</v>
      </c>
      <c r="CC302">
        <f>_xlfn.XLOOKUP(B302,'[8]october-2025'!$A:$A,'[8]october-2025'!$C:$C,0,0)</f>
        <v>35500</v>
      </c>
      <c r="CD302">
        <f t="shared" si="575"/>
        <v>6390</v>
      </c>
      <c r="CE302">
        <f t="shared" si="576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>IF(CC302&gt;0,SUM(CC302:CG302),0)</f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577"/>
        <v>200</v>
      </c>
      <c r="CL302">
        <f t="shared" si="578"/>
        <v>43950</v>
      </c>
      <c r="CM302">
        <f>_xlfn.XLOOKUP(B302,'[9]november-2025'!$A:$A,'[9]november-2025'!$C:$C,0,0)</f>
        <v>35500</v>
      </c>
      <c r="CN302">
        <f t="shared" si="579"/>
        <v>6390</v>
      </c>
      <c r="CO302">
        <f t="shared" si="580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>IF(CM302&gt;0,SUM(CM302:CQ302),0)</f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581"/>
        <v>200</v>
      </c>
      <c r="CV302">
        <f t="shared" si="582"/>
        <v>43950</v>
      </c>
      <c r="CW302">
        <f>_xlfn.XLOOKUP(B302,'[10]december-2025'!$A:$A,'[10]december-2025'!$C:$C,0,0)</f>
        <v>35500</v>
      </c>
      <c r="CX302">
        <f t="shared" si="583"/>
        <v>6390</v>
      </c>
      <c r="CY302">
        <f t="shared" si="584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>IF(CW302&gt;0,SUM(CW302:DA302),0)</f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585"/>
        <v>200</v>
      </c>
      <c r="DF302">
        <f t="shared" si="586"/>
        <v>43950</v>
      </c>
      <c r="DG302">
        <f>_xlfn.XLOOKUP(B302,'[11]january-2026'!$A:$A,'[11]january-2026'!$C:$C,0,0)</f>
        <v>35500</v>
      </c>
      <c r="DH302">
        <f t="shared" si="587"/>
        <v>6390</v>
      </c>
      <c r="DI302">
        <f t="shared" si="588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>IF(DG302&gt;0,SUM(DG302:DK302),0)</f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589"/>
        <v>200</v>
      </c>
      <c r="DP302">
        <f t="shared" si="590"/>
        <v>43950</v>
      </c>
      <c r="DQ302">
        <f>_xlfn.XLOOKUP(B302,'[12]february-2026'!$A:$A,'[12]february-2026'!$C:$C,0,0)</f>
        <v>35500</v>
      </c>
      <c r="DR302">
        <f t="shared" si="591"/>
        <v>6390</v>
      </c>
      <c r="DS302">
        <f t="shared" si="592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>IF(DQ302&gt;0,SUM(DQ302:DU302),0)</f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593"/>
        <v>200</v>
      </c>
      <c r="DZ302">
        <f t="shared" si="594"/>
        <v>43950</v>
      </c>
      <c r="EA302">
        <f>_xlfn.XLOOKUP(B302,'[1]march-2025'!$A:$A,'[1]march-2025'!$J:$J,0,0)</f>
        <v>0</v>
      </c>
      <c r="EB302">
        <f>_xlfn.XLOOKUP(B302,'[2]april-2025'!$A:$A,'[2]april-2025'!$J:$J,0,0)</f>
        <v>0</v>
      </c>
      <c r="EC302">
        <f>_xlfn.XLOOKUP(B302,'[3]may-2025'!$A:$A,'[3]may-2025'!$J:$J,0,0)</f>
        <v>0</v>
      </c>
      <c r="ED302">
        <f>_xlfn.XLOOKUP(B302,'[4]june-2025'!$A:$A,'[4]june-2025'!$J:$J,0,0)</f>
        <v>0</v>
      </c>
      <c r="EE302">
        <f>_xlfn.XLOOKUP(B302,'[5]july-2025'!$A:$A,'[5]july-2025'!$J:$J,0,0)</f>
        <v>0</v>
      </c>
      <c r="EF302">
        <f>_xlfn.XLOOKUP(B302,'[6]august-2025'!$A:$A,'[6]august-2025'!$J:$J,0,0)</f>
        <v>0</v>
      </c>
      <c r="EG302">
        <f>_xlfn.XLOOKUP(B302,'[7]september-2025'!$A:$A,'[7]september-2025'!$J:$J,0,0)</f>
        <v>0</v>
      </c>
      <c r="EH302">
        <f>_xlfn.XLOOKUP(B302,'[8]october-2025'!$A:$A,'[8]october-2025'!$J:$J,0,0)</f>
        <v>0</v>
      </c>
      <c r="EI302">
        <f>_xlfn.XLOOKUP(C302,'[9]november-2025'!$A:$A,'[9]november-2025'!$J:$J,0,0)</f>
        <v>0</v>
      </c>
      <c r="EJ302">
        <f>_xlfn.XLOOKUP(B302,'[10]december-2025'!$A:$A,'[10]december-2025'!$J:$J,0,0)</f>
        <v>0</v>
      </c>
      <c r="EK302">
        <f>_xlfn.XLOOKUP(B302,'[11]january-2026'!$A:$A,'[11]january-2026'!$J:$J,0,0)</f>
        <v>0</v>
      </c>
      <c r="EL302">
        <f>_xlfn.XLOOKUP(B302,'[12]february-2026'!$A:$A,'[12]february-2026'!$J:$J,0,0)</f>
        <v>0</v>
      </c>
      <c r="EM302">
        <f t="shared" si="548"/>
        <v>0</v>
      </c>
      <c r="EN302">
        <f>DV302+DL302+DB302+CR302+CH302+BX302+BN302+BD302+AS302+AI302+Y302+O302+H302+I302</f>
        <v>560020</v>
      </c>
      <c r="EO302">
        <f>DY302+DO302+DE302+CU302+CK302+CA302+BQ302+BG302+AV302+AL302+AB302+R302</f>
        <v>2400</v>
      </c>
      <c r="EP302">
        <f t="shared" si="595"/>
        <v>50000</v>
      </c>
      <c r="EQ302">
        <v>0</v>
      </c>
      <c r="ER302">
        <f t="shared" si="549"/>
        <v>507620</v>
      </c>
      <c r="ES302">
        <f>DW302+DM302+DC302+CS302+CI302+BY302+BO302+BE302+AT302+AJ302+Z302+P302</f>
        <v>30000</v>
      </c>
      <c r="ET302">
        <f>DX302+DN302+DD302+CT302+CJ302+BZ302+BP302+BF302+AU302+AK302+AA302+Q302</f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596"/>
        <v>30000</v>
      </c>
      <c r="FF302">
        <f t="shared" si="597"/>
        <v>30000</v>
      </c>
      <c r="FG302">
        <f t="shared" si="598"/>
        <v>477620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>SUM(FH302:FN302)+(IF(F302="YES",50000,0))</f>
        <v>0</v>
      </c>
      <c r="FP302">
        <f t="shared" si="599"/>
        <v>477620</v>
      </c>
      <c r="FQ302">
        <f t="shared" si="600"/>
        <v>11381</v>
      </c>
      <c r="FR302">
        <f t="shared" si="601"/>
        <v>0</v>
      </c>
      <c r="FS302">
        <f t="shared" si="602"/>
        <v>11381</v>
      </c>
      <c r="FT302">
        <f t="shared" si="603"/>
        <v>0</v>
      </c>
      <c r="FU302">
        <f t="shared" si="604"/>
        <v>0</v>
      </c>
      <c r="FV302">
        <f t="shared" si="605"/>
        <v>0</v>
      </c>
      <c r="FW302">
        <v>0</v>
      </c>
      <c r="FX302">
        <f t="shared" si="606"/>
        <v>0</v>
      </c>
      <c r="FY302" t="b">
        <f t="shared" si="607"/>
        <v>1</v>
      </c>
      <c r="FZ302">
        <f t="shared" ca="1" si="608"/>
        <v>579</v>
      </c>
      <c r="GA302">
        <f t="shared" ca="1" si="609"/>
        <v>560599</v>
      </c>
      <c r="GB302">
        <f t="shared" si="610"/>
        <v>75000</v>
      </c>
      <c r="GC302">
        <f t="shared" ca="1" si="611"/>
        <v>485599</v>
      </c>
      <c r="GD302">
        <f t="shared" ca="1" si="612"/>
        <v>0</v>
      </c>
      <c r="GE302">
        <f t="shared" ca="1" si="613"/>
        <v>0</v>
      </c>
      <c r="GF302">
        <f t="shared" ca="1" si="614"/>
        <v>0</v>
      </c>
      <c r="GG302">
        <f t="shared" ca="1" si="615"/>
        <v>0</v>
      </c>
      <c r="GH302">
        <f t="shared" ca="1" si="616"/>
        <v>0</v>
      </c>
      <c r="GI302">
        <f t="shared" ca="1" si="617"/>
        <v>0</v>
      </c>
      <c r="GJ302">
        <f ca="1">IF(GC302&gt;1200000,GC302-1200000-IF(F302="YES",50000,0)-GH302,0)</f>
        <v>0</v>
      </c>
      <c r="GK302">
        <f t="shared" ca="1" si="618"/>
        <v>0</v>
      </c>
      <c r="GL302">
        <f t="shared" ca="1" si="619"/>
        <v>0</v>
      </c>
      <c r="GM302">
        <f t="shared" ca="1" si="620"/>
        <v>0</v>
      </c>
      <c r="GN302">
        <f t="shared" ca="1" si="621"/>
        <v>85599</v>
      </c>
      <c r="GO302">
        <f t="shared" ca="1" si="622"/>
        <v>4279.95</v>
      </c>
      <c r="GP302">
        <f t="shared" ca="1" si="623"/>
        <v>4280</v>
      </c>
      <c r="GQ302">
        <f t="shared" ca="1" si="624"/>
        <v>0</v>
      </c>
      <c r="GR302">
        <f t="shared" ca="1" si="625"/>
        <v>0</v>
      </c>
      <c r="GS302">
        <f t="shared" ca="1" si="626"/>
        <v>4280</v>
      </c>
      <c r="GT302">
        <f t="shared" ca="1" si="627"/>
        <v>0</v>
      </c>
      <c r="GU302" t="b">
        <f t="shared" ca="1" si="628"/>
        <v>0</v>
      </c>
      <c r="GV302">
        <f t="shared" ca="1" si="629"/>
        <v>0</v>
      </c>
      <c r="GW302">
        <f t="shared" ca="1" si="630"/>
        <v>4280</v>
      </c>
      <c r="GX302">
        <f t="shared" ca="1" si="631"/>
        <v>0</v>
      </c>
      <c r="GY302">
        <f t="shared" ca="1" si="632"/>
        <v>0</v>
      </c>
      <c r="GZ302">
        <f t="shared" ca="1" si="633"/>
        <v>0</v>
      </c>
    </row>
    <row r="303" spans="1:208" x14ac:dyDescent="0.25">
      <c r="A303">
        <f>_xlfn.AGGREGATE(3,5,$B$2:B303)</f>
        <v>302</v>
      </c>
      <c r="B303" t="s">
        <v>703</v>
      </c>
      <c r="C303" t="s">
        <v>704</v>
      </c>
      <c r="D303" t="s">
        <v>829</v>
      </c>
      <c r="E303" t="s">
        <v>831</v>
      </c>
      <c r="F303" t="s">
        <v>957</v>
      </c>
      <c r="G303" t="s">
        <v>878</v>
      </c>
      <c r="H303">
        <f t="shared" si="636"/>
        <v>6800</v>
      </c>
      <c r="I303">
        <f>_xlfn.XLOOKUP(B303,'[1]march-2025'!$A:$A,'[1]march-2025'!$J:$J,0,0)</f>
        <v>0</v>
      </c>
      <c r="J303">
        <f>_xlfn.XLOOKUP(B303,'[1]march-2025'!$A:$A,'[1]march-2025'!$C:$C,0,0)</f>
        <v>34500</v>
      </c>
      <c r="K303">
        <f t="shared" si="550"/>
        <v>4830.0000000000009</v>
      </c>
      <c r="L303">
        <f t="shared" si="551"/>
        <v>4140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>IF(J303&gt;0,SUM(J303:N303),0)</f>
        <v>43970</v>
      </c>
      <c r="P303">
        <f>_xlfn.XLOOKUP(B303,'[1]march-2025'!$A:$A,'[1]march-2025'!$H:$H,0,0)</f>
        <v>2500</v>
      </c>
      <c r="Q303">
        <f>_xlfn.XLOOKUP(B303,'[1]march-2025'!$A:$A,'[1]march-2025'!$I:$I,0,0)</f>
        <v>0</v>
      </c>
      <c r="R303">
        <f t="shared" si="634"/>
        <v>200</v>
      </c>
      <c r="S303">
        <f t="shared" si="544"/>
        <v>41270</v>
      </c>
      <c r="T303">
        <f>_xlfn.XLOOKUP(B303,'[2]april-2025'!$A:$A,'[2]april-2025'!$C:$C,0,0)</f>
        <v>34500</v>
      </c>
      <c r="U303">
        <f t="shared" si="552"/>
        <v>6210</v>
      </c>
      <c r="V303">
        <f t="shared" si="553"/>
        <v>4140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545"/>
        <v>45350</v>
      </c>
      <c r="Z303">
        <f>_xlfn.XLOOKUP(B303,'[2]april-2025'!$A:$A,'[2]april-2025'!$H:$H,0,0)</f>
        <v>2500</v>
      </c>
      <c r="AA303">
        <f>_xlfn.XLOOKUP(B303,'[2]april-2025'!$A:$A,'[2]april-2025'!$I:$I,0,0)</f>
        <v>0</v>
      </c>
      <c r="AB303">
        <f t="shared" si="554"/>
        <v>200</v>
      </c>
      <c r="AC303">
        <f t="shared" si="555"/>
        <v>42650</v>
      </c>
      <c r="AD303">
        <f>_xlfn.XLOOKUP(B303,'[3]may-2025'!$A:$A,'[3]may-2025'!$C:$C,0,0)</f>
        <v>34500</v>
      </c>
      <c r="AE303">
        <f t="shared" si="556"/>
        <v>6210</v>
      </c>
      <c r="AF303">
        <f t="shared" si="557"/>
        <v>4140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546"/>
        <v>45350</v>
      </c>
      <c r="AJ303">
        <f>_xlfn.XLOOKUP(B303,'[3]may-2025'!$A:$A,'[3]may-2025'!$H:$H,0,0)</f>
        <v>2500</v>
      </c>
      <c r="AK303">
        <f>_xlfn.XLOOKUP(B303,'[3]may-2025'!$A:$A,'[3]may-2025'!$I:$I,0,0)</f>
        <v>0</v>
      </c>
      <c r="AL303">
        <f t="shared" si="558"/>
        <v>200</v>
      </c>
      <c r="AM303">
        <f t="shared" si="559"/>
        <v>42650</v>
      </c>
      <c r="AN303">
        <f>_xlfn.XLOOKUP(B303,'[4]june-2025'!$A:$A,'[4]june-2025'!$C:$C,0,0)</f>
        <v>34500</v>
      </c>
      <c r="AO303">
        <f t="shared" si="560"/>
        <v>6210</v>
      </c>
      <c r="AP303">
        <f t="shared" si="561"/>
        <v>4140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547"/>
        <v>45350</v>
      </c>
      <c r="AT303">
        <f>_xlfn.XLOOKUP(B303,'[4]june-2025'!$A:$A,'[4]june-2025'!$H:$H,0,0)</f>
        <v>2500</v>
      </c>
      <c r="AU303">
        <f>_xlfn.XLOOKUP(B303,'[4]june-2025'!$A:$A,'[4]june-2025'!$I:$I,0,0)</f>
        <v>0</v>
      </c>
      <c r="AV303">
        <f t="shared" si="562"/>
        <v>200</v>
      </c>
      <c r="AW303">
        <f t="shared" si="563"/>
        <v>42650</v>
      </c>
      <c r="AX303">
        <f>_xlfn.XLOOKUP(B303,'[5]july-2025'!$A:$A,'[5]july-2025'!$C:$C,0,0)</f>
        <v>35500</v>
      </c>
      <c r="AY303">
        <f t="shared" si="564"/>
        <v>6390</v>
      </c>
      <c r="AZ303">
        <v>0</v>
      </c>
      <c r="BA303">
        <f t="shared" si="565"/>
        <v>4260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>IF(AX303&gt;0,SUM(AX303:BC303),0)</f>
        <v>46650</v>
      </c>
      <c r="BE303">
        <f>_xlfn.XLOOKUP(B303,'[5]july-2025'!$A:$A,'[5]july-2025'!$H:$H,0,0)</f>
        <v>2500</v>
      </c>
      <c r="BF303">
        <f>_xlfn.XLOOKUP(B303,'[5]july-2025'!$A:$A,'[5]july-2025'!$I:$I,0,0)</f>
        <v>0</v>
      </c>
      <c r="BG303">
        <f t="shared" si="566"/>
        <v>200</v>
      </c>
      <c r="BH303">
        <f t="shared" si="567"/>
        <v>43950</v>
      </c>
      <c r="BI303">
        <f>_xlfn.XLOOKUP(B303,'[6]august-2025'!$A:$A,'[6]august-2025'!$C:$C,0,0)</f>
        <v>35500</v>
      </c>
      <c r="BJ303">
        <f t="shared" si="568"/>
        <v>6390</v>
      </c>
      <c r="BK303">
        <f t="shared" si="569"/>
        <v>4260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570"/>
        <v>46650</v>
      </c>
      <c r="BO303">
        <f>_xlfn.XLOOKUP(B303,'[6]august-2025'!$A:$A,'[6]august-2025'!$H:$H,0,0)</f>
        <v>2500</v>
      </c>
      <c r="BP303">
        <f>_xlfn.XLOOKUP(B303,'[6]august-2025'!$A:$A,'[6]august-2025'!$I:$I,0,0)</f>
        <v>0</v>
      </c>
      <c r="BQ303">
        <f>IF($F303="YES",0,IF(BN303&gt;40000,200,IF(BN303&gt;25000,150,IF(BN303&gt;15000,130,IF(BN303&gt;10000,110,0)))))</f>
        <v>200</v>
      </c>
      <c r="BR303">
        <f>BN303-BO303-BP303-BQ303</f>
        <v>43950</v>
      </c>
      <c r="BS303">
        <f>_xlfn.XLOOKUP(B303,'[7]september-2025'!$A:$A,'[7]september-2025'!$C:$C,0,0)</f>
        <v>35500</v>
      </c>
      <c r="BT303">
        <f t="shared" si="571"/>
        <v>6390</v>
      </c>
      <c r="BU303">
        <f t="shared" si="572"/>
        <v>4260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>IF(BS303&gt;0,SUM(BS303:BW303),0)</f>
        <v>46650</v>
      </c>
      <c r="BY303">
        <f>_xlfn.XLOOKUP(B303,'[7]september-2025'!$A:$A,'[7]september-2025'!$H:$H,0,0)</f>
        <v>2500</v>
      </c>
      <c r="BZ303">
        <f>_xlfn.XLOOKUP(B303,'[7]september-2025'!$A:$A,'[7]september-2025'!$I:$I,0,0)</f>
        <v>0</v>
      </c>
      <c r="CA303">
        <f t="shared" si="573"/>
        <v>200</v>
      </c>
      <c r="CB303">
        <f t="shared" si="574"/>
        <v>43950</v>
      </c>
      <c r="CC303">
        <f>_xlfn.XLOOKUP(B303,'[8]october-2025'!$A:$A,'[8]october-2025'!$C:$C,0,0)</f>
        <v>35500</v>
      </c>
      <c r="CD303">
        <f t="shared" si="575"/>
        <v>6390</v>
      </c>
      <c r="CE303">
        <f t="shared" si="576"/>
        <v>4260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>IF(CC303&gt;0,SUM(CC303:CG303),0)</f>
        <v>46650</v>
      </c>
      <c r="CI303">
        <f>_xlfn.XLOOKUP(B303,'[8]october-2025'!$A:$A,'[8]october-2025'!$H:$H,0,0)</f>
        <v>2500</v>
      </c>
      <c r="CJ303">
        <f>_xlfn.XLOOKUP(B303,'[8]october-2025'!$A:$A,'[8]october-2025'!$I:$I,0,0)</f>
        <v>0</v>
      </c>
      <c r="CK303">
        <f t="shared" si="577"/>
        <v>200</v>
      </c>
      <c r="CL303">
        <f t="shared" si="578"/>
        <v>43950</v>
      </c>
      <c r="CM303">
        <f>_xlfn.XLOOKUP(B303,'[9]november-2025'!$A:$A,'[9]november-2025'!$C:$C,0,0)</f>
        <v>35500</v>
      </c>
      <c r="CN303">
        <f t="shared" si="579"/>
        <v>6390</v>
      </c>
      <c r="CO303">
        <f t="shared" si="580"/>
        <v>4260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>IF(CM303&gt;0,SUM(CM303:CQ303),0)</f>
        <v>46650</v>
      </c>
      <c r="CS303">
        <f>_xlfn.XLOOKUP(B303,'[9]november-2025'!$A:$A,'[9]november-2025'!$H:$H,0,0)</f>
        <v>2500</v>
      </c>
      <c r="CT303">
        <f>_xlfn.XLOOKUP(B303,'[9]november-2025'!$A:$A,'[9]november-2025'!$I:$I,0,0)</f>
        <v>0</v>
      </c>
      <c r="CU303">
        <f t="shared" si="581"/>
        <v>200</v>
      </c>
      <c r="CV303">
        <f t="shared" si="582"/>
        <v>43950</v>
      </c>
      <c r="CW303">
        <f>_xlfn.XLOOKUP(B303,'[10]december-2025'!$A:$A,'[10]december-2025'!$C:$C,0,0)</f>
        <v>35500</v>
      </c>
      <c r="CX303">
        <f t="shared" si="583"/>
        <v>6390</v>
      </c>
      <c r="CY303">
        <f t="shared" si="584"/>
        <v>4260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>IF(CW303&gt;0,SUM(CW303:DA303),0)</f>
        <v>46650</v>
      </c>
      <c r="DC303">
        <f>_xlfn.XLOOKUP(B303,'[10]december-2025'!$A:$A,'[10]december-2025'!$H:$H,0,0)</f>
        <v>2500</v>
      </c>
      <c r="DD303">
        <f>_xlfn.XLOOKUP(B303,'[10]december-2025'!$A:$A,'[10]december-2025'!$I:$I,0,0)</f>
        <v>0</v>
      </c>
      <c r="DE303">
        <f t="shared" si="585"/>
        <v>200</v>
      </c>
      <c r="DF303">
        <f t="shared" si="586"/>
        <v>43950</v>
      </c>
      <c r="DG303">
        <f>_xlfn.XLOOKUP(B303,'[11]january-2026'!$A:$A,'[11]january-2026'!$C:$C,0,0)</f>
        <v>35500</v>
      </c>
      <c r="DH303">
        <f t="shared" si="587"/>
        <v>6390</v>
      </c>
      <c r="DI303">
        <f t="shared" si="588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>IF(DG303&gt;0,SUM(DG303:DK303),0)</f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589"/>
        <v>200</v>
      </c>
      <c r="DP303">
        <f t="shared" si="590"/>
        <v>43950</v>
      </c>
      <c r="DQ303">
        <f>_xlfn.XLOOKUP(B303,'[12]february-2026'!$A:$A,'[12]february-2026'!$C:$C,0,0)</f>
        <v>35500</v>
      </c>
      <c r="DR303">
        <f t="shared" si="591"/>
        <v>6390</v>
      </c>
      <c r="DS303">
        <f t="shared" si="592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>IF(DQ303&gt;0,SUM(DQ303:DU303),0)</f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593"/>
        <v>200</v>
      </c>
      <c r="DZ303">
        <f t="shared" si="594"/>
        <v>43950</v>
      </c>
      <c r="EA303">
        <f>_xlfn.XLOOKUP(B303,'[1]march-2025'!$A:$A,'[1]march-2025'!$J:$J,0,0)</f>
        <v>0</v>
      </c>
      <c r="EB303">
        <f>_xlfn.XLOOKUP(B303,'[2]april-2025'!$A:$A,'[2]april-2025'!$J:$J,0,0)</f>
        <v>0</v>
      </c>
      <c r="EC303">
        <f>_xlfn.XLOOKUP(B303,'[3]may-2025'!$A:$A,'[3]may-2025'!$J:$J,0,0)</f>
        <v>0</v>
      </c>
      <c r="ED303">
        <f>_xlfn.XLOOKUP(B303,'[4]june-2025'!$A:$A,'[4]june-2025'!$J:$J,0,0)</f>
        <v>0</v>
      </c>
      <c r="EE303">
        <f>_xlfn.XLOOKUP(B303,'[5]july-2025'!$A:$A,'[5]july-2025'!$J:$J,0,0)</f>
        <v>0</v>
      </c>
      <c r="EF303">
        <f>_xlfn.XLOOKUP(B303,'[6]august-2025'!$A:$A,'[6]august-2025'!$J:$J,0,0)</f>
        <v>0</v>
      </c>
      <c r="EG303">
        <f>_xlfn.XLOOKUP(B303,'[7]september-2025'!$A:$A,'[7]september-2025'!$J:$J,0,0)</f>
        <v>0</v>
      </c>
      <c r="EH303">
        <f>_xlfn.XLOOKUP(B303,'[8]october-2025'!$A:$A,'[8]october-2025'!$J:$J,0,0)</f>
        <v>0</v>
      </c>
      <c r="EI303">
        <f>_xlfn.XLOOKUP(C303,'[9]november-2025'!$A:$A,'[9]november-2025'!$J:$J,0,0)</f>
        <v>0</v>
      </c>
      <c r="EJ303">
        <f>_xlfn.XLOOKUP(B303,'[10]december-2025'!$A:$A,'[10]december-2025'!$J:$J,0,0)</f>
        <v>0</v>
      </c>
      <c r="EK303">
        <f>_xlfn.XLOOKUP(B303,'[11]january-2026'!$A:$A,'[11]january-2026'!$J:$J,0,0)</f>
        <v>0</v>
      </c>
      <c r="EL303">
        <f>_xlfn.XLOOKUP(B303,'[12]february-2026'!$A:$A,'[12]february-2026'!$J:$J,0,0)</f>
        <v>0</v>
      </c>
      <c r="EM303">
        <f t="shared" si="548"/>
        <v>0</v>
      </c>
      <c r="EN303">
        <f>DV303+DL303+DB303+CR303+CH303+BX303+BN303+BD303+AS303+AI303+Y303+O303+H303+I303</f>
        <v>560020</v>
      </c>
      <c r="EO303">
        <f>DY303+DO303+DE303+CU303+CK303+CA303+BQ303+BG303+AV303+AL303+AB303+R303</f>
        <v>2400</v>
      </c>
      <c r="EP303">
        <f t="shared" si="595"/>
        <v>50000</v>
      </c>
      <c r="EQ303">
        <v>0</v>
      </c>
      <c r="ER303">
        <f t="shared" si="549"/>
        <v>507620</v>
      </c>
      <c r="ES303">
        <f>DW303+DM303+DC303+CS303+CI303+BY303+BO303+BE303+AT303+AJ303+Z303+P303</f>
        <v>30000</v>
      </c>
      <c r="ET303">
        <f>DX303+DN303+DD303+CT303+CJ303+BZ303+BP303+BF303+AU303+AK303+AA303+Q303</f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596"/>
        <v>30000</v>
      </c>
      <c r="FF303">
        <f t="shared" si="597"/>
        <v>30000</v>
      </c>
      <c r="FG303">
        <f t="shared" si="598"/>
        <v>477620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>SUM(FH303:FN303)+(IF(F303="YES",50000,0))</f>
        <v>0</v>
      </c>
      <c r="FP303">
        <f t="shared" si="599"/>
        <v>477620</v>
      </c>
      <c r="FQ303">
        <f t="shared" si="600"/>
        <v>11381</v>
      </c>
      <c r="FR303">
        <f t="shared" si="601"/>
        <v>0</v>
      </c>
      <c r="FS303">
        <f t="shared" si="602"/>
        <v>11381</v>
      </c>
      <c r="FT303">
        <f t="shared" si="603"/>
        <v>0</v>
      </c>
      <c r="FU303">
        <f t="shared" si="604"/>
        <v>0</v>
      </c>
      <c r="FV303">
        <f t="shared" si="605"/>
        <v>0</v>
      </c>
      <c r="FW303">
        <v>0</v>
      </c>
      <c r="FX303">
        <f t="shared" si="606"/>
        <v>0</v>
      </c>
      <c r="FY303" t="b">
        <f t="shared" si="607"/>
        <v>1</v>
      </c>
      <c r="FZ303">
        <f t="shared" ca="1" si="608"/>
        <v>1000</v>
      </c>
      <c r="GA303">
        <f t="shared" ca="1" si="609"/>
        <v>561020</v>
      </c>
      <c r="GB303">
        <f t="shared" si="610"/>
        <v>75000</v>
      </c>
      <c r="GC303">
        <f t="shared" ca="1" si="611"/>
        <v>486020</v>
      </c>
      <c r="GD303">
        <f t="shared" ca="1" si="612"/>
        <v>0</v>
      </c>
      <c r="GE303">
        <f t="shared" ca="1" si="613"/>
        <v>0</v>
      </c>
      <c r="GF303">
        <f t="shared" ca="1" si="614"/>
        <v>0</v>
      </c>
      <c r="GG303">
        <f t="shared" ca="1" si="615"/>
        <v>0</v>
      </c>
      <c r="GH303">
        <f t="shared" ca="1" si="616"/>
        <v>0</v>
      </c>
      <c r="GI303">
        <f t="shared" ca="1" si="617"/>
        <v>0</v>
      </c>
      <c r="GJ303">
        <f ca="1">IF(GC303&gt;1200000,GC303-1200000-IF(F303="YES",50000,0)-GH303,0)</f>
        <v>0</v>
      </c>
      <c r="GK303">
        <f t="shared" ca="1" si="618"/>
        <v>0</v>
      </c>
      <c r="GL303">
        <f t="shared" ca="1" si="619"/>
        <v>0</v>
      </c>
      <c r="GM303">
        <f t="shared" ca="1" si="620"/>
        <v>0</v>
      </c>
      <c r="GN303">
        <f t="shared" ca="1" si="621"/>
        <v>86020</v>
      </c>
      <c r="GO303">
        <f t="shared" ca="1" si="622"/>
        <v>4301</v>
      </c>
      <c r="GP303">
        <f t="shared" ca="1" si="623"/>
        <v>4301</v>
      </c>
      <c r="GQ303">
        <f t="shared" ca="1" si="624"/>
        <v>0</v>
      </c>
      <c r="GR303">
        <f t="shared" ca="1" si="625"/>
        <v>0</v>
      </c>
      <c r="GS303">
        <f t="shared" ca="1" si="626"/>
        <v>4301</v>
      </c>
      <c r="GT303">
        <f t="shared" ca="1" si="627"/>
        <v>0</v>
      </c>
      <c r="GU303" t="b">
        <f t="shared" ca="1" si="628"/>
        <v>0</v>
      </c>
      <c r="GV303">
        <f t="shared" ca="1" si="629"/>
        <v>0</v>
      </c>
      <c r="GW303">
        <f t="shared" ca="1" si="630"/>
        <v>4301</v>
      </c>
      <c r="GX303">
        <f t="shared" ca="1" si="631"/>
        <v>0</v>
      </c>
      <c r="GY303">
        <f t="shared" ca="1" si="632"/>
        <v>0</v>
      </c>
      <c r="GZ303">
        <f t="shared" ca="1" si="633"/>
        <v>0</v>
      </c>
    </row>
    <row r="304" spans="1:208" x14ac:dyDescent="0.25">
      <c r="A304">
        <f>_xlfn.AGGREGATE(3,5,$B$2:B304)</f>
        <v>303</v>
      </c>
      <c r="B304" t="s">
        <v>705</v>
      </c>
      <c r="C304" t="s">
        <v>706</v>
      </c>
      <c r="D304" t="s">
        <v>829</v>
      </c>
      <c r="E304" t="s">
        <v>831</v>
      </c>
      <c r="F304" t="s">
        <v>957</v>
      </c>
      <c r="G304" t="s">
        <v>879</v>
      </c>
      <c r="H304">
        <f t="shared" si="636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550"/>
        <v>4424</v>
      </c>
      <c r="L304">
        <f t="shared" si="551"/>
        <v>3792</v>
      </c>
      <c r="M304">
        <f>_xlfn.XLOOKUP(B304,'[1]march-2025'!$A:$A,'[1]march-2025'!$D:$D,0,0)</f>
        <v>0</v>
      </c>
      <c r="N304">
        <f>_xlfn.XLOOKUP(B304,'[1]march-2025'!$A:$A,'[1]march-2025'!$G:$G,0,0)</f>
        <v>0</v>
      </c>
      <c r="O304">
        <f>IF(J304&gt;0,SUM(J304:N304),0)</f>
        <v>39816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634"/>
        <v>150</v>
      </c>
      <c r="S304">
        <f t="shared" si="544"/>
        <v>37666</v>
      </c>
      <c r="T304">
        <f>_xlfn.XLOOKUP(B304,'[2]april-2025'!$A:$A,'[2]april-2025'!$C:$C,0,0)</f>
        <v>31600</v>
      </c>
      <c r="U304">
        <f t="shared" si="552"/>
        <v>5688</v>
      </c>
      <c r="V304">
        <f t="shared" si="553"/>
        <v>3792</v>
      </c>
      <c r="W304">
        <f>_xlfn.XLOOKUP(B304,'[2]april-2025'!$A:$A,'[2]april-2025'!$D:$D,0,0)</f>
        <v>0</v>
      </c>
      <c r="X304">
        <f>_xlfn.XLOOKUP(B304,'[2]april-2025'!$A:$A,'[2]april-2025'!$G:$G,0,0)</f>
        <v>0</v>
      </c>
      <c r="Y304">
        <f t="shared" si="545"/>
        <v>41080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554"/>
        <v>200</v>
      </c>
      <c r="AC304">
        <f t="shared" si="555"/>
        <v>38880</v>
      </c>
      <c r="AD304">
        <f>_xlfn.XLOOKUP(B304,'[3]may-2025'!$A:$A,'[3]may-2025'!$C:$C,0,0)</f>
        <v>31600</v>
      </c>
      <c r="AE304">
        <f t="shared" si="556"/>
        <v>5688</v>
      </c>
      <c r="AF304">
        <f t="shared" si="557"/>
        <v>3792</v>
      </c>
      <c r="AG304">
        <f>_xlfn.XLOOKUP(B304,'[3]may-2025'!$A:$A,'[3]may-2025'!$D:$D,0,0)</f>
        <v>0</v>
      </c>
      <c r="AH304">
        <f>_xlfn.XLOOKUP(B304,'[3]may-2025'!$A:$A,'[3]may-2025'!$G:$G,0,0)</f>
        <v>0</v>
      </c>
      <c r="AI304">
        <f t="shared" si="546"/>
        <v>41080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558"/>
        <v>200</v>
      </c>
      <c r="AM304">
        <f t="shared" si="559"/>
        <v>38880</v>
      </c>
      <c r="AN304">
        <f>_xlfn.XLOOKUP(B304,'[4]june-2025'!$A:$A,'[4]june-2025'!$C:$C,0,0)</f>
        <v>31600</v>
      </c>
      <c r="AO304">
        <f t="shared" si="560"/>
        <v>5688</v>
      </c>
      <c r="AP304">
        <f t="shared" si="561"/>
        <v>3792</v>
      </c>
      <c r="AQ304">
        <f>_xlfn.XLOOKUP(B304,'[4]june-2025'!$A:$A,'[4]june-2025'!$D:$D,0,0)</f>
        <v>0</v>
      </c>
      <c r="AR304">
        <f>_xlfn.XLOOKUP(B304,'[4]june-2025'!$A:$A,'[4]june-2025'!$G:$G,0,0)</f>
        <v>0</v>
      </c>
      <c r="AS304">
        <f t="shared" si="547"/>
        <v>41080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562"/>
        <v>200</v>
      </c>
      <c r="AW304">
        <f t="shared" si="563"/>
        <v>38880</v>
      </c>
      <c r="AX304">
        <f>_xlfn.XLOOKUP(B304,'[5]july-2025'!$A:$A,'[5]july-2025'!$C:$C,0,0)</f>
        <v>32500</v>
      </c>
      <c r="AY304">
        <f t="shared" si="564"/>
        <v>5850</v>
      </c>
      <c r="AZ304">
        <v>0</v>
      </c>
      <c r="BA304">
        <f t="shared" si="565"/>
        <v>3900</v>
      </c>
      <c r="BB304">
        <f>_xlfn.XLOOKUP(B304,'[5]july-2025'!$A:$A,'[5]july-2025'!$D:$D,0,0)</f>
        <v>0</v>
      </c>
      <c r="BC304">
        <f>_xlfn.XLOOKUP(B304,'[5]july-2025'!$A:$A,'[5]july-2025'!$G:$G,0,0)</f>
        <v>0</v>
      </c>
      <c r="BD304">
        <f>IF(AX304&gt;0,SUM(AX304:BC304),0)</f>
        <v>42250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566"/>
        <v>200</v>
      </c>
      <c r="BH304">
        <f t="shared" si="567"/>
        <v>40050</v>
      </c>
      <c r="BI304">
        <f>_xlfn.XLOOKUP(B304,'[6]august-2025'!$A:$A,'[6]august-2025'!$C:$C,0,0)</f>
        <v>32500</v>
      </c>
      <c r="BJ304">
        <f t="shared" si="568"/>
        <v>5850</v>
      </c>
      <c r="BK304">
        <f t="shared" si="569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0</v>
      </c>
      <c r="BN304">
        <f t="shared" si="570"/>
        <v>42250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>IF($F304="YES",0,IF(BN304&gt;40000,200,IF(BN304&gt;25000,150,IF(BN304&gt;15000,130,IF(BN304&gt;10000,110,0)))))</f>
        <v>200</v>
      </c>
      <c r="BR304">
        <f>BN304-BO304-BP304-BQ304</f>
        <v>40050</v>
      </c>
      <c r="BS304">
        <f>_xlfn.XLOOKUP(B304,'[7]september-2025'!$A:$A,'[7]september-2025'!$C:$C,0,0)</f>
        <v>32500</v>
      </c>
      <c r="BT304">
        <f t="shared" si="571"/>
        <v>5850</v>
      </c>
      <c r="BU304">
        <f t="shared" si="572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0</v>
      </c>
      <c r="BX304">
        <f>IF(BS304&gt;0,SUM(BS304:BW304),0)</f>
        <v>42250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573"/>
        <v>200</v>
      </c>
      <c r="CB304">
        <f t="shared" si="574"/>
        <v>40050</v>
      </c>
      <c r="CC304">
        <f>_xlfn.XLOOKUP(B304,'[8]october-2025'!$A:$A,'[8]october-2025'!$C:$C,0,0)</f>
        <v>32500</v>
      </c>
      <c r="CD304">
        <f t="shared" si="575"/>
        <v>5850</v>
      </c>
      <c r="CE304">
        <f t="shared" si="576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0</v>
      </c>
      <c r="CH304">
        <f>IF(CC304&gt;0,SUM(CC304:CG304),0)</f>
        <v>42250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577"/>
        <v>200</v>
      </c>
      <c r="CL304">
        <f t="shared" si="578"/>
        <v>40050</v>
      </c>
      <c r="CM304">
        <f>_xlfn.XLOOKUP(B304,'[9]november-2025'!$A:$A,'[9]november-2025'!$C:$C,0,0)</f>
        <v>32500</v>
      </c>
      <c r="CN304">
        <f t="shared" si="579"/>
        <v>5850</v>
      </c>
      <c r="CO304">
        <f t="shared" si="580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0</v>
      </c>
      <c r="CR304">
        <f>IF(CM304&gt;0,SUM(CM304:CQ304),0)</f>
        <v>42250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581"/>
        <v>200</v>
      </c>
      <c r="CV304">
        <f t="shared" si="582"/>
        <v>40050</v>
      </c>
      <c r="CW304">
        <f>_xlfn.XLOOKUP(B304,'[10]december-2025'!$A:$A,'[10]december-2025'!$C:$C,0,0)</f>
        <v>32500</v>
      </c>
      <c r="CX304">
        <f t="shared" si="583"/>
        <v>5850</v>
      </c>
      <c r="CY304">
        <f t="shared" si="584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0</v>
      </c>
      <c r="DB304">
        <f>IF(CW304&gt;0,SUM(CW304:DA304),0)</f>
        <v>42250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585"/>
        <v>200</v>
      </c>
      <c r="DF304">
        <f t="shared" si="586"/>
        <v>40050</v>
      </c>
      <c r="DG304">
        <f>_xlfn.XLOOKUP(B304,'[11]january-2026'!$A:$A,'[11]january-2026'!$C:$C,0,0)</f>
        <v>32500</v>
      </c>
      <c r="DH304">
        <f t="shared" si="587"/>
        <v>5850</v>
      </c>
      <c r="DI304">
        <f t="shared" si="588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>IF(DG304&gt;0,SUM(DG304:DK304),0)</f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589"/>
        <v>200</v>
      </c>
      <c r="DP304">
        <f t="shared" si="590"/>
        <v>40050</v>
      </c>
      <c r="DQ304">
        <f>_xlfn.XLOOKUP(B304,'[12]february-2026'!$A:$A,'[12]february-2026'!$C:$C,0,0)</f>
        <v>32500</v>
      </c>
      <c r="DR304">
        <f t="shared" si="591"/>
        <v>5850</v>
      </c>
      <c r="DS304">
        <f t="shared" si="592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>IF(DQ304&gt;0,SUM(DQ304:DU304),0)</f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593"/>
        <v>200</v>
      </c>
      <c r="DZ304">
        <f t="shared" si="594"/>
        <v>40050</v>
      </c>
      <c r="EA304">
        <f>_xlfn.XLOOKUP(B304,'[1]march-2025'!$A:$A,'[1]march-2025'!$J:$J,0,0)</f>
        <v>0</v>
      </c>
      <c r="EB304">
        <f>_xlfn.XLOOKUP(B304,'[2]april-2025'!$A:$A,'[2]april-2025'!$J:$J,0,0)</f>
        <v>0</v>
      </c>
      <c r="EC304">
        <f>_xlfn.XLOOKUP(B304,'[3]may-2025'!$A:$A,'[3]may-2025'!$J:$J,0,0)</f>
        <v>0</v>
      </c>
      <c r="ED304">
        <f>_xlfn.XLOOKUP(B304,'[4]june-2025'!$A:$A,'[4]june-2025'!$J:$J,0,0)</f>
        <v>0</v>
      </c>
      <c r="EE304">
        <f>_xlfn.XLOOKUP(B304,'[5]july-2025'!$A:$A,'[5]july-2025'!$J:$J,0,0)</f>
        <v>0</v>
      </c>
      <c r="EF304">
        <f>_xlfn.XLOOKUP(B304,'[6]august-2025'!$A:$A,'[6]august-2025'!$J:$J,0,0)</f>
        <v>0</v>
      </c>
      <c r="EG304">
        <f>_xlfn.XLOOKUP(B304,'[7]september-2025'!$A:$A,'[7]september-2025'!$J:$J,0,0)</f>
        <v>0</v>
      </c>
      <c r="EH304">
        <f>_xlfn.XLOOKUP(B304,'[8]october-2025'!$A:$A,'[8]october-2025'!$J:$J,0,0)</f>
        <v>0</v>
      </c>
      <c r="EI304">
        <f>_xlfn.XLOOKUP(C304,'[9]november-2025'!$A:$A,'[9]november-2025'!$J:$J,0,0)</f>
        <v>0</v>
      </c>
      <c r="EJ304">
        <f>_xlfn.XLOOKUP(B304,'[10]december-2025'!$A:$A,'[10]december-2025'!$J:$J,0,0)</f>
        <v>0</v>
      </c>
      <c r="EK304">
        <f>_xlfn.XLOOKUP(B304,'[11]january-2026'!$A:$A,'[11]january-2026'!$J:$J,0,0)</f>
        <v>0</v>
      </c>
      <c r="EL304">
        <f>_xlfn.XLOOKUP(B304,'[12]february-2026'!$A:$A,'[12]february-2026'!$J:$J,0,0)</f>
        <v>0</v>
      </c>
      <c r="EM304">
        <f t="shared" si="548"/>
        <v>0</v>
      </c>
      <c r="EN304">
        <f>DV304+DL304+DB304+CR304+CH304+BX304+BN304+BD304+AS304+AI304+Y304+O304+H304+I304</f>
        <v>507856</v>
      </c>
      <c r="EO304">
        <f>DY304+DO304+DE304+CU304+CK304+CA304+BQ304+BG304+AV304+AL304+AB304+R304</f>
        <v>2350</v>
      </c>
      <c r="EP304">
        <f t="shared" si="595"/>
        <v>50000</v>
      </c>
      <c r="EQ304">
        <v>0</v>
      </c>
      <c r="ER304">
        <f t="shared" si="549"/>
        <v>455506</v>
      </c>
      <c r="ES304">
        <f>DW304+DM304+DC304+CS304+CI304+BY304+BO304+BE304+AT304+AJ304+Z304+P304</f>
        <v>24000</v>
      </c>
      <c r="ET304">
        <f>DX304+DN304+DD304+CT304+CJ304+BZ304+BP304+BF304+AU304+AK304+AA304+Q304</f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596"/>
        <v>24000</v>
      </c>
      <c r="FF304">
        <f t="shared" si="597"/>
        <v>24000</v>
      </c>
      <c r="FG304">
        <f t="shared" si="598"/>
        <v>431506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>SUM(FH304:FN304)+(IF(F304="YES",50000,0))</f>
        <v>0</v>
      </c>
      <c r="FP304">
        <f t="shared" si="599"/>
        <v>431506</v>
      </c>
      <c r="FQ304">
        <f t="shared" si="600"/>
        <v>9075</v>
      </c>
      <c r="FR304">
        <f t="shared" si="601"/>
        <v>0</v>
      </c>
      <c r="FS304">
        <f t="shared" si="602"/>
        <v>9075</v>
      </c>
      <c r="FT304">
        <f t="shared" si="603"/>
        <v>0</v>
      </c>
      <c r="FU304">
        <f t="shared" si="604"/>
        <v>0</v>
      </c>
      <c r="FV304">
        <f t="shared" si="605"/>
        <v>0</v>
      </c>
      <c r="FW304">
        <v>0</v>
      </c>
      <c r="FX304">
        <f t="shared" si="606"/>
        <v>0</v>
      </c>
      <c r="FY304" t="b">
        <f t="shared" si="607"/>
        <v>1</v>
      </c>
      <c r="FZ304">
        <f t="shared" ca="1" si="608"/>
        <v>521</v>
      </c>
      <c r="GA304">
        <f t="shared" ca="1" si="609"/>
        <v>508377</v>
      </c>
      <c r="GB304">
        <f t="shared" si="610"/>
        <v>75000</v>
      </c>
      <c r="GC304">
        <f t="shared" ca="1" si="611"/>
        <v>433377</v>
      </c>
      <c r="GD304">
        <f t="shared" ca="1" si="612"/>
        <v>0</v>
      </c>
      <c r="GE304">
        <f t="shared" ca="1" si="613"/>
        <v>0</v>
      </c>
      <c r="GF304">
        <f t="shared" ca="1" si="614"/>
        <v>0</v>
      </c>
      <c r="GG304">
        <f t="shared" ca="1" si="615"/>
        <v>0</v>
      </c>
      <c r="GH304">
        <f t="shared" ca="1" si="616"/>
        <v>0</v>
      </c>
      <c r="GI304">
        <f t="shared" ca="1" si="617"/>
        <v>0</v>
      </c>
      <c r="GJ304">
        <f ca="1">IF(GC304&gt;1200000,GC304-1200000-IF(F304="YES",50000,0)-GH304,0)</f>
        <v>0</v>
      </c>
      <c r="GK304">
        <f t="shared" ca="1" si="618"/>
        <v>0</v>
      </c>
      <c r="GL304">
        <f t="shared" ca="1" si="619"/>
        <v>0</v>
      </c>
      <c r="GM304">
        <f t="shared" ca="1" si="620"/>
        <v>0</v>
      </c>
      <c r="GN304">
        <f t="shared" ca="1" si="621"/>
        <v>33377</v>
      </c>
      <c r="GO304">
        <f t="shared" ca="1" si="622"/>
        <v>1668.8500000000001</v>
      </c>
      <c r="GP304">
        <f t="shared" ca="1" si="623"/>
        <v>1669</v>
      </c>
      <c r="GQ304">
        <f t="shared" ca="1" si="624"/>
        <v>0</v>
      </c>
      <c r="GR304">
        <f t="shared" ca="1" si="625"/>
        <v>0</v>
      </c>
      <c r="GS304">
        <f t="shared" ca="1" si="626"/>
        <v>1669</v>
      </c>
      <c r="GT304">
        <f t="shared" ca="1" si="627"/>
        <v>0</v>
      </c>
      <c r="GU304" t="b">
        <f t="shared" ca="1" si="628"/>
        <v>0</v>
      </c>
      <c r="GV304">
        <f t="shared" ca="1" si="629"/>
        <v>0</v>
      </c>
      <c r="GW304">
        <f t="shared" ca="1" si="630"/>
        <v>1669</v>
      </c>
      <c r="GX304">
        <f t="shared" ca="1" si="631"/>
        <v>0</v>
      </c>
      <c r="GY304">
        <f t="shared" ca="1" si="632"/>
        <v>0</v>
      </c>
      <c r="GZ304">
        <f t="shared" ca="1" si="633"/>
        <v>0</v>
      </c>
    </row>
    <row r="305" spans="1:208" x14ac:dyDescent="0.25">
      <c r="A305">
        <f>_xlfn.AGGREGATE(3,5,$B$2:B305)</f>
        <v>304</v>
      </c>
      <c r="B305" t="s">
        <v>967</v>
      </c>
      <c r="C305" t="s">
        <v>968</v>
      </c>
      <c r="D305" t="s">
        <v>829</v>
      </c>
      <c r="E305" t="s">
        <v>831</v>
      </c>
      <c r="F305" t="s">
        <v>957</v>
      </c>
      <c r="G305" s="1">
        <v>44529</v>
      </c>
      <c r="H305">
        <f t="shared" si="636"/>
        <v>6800</v>
      </c>
      <c r="I305">
        <f>_xlfn.XLOOKUP(B305,'[1]march-2025'!$A:$A,'[1]march-2025'!$J:$J,0,0)</f>
        <v>0</v>
      </c>
      <c r="J305">
        <f>_xlfn.XLOOKUP(B305,'[1]march-2025'!$A:$A,'[1]march-2025'!$C:$C,0,0)</f>
        <v>31600</v>
      </c>
      <c r="K305">
        <f t="shared" si="550"/>
        <v>4424</v>
      </c>
      <c r="L305">
        <f t="shared" si="551"/>
        <v>3792</v>
      </c>
      <c r="M305">
        <f>_xlfn.XLOOKUP(B305,'[1]march-2025'!$A:$A,'[1]march-2025'!$D:$D,0,0)</f>
        <v>0</v>
      </c>
      <c r="N305">
        <f>_xlfn.XLOOKUP(B305,'[1]march-2025'!$A:$A,'[1]march-2025'!$G:$G,0,0)</f>
        <v>500</v>
      </c>
      <c r="O305">
        <f>IF(J305&gt;0,SUM(J305:N305),0)</f>
        <v>40316</v>
      </c>
      <c r="P305">
        <f>_xlfn.XLOOKUP(B305,'[1]march-2025'!$A:$A,'[1]march-2025'!$H:$H,0,0)</f>
        <v>2000</v>
      </c>
      <c r="Q305">
        <f>_xlfn.XLOOKUP(B305,'[1]march-2025'!$A:$A,'[1]march-2025'!$I:$I,0,0)</f>
        <v>0</v>
      </c>
      <c r="R305">
        <f t="shared" si="634"/>
        <v>200</v>
      </c>
      <c r="S305">
        <f t="shared" si="544"/>
        <v>38116</v>
      </c>
      <c r="T305">
        <f>_xlfn.XLOOKUP(B305,'[2]april-2025'!$A:$A,'[2]april-2025'!$C:$C,0,0)</f>
        <v>31600</v>
      </c>
      <c r="U305">
        <f t="shared" si="552"/>
        <v>5688</v>
      </c>
      <c r="V305">
        <f t="shared" si="553"/>
        <v>3792</v>
      </c>
      <c r="W305">
        <f>_xlfn.XLOOKUP(B305,'[2]april-2025'!$A:$A,'[2]april-2025'!$D:$D,0,0)</f>
        <v>0</v>
      </c>
      <c r="X305">
        <f>_xlfn.XLOOKUP(B305,'[2]april-2025'!$A:$A,'[2]april-2025'!$G:$G,0,0)</f>
        <v>500</v>
      </c>
      <c r="Y305">
        <f t="shared" si="545"/>
        <v>41580</v>
      </c>
      <c r="Z305">
        <f>_xlfn.XLOOKUP(B305,'[2]april-2025'!$A:$A,'[2]april-2025'!$H:$H,0,0)</f>
        <v>2000</v>
      </c>
      <c r="AA305">
        <f>_xlfn.XLOOKUP(B305,'[2]april-2025'!$A:$A,'[2]april-2025'!$I:$I,0,0)</f>
        <v>0</v>
      </c>
      <c r="AB305">
        <f t="shared" si="554"/>
        <v>200</v>
      </c>
      <c r="AC305">
        <f t="shared" si="555"/>
        <v>39380</v>
      </c>
      <c r="AD305">
        <f>_xlfn.XLOOKUP(B305,'[3]may-2025'!$A:$A,'[3]may-2025'!$C:$C,0,0)</f>
        <v>31600</v>
      </c>
      <c r="AE305">
        <f t="shared" si="556"/>
        <v>5688</v>
      </c>
      <c r="AF305">
        <f t="shared" si="557"/>
        <v>3792</v>
      </c>
      <c r="AG305">
        <f>_xlfn.XLOOKUP(B305,'[3]may-2025'!$A:$A,'[3]may-2025'!$D:$D,0,0)</f>
        <v>0</v>
      </c>
      <c r="AH305">
        <f>_xlfn.XLOOKUP(B305,'[3]may-2025'!$A:$A,'[3]may-2025'!$G:$G,0,0)</f>
        <v>500</v>
      </c>
      <c r="AI305">
        <f t="shared" si="546"/>
        <v>41580</v>
      </c>
      <c r="AJ305">
        <f>_xlfn.XLOOKUP(B305,'[3]may-2025'!$A:$A,'[3]may-2025'!$H:$H,0,0)</f>
        <v>2000</v>
      </c>
      <c r="AK305">
        <f>_xlfn.XLOOKUP(B305,'[3]may-2025'!$A:$A,'[3]may-2025'!$I:$I,0,0)</f>
        <v>0</v>
      </c>
      <c r="AL305">
        <f t="shared" si="558"/>
        <v>200</v>
      </c>
      <c r="AM305">
        <f t="shared" si="559"/>
        <v>39380</v>
      </c>
      <c r="AN305">
        <f>_xlfn.XLOOKUP(B305,'[4]june-2025'!$A:$A,'[4]june-2025'!$C:$C,0,0)</f>
        <v>31600</v>
      </c>
      <c r="AO305">
        <f t="shared" si="560"/>
        <v>5688</v>
      </c>
      <c r="AP305">
        <f t="shared" si="561"/>
        <v>3792</v>
      </c>
      <c r="AQ305">
        <f>_xlfn.XLOOKUP(B305,'[4]june-2025'!$A:$A,'[4]june-2025'!$D:$D,0,0)</f>
        <v>0</v>
      </c>
      <c r="AR305">
        <f>_xlfn.XLOOKUP(B305,'[4]june-2025'!$A:$A,'[4]june-2025'!$G:$G,0,0)</f>
        <v>500</v>
      </c>
      <c r="AS305">
        <f t="shared" si="547"/>
        <v>41580</v>
      </c>
      <c r="AT305">
        <f>_xlfn.XLOOKUP(B305,'[4]june-2025'!$A:$A,'[4]june-2025'!$H:$H,0,0)</f>
        <v>2000</v>
      </c>
      <c r="AU305">
        <f>_xlfn.XLOOKUP(B305,'[4]june-2025'!$A:$A,'[4]june-2025'!$I:$I,0,0)</f>
        <v>0</v>
      </c>
      <c r="AV305">
        <f t="shared" si="562"/>
        <v>200</v>
      </c>
      <c r="AW305">
        <f t="shared" si="563"/>
        <v>39380</v>
      </c>
      <c r="AX305">
        <f>_xlfn.XLOOKUP(B305,'[5]july-2025'!$A:$A,'[5]july-2025'!$C:$C,0,0)</f>
        <v>32500</v>
      </c>
      <c r="AY305">
        <f t="shared" si="564"/>
        <v>5850</v>
      </c>
      <c r="AZ305">
        <v>0</v>
      </c>
      <c r="BA305">
        <f t="shared" si="565"/>
        <v>3900</v>
      </c>
      <c r="BB305">
        <f>_xlfn.XLOOKUP(B305,'[5]july-2025'!$A:$A,'[5]july-2025'!$D:$D,0,0)</f>
        <v>0</v>
      </c>
      <c r="BC305">
        <f>_xlfn.XLOOKUP(B305,'[5]july-2025'!$A:$A,'[5]july-2025'!$G:$G,0,0)</f>
        <v>500</v>
      </c>
      <c r="BD305">
        <f>IF(AX305&gt;0,SUM(AX305:BC305),0)</f>
        <v>42750</v>
      </c>
      <c r="BE305">
        <f>_xlfn.XLOOKUP(B305,'[5]july-2025'!$A:$A,'[5]july-2025'!$H:$H,0,0)</f>
        <v>2000</v>
      </c>
      <c r="BF305">
        <f>_xlfn.XLOOKUP(B305,'[5]july-2025'!$A:$A,'[5]july-2025'!$I:$I,0,0)</f>
        <v>0</v>
      </c>
      <c r="BG305">
        <f t="shared" si="566"/>
        <v>200</v>
      </c>
      <c r="BH305">
        <f t="shared" si="567"/>
        <v>40550</v>
      </c>
      <c r="BI305">
        <f>_xlfn.XLOOKUP(B305,'[6]august-2025'!$A:$A,'[6]august-2025'!$C:$C,0,0)</f>
        <v>32500</v>
      </c>
      <c r="BJ305">
        <f t="shared" si="568"/>
        <v>5850</v>
      </c>
      <c r="BK305">
        <f t="shared" si="569"/>
        <v>3900</v>
      </c>
      <c r="BL305">
        <f>_xlfn.XLOOKUP(B305,'[6]august-2025'!$A:$A,'[6]august-2025'!$D:$D,0,0)</f>
        <v>0</v>
      </c>
      <c r="BM305">
        <f>_xlfn.XLOOKUP(B305,'[6]august-2025'!$A:$A,'[6]august-2025'!$G:$G,0,0)</f>
        <v>500</v>
      </c>
      <c r="BN305">
        <f t="shared" si="570"/>
        <v>42750</v>
      </c>
      <c r="BO305">
        <f>_xlfn.XLOOKUP(B305,'[6]august-2025'!$A:$A,'[6]august-2025'!$H:$H,0,0)</f>
        <v>2000</v>
      </c>
      <c r="BP305">
        <f>_xlfn.XLOOKUP(B305,'[6]august-2025'!$A:$A,'[6]august-2025'!$I:$I,0,0)</f>
        <v>0</v>
      </c>
      <c r="BQ305">
        <f>IF($F305="YES",0,IF(BN305&gt;40000,200,IF(BN305&gt;25000,150,IF(BN305&gt;15000,130,IF(BN305&gt;10000,110,0)))))</f>
        <v>200</v>
      </c>
      <c r="BR305">
        <f>BN305-BO305-BP305-BQ305</f>
        <v>40550</v>
      </c>
      <c r="BS305">
        <f>_xlfn.XLOOKUP(B305,'[7]september-2025'!$A:$A,'[7]september-2025'!$C:$C,0,0)</f>
        <v>32500</v>
      </c>
      <c r="BT305">
        <f t="shared" si="571"/>
        <v>5850</v>
      </c>
      <c r="BU305">
        <f t="shared" si="572"/>
        <v>3900</v>
      </c>
      <c r="BV305">
        <f>_xlfn.XLOOKUP(B305,'[7]september-2025'!$A:$A,'[7]september-2025'!$D:$D,0,0)</f>
        <v>0</v>
      </c>
      <c r="BW305">
        <f>_xlfn.XLOOKUP(B305,'[7]september-2025'!$A:$A,'[7]september-2025'!$G:$G,0,0)</f>
        <v>500</v>
      </c>
      <c r="BX305">
        <f>IF(BS305&gt;0,SUM(BS305:BW305),0)</f>
        <v>42750</v>
      </c>
      <c r="BY305">
        <f>_xlfn.XLOOKUP(B305,'[7]september-2025'!$A:$A,'[7]september-2025'!$H:$H,0,0)</f>
        <v>2000</v>
      </c>
      <c r="BZ305">
        <f>_xlfn.XLOOKUP(B305,'[7]september-2025'!$A:$A,'[7]september-2025'!$I:$I,0,0)</f>
        <v>0</v>
      </c>
      <c r="CA305">
        <f t="shared" si="573"/>
        <v>200</v>
      </c>
      <c r="CB305">
        <f t="shared" si="574"/>
        <v>40550</v>
      </c>
      <c r="CC305">
        <f>_xlfn.XLOOKUP(B305,'[8]october-2025'!$A:$A,'[8]october-2025'!$C:$C,0,0)</f>
        <v>32500</v>
      </c>
      <c r="CD305">
        <f t="shared" si="575"/>
        <v>5850</v>
      </c>
      <c r="CE305">
        <f t="shared" si="576"/>
        <v>3900</v>
      </c>
      <c r="CF305">
        <f>_xlfn.XLOOKUP(B305,'[8]october-2025'!$A:$A,'[8]october-2025'!$D:$D,0,0)</f>
        <v>0</v>
      </c>
      <c r="CG305">
        <f>_xlfn.XLOOKUP(B305,'[8]october-2025'!$A:$A,'[8]october-2025'!$G:$G,0,0)</f>
        <v>500</v>
      </c>
      <c r="CH305">
        <f>IF(CC305&gt;0,SUM(CC305:CG305),0)</f>
        <v>42750</v>
      </c>
      <c r="CI305">
        <f>_xlfn.XLOOKUP(B305,'[8]october-2025'!$A:$A,'[8]october-2025'!$H:$H,0,0)</f>
        <v>2000</v>
      </c>
      <c r="CJ305">
        <f>_xlfn.XLOOKUP(B305,'[8]october-2025'!$A:$A,'[8]october-2025'!$I:$I,0,0)</f>
        <v>0</v>
      </c>
      <c r="CK305">
        <f t="shared" si="577"/>
        <v>200</v>
      </c>
      <c r="CL305">
        <f t="shared" si="578"/>
        <v>40550</v>
      </c>
      <c r="CM305">
        <f>_xlfn.XLOOKUP(B305,'[9]november-2025'!$A:$A,'[9]november-2025'!$C:$C,0,0)</f>
        <v>32500</v>
      </c>
      <c r="CN305">
        <f t="shared" si="579"/>
        <v>5850</v>
      </c>
      <c r="CO305">
        <f t="shared" si="580"/>
        <v>3900</v>
      </c>
      <c r="CP305">
        <f>_xlfn.XLOOKUP(B305,'[9]november-2025'!$A:$A,'[9]november-2025'!$D:$D,0,0)</f>
        <v>0</v>
      </c>
      <c r="CQ305">
        <f>_xlfn.XLOOKUP(B305,'[9]november-2025'!$A:$A,'[9]november-2025'!$G:$G,0,0)</f>
        <v>500</v>
      </c>
      <c r="CR305">
        <f>IF(CM305&gt;0,SUM(CM305:CQ305),0)</f>
        <v>42750</v>
      </c>
      <c r="CS305">
        <f>_xlfn.XLOOKUP(B305,'[9]november-2025'!$A:$A,'[9]november-2025'!$H:$H,0,0)</f>
        <v>2000</v>
      </c>
      <c r="CT305">
        <f>_xlfn.XLOOKUP(B305,'[9]november-2025'!$A:$A,'[9]november-2025'!$I:$I,0,0)</f>
        <v>0</v>
      </c>
      <c r="CU305">
        <f t="shared" si="581"/>
        <v>200</v>
      </c>
      <c r="CV305">
        <f t="shared" si="582"/>
        <v>40550</v>
      </c>
      <c r="CW305">
        <f>_xlfn.XLOOKUP(B305,'[10]december-2025'!$A:$A,'[10]december-2025'!$C:$C,0,0)</f>
        <v>32500</v>
      </c>
      <c r="CX305">
        <f t="shared" si="583"/>
        <v>5850</v>
      </c>
      <c r="CY305">
        <f t="shared" si="584"/>
        <v>3900</v>
      </c>
      <c r="CZ305">
        <f>_xlfn.XLOOKUP(B305,'[10]december-2025'!$A:$A,'[10]december-2025'!$D:$D,0,0)</f>
        <v>0</v>
      </c>
      <c r="DA305">
        <f>_xlfn.XLOOKUP(B305,'[10]december-2025'!$A:$A,'[10]december-2025'!$G:$G,0,0)</f>
        <v>500</v>
      </c>
      <c r="DB305">
        <f>IF(CW305&gt;0,SUM(CW305:DA305),0)</f>
        <v>42750</v>
      </c>
      <c r="DC305">
        <f>_xlfn.XLOOKUP(B305,'[10]december-2025'!$A:$A,'[10]december-2025'!$H:$H,0,0)</f>
        <v>2000</v>
      </c>
      <c r="DD305">
        <f>_xlfn.XLOOKUP(B305,'[10]december-2025'!$A:$A,'[10]december-2025'!$I:$I,0,0)</f>
        <v>0</v>
      </c>
      <c r="DE305">
        <f t="shared" si="585"/>
        <v>200</v>
      </c>
      <c r="DF305">
        <f t="shared" si="586"/>
        <v>40550</v>
      </c>
      <c r="DG305">
        <f>_xlfn.XLOOKUP(B305,'[11]january-2026'!$A:$A,'[11]january-2026'!$C:$C,0,0)</f>
        <v>32500</v>
      </c>
      <c r="DH305">
        <f t="shared" si="587"/>
        <v>5850</v>
      </c>
      <c r="DI305">
        <f t="shared" si="588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>IF(DG305&gt;0,SUM(DG305:DK305),0)</f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589"/>
        <v>200</v>
      </c>
      <c r="DP305">
        <f t="shared" si="590"/>
        <v>40550</v>
      </c>
      <c r="DQ305">
        <f>_xlfn.XLOOKUP(B305,'[12]february-2026'!$A:$A,'[12]february-2026'!$C:$C,0,0)</f>
        <v>32500</v>
      </c>
      <c r="DR305">
        <f t="shared" si="591"/>
        <v>5850</v>
      </c>
      <c r="DS305">
        <f t="shared" si="592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>IF(DQ305&gt;0,SUM(DQ305:DU305),0)</f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593"/>
        <v>200</v>
      </c>
      <c r="DZ305">
        <f t="shared" si="594"/>
        <v>40550</v>
      </c>
      <c r="EA305">
        <f>_xlfn.XLOOKUP(B305,'[1]march-2025'!$A:$A,'[1]march-2025'!$J:$J,0,0)</f>
        <v>0</v>
      </c>
      <c r="EB305">
        <f>_xlfn.XLOOKUP(B305,'[2]april-2025'!$A:$A,'[2]april-2025'!$J:$J,0,0)</f>
        <v>0</v>
      </c>
      <c r="EC305">
        <f>_xlfn.XLOOKUP(B305,'[3]may-2025'!$A:$A,'[3]may-2025'!$J:$J,0,0)</f>
        <v>0</v>
      </c>
      <c r="ED305">
        <f>_xlfn.XLOOKUP(B305,'[4]june-2025'!$A:$A,'[4]june-2025'!$J:$J,0,0)</f>
        <v>0</v>
      </c>
      <c r="EE305">
        <f>_xlfn.XLOOKUP(B305,'[5]july-2025'!$A:$A,'[5]july-2025'!$J:$J,0,0)</f>
        <v>0</v>
      </c>
      <c r="EF305">
        <f>_xlfn.XLOOKUP(B305,'[6]august-2025'!$A:$A,'[6]august-2025'!$J:$J,0,0)</f>
        <v>0</v>
      </c>
      <c r="EG305">
        <f>_xlfn.XLOOKUP(B305,'[7]september-2025'!$A:$A,'[7]september-2025'!$J:$J,0,0)</f>
        <v>0</v>
      </c>
      <c r="EH305">
        <f>_xlfn.XLOOKUP(B305,'[8]october-2025'!$A:$A,'[8]october-2025'!$J:$J,0,0)</f>
        <v>0</v>
      </c>
      <c r="EI305">
        <f>_xlfn.XLOOKUP(C305,'[9]november-2025'!$A:$A,'[9]november-2025'!$J:$J,0,0)</f>
        <v>0</v>
      </c>
      <c r="EJ305">
        <f>_xlfn.XLOOKUP(B305,'[10]december-2025'!$A:$A,'[10]december-2025'!$J:$J,0,0)</f>
        <v>0</v>
      </c>
      <c r="EK305">
        <f>_xlfn.XLOOKUP(B305,'[11]january-2026'!$A:$A,'[11]january-2026'!$J:$J,0,0)</f>
        <v>0</v>
      </c>
      <c r="EL305">
        <f>_xlfn.XLOOKUP(B305,'[12]february-2026'!$A:$A,'[12]february-2026'!$J:$J,0,0)</f>
        <v>0</v>
      </c>
      <c r="EM305">
        <f t="shared" si="548"/>
        <v>0</v>
      </c>
      <c r="EN305">
        <f>DV305+DL305+DB305+CR305+CH305+BX305+BN305+BD305+AS305+AI305+Y305+O305+H305+I305</f>
        <v>513856</v>
      </c>
      <c r="EO305">
        <f>DY305+DO305+DE305+CU305+CK305+CA305+BQ305+BG305+AV305+AL305+AB305+R305</f>
        <v>2400</v>
      </c>
      <c r="EP305">
        <f t="shared" si="595"/>
        <v>50000</v>
      </c>
      <c r="EQ305">
        <v>0</v>
      </c>
      <c r="ER305">
        <f t="shared" si="549"/>
        <v>461456</v>
      </c>
      <c r="ES305">
        <f>DW305+DM305+DC305+CS305+CI305+BY305+BO305+BE305+AT305+AJ305+Z305+P305</f>
        <v>24000</v>
      </c>
      <c r="ET305">
        <f>DX305+DN305+DD305+CT305+CJ305+BZ305+BP305+BF305+AU305+AK305+AA305+Q305</f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596"/>
        <v>24000</v>
      </c>
      <c r="FF305">
        <f t="shared" si="597"/>
        <v>24000</v>
      </c>
      <c r="FG305">
        <f t="shared" si="598"/>
        <v>437456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>SUM(FH305:FN305)+(IF(F305="YES",50000,0))</f>
        <v>0</v>
      </c>
      <c r="FP305">
        <f t="shared" si="599"/>
        <v>437456</v>
      </c>
      <c r="FQ305">
        <f t="shared" si="600"/>
        <v>9373</v>
      </c>
      <c r="FR305">
        <f t="shared" si="601"/>
        <v>0</v>
      </c>
      <c r="FS305">
        <f t="shared" si="602"/>
        <v>9373</v>
      </c>
      <c r="FT305">
        <f t="shared" si="603"/>
        <v>0</v>
      </c>
      <c r="FU305">
        <f t="shared" si="604"/>
        <v>0</v>
      </c>
      <c r="FV305">
        <f t="shared" si="605"/>
        <v>0</v>
      </c>
      <c r="FW305">
        <v>0</v>
      </c>
      <c r="FX305">
        <f t="shared" si="606"/>
        <v>0</v>
      </c>
      <c r="FY305" t="b">
        <f t="shared" si="607"/>
        <v>1</v>
      </c>
      <c r="FZ305">
        <f t="shared" ca="1" si="608"/>
        <v>771</v>
      </c>
      <c r="GA305">
        <f t="shared" ca="1" si="609"/>
        <v>514627</v>
      </c>
      <c r="GB305">
        <f t="shared" si="610"/>
        <v>75000</v>
      </c>
      <c r="GC305">
        <f t="shared" ca="1" si="611"/>
        <v>439627</v>
      </c>
      <c r="GD305">
        <f t="shared" ca="1" si="612"/>
        <v>0</v>
      </c>
      <c r="GE305">
        <f t="shared" ca="1" si="613"/>
        <v>0</v>
      </c>
      <c r="GF305">
        <f t="shared" ca="1" si="614"/>
        <v>0</v>
      </c>
      <c r="GG305">
        <f t="shared" ca="1" si="615"/>
        <v>0</v>
      </c>
      <c r="GH305">
        <f t="shared" ca="1" si="616"/>
        <v>0</v>
      </c>
      <c r="GI305">
        <f t="shared" ca="1" si="617"/>
        <v>0</v>
      </c>
      <c r="GJ305">
        <f ca="1">IF(GC305&gt;1200000,GC305-1200000-IF(F305="YES",50000,0)-GH305,0)</f>
        <v>0</v>
      </c>
      <c r="GK305">
        <f t="shared" ca="1" si="618"/>
        <v>0</v>
      </c>
      <c r="GL305">
        <f t="shared" ca="1" si="619"/>
        <v>0</v>
      </c>
      <c r="GM305">
        <f t="shared" ca="1" si="620"/>
        <v>0</v>
      </c>
      <c r="GN305">
        <f t="shared" ca="1" si="621"/>
        <v>39627</v>
      </c>
      <c r="GO305">
        <f t="shared" ca="1" si="622"/>
        <v>1981.3500000000001</v>
      </c>
      <c r="GP305">
        <f t="shared" ca="1" si="623"/>
        <v>1981</v>
      </c>
      <c r="GQ305">
        <f t="shared" ca="1" si="624"/>
        <v>0</v>
      </c>
      <c r="GR305">
        <f t="shared" ca="1" si="625"/>
        <v>0</v>
      </c>
      <c r="GS305">
        <f t="shared" ca="1" si="626"/>
        <v>1981</v>
      </c>
      <c r="GT305">
        <f t="shared" ca="1" si="627"/>
        <v>0</v>
      </c>
      <c r="GU305" t="b">
        <f t="shared" ca="1" si="628"/>
        <v>0</v>
      </c>
      <c r="GV305">
        <f t="shared" ca="1" si="629"/>
        <v>0</v>
      </c>
      <c r="GW305">
        <f t="shared" ca="1" si="630"/>
        <v>1981</v>
      </c>
      <c r="GX305">
        <f t="shared" ca="1" si="631"/>
        <v>0</v>
      </c>
      <c r="GY305">
        <f t="shared" ca="1" si="632"/>
        <v>0</v>
      </c>
      <c r="GZ305">
        <f t="shared" ca="1" si="633"/>
        <v>0</v>
      </c>
    </row>
  </sheetData>
  <sortState xmlns:xlrd2="http://schemas.microsoft.com/office/spreadsheetml/2017/richdata2" ref="A2:GZ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2026-01-09T12:38:32Z</dcterms:modified>
</cp:coreProperties>
</file>